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nsbuy 商品导入 0418-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1839115443</v>
      </c>
      <c r="B2">
        <v>7638940230</v>
      </c>
      <c r="C2" t="inlineStr">
        <is>
          <t>https://weidian.com/item.html?itemID=7638940230</t>
        </is>
      </c>
      <c r="D2"/>
      <c r="E2" s="2" t="str">
        <f>=HYPERLINK("https://si.geilicdn.com/open1839115443-252808396-1aff0000019b3573cb020a22d249_800_800.jpg?w=640&amp;h=640", "https://si.geilicdn.com/open1839115443-252808396-1aff0000019b3573cb020a22d249_800_800.jpg?w=640&amp;h=640")</f>
        <v>https://si.geilicdn.com/open1839115443-252808396-1aff0000019b3573cb020a22d249_800_800.jpg?w=640&amp;h=640</v>
      </c>
      <c r="F2" t="inlineStr">
        <is>
          <t>Hoodies</t>
        </is>
      </c>
      <c r="G2" t="inlineStr">
        <is>
          <t>Essentials</t>
        </is>
      </c>
      <c r="H2" t="inlineStr">
        <is>
          <t>189.00</t>
        </is>
      </c>
      <c r="I2">
        <v>27.39</v>
      </c>
      <c r="J2" t="inlineStr">
        <is>
          <t>{"choices":[{"finish_reason":"stop","index":0,"logprobs":null,"message":{"annotations":[],"content":"Essentials Fear of God Orange Hoodie Unisex Pullover","refusal":null,"role":"assistant"}}],"created":1776665979,"id":"chatcmpl-DWcGpBti2BRrkgmNRwtJ8YV5kEig6","model":"gpt-5-chat-latest","object":"chat.completion","service_tier":"default","system_fingerprint":"fp_ad66631dec","usage":{"completion_tokens":12,"completion_tokens_details":{"accepted_prediction_tokens":0,"audio_tokens":0,"reasoning_tokens":0,"rejected_prediction_tokens":0},"prompt_tokens":877,"prompt_tokens_details":{"audio_tokens":0,"cached_tokens":0},"total_tokens":889}}</t>
        </is>
      </c>
      <c r="K2" t="inlineStr">
        <is>
          <t>Essentials Fear of God Orange Hoodie Unisex Pullover</t>
        </is>
      </c>
      <c r="L2" t="inlineStr">
        <is>
          <t>{"id":"chatcmpl-DWaHeZN7gVJ6xhNqMUNzaiHiLVKml","object":"chat.completion","created":1776658342,"model":"gpt-5-chat-latest","choices":[{"index":0,"message":{"role":"assistant","content":"ESSENTIALS Fear of God Orange Hoodie – premium cotton, soft and breathable, classic logo print, oversized fit, unisex design, minimalist American street style for daily casual wear.","refusal":null,"annotations":[]},"logprobs":null,"finish_reason":"stop"}],"usage":{"prompt_tokens":904,"completion_tokens":37,"total_tokens":941,"prompt_tokens_details":{"cached_tokens":0,"audio_tokens":0},"completion_tokens_details":{"reasoning_tokens":0,"audio_tokens":0,"accepted_prediction_tokens":0,"rejected_prediction_tokens":0}},"service_tier":"default","system_fingerprint":"fp_ad66631dec"}</t>
        </is>
      </c>
      <c r="M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ma=2592000","apim-request-id":"959ce20a-0ba5-4934-b6c2-4a9cb9b4c4e5","azureml-model-session":"d20260405234249-f9874baf","cache-control":"no-cache, no-store, must-revalidate","connection":"close","content-length":"987","content-security-policy":"frame-ancestors 'self'","content-type":"application/json","date":"Mon, 20 Apr 2026 04:12:23 GMT","server":"nginx","skip-error-remapping":"true","strict-transport-security":"max-age=31536000; includeSubDomains; preload","via":"1.1 Caddy, 1.1 Caddy","x-api-request-id":"20260420121221265578031MW6Sq6K7","x-content-type-options":"nosniff","x-frame-options":"SAMEORIGIN","x-ms-is-spilled-over":"false","x-ms-rai-invoked":"false","x-ms-region":"East US 2","x-new-api-version":"0.4.39","x-oneapi-request-id":"202604200412211853670968268d9d6vkkM65vZ","x-ratelimit-abusepenalty-active":"False","x-ratelimit-limit-requests":"4994","x-ratelimit-limit-tokens":"4994000","x-ratelimit-remaining-requests":"4993","x-ratelimit-remaining-tokens":"4992334","x-ratelimit-renewalperiod-requests":"60","x-ratelimit-renewalperiod-tokens":"60","x-ratelimit-reset-requests":"12","x-ratelimit-reset-tokens":"20","x-request-id":"46afed14-770b-4322-b339-cefe9ba6136d"}</t>
        </is>
      </c>
      <c r="N2" t="inlineStr">
        <is>
          <t>ESSENTIALS Fear of God Orange Hoodie – premium cotton, soft and breathable, classic logo print, oversized fit, unisex design, minimalist American street style for daily casual wear.</t>
        </is>
      </c>
      <c r="O2" t="inlineStr">
        <is>
          <t>{"choices":[{"finish_reason":"stop","index":0,"logprobs":null,"message":{"annotations":[],"content":"Essentials,Hoodies,kakobuy,kakebuy2026,kekobuysheet,kakobuysheet2026,2026kakobuy,kakobuyspreadsheeet,kakobuylink,kakebuylist,Kakobuy MEGA Spreadsheet,kakobuysheetfind,kakobuysheetfind2026,2026kakobuysheetfind,kakobuysheet2026","refusal":null,"role":"assistant"}}],"created":1776667406,"id":"chatcmpl-DWcdqYe4W7vWxydEGXLw633YpN6MF","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2" t="inlineStr">
        <is>
          <t>Essentials,Hoodies,kakobuy,kakebuy2026,kekobuysheet,kakobuysheet2026,2026kakobuy,kakobuyspreadsheeet,kakobuylink,kakebuylist,Kakobuy MEGA Spreadsheet,kakobuysheetfind,kakobuysheetfind2026,2026kakobuysheetfind,kakobuysheet2026</t>
        </is>
      </c>
      <c r="Q2" t="inlineStr">
        <is>
          <t>Orange, Unisex, Minimalist, Streetwear</t>
        </is>
      </c>
      <c r="R2" t="inlineStr">
        <is>
          <t>recvh6xFVjZfFI</t>
        </is>
      </c>
      <c r="S2" t="inlineStr">
        <is>
          <t>fear-of-god-orange-hoodie-recvh6xfvjzf</t>
        </is>
      </c>
      <c r="T2"/>
      <c r="U2"/>
      <c r="V2"/>
      <c r="W2" t="inlineStr">
        <is>
          <t>{"choices":[{"finish_reason":"stop","index":0,"logprobs":null,"message":{"annotations":[],"content":"Essentials：橘红色系列连帽卫衣，采用优质纯棉材质，柔软舒适，胸前印有品牌经典Logo字样，宽松版型设计，男女皆宜，展现简约美式街头风格，适合休闲与日常穿搭。","refusal":null,"role":"assistant"}}],"created":1776655631,"id":"chatcmpl-DWZZvpWrsudulKXCaCE4fMp9Gu7Ql","model":"gpt-5-chat-latest","object":"chat.completion","service_tier":"default","system_fingerprint":"fp_ad66631dec","usage":{"completion_tokens":69,"completion_tokens_details":{"accepted_prediction_tokens":0,"audio_tokens":0,"reasoning_tokens":0,"rejected_prediction_tokens":0},"prompt_tokens":1313,"prompt_tokens_details":{"audio_tokens":0,"cached_tokens":0},"total_tokens":1382}}</t>
        </is>
      </c>
      <c r="X2" t="inlineStr">
        <is>
          <t>Essentials：橘红色系列连帽卫衣，采用优质纯棉材质，柔软舒适，胸前印有品牌经典Logo字样，宽松版型设计，男女皆宜，展现简约美式街头风格，适合休闲与日常穿搭。</t>
        </is>
      </c>
    </row>
    <row r="3" ht="25.5" customHeight="1">
      <c r="A3">
        <v>1839115443</v>
      </c>
      <c r="B3">
        <v>7639005780</v>
      </c>
      <c r="C3" t="inlineStr">
        <is>
          <t>https://weidian.com/item.html?itemID=7639005780</t>
        </is>
      </c>
      <c r="D3"/>
      <c r="E3" s="2" t="str">
        <f>=HYPERLINK("https://si.geilicdn.com/open1839115443-252808396-7fce0000019b35700a850a8115c2_800_800.jpg?w=640&amp;h=640", "https://si.geilicdn.com/open1839115443-252808396-7fce0000019b35700a850a8115c2_800_800.jpg?w=640&amp;h=640")</f>
        <v>https://si.geilicdn.com/open1839115443-252808396-7fce0000019b35700a850a8115c2_800_800.jpg?w=640&amp;h=640</v>
      </c>
      <c r="F3" t="inlineStr">
        <is>
          <t>T-Shirts</t>
        </is>
      </c>
      <c r="G3" t="inlineStr">
        <is>
          <t>Other</t>
        </is>
      </c>
      <c r="H3" t="inlineStr">
        <is>
          <t>103.00</t>
        </is>
      </c>
      <c r="I3">
        <v>14.93</v>
      </c>
      <c r="J3" t="inlineStr">
        <is>
          <t>{"choices":[{"finish_reason":"stop","index":0,"logprobs":null,"message":{"annotations":[],"content":"RetroBlack Skeleton Sleeveless Washed Cotton T-Shirt","refusal":null,"role":"assistant"}}],"created":1776665792,"id":"chatcmpl-DWcDoTie8jfABDMYHSiEDsjjSW3tX","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3" t="inlineStr">
        <is>
          <t>RetroBlack Skeleton Sleeveless Washed Cotton T-Shirt</t>
        </is>
      </c>
      <c r="L3" t="inlineStr">
        <is>
          <t>{"choices":[{"finish_reason":"stop","index":0,"logprobs":null,"message":{"annotations":[],"content":"Brand RetroBlack – Vintage sleeveless black T-shirt made of washed cotton with white skeleton print, unisex loose fit, punk street style, perfect for casual wear or stage outfits.","refusal":null,"role":"assistant"}}],"created":1776658305,"id":"chatcmpl-DWaH3V9Kcsma2ekvpRaof2o4s3sue","model":"gpt-5-chat-latest","object":"chat.completion","service_tier":"default","system_fingerprint":"fp_ad66631dec","usage":{"completion_tokens":37,"completion_tokens_details":{"accepted_prediction_tokens":0,"audio_tokens":0,"reasoning_tokens":0,"rejected_prediction_tokens":0},"prompt_tokens":911,"prompt_tokens_details":{"audio_tokens":0,"cached_tokens":0},"total_tokens":948}}</t>
        </is>
      </c>
      <c r="M3" t="inlineStr">
        <is>
          <t>{"alt-svc":"h3=\":443\"; ma=2592000","apim-request-id":"586567d1-e726-4db8-bc44-850a22d5be94","azureml-model-session":"d20260405234249-f9874baf","cache-control":"no-cache","connection":"close","content-length":"769","content-security-policy":"frame-ancestors 'self'","content-type":"application/json","date":"Mon, 20 Apr 2026 04:11:47 GMT","server":"nginx","skip-error-remapping":"true","strict-transport-security":"max-age=31536000; includeSubDomains; preload","via":"1.1 Caddy, 1.1 Caddy","x-api-request-id":"20260420121145274603508CZgTgC2V","x-content-type-options":"nosniff","x-frame-options":"SAMEORIGIN","x-ms-client-request-id":"Not-Set","x-ms-is-spilled-over":"false","x-ms-rai-invoked":"true","x-ms-region":"East US 2","x-new-api-version":"0.4.39","x-oneapi-request-id":"202604200411451975362088268d9d6iA5MxRqM","x-ratelimit-abusepenalty-active":"False","x-ratelimit-limit-requests":"3850","x-ratelimit-limit-tokens":"3850000","x-ratelimit-remaining-requests":"3849","x-ratelimit-remaining-tokens":"3848327","x-ratelimit-renewalperiod-requests":"60","x-ratelimit-renewalperiod-tokens":"60","x-ratelimit-reset-requests":"15","x-ratelimit-reset-tokens":"26","x-request-id":"6478fc70-e7fc-4f0b-9c97-8aeb7c4772c5"}</t>
        </is>
      </c>
      <c r="N3" t="inlineStr">
        <is>
          <t>Brand RetroBlack – Vintage sleeveless black T-shirt made of washed cotton with white skeleton print, unisex loose fit, punk street style, perfect for casual wear or stage outfits.</t>
        </is>
      </c>
      <c r="O3" t="inlineStr">
        <is>
          <t>{"choices":[{"finish_reason":"stop","index":0,"logprobs":null,"message":{"annotations":[],"content":"Skelanimals, T-Shirts, kakobuy, kakebuy2026, kekobuysheet, kakobuysheet2026, 2026kakobuy, kakobuyspreadsheeet, kakobuylink, kakebuylist, Kakobuy MEGA Spreadsheet, kakobuysheetfind, kakobuysheetfind2026, 2026kakobuysheetfind, kakobuysheet2026","refusal":null,"role":"assistant"}}],"created":1776668500,"id":"chatcmpl-DWcvUF3Kylb8yNpkdJEEehHjEYe8r","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3" t="inlineStr">
        <is>
          <t>Skelanimals, T-Shirts, kakobuy, kakebuy2026, kekobuysheet, kakobuysheet2026, 2026kakobuy, kakobuyspreadsheeet, kakobuylink, kakebuylist, Kakobuy MEGA Spreadsheet, kakobuysheetfind, kakobuysheetfind2026, 2026kakobuysheetfind, kakobuysheet2026</t>
        </is>
      </c>
      <c r="Q3" t="inlineStr">
        <is>
          <t>Black, Punk, Streetwear, Unisex</t>
        </is>
      </c>
      <c r="R3" t="inlineStr">
        <is>
          <t>recvh6xFVjOypJ</t>
        </is>
      </c>
      <c r="S3" t="inlineStr">
        <is>
          <t>retroblack-skeleton-sleeveless-cotton-tshirt-recvh6xfvjoypj</t>
        </is>
      </c>
      <c r="T3"/>
      <c r="U3"/>
      <c r="V3"/>
      <c r="W3" t="inlineStr">
        <is>
          <t>{"id":"chatcmpl-DWZivMkaWfIfvX5ASLxo1j9MqWGJF","object":"chat.completion","created":1776656189,"model":"gpt-5-chat-latest","choices":[{"index":0,"message":{"role":"assistant","content":"复古黑色无袖T恤，采用做旧棉质面料，印有白色人体骨骼图腾，视觉冲击力强。街头潮流风格，宽松剪裁，男女皆宜，彰显朋克与个性态度，适合日常休闲与舞台造型穿搭。","refusal":null,"annotations":[]},"logprobs":null,"finish_reason":"stop"}],"usage":{"prompt_tokens":1313,"completion_tokens":76,"total_tokens":1389,"prompt_tokens_details":{"cached_tokens":0,"audio_tokens":0},"completion_tokens_details":{"reasoning_tokens":0,"audio_tokens":0,"accepted_prediction_tokens":0,"rejected_prediction_tokens":0}},"service_tier":"default","system_fingerprint":"fp_ad66631dec"}</t>
        </is>
      </c>
      <c r="X3" t="inlineStr">
        <is>
          <t>复古黑色无袖T恤，采用做旧棉质面料，印有白色人体骨骼图腾，视觉冲击力强。街头潮流风格，宽松剪裁，男女皆宜，彰显朋克与个性态度，适合日常休闲与舞台造型穿搭。</t>
        </is>
      </c>
    </row>
    <row r="4" ht="25.5" customHeight="1">
      <c r="A4">
        <v>1839115443</v>
      </c>
      <c r="B4">
        <v>7635982031</v>
      </c>
      <c r="C4" t="inlineStr">
        <is>
          <t>https://weidian.com/item.html?itemID=7635982031</t>
        </is>
      </c>
      <c r="D4"/>
      <c r="E4" s="2" t="str">
        <f>=HYPERLINK("https://si.geilicdn.com/open1839115443-252808396-7ef00000019b356dfe420a8115c2_800_800.jpg?w=640&amp;h=640", "https://si.geilicdn.com/open1839115443-252808396-7ef00000019b356dfe420a8115c2_800_800.jpg?w=640&amp;h=640")</f>
        <v>https://si.geilicdn.com/open1839115443-252808396-7ef00000019b356dfe420a8115c2_800_800.jpg?w=640&amp;h=640</v>
      </c>
      <c r="F4" t="inlineStr">
        <is>
          <t>T-Shirts</t>
        </is>
      </c>
      <c r="G4" t="inlineStr">
        <is>
          <t xml:space="preserve">RivingtonI roi Rebis </t>
        </is>
      </c>
      <c r="H4" t="inlineStr">
        <is>
          <t>103.00</t>
        </is>
      </c>
      <c r="I4">
        <v>14.93</v>
      </c>
      <c r="J4" t="inlineStr">
        <is>
          <t>{"choices":[{"finish_reason":"stop","index":0,"logprobs":null,"message":{"annotations":[],"content":"Rivington roi Rebis LOVE123 Black Gray Sleeveless T-Shirt","refusal":null,"role":"assistant"}}],"created":1776666793,"id":"chatcmpl-DWcTxKXXFW6B4DQ9BtqVel8vvXxkD","model":"gpt-5-chat-latest","object":"chat.completion","service_tier":"default","system_fingerprint":"fp_ad66631dec","usage":{"completion_tokens":15,"completion_tokens_details":{"accepted_prediction_tokens":0,"audio_tokens":0,"reasoning_tokens":0,"rejected_prediction_tokens":0},"prompt_tokens":899,"prompt_tokens_details":{"audio_tokens":0,"cached_tokens":0},"total_tokens":914}}</t>
        </is>
      </c>
      <c r="K4" t="inlineStr">
        <is>
          <t>Rivington roi Rebis LOVE123 Black Gray Sleeveless T-Shirt</t>
        </is>
      </c>
      <c r="L4" t="inlineStr">
        <is>
          <t>{"choices":[{"finish_reason":"stop","index":0,"logprobs":null,"message":{"annotations":[],"content":"Rivington roi Rebis black-gray sleeveless T-shirt features soft cotton fabric with abstract “LOVE 123” art print, vintage matte finish, relaxed fit, and unisex streetwear style blending retro and futuristic vibes.","refusal":null,"role":"assistant"}}],"created":1776659544,"id":"chatcmpl-DWab2DDiKtJKCsiFJIRaUlGp3DBB1","model":"gpt-5-chat-latest","object":"chat.completion","service_tier":"default","system_fingerprint":"fp_ad66631dec","usage":{"completion_tokens":46,"completion_tokens_details":{"accepted_prediction_tokens":0,"audio_tokens":0,"reasoning_tokens":0,"rejected_prediction_tokens":0},"prompt_tokens":931,"prompt_tokens_details":{"audio_tokens":0,"cached_tokens":0},"total_tokens":977}}</t>
        </is>
      </c>
      <c r="M4" t="inlineStr">
        <is>
          <t>{"alt-svc":"h3=\":443\"; ma=2592000","apim-request-id":"49d1ea47-2b4e-44de-b803-6461e143ad87","azureml-model-session":"d20260402083108-57a85543","cache-control":"no-cache","connection":"close","content-length":"805","content-security-policy":"frame-ancestors 'self'","content-type":"application/json","date":"Mon, 20 Apr 2026 04:32:25 GMT","server":"Caddy","skip-error-remapping":"true","strict-transport-security":"max-age=31536000; includeSubDomains; preload","via":"1.1 Caddy","x-api-request-id":"20260420123223787078604wgQAUVXZ","x-content-type-options":"nosniff","x-frame-options":"SAMEORIGIN","x-ms-client-request-id":"Not-Set","x-ms-is-spilled-over":"false","x-ms-rai-invoked":"true","x-ms-region":"East US 2","x-new-api-version":"0.4.39","x-oneapi-request-id":"202604200432237186206818268d9d6vmZbnYUd","x-ratelimit-abusepenalty-active":"False","x-ratelimit-limit-requests":"3850","x-ratelimit-limit-tokens":"3850000","x-ratelimit-remaining-requests":"3849","x-ratelimit-remaining-tokens":"3848307","x-ratelimit-renewalperiod-requests":"60","x-ratelimit-renewalperiod-tokens":"60","x-ratelimit-reset-requests":"15","x-ratelimit-reset-tokens":"26","x-request-id":"027c4a55-dfeb-4c39-9fe7-82d85ec308a4"}</t>
        </is>
      </c>
      <c r="N4" t="inlineStr">
        <is>
          <t>Rivington roi Rebis black-gray sleeveless T-shirt features soft cotton fabric with abstract “LOVE 123” art print, vintage matte finish, relaxed fit, and unisex streetwear style blending retro and futuristic vibes.</t>
        </is>
      </c>
      <c r="O4" t="inlineStr">
        <is>
          <t>{"choices":[{"finish_reason":"stop","index":0,"logprobs":null,"message":{"annotations":[],"content":"Rivington, T-Shirts, kakobuy, kakebuy2026, kekobuysheet, kakobuysheet2026, 2026kakobuy, kakobuyspreadsheeet, kakobuylink, kakebuylist, Kakobuy MEGA Spreadsheet, kakobuysheetfind, kakobuysheetfind2026, 2026kakobuysheetfind, kakobuysheet2026","refusal":null,"role":"assistant"}}],"created":1776667533,"id":"chatcmpl-DWcftfssw83xehuWxH7nmkJhqaHwM","model":"gpt-5-chat-latest","object":"chat.completion","service_tier":"default","system_fingerprint":"fp_ad66631dec","usage":{"completion_tokens":93,"completion_tokens_details":{"accepted_prediction_tokens":0,"audio_tokens":0,"reasoning_tokens":0,"rejected_prediction_tokens":0},"prompt_tokens":788,"prompt_tokens_details":{"audio_tokens":0,"cached_tokens":0},"total_tokens":881}}</t>
        </is>
      </c>
      <c r="P4" t="inlineStr">
        <is>
          <t>Rivington, T-Shirts, kakobuy, kakebuy2026, kekobuysheet, kakobuysheet2026, 2026kakobuy, kakobuyspreadsheeet, kakobuylink, kakebuylist, Kakobuy MEGA Spreadsheet, kakobuysheetfind, kakobuysheetfind2026, 2026kakobuysheetfind, kakobuysheet2026</t>
        </is>
      </c>
      <c r="Q4" t="inlineStr">
        <is>
          <t>Abstract, Vintage, Streetwear, Unisex, Retro Futuristic</t>
        </is>
      </c>
      <c r="R4" t="inlineStr">
        <is>
          <t>recvh6xFVjHr1i</t>
        </is>
      </c>
      <c r="S4" t="inlineStr">
        <is>
          <t>rivington-roi-rebis-love123-black-gray-sleeveless-recvh6xfvjhr1i</t>
        </is>
      </c>
      <c r="T4"/>
      <c r="U4"/>
      <c r="V4"/>
      <c r="W4" t="inlineStr">
        <is>
          <t>{"choices":[{"finish_reason":"stop","index":0,"logprobs":null,"message":{"annotations":[],"content":"Rivington roi Rebis：黑灰磨砂无袖T恤，采用柔软纯棉面料，正反面印有抽象“LOVE 123”艺术图腾，呈现独特街头潮流感。宽松剪裁与圆领设计，兼具舒适与造型感，男女皆宜。融合复古与未来主义美学，展现先锋都市态度。","refusal":null,"role":"assistant"}}],"created":1776655255,"id":"chatcmpl-DWZTrbyh6fqv7nIXJ0bjo0b5JPOi6","model":"gpt-5-chat-latest","object":"chat.completion","service_tier":"default","system_fingerprint":"fp_ad66631dec","usage":{"completion_tokens":91,"completion_tokens_details":{"accepted_prediction_tokens":0,"audio_tokens":0,"reasoning_tokens":0,"rejected_prediction_tokens":0},"prompt_tokens":1329,"prompt_tokens_details":{"audio_tokens":0,"cached_tokens":0},"total_tokens":1420}}</t>
        </is>
      </c>
      <c r="X4" t="inlineStr">
        <is>
          <t>Rivington roi Rebis：黑灰磨砂无袖T恤，采用柔软纯棉面料，正反面印有抽象“LOVE 123”艺术图腾，呈现独特街头潮流感。宽松剪裁与圆领设计，兼具舒适与造型感，男女皆宜。融合复古与未来主义美学，展现先锋都市态度。</t>
        </is>
      </c>
    </row>
    <row r="5" ht="25.5" customHeight="1">
      <c r="A5">
        <v>1839115443</v>
      </c>
      <c r="B5">
        <v>7638911300</v>
      </c>
      <c r="C5" t="inlineStr">
        <is>
          <t>https://weidian.com/item.html?itemID=7638911300</t>
        </is>
      </c>
      <c r="D5"/>
      <c r="E5" s="2" t="str">
        <f>=HYPERLINK("https://si.geilicdn.com/open1839115443-252808396-0eca0000019b356de15b0a23b491_800_800.jpg?w=640&amp;h=640", "https://si.geilicdn.com/open1839115443-252808396-0eca0000019b356de15b0a23b491_800_800.jpg?w=640&amp;h=640")</f>
        <v>https://si.geilicdn.com/open1839115443-252808396-0eca0000019b356de15b0a23b491_800_800.jpg?w=640&amp;h=640</v>
      </c>
      <c r="F5" t="inlineStr">
        <is>
          <t>T-Shirts</t>
        </is>
      </c>
      <c r="G5" t="inlineStr">
        <is>
          <t>Other</t>
        </is>
      </c>
      <c r="H5" t="inlineStr">
        <is>
          <t>103.00</t>
        </is>
      </c>
      <c r="I5">
        <v>14.93</v>
      </c>
      <c r="J5" t="inlineStr">
        <is>
          <t>{"id":"chatcmpl-DWcRBHYtrBf7pG4TMcvdGxFuSYEwj","object":"chat.completion","created":1776666621,"model":"gpt-5-chat-latest","choices":[{"index":0,"message":{"role":"assistant","content":"VintageGrey Eagle Flag Sleeveless Retro Wash T-Shirt","refusal":null,"annotations":[]},"logprobs":null,"finish_reason":"stop"}],"usage":{"prompt_tokens":883,"completion_tokens":11,"total_tokens":894,"prompt_tokens_details":{"cached_tokens":0,"audio_tokens":0},"completion_tokens_details":{"reasoning_tokens":0,"audio_tokens":0,"accepted_prediction_tokens":0,"rejected_prediction_tokens":0}},"service_tier":"default","system_fingerprint":"fp_ad66631dec"}</t>
        </is>
      </c>
      <c r="K5" t="inlineStr">
        <is>
          <t>VintageGrey Eagle Flag Sleeveless Retro Wash T-Shirt</t>
        </is>
      </c>
      <c r="L5" t="inlineStr">
        <is>
          <t>{"id":"chatcmpl-DWaJW8GaRbC0uZnwKEJUIyAP70w4b","object":"chat.completion","created":1776658458,"model":"gpt-5-chat-latest","choices":[{"index":0,"message":{"role":"assistant","content":"VintageGrey presents a retro washed sleeveless T-shirt with eagle and US flag design, inspired by rock spirit. Loose fit for men and women, breathable cotton fabric, streetwear with free rebellious attitude.","refusal":null,"annotations":[]},"logprobs":null,"finish_reason":"stop"}],"usage":{"prompt_tokens":905,"completion_tokens":41,"total_tokens":946,"prompt_tokens_details":{"cached_tokens":0,"audio_tokens":0},"completion_tokens_details":{"reasoning_tokens":0,"audio_tokens":0,"accepted_prediction_tokens":0,"rejected_prediction_tokens":0}},"service_tier":"default","system_fingerprint":"fp_ad66631dec"}</t>
        </is>
      </c>
      <c r="M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ma=2592000","apim-request-id":"6d451f50-6cd6-41bf-9b20-1bc7fce0580a","azureml-model-session":"d20260405212659-a9daa006","cache-control":"no-cache, no-store, must-revalidate","connection":"close","content-length":"1011","content-security-policy":"frame-ancestors 'self'","content-type":"application/json","date":"Mon, 20 Apr 2026 04:14:20 GMT","server":"nginx","skip-error-remapping":"true","strict-transport-security":"max-age=31536000; includeSubDomains; preload","via":"1.1 Caddy, 1.1 Caddy","x-api-request-id":"20260420121416875757756UhkrTrPi","x-content-type-options":"nosniff","x-frame-options":"SAMEORIGIN","x-ms-is-spilled-over":"false","x-ms-rai-invoked":"false","x-ms-region":"Sweden Central","x-new-api-version":"0.4.39","x-oneapi-request-id":"202604200414167930053328268d9d6RIXeyUUv","x-ratelimit-abusepenalty-active":"False","x-ratelimit-limit-requests":"4993","x-ratelimit-limit-tokens":"4993000","x-ratelimit-remaining-requests":"4992","x-ratelimit-remaining-tokens":"4991333","x-ratelimit-renewalperiod-requests":"60","x-ratelimit-renewalperiod-tokens":"60","x-ratelimit-reset-requests":"12","x-ratelimit-reset-tokens":"20","x-request-id":"db2af49c-3446-4280-9de9-5c312c10f69c"}</t>
        </is>
      </c>
      <c r="N5" t="inlineStr">
        <is>
          <t>VintageGrey presents a retro washed sleeveless T-shirt with eagle and US flag design, inspired by rock spirit. Loose fit for men and women, breathable cotton fabric, streetwear with free rebellious attitude.</t>
        </is>
      </c>
      <c r="O5" t="inlineStr">
        <is>
          <t>{"id":"chatcmpl-DWcYzLDa9fgzH49x6sEeedl3QzxMN","object":"chat.completion","created":1776667105,"model":"gpt-5-chat-latest","choices":[{"index":0,"message":{"role":"assistant","content":"Merle Haggard, T-Shirts,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95,"total_tokens":877,"prompt_tokens_details":{"cached_tokens":0,"audio_tokens":0},"completion_tokens_details":{"reasoning_tokens":0,"audio_tokens":0,"accepted_prediction_tokens":0,"rejected_prediction_tokens":0}},"service_tier":"default","system_fingerprint":"fp_ad66631dec"}</t>
        </is>
      </c>
      <c r="P5" t="inlineStr">
        <is>
          <t>Merle Haggard, T-Shirts, kakobuy, kakebuy2026, kekobuysheet, kakobuysheet2026, 2026kakobuy, kakobuyspreadsheeet, kakobuylink, kakebuylist, Kakobuy MEGA Spreadsheet, kakobuysheetfind, kakobuysheetfind2026, 2026kakobuysheetfind, kakobuysheet2026</t>
        </is>
      </c>
      <c r="Q5" t="inlineStr">
        <is>
          <t>Vintage, Grey, Streetwear, Unisex, Breathable</t>
        </is>
      </c>
      <c r="R5" t="inlineStr">
        <is>
          <t>recvh6xFVj2Tpe</t>
        </is>
      </c>
      <c r="S5" t="inlineStr">
        <is>
          <t>vintage-grey-eagle-flag-sleeveless-retro-wash-tshirt-recvh6xfvj2tpe</t>
        </is>
      </c>
      <c r="T5"/>
      <c r="U5"/>
      <c r="V5"/>
      <c r="W5" t="inlineStr">
        <is>
          <t>{"id":"chatcmpl-DWZQ9VE4UOWUBI0iwT5C9bT16dyrW","object":"chat.completion","created":1776655025,"model":"gpt-5-chat-latest","choices":[{"index":0,"message":{"role":"assistant","content":"复古灰磨洗无袖T恤，美国国旗与鹰图腾设计，致敬摇滚精神，宽松剪裁兼具舒适与个性，男女通穿街头潮流风格，棉质面料透气亲肤，展现随性不羁的复古态度。","refusal":null,"annotations":[]},"logprobs":null,"finish_reason":"stop"}],"usage":{"prompt_tokens":1311,"completion_tokens":71,"total_tokens":1382,"prompt_tokens_details":{"cached_tokens":0,"audio_tokens":0},"completion_tokens_details":{"reasoning_tokens":0,"audio_tokens":0,"accepted_prediction_tokens":0,"rejected_prediction_tokens":0}},"service_tier":"default","system_fingerprint":"fp_ad66631dec"}</t>
        </is>
      </c>
      <c r="X5" t="inlineStr">
        <is>
          <t>复古灰磨洗无袖T恤，美国国旗与鹰图腾设计，致敬摇滚精神，宽松剪裁兼具舒适与个性，男女通穿街头潮流风格，棉质面料透气亲肤，展现随性不羁的复古态度。</t>
        </is>
      </c>
    </row>
    <row r="6" ht="25.5" customHeight="1">
      <c r="A6">
        <v>1839115443</v>
      </c>
      <c r="B6">
        <v>7638964324</v>
      </c>
      <c r="C6" t="inlineStr">
        <is>
          <t>https://weidian.com/item.html?itemID=7638964324</t>
        </is>
      </c>
      <c r="D6"/>
      <c r="E6" s="2" t="str">
        <f>=HYPERLINK("https://si.geilicdn.com/open1839115443-252808396-3a600000019b3590c15c0aa086a7_1340_1785.jpg?w=640&amp;h=640", "https://si.geilicdn.com/open1839115443-252808396-3a600000019b3590c15c0aa086a7_1340_1785.jpg?w=640&amp;h=640")</f>
        <v>https://si.geilicdn.com/open1839115443-252808396-3a600000019b3590c15c0aa086a7_1340_1785.jpg?w=640&amp;h=640</v>
      </c>
      <c r="F6" t="inlineStr">
        <is>
          <t>T-Shirts</t>
        </is>
      </c>
      <c r="G6" t="inlineStr">
        <is>
          <t>Other</t>
        </is>
      </c>
      <c r="H6" t="inlineStr">
        <is>
          <t>97.00</t>
        </is>
      </c>
      <c r="I6">
        <v>14.06</v>
      </c>
      <c r="J6" t="inlineStr">
        <is>
          <t>{"choices":[{"finish_reason":"stop","index":0,"logprobs":null,"message":{"annotations":[],"content":"Gorillaz Khaki Cartoon Band Cotton Sweatshirt","refusal":null,"role":"assistant"}}],"created":1776665878,"id":"chatcmpl-DWcFCY1EAMUUFGKaHDPbmwvgq7goA","model":"gpt-5-chat-latest","object":"chat.completion","service_tier":"default","system_fingerprint":"fp_ad66631dec","usage":{"completion_tokens":12,"completion_tokens_details":{"accepted_prediction_tokens":0,"audio_tokens":0,"reasoning_tokens":0,"rejected_prediction_tokens":0},"prompt_tokens":879,"prompt_tokens_details":{"audio_tokens":0,"cached_tokens":0},"total_tokens":891}}</t>
        </is>
      </c>
      <c r="K6" t="inlineStr">
        <is>
          <t>Gorillaz Khaki Cartoon Band Cotton Sweatshirt</t>
        </is>
      </c>
      <c r="L6" t="inlineStr">
        <is>
          <t>{"choices":[{"finish_reason":"stop","index":0,"logprobs":null,"message":{"annotations":[],"content":"GORILLAZ Khaki Cotton Sweatshirt – Soft breathable fabric with cartoon band print and red art lettering. Loose unisex fit, round neck, retro street style expressing youth and artistic attitude.","refusal":null,"role":"assistant"}}],"created":1776658884,"id":"chatcmpl-DWaQOrXUcpRtnG3g6kmLhuRigOeFe","model":"gpt-5-chat-latest","object":"chat.completion","service_tier":"default","system_fingerprint":"fp_ad66631dec","usage":{"completion_tokens":39,"completion_tokens_details":{"accepted_prediction_tokens":0,"audio_tokens":0,"reasoning_tokens":0,"rejected_prediction_tokens":0},"prompt_tokens":925,"prompt_tokens_details":{"audio_tokens":0,"cached_tokens":0},"total_tokens":964}}</t>
        </is>
      </c>
      <c r="M6" t="inlineStr">
        <is>
          <t>{"alt-svc":"h3=\":443\"; ma=2592000","apim-request-id":"d9269281-c1dd-42d2-ac48-526bba4c9902","azureml-model-session":"d20260405234249-f9874baf","cache-control":"no-cache","connection":"close","content-length":"783","content-security-policy":"frame-ancestors 'self'","content-type":"application/json","date":"Mon, 20 Apr 2026 04:21:25 GMT","server":"nginx","skip-error-remapping":"true","strict-transport-security":"max-age=31536000; includeSubDomains; preload","via":"1.1 Caddy, 1.1 Caddy","x-api-request-id":"20260420122123588383016kvvExVQ5","x-content-type-options":"nosniff","x-frame-options":"SAMEORIGIN","x-ms-client-request-id":"Not-Set","x-ms-is-spilled-over":"false","x-ms-rai-invoked":"true","x-ms-region":"East US 2","x-new-api-version":"0.4.39","x-oneapi-request-id":"202604200421235231213028268d9d61CipeKG1","x-ratelimit-abusepenalty-active":"False","x-ratelimit-limit-requests":"3850","x-ratelimit-limit-tokens":"3850000","x-ratelimit-remaining-requests":"3849","x-ratelimit-remaining-tokens":"3848313","x-ratelimit-renewalperiod-requests":"60","x-ratelimit-renewalperiod-tokens":"60","x-ratelimit-reset-requests":"15","x-ratelimit-reset-tokens":"26","x-request-id":"f9b0da29-0ef4-4f7b-94a1-36f16c88b13e"}</t>
        </is>
      </c>
      <c r="N6" t="inlineStr">
        <is>
          <t>GORILLAZ Khaki Cotton Sweatshirt – Soft breathable fabric with cartoon band print and red art lettering. Loose unisex fit, round neck, retro street style expressing youth and artistic attitude.</t>
        </is>
      </c>
      <c r="O6" t="inlineStr">
        <is>
          <t>{"choices":[{"finish_reason":"stop","index":0,"logprobs":null,"message":{"annotations":[],"content":"Gorillaz,T-Shirts,kakobuy,kakebuy2026,kekobuysheet,kakobuysheet2026,2026kakobuy,kakobuyspreadsheeet,kakobuylink,kakebuylist,Kakobuy MEGA Spreadsheet,kakobuysheetfind,kakobuysheetfind2026,2026kakobuysheetfind,kakobuysheet2026","refusal":null,"role":"assistant"}}],"created":1776668770,"id":"chatcmpl-DWczqmdrAfKM2UcWcPhcbvOhCg595","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6" t="inlineStr">
        <is>
          <t>Gorillaz,T-Shirts,kakobuy,kakebuy2026,kekobuysheet,kakobuysheet2026,2026kakobuy,kakobuyspreadsheeet,kakobuylink,kakebuylist,Kakobuy MEGA Spreadsheet,kakobuysheetfind,kakobuysheetfind2026,2026kakobuysheetfind,kakobuysheet2026</t>
        </is>
      </c>
      <c r="Q6" t="inlineStr">
        <is>
          <t>Retro, Street, Unisex, Youth</t>
        </is>
      </c>
      <c r="R6" t="inlineStr">
        <is>
          <t>recvh6xFVj7VFY</t>
        </is>
      </c>
      <c r="S6" t="inlineStr">
        <is>
          <t>gorillaz-khaki-cartoon-band-cotton-sweatshirt-recvh6xFVj7VFY</t>
        </is>
      </c>
      <c r="T6"/>
      <c r="U6"/>
      <c r="V6"/>
      <c r="W6" t="inlineStr">
        <is>
          <t>{"choices":[{"finish_reason":"stop","index":0,"logprobs":null,"message":{"annotations":[],"content":"卡其色休闲卫衣，采用柔软纯棉材质，触感舒适透气。正面印有卡通乐队人物与醒目红色艺术字图腾，展现街头潮流与独立个性。经典圆领设计，宽松版型，适合男女通穿。都市复古风格，彰显年轻态度与艺术审美。","refusal":null,"role":"assistant"}}],"created":1776656246,"id":"chatcmpl-DWZjqztdD20HanqI9Iy5P0GRzydlh","model":"gpt-5-chat-latest","object":"chat.completion","service_tier":"default","system_fingerprint":"fp_ad66631dec","usage":{"completion_tokens":88,"completion_tokens_details":{"accepted_prediction_tokens":0,"audio_tokens":0,"reasoning_tokens":0,"rejected_prediction_tokens":0},"prompt_tokens":1317,"prompt_tokens_details":{"audio_tokens":0,"cached_tokens":1280},"total_tokens":1405}}</t>
        </is>
      </c>
      <c r="X6" t="inlineStr">
        <is>
          <t>卡其色休闲卫衣，采用柔软纯棉材质，触感舒适透气。正面印有卡通乐队人物与醒目红色艺术字图腾，展现街头潮流与独立个性。经典圆领设计，宽松版型，适合男女通穿。都市复古风格，彰显年轻态度与艺术审美。</t>
        </is>
      </c>
    </row>
    <row r="7" ht="25.5" customHeight="1">
      <c r="A7">
        <v>1839115443</v>
      </c>
      <c r="B7">
        <v>7636024141</v>
      </c>
      <c r="C7" t="inlineStr">
        <is>
          <t>https://weidian.com/item.html?itemID=7636024141</t>
        </is>
      </c>
      <c r="D7"/>
      <c r="E7" s="2" t="str">
        <f>=HYPERLINK("https://si.geilicdn.com/open1839115443-252808396-285f0000019b35905abe0a22d249_1340_1785.jpg?w=640&amp;h=640", "https://si.geilicdn.com/open1839115443-252808396-285f0000019b35905abe0a22d249_1340_1785.jpg?w=640&amp;h=640")</f>
        <v>https://si.geilicdn.com/open1839115443-252808396-285f0000019b35905abe0a22d249_1340_1785.jpg?w=640&amp;h=640</v>
      </c>
      <c r="F7" t="inlineStr">
        <is>
          <t>Pants</t>
        </is>
      </c>
      <c r="G7" t="inlineStr">
        <is>
          <t>Other</t>
        </is>
      </c>
      <c r="H7" t="inlineStr">
        <is>
          <t>143.00</t>
        </is>
      </c>
      <c r="I7">
        <v>20.72</v>
      </c>
      <c r="J7" t="inlineStr">
        <is>
          <t>{"id":"chatcmpl-DWcFwNk4nUl9B1WN1QyoxD5ouG6xQ","object":"chat.completion","created":1776665924,"model":"gpt-5-chat-latest","choices":[{"index":0,"message":{"role":"assistant","content":"PantsOther Black Stretch Knit Jogger Pants Unisex","refusal":null,"annotations":[]},"logprobs":null,"finish_reason":"stop"}],"usage":{"prompt_tokens":883,"completion_tokens":12,"total_tokens":895,"prompt_tokens_details":{"cached_tokens":0,"audio_tokens":0},"completion_tokens_details":{"reasoning_tokens":0,"audio_tokens":0,"accepted_prediction_tokens":0,"rejected_prediction_tokens":0}},"service_tier":"default","system_fingerprint":"fp_ad66631dec"}</t>
        </is>
      </c>
      <c r="K7" t="inlineStr">
        <is>
          <t>PantsOther Black Stretch Knit Jogger Pants Unisex</t>
        </is>
      </c>
      <c r="L7" t="inlineStr">
        <is>
          <t>{"id":"chatcmpl-DWaWyqxndGKotqUq8E4YcyUNywt86","object":"chat.completion","created":1776659292,"model":"gpt-5-chat-latest","choices":[{"index":0,"message":{"role":"assistant","content":"PantsOther minimalist black jogger pants made from high-stretch soft knit fabric, breathable and shape-retaining. Elastic drawstring waist, side pockets, unisex urban casual and street sport style.","refusal":null,"annotations":[]},"logprobs":null,"finish_reason":"stop"}],"usage":{"prompt_tokens":922,"completion_tokens":41,"total_tokens":963,"prompt_tokens_details":{"cached_tokens":0,"audio_tokens":0},"completion_tokens_details":{"reasoning_tokens":0,"audio_tokens":0,"accepted_prediction_tokens":0,"rejected_prediction_tokens":0}},"service_tier":"default","system_fingerprint":"fp_ad66631dec"}</t>
        </is>
      </c>
      <c r="M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ma=2592000","apim-request-id":"4aceb665-5d57-4f6d-bbf9-01d25c66b2e5","azureml-model-session":"d20260402083108-57a85543","cache-control":"no-cache, no-store, must-revalidate","connection":"close","content-length":"1001","content-security-policy":"frame-ancestors 'self'","content-type":"application/json","date":"Mon, 20 Apr 2026 04:28:13 GMT","server":"nginx","skip-error-remapping":"true","strict-transport-security":"max-age=31536000; includeSubDomains; preload","via":"1.1 Caddy, 1.1 Caddy","x-api-request-id":"20260420122811864008400xhajGtK","x-content-type-options":"nosniff","x-frame-options":"SAMEORIGIN","x-ms-is-spilled-over":"false","x-ms-rai-invoked":"false","x-ms-region":"East US 2","x-new-api-version":"0.4.39","x-oneapi-request-id":"20260420042811194077418268d9d6LoV8cnr1","x-ratelimit-abusepenalty-active":"False","x-ratelimit-limit-requests":"4994","x-ratelimit-limit-tokens":"4994000","x-ratelimit-remaining-requests":"4993","x-ratelimit-remaining-tokens":"4992316","x-ratelimit-renewalperiod-requests":"60","x-ratelimit-renewalperiod-tokens":"60","x-ratelimit-reset-requests":"12","x-ratelimit-reset-tokens":"20","x-request-id":"c20bbf1d-93aa-4c7e-9694-b1687f533707"}</t>
        </is>
      </c>
      <c r="N7" t="inlineStr">
        <is>
          <t>PantsOther minimalist black jogger pants made from high-stretch soft knit fabric, breathable and shape-retaining. Elastic drawstring waist, side pockets, unisex urban casual and street sport style.</t>
        </is>
      </c>
      <c r="O7" t="inlineStr">
        <is>
          <t>{"id":"chatcmpl-DWcYeQDbgnrjL5sUbgXoDgP9HoaPx","object":"chat.completion","created":1776667084,"model":"gpt-5-chat-latest","choices":[{"index":0,"message":{"role":"assistant","content":"PantsOther,Pant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7" t="inlineStr">
        <is>
          <t>PantsOther,Pants,kakobuy,kakebuy2026,kekobuysheet,kakobuysheet2026,2026kakobuy,kakobuyspreadsheeet,kakobuylink,kakebuylist,Kakobuy MEGA Spreadsheet,kakobuysheetfind,kakobuysheetfind2026,2026kakobuysheetfind,kakobuysheet2026</t>
        </is>
      </c>
      <c r="Q7" t="inlineStr">
        <is>
          <t>Minimalist, Black, Joggers, Knit, Breathable, Unisex</t>
        </is>
      </c>
      <c r="R7" t="inlineStr">
        <is>
          <t>recvh6xFVjERU2</t>
        </is>
      </c>
      <c r="S7" t="inlineStr">
        <is>
          <t>black-stretch-knit-jogger-pants-unisex-recvh6xFVjERU2</t>
        </is>
      </c>
      <c r="T7"/>
      <c r="U7"/>
      <c r="V7"/>
      <c r="W7" t="inlineStr">
        <is>
          <t>{"choices":[{"finish_reason":"stop","index":0,"logprobs":null,"message":{"annotations":[],"content":"简约黑色束脚运动长裤，采用高弹柔软针织面料，透气舒适不易变形。松紧腰抽绳设计方便调节，侧边插袋实用便捷。极简版型修饰腿型，男女皆宜，融合现代都市休闲与街头运动风格，轻松演绎百搭日常造型。","refusal":null,"role":"assistant"}}],"created":1776655564,"id":"chatcmpl-DWZYqsnrZ4JXTWdvaJspZ7Gwo1VF2","model":"gpt-5-chat-latest","object":"chat.completion","service_tier":"default","system_fingerprint":"fp_ad66631dec","usage":{"completion_tokens":87,"completion_tokens_details":{"accepted_prediction_tokens":0,"audio_tokens":0,"reasoning_tokens":0,"rejected_prediction_tokens":0},"prompt_tokens":1313,"prompt_tokens_details":{"audio_tokens":0,"cached_tokens":0},"total_tokens":1400}}</t>
        </is>
      </c>
      <c r="X7" t="inlineStr">
        <is>
          <t>简约黑色束脚运动长裤，采用高弹柔软针织面料，透气舒适不易变形。松紧腰抽绳设计方便调节，侧边插袋实用便捷。极简版型修饰腿型，男女皆宜，融合现代都市休闲与街头运动风格，轻松演绎百搭日常造型。</t>
        </is>
      </c>
    </row>
    <row r="8" ht="25.5" customHeight="1">
      <c r="A8">
        <v>1839115443</v>
      </c>
      <c r="B8">
        <v>7635999861</v>
      </c>
      <c r="C8" t="inlineStr">
        <is>
          <t>https://weidian.com/item.html?itemID=7635999861</t>
        </is>
      </c>
      <c r="D8"/>
      <c r="E8" s="2" t="str">
        <f>=HYPERLINK("https://si.geilicdn.com/open1839115443-252808396-2bce0000019b3572d5c40aa086a7_800_800.jpg?w=640&amp;h=640", "https://si.geilicdn.com/open1839115443-252808396-2bce0000019b3572d5c40aa086a7_800_800.jpg?w=640&amp;h=640")</f>
        <v>https://si.geilicdn.com/open1839115443-252808396-2bce0000019b3572d5c40aa086a7_800_800.jpg?w=640&amp;h=640</v>
      </c>
      <c r="F8" t="inlineStr">
        <is>
          <t>T-Shirts</t>
        </is>
      </c>
      <c r="G8" t="inlineStr">
        <is>
          <t>Cole Buxton</t>
        </is>
      </c>
      <c r="H8" t="inlineStr">
        <is>
          <t>115.00</t>
        </is>
      </c>
      <c r="I8">
        <v>16.67</v>
      </c>
      <c r="J8" t="inlineStr">
        <is>
          <t>{"choices":[{"finish_reason":"stop","index":0,"logprobs":null,"message":{"annotations":[],"content":"Cole Buxton Fight Camp White Boxing Print T-Shirt","refusal":null,"role":"assistant"}}],"created":1776665927,"id":"chatcmpl-DWcFzZmLWirQimk40WfqeJAuEsul4","model":"gpt-5-chat-latest","object":"chat.completion","service_tier":"default","system_fingerprint":"fp_ad66631dec","usage":{"completion_tokens":11,"completion_tokens_details":{"accepted_prediction_tokens":0,"audio_tokens":0,"reasoning_tokens":0,"rejected_prediction_tokens":0},"prompt_tokens":873,"prompt_tokens_details":{"audio_tokens":0,"cached_tokens":0},"total_tokens":884}}</t>
        </is>
      </c>
      <c r="K8" t="inlineStr">
        <is>
          <t>Cole Buxton Fight Camp White Boxing Print T-Shirt</t>
        </is>
      </c>
      <c r="L8" t="inlineStr">
        <is>
          <t>{"choices":[{"finish_reason":"stop","index":0,"logprobs":null,"message":{"annotations":[],"content":"Cole Buxton Fight Camp T-Shirt in white, soft cotton with dynamic boxing print, loose fit, unisex streetwear style, showcasing Soho London energy and athletic power.","refusal":null,"role":"assistant"}}],"created":1776658819,"id":"chatcmpl-DWaPLCXwiv2nV3aJgHET9muacUB0x","model":"gpt-5-chat-latest","object":"chat.completion","service_tier":"default","system_fingerprint":"fp_ad66631dec","usage":{"completion_tokens":35,"completion_tokens_details":{"accepted_prediction_tokens":0,"audio_tokens":0,"reasoning_tokens":0,"rejected_prediction_tokens":0},"prompt_tokens":903,"prompt_tokens_details":{"audio_tokens":0,"cached_tokens":0},"total_tokens":938}}</t>
        </is>
      </c>
      <c r="M8" t="inlineStr">
        <is>
          <t>{"alt-svc":"h3=\":443\"; ma=2592000","apim-request-id":"5edacebd-49f5-483a-882c-488b68ba6871","azureml-model-session":"d20260405234249-f9874baf","cache-control":"no-cache","connection":"close","content-length":"753","content-security-policy":"frame-ancestors 'self'","content-type":"application/json","date":"Mon, 20 Apr 2026 04:20:21 GMT","server":"nginx","skip-error-remapping":"true","strict-transport-security":"max-age=31536000; includeSubDomains; preload","via":"1.1 Caddy, 1.1 Caddy","x-api-request-id":"20260420122019401541973Nch3BBGh","x-content-type-options":"nosniff","x-frame-options":"SAMEORIGIN","x-ms-client-request-id":"Not-Set","x-ms-is-spilled-over":"false","x-ms-rai-invoked":"true","x-ms-region":"East US 2","x-new-api-version":"0.4.39","x-oneapi-request-id":"202604200420193182371768268d9d6r1jPpdTb","x-ratelimit-abusepenalty-active":"False","x-ratelimit-limit-requests":"3850","x-ratelimit-limit-tokens":"3850000","x-ratelimit-remaining-requests":"3849","x-ratelimit-remaining-tokens":"3848335","x-ratelimit-renewalperiod-requests":"60","x-ratelimit-renewalperiod-tokens":"60","x-ratelimit-reset-requests":"15","x-ratelimit-reset-tokens":"25","x-request-id":"2634183f-fc1c-4731-9c3c-1e26e8375ea9"}</t>
        </is>
      </c>
      <c r="N8" t="inlineStr">
        <is>
          <t>Cole Buxton Fight Camp T-Shirt in white, soft cotton with dynamic boxing print, loose fit, unisex streetwear style, showcasing Soho London energy and athletic power.</t>
        </is>
      </c>
      <c r="O8" t="inlineStr">
        <is>
          <t>{"id":"chatcmpl-DWcYYNpZs80BqMpfC6E5UBpS0Dq4K","object":"chat.completion","created":1776667078,"model":"gpt-5-chat-latest","choices":[{"index":0,"message":{"role":"assistant","content":"Cole Buxton,T-Shirts,kakobuy,kakebuy2026,kekobuysheet,kakobuysheet2026,2026kakobuy,kakobuyspreadsheeet,kakobuylink,kakebuylist,Kakobuy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ad66631dec"}</t>
        </is>
      </c>
      <c r="P8" t="inlineStr">
        <is>
          <t>Cole Buxton,T-Shirts,kakobuy,kakebuy2026,kekobuysheet,kakobuysheet2026,2026kakobuy,kakobuyspreadsheeet,kakobuylink,kakebuylist,Kakobuy MEGA Spreadsheet,kakobuysheetfind,kakobuysheetfind2026,2026kakobuysheetfind,kakobuysheet2026</t>
        </is>
      </c>
      <c r="Q8" t="inlineStr">
        <is>
          <t>White, Unisex, Streetwear, Athletic</t>
        </is>
      </c>
      <c r="R8" t="inlineStr">
        <is>
          <t>recvh6xFVjyigj</t>
        </is>
      </c>
      <c r="S8" t="inlineStr">
        <is>
          <t>cole-buxton-fight-camp-white-boxing-print-tshirt-recvh6xfvjyigj</t>
        </is>
      </c>
      <c r="T8"/>
      <c r="U8"/>
      <c r="V8"/>
      <c r="W8" t="inlineStr">
        <is>
          <t>{"choices":[{"finish_reason":"stop","index":0,"logprobs":null,"message":{"annotations":[],"content":"Cole Buxton：FIGHT CAMP白色短袖T恤，柔软纯棉材质，前胸格斗印花设计展现力量与动感，宽松剪裁，简约街头休闲风，男女皆宜，彰显伦敦SOHO都市活力。","refusal":null,"role":"assistant"}}],"created":1776656174,"id":"chatcmpl-DWZigPv104SlRltq8DAd7lWPvtwIJ","model":"gpt-5-chat-latest","object":"chat.completion","service_tier":"default","system_fingerprint":"fp_ad66631dec","usage":{"completion_tokens":65,"completion_tokens_details":{"accepted_prediction_tokens":0,"audio_tokens":0,"reasoning_tokens":0,"rejected_prediction_tokens":0},"prompt_tokens":1321,"prompt_tokens_details":{"audio_tokens":0,"cached_tokens":0},"total_tokens":1386}}</t>
        </is>
      </c>
      <c r="X8" t="inlineStr">
        <is>
          <t>Cole Buxton：FIGHT CAMP白色短袖T恤，柔软纯棉材质，前胸格斗印花设计展现力量与动感，宽松剪裁，简约街头休闲风，男女皆宜，彰显伦敦SOHO都市活力。</t>
        </is>
      </c>
    </row>
    <row r="9" ht="25.5" customHeight="1">
      <c r="A9">
        <v>1839115443</v>
      </c>
      <c r="B9">
        <v>7638909350</v>
      </c>
      <c r="C9" t="inlineStr">
        <is>
          <t>https://weidian.com/item.html?itemID=7638909350</t>
        </is>
      </c>
      <c r="D9"/>
      <c r="E9" s="2" t="str">
        <f>=HYPERLINK("https://si.geilicdn.com/open1839115443-252808396-44a70000019b356fb8400aa08245_800_800.jpg?w=640&amp;h=640", "https://si.geilicdn.com/open1839115443-252808396-44a70000019b356fb8400aa08245_800_800.jpg?w=640&amp;h=640")</f>
        <v>https://si.geilicdn.com/open1839115443-252808396-44a70000019b356fb8400aa08245_800_800.jpg?w=640&amp;h=640</v>
      </c>
      <c r="F9" t="inlineStr">
        <is>
          <t>T-Shirts</t>
        </is>
      </c>
      <c r="G9" t="inlineStr">
        <is>
          <t>Other</t>
        </is>
      </c>
      <c r="H9" t="inlineStr">
        <is>
          <t>103.00</t>
        </is>
      </c>
      <c r="I9">
        <v>14.93</v>
      </c>
      <c r="J9" t="inlineStr">
        <is>
          <t>{"id":"chatcmpl-DWcCwh2QYjfXQ7RkPbTnf7mQ4WGZn","object":"chat.completion","created":1776665738,"model":"gpt-5-chat-latest","choices":[{"index":0,"message":{"role":"assistant","content":"Other Vintage Skull Sleeveless Rock Tour 2006 Tee","refusal":null,"annotations":[]},"logprobs":null,"finish_reason":"stop"}],"usage":{"prompt_tokens":889,"completion_tokens":12,"total_tokens":901,"prompt_tokens_details":{"cached_tokens":0,"audio_tokens":0},"completion_tokens_details":{"reasoning_tokens":0,"audio_tokens":0,"accepted_prediction_tokens":0,"rejected_prediction_tokens":0}},"service_tier":"default","system_fingerprint":"fp_ad66631dec"}</t>
        </is>
      </c>
      <c r="K9" t="inlineStr">
        <is>
          <t>Other Vintage Skull Sleeveless Rock Tour 2006 Tee</t>
        </is>
      </c>
      <c r="L9" t="inlineStr">
        <is>
          <t>{"choices":[{"finish_reason":"stop","index":0,"logprobs":null,"message":{"annotations":[],"content":"Brand T-ShirtsOther vintage washed sleeveless rock tee in dark gray cotton, featuring skull blood totem front, “Tour 2006” print back, loose fit unisex streetwear with bold heavy metal vibe.","refusal":null,"role":"assistant"}}],"created":1776658472,"id":"chatcmpl-DWaJkY7DwY94S68rnm3QuJczmr5wy","model":"gpt-5-chat-latest","object":"chat.completion","service_tier":"default","system_fingerprint":"fp_ad66631dec","usage":{"completion_tokens":44,"completion_tokens_details":{"accepted_prediction_tokens":0,"audio_tokens":0,"reasoning_tokens":0,"rejected_prediction_tokens":0},"prompt_tokens":930,"prompt_tokens_details":{"audio_tokens":0,"cached_tokens":0},"total_tokens":974}}</t>
        </is>
      </c>
      <c r="M9" t="inlineStr">
        <is>
          <t>{"alt-svc":"h3=\":443\"; ma=2592000","apim-request-id":"7353cba8-2218-48ed-8646-6b1caea63d91","azureml-model-session":"d20260402083108-57a85543","cache-control":"no-cache","connection":"close","content-length":"782","content-security-policy":"frame-ancestors 'self'","content-type":"application/json","date":"Mon, 20 Apr 2026 04:14:34 GMT","server":"nginx","skip-error-remapping":"true","strict-transport-security":"max-age=31536000; includeSubDomains; preload","via":"1.1 Caddy, 1.1 Caddy","x-api-request-id":"202604201214318519905612IyepRID","x-content-type-options":"nosniff","x-frame-options":"SAMEORIGIN","x-ms-client-request-id":"Not-Set","x-ms-is-spilled-over":"false","x-ms-rai-invoked":"true","x-ms-region":"East US 2","x-new-api-version":"0.4.39","x-oneapi-request-id":"202604200414317864430138268d9d60VkYXCEE","x-ratelimit-abusepenalty-active":"False","x-ratelimit-limit-requests":"3850","x-ratelimit-limit-tokens":"3850000","x-ratelimit-remaining-requests":"3849","x-ratelimit-remaining-tokens":"3848308","x-ratelimit-renewalperiod-requests":"60","x-ratelimit-renewalperiod-tokens":"60","x-ratelimit-reset-requests":"15","x-ratelimit-reset-tokens":"26","x-request-id":"7ce8ce72-0f7a-403e-8285-06e4065ba39d"}</t>
        </is>
      </c>
      <c r="N9" t="inlineStr">
        <is>
          <t>Brand T-ShirtsOther vintage washed sleeveless rock tee in dark gray cotton, featuring skull blood totem front, “Tour 2006” print back, loose fit unisex streetwear with bold heavy metal vibe.</t>
        </is>
      </c>
      <c r="O9" t="inlineStr">
        <is>
          <t>{"choices":[{"finish_reason":"stop","index":0,"logprobs":null,"message":{"annotations":[],"content":"FALSE PROPHET, T-Shirt, kakobuy, kakebuy2026, kekobuysheet, kakobuysheet2026, 2026kakobuy, kakobuyspreadsheeet, kakobuylink, kakebuylist, Kakobuy MEGA Spreadsheet, kakobuysheetfind, kakobuysheetfind2026, 2026kakobuysheetfind, kakobuysheet2026","refusal":null,"role":"assistant"}}],"created":1776668102,"id":"chatcmpl-DWcp4kVOY9tQJBeiVW99gYJCiJZ7f","model":"gpt-5-chat-latest","object":"chat.completion","service_tier":"default","system_fingerprint":"fp_ad66631dec","usage":{"completion_tokens":94,"completion_tokens_details":{"accepted_prediction_tokens":0,"audio_tokens":0,"reasoning_tokens":0,"rejected_prediction_tokens":0},"prompt_tokens":782,"prompt_tokens_details":{"audio_tokens":0,"cached_tokens":0},"total_tokens":876}}</t>
        </is>
      </c>
      <c r="P9" t="inlineStr">
        <is>
          <t>FALSE PROPHET, T-Shirt, kakobuy, kakebuy2026, kekobuysheet, kakobuysheet2026, 2026kakobuy, kakobuyspreadsheeet, kakobuylink, kakebuylist, Kakobuy MEGA Spreadsheet, kakobuysheetfind, kakobuysheetfind2026, 2026kakobuysheetfind, kakobuysheet2026</t>
        </is>
      </c>
      <c r="Q9" t="inlineStr">
        <is>
          <t>Dark Grey, Unisex, Streetwear</t>
        </is>
      </c>
      <c r="R9" t="inlineStr">
        <is>
          <t>recvh6xFVjemhy</t>
        </is>
      </c>
      <c r="S9" t="inlineStr">
        <is>
          <t>other-vintage-skull-sleeveless-rock-tour-2006-tee-recvh6xFVjemhy</t>
        </is>
      </c>
      <c r="T9"/>
      <c r="U9"/>
      <c r="V9"/>
      <c r="W9" t="inlineStr">
        <is>
          <t>{"choices":[{"finish_reason":"stop","index":0,"logprobs":null,"message":{"annotations":[],"content":"复古深灰无袖摇滚印花T恤，采用水洗棉质面料打造，质感柔软且具有做旧效果。正面骷髅血色图腾设计，背面印有“Tour 2006”复古纪念文字，彰显重金属音乐灵感。宽松剪裁，适合男女街头穿搭，展现叛逆个性与潮流态度。","refusal":null,"role":"assistant"}}],"created":1776655041,"id":"chatcmpl-DWZQPU69Z3dVLMvwpFqEpaf0sU2mV","model":"gpt-5-chat-latest","object":"chat.completion","service_tier":"default","system_fingerprint":"fp_ad66631dec","usage":{"completion_tokens":98,"completion_tokens_details":{"accepted_prediction_tokens":0,"audio_tokens":0,"reasoning_tokens":0,"rejected_prediction_tokens":0},"prompt_tokens":1307,"prompt_tokens_details":{"audio_tokens":0,"cached_tokens":1280},"total_tokens":1405}}</t>
        </is>
      </c>
      <c r="X9" t="inlineStr">
        <is>
          <t>复古深灰无袖摇滚印花T恤，采用水洗棉质面料打造，质感柔软且具有做旧效果。正面骷髅血色图腾设计，背面印有“Tour 2006”复古纪念文字，彰显重金属音乐灵感。宽松剪裁，适合男女街头穿搭，展现叛逆个性与潮流态度。</t>
        </is>
      </c>
    </row>
    <row r="10" ht="25.5" customHeight="1">
      <c r="A10">
        <v>1839115443</v>
      </c>
      <c r="B10">
        <v>7638909344</v>
      </c>
      <c r="C10" t="inlineStr">
        <is>
          <t>https://weidian.com/item.html?itemID=7638909344</t>
        </is>
      </c>
      <c r="D10"/>
      <c r="E10" s="2" t="str">
        <f>=HYPERLINK("https://si.geilicdn.com/open1839115443-252808396-7f3a0000019b356e8c2c0a8115c2_800_800.jpg?w=640&amp;h=640", "https://si.geilicdn.com/open1839115443-252808396-7f3a0000019b356e8c2c0a8115c2_800_800.jpg?w=640&amp;h=640")</f>
        <v>https://si.geilicdn.com/open1839115443-252808396-7f3a0000019b356e8c2c0a8115c2_800_800.jpg?w=640&amp;h=640</v>
      </c>
      <c r="F10" t="inlineStr">
        <is>
          <t>T-Shirts</t>
        </is>
      </c>
      <c r="G10" t="inlineStr">
        <is>
          <t>Other</t>
        </is>
      </c>
      <c r="H10" t="inlineStr">
        <is>
          <t>103.00</t>
        </is>
      </c>
      <c r="I10">
        <v>14.93</v>
      </c>
      <c r="J10" t="inlineStr">
        <is>
          <t>{"id":"chatcmpl-DWcFKv9Bj24LL1is7dIBU4iR20Qx2","object":"chat.completion","created":1776665886,"model":"gpt-5-chat-latest","choices":[{"index":0,"message":{"role":"assistant","content":"VintageRock Black Sleeveless Cotton Band T-Shirt 80s Style","refusal":null,"annotations":[]},"logprobs":null,"finish_reason":"stop"}],"usage":{"prompt_tokens":885,"completion_tokens":14,"total_tokens":899,"prompt_tokens_details":{"cached_tokens":0,"audio_tokens":0},"completion_tokens_details":{"reasoning_tokens":0,"audio_tokens":0,"accepted_prediction_tokens":0,"rejected_prediction_tokens":0}},"service_tier":"default","system_fingerprint":"fp_ad66631dec"}</t>
        </is>
      </c>
      <c r="K10" t="inlineStr">
        <is>
          <t>VintageRock Black Sleeveless Cotton Band T-Shirt 80s Style</t>
        </is>
      </c>
      <c r="L10" t="inlineStr">
        <is>
          <t>{"id":"chatcmpl-DWaU0s1HFjUybp6NRQJY9OkLvRxwg","object":"chat.completion","created":1776659108,"model":"gpt-5-chat-latest","choices":[{"index":0,"message":{"role":"assistant","content":"VintageRock Black Sleeveless T-Shirt, made of thick washed cotton, featuring a classic band emblem with roses, loose unisex fit, retro 80s rebel style perfect for streetwear or music festivals.","refusal":null,"annotations":[]},"logprobs":null,"finish_reason":"stop"}],"usage":{"prompt_tokens":928,"completion_tokens":42,"total_tokens":970,"prompt_tokens_details":{"cached_tokens":0,"audio_tokens":0},"completion_tokens_details":{"reasoning_tokens":0,"audio_tokens":0,"accepted_prediction_tokens":0,"rejected_prediction_tokens":0}},"service_tier":"default","system_fingerprint":"fp_ad66631dec"}</t>
        </is>
      </c>
      <c r="M1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ma=2592000","apim-request-id":"bec4ef83-a3d6-45dd-9fed-76d195d23c56","azureml-model-session":"d20260405234249-f9874baf","cache-control":"no-cache, no-store, must-revalidate","connection":"close","content-length":"997","content-security-policy":"frame-ancestors 'self'","content-type":"application/json","date":"Mon, 20 Apr 2026 04:25:10 GMT","server":"nginx","skip-error-remapping":"true","strict-transport-security":"max-age=31536000; includeSubDomains; preload","via":"1.1 Caddy, 1.1 Caddy","x-api-request-id":"20260420122507926786940kCwhaFov","x-content-type-options":"nosniff","x-frame-options":"SAMEORIGIN","x-ms-is-spilled-over":"false","x-ms-rai-invoked":"false","x-ms-region":"East US 2","x-new-api-version":"0.4.39","x-oneapi-request-id":"202604200425078613571528268d9d6sG3Ni1B2","x-ratelimit-abusepenalty-active":"False","x-ratelimit-limit-requests":"4994","x-ratelimit-limit-tokens":"4994000","x-ratelimit-remaining-requests":"4993","x-ratelimit-remaining-tokens":"4992310","x-ratelimit-renewalperiod-requests":"60","x-ratelimit-renewalperiod-tokens":"60","x-ratelimit-reset-requests":"12","x-ratelimit-reset-tokens":"20","x-request-id":"ae85cd1f-bf3a-420b-aa84-5be8e10bb83a"}</t>
        </is>
      </c>
      <c r="N10" t="inlineStr">
        <is>
          <t>VintageRock Black Sleeveless T-Shirt, made of thick washed cotton, featuring a classic band emblem with roses, loose unisex fit, retro 80s rebel style perfect for streetwear or music festivals.</t>
        </is>
      </c>
      <c r="O10" t="inlineStr">
        <is>
          <t>{"id":"chatcmpl-DWcaUxt8FjBZOl0XVZkM9NVLWfuJ3","object":"chat.completion","created":1776667198,"model":"gpt-5-chat-latest","choices":[{"index":0,"message":{"role":"assistant","content":"Guns N' Roses,T-Shirts,kakobuy,kakebuy2026,kekobuysheet,kakobuysheet2026,2026kakobuy,kakobuyspreadsheeet,kakobuylink,kakebuylist,Kakobuy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90,"total_tokens":872,"prompt_tokens_details":{"cached_tokens":0,"audio_tokens":0},"completion_tokens_details":{"reasoning_tokens":0,"audio_tokens":0,"accepted_prediction_tokens":0,"rejected_prediction_tokens":0}},"service_tier":"default","system_fingerprint":"fp_ad66631dec"}</t>
        </is>
      </c>
      <c r="P10" t="inlineStr">
        <is>
          <t>Guns N' Roses,T-Shirts,kakobuy,kakebuy2026,kekobuysheet,kakobuysheet2026,2026kakobuy,kakobuyspreadsheeet,kakobuylink,kakebuylist,Kakobuy MEGA Spreadsheet,kakobuysheetfind,kakobuysheetfind2026,2026kakobuysheetfind,kakobuysheet2026</t>
        </is>
      </c>
      <c r="Q10" t="inlineStr">
        <is>
          <t>Vintage, Streetwear, Unisex, Black, Retro</t>
        </is>
      </c>
      <c r="R10" t="inlineStr">
        <is>
          <t>recvh6xFVjRTwi</t>
        </is>
      </c>
      <c r="S10" t="inlineStr">
        <is>
          <t>vintage-rock-black-sleeveless-cotton-band-tshirt-80s-recvh6xfvjrtwi</t>
        </is>
      </c>
      <c r="T10"/>
      <c r="U10"/>
      <c r="V10"/>
      <c r="W10" t="inlineStr">
        <is>
          <t>{"id":"chatcmpl-DWZdc8BYt7lJEiZRkXYiqsF2lISu1","object":"chat.completion","created":1776655860,"model":"gpt-5-chat-latest","choices":[{"index":0,"message":{"role":"assistant","content":"复古摇滚系列黑色无袖T恤，水洗棉质面料质感厚实，正面印有经典乐队徽章圆形图腾与玫瑰元素，展现街头叛逆美学，宽松剪裁版型，男女皆宜，重现80年代摇滚文化风范，适合潮流休闲与音乐节穿搭。","refusal":null,"annotations":[]},"logprobs":null,"finish_reason":"stop"}],"usage":{"prompt_tokens":1321,"completion_tokens":89,"total_tokens":1410,"prompt_tokens_details":{"cached_tokens":0,"audio_tokens":0},"completion_tokens_details":{"reasoning_tokens":0,"audio_tokens":0,"accepted_prediction_tokens":0,"rejected_prediction_tokens":0}},"service_tier":"default","system_fingerprint":"fp_ad66631dec"}</t>
        </is>
      </c>
      <c r="X10" t="inlineStr">
        <is>
          <t>复古摇滚系列黑色无袖T恤，水洗棉质面料质感厚实，正面印有经典乐队徽章圆形图腾与玫瑰元素，展现街头叛逆美学，宽松剪裁版型，男女皆宜，重现80年代摇滚文化风范，适合潮流休闲与音乐节穿搭。</t>
        </is>
      </c>
    </row>
    <row r="11" ht="25.5" customHeight="1">
      <c r="A11">
        <v>1839115443</v>
      </c>
      <c r="B11">
        <v>7639009788</v>
      </c>
      <c r="C11" t="inlineStr">
        <is>
          <t>https://weidian.com/item.html?itemID=7639009788</t>
        </is>
      </c>
      <c r="D11"/>
      <c r="E11" s="2" t="str">
        <f>=HYPERLINK("https://si.geilicdn.com/open1839115443-252808396-288e0000019b356bbf3c0aa086a7_800_800.jpg?w=640&amp;h=640", "https://si.geilicdn.com/open1839115443-252808396-288e0000019b356bbf3c0aa086a7_800_800.jpg?w=640&amp;h=640")</f>
        <v>https://si.geilicdn.com/open1839115443-252808396-288e0000019b356bbf3c0aa086a7_800_800.jpg?w=640&amp;h=640</v>
      </c>
      <c r="F11" t="inlineStr">
        <is>
          <t>T-Shirts</t>
        </is>
      </c>
      <c r="G11" t="inlineStr">
        <is>
          <t>Other</t>
        </is>
      </c>
      <c r="H11" t="inlineStr">
        <is>
          <t>103.00</t>
        </is>
      </c>
      <c r="I11">
        <v>14.93</v>
      </c>
      <c r="J11" t="inlineStr">
        <is>
          <t>{"choices":[{"finish_reason":"stop","index":0,"logprobs":null,"message":{"annotations":[],"content":"HAVER Vintage Skull Sleeveless Black Rock T-Shirt","refusal":null,"role":"assistant"}}],"created":1776666702,"id":"chatcmpl-DWcSUA7fiWGDxvodSdJgV0lSHDhoK","model":"gpt-5-chat-latest","object":"chat.completion","service_tier":"default","system_fingerprint":"fp_ad66631dec","usage":{"completion_tokens":11,"completion_tokens_details":{"accepted_prediction_tokens":0,"audio_tokens":0,"reasoning_tokens":0,"rejected_prediction_tokens":0},"prompt_tokens":887,"prompt_tokens_details":{"audio_tokens":0,"cached_tokens":0},"total_tokens":898}}</t>
        </is>
      </c>
      <c r="K11" t="inlineStr">
        <is>
          <t>HAVER Vintage Skull Sleeveless Black Rock T-Shirt</t>
        </is>
      </c>
      <c r="L11" t="inlineStr">
        <is>
          <t>{"id":"chatcmpl-DWaWd7I3UNQ2QXzpmaFKg8dgaCCYC","object":"chat.completion","created":1776659271,"model":"gpt-5-chat-latest","choices":[{"index":0,"message":{"role":"assistant","content":"HAVER Vintage Rock Sleeveless Black T-Shirt, soft washed cotton fabric, bold skull metallic print, classic tour list back design, 90s heavy metal aesthetic, loose unisex fit, street retro style.","refusal":null,"annotations":[]},"logprobs":null,"finish_reason":"stop"}],"usage":{"prompt_tokens":935,"completion_tokens":43,"total_tokens":978,"prompt_tokens_details":{"cached_tokens":0,"audio_tokens":0},"completion_tokens_details":{"reasoning_tokens":0,"audio_tokens":0,"accepted_prediction_tokens":0,"rejected_prediction_tokens":0}},"service_tier":"default","system_fingerprint":"fp_ad66631dec"}</t>
        </is>
      </c>
      <c r="M1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ma=2592000","apim-request-id":"aafac157-588b-48f9-be9c-4376ca9d394a","azureml-model-session":"d20260405234249-f9874baf","cache-control":"no-cache, no-store, must-revalidate","connection":"close","content-length":"998","content-security-policy":"frame-ancestors 'self'","content-type":"application/json","date":"Mon, 20 Apr 2026 04:27:52 GMT","server":"Caddy","skip-error-remapping":"true","strict-transport-security":"max-age=31536000; includeSubDomains; preload","via":"1.1 Caddy","x-api-request-id":"20260420122749905490001PSEOfmHI","x-content-type-options":"nosniff","x-frame-options":"SAMEORIGIN","x-ms-is-spilled-over":"false","x-ms-rai-invoked":"false","x-ms-region":"East US 2","x-new-api-version":"0.4.39","x-oneapi-request-id":"202604200427498199088338268d9d6hoimiScw","x-ratelimit-abusepenalty-active":"False","x-ratelimit-limit-requests":"4994","x-ratelimit-limit-tokens":"4994000","x-ratelimit-remaining-requests":"4993","x-ratelimit-remaining-tokens":"4992303","x-ratelimit-renewalperiod-requests":"60","x-ratelimit-renewalperiod-tokens":"60","x-ratelimit-reset-requests":"12","x-ratelimit-reset-tokens":"20","x-request-id":"bbdf4aeb-f7ab-4507-9da5-2cc3ff62e8d0"}</t>
        </is>
      </c>
      <c r="N11" t="inlineStr">
        <is>
          <t>HAVER Vintage Rock Sleeveless Black T-Shirt, soft washed cotton fabric, bold skull metallic print, classic tour list back design, 90s heavy metal aesthetic, loose unisex fit, street retro style.</t>
        </is>
      </c>
      <c r="O11" t="inlineStr">
        <is>
          <t>{"id":"chatcmpl-DWcdsWPXyoVPh7x7ZLoSCMXlexed5","object":"chat.completion","created":1776667408,"model":"gpt-5-chat-latest","choices":[{"index":0,"message":{"role":"assistant","content":"Slayer,T-Shirt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 t="inlineStr">
        <is>
          <t>Slayer,T-Shirts,kakobuy,kakebuy2026,kekobuysheet,kakobuysheet2026,2026kakobuy,kakobuyspreadsheeet,kakobuylink,kakebuylist,Kakobuy MEGA Spreadsheet,kakobuysheetfind,kakobuysheetfind2026,2026kakobuysheetfind,kakobuysheet2026</t>
        </is>
      </c>
      <c r="Q11" t="inlineStr">
        <is>
          <t>Black, Retro, Unisex, Streetwear</t>
        </is>
      </c>
      <c r="R11" t="inlineStr">
        <is>
          <t>recvh6xFVjlha9</t>
        </is>
      </c>
      <c r="S11" t="inlineStr">
        <is>
          <t>haver-vintage-skull-sleeveless-rock-recvh6xfvjlha9</t>
        </is>
      </c>
      <c r="T11"/>
      <c r="U11"/>
      <c r="V11"/>
      <c r="W11" t="inlineStr">
        <is>
          <t>{"choices":[{"finish_reason":"stop","index":0,"logprobs":null,"message":{"annotations":[],"content":"复古摇滚系列黑色无袖T恤，采用水洗棉质面料，柔软透气。正面大胆头骨图腾搭配金属感印花设计，背面印有经典巡演名单与红色字体点缀，展现90年代重金属美学。宽松剪裁适合男女通用，街头复古风格融合音乐文化，彰显独特个性与态度。","refusal":null,"role":"assistant"}}],"created":1776656108,"id":"chatcmpl-DWZhcIZy274AImKX6fAOwszjrMAMA","model":"gpt-5-chat-latest","object":"chat.completion","service_tier":"default","system_fingerprint":"fp_ad66631dec","usage":{"completion_tokens":100,"completion_tokens_details":{"accepted_prediction_tokens":0,"audio_tokens":0,"reasoning_tokens":0,"rejected_prediction_tokens":0},"prompt_tokens":1313,"prompt_tokens_details":{"audio_tokens":0,"cached_tokens":0},"total_tokens":1413}}</t>
        </is>
      </c>
      <c r="X11" t="inlineStr">
        <is>
          <t>复古摇滚系列黑色无袖T恤，采用水洗棉质面料，柔软透气。正面大胆头骨图腾搭配金属感印花设计，背面印有经典巡演名单与红色字体点缀，展现90年代重金属美学。宽松剪裁适合男女通用，街头复古风格融合音乐文化，彰显独特个性与态度。</t>
        </is>
      </c>
    </row>
    <row r="12" ht="25.5" customHeight="1">
      <c r="A12">
        <v>1839115443</v>
      </c>
      <c r="B12">
        <v>7635951977</v>
      </c>
      <c r="C12" t="inlineStr">
        <is>
          <t>https://weidian.com/item.html?itemID=7635951977</t>
        </is>
      </c>
      <c r="D12"/>
      <c r="E12" s="2" t="str">
        <f>=HYPERLINK("https://si.geilicdn.com/open1839115443-252808396-25720000019b3569d0020aa086a7_800_800.jpg?w=640&amp;h=640", "https://si.geilicdn.com/open1839115443-252808396-25720000019b3569d0020aa086a7_800_800.jpg?w=640&amp;h=640")</f>
        <v>https://si.geilicdn.com/open1839115443-252808396-25720000019b3569d0020aa086a7_800_800.jpg?w=640&amp;h=640</v>
      </c>
      <c r="F12" t="inlineStr">
        <is>
          <t>T-Shirts</t>
        </is>
      </c>
      <c r="G12" t="inlineStr">
        <is>
          <t xml:space="preserve"> Essentials</t>
        </is>
      </c>
      <c r="H12" t="inlineStr">
        <is>
          <t>203.00</t>
        </is>
      </c>
      <c r="I12">
        <v>29.42</v>
      </c>
      <c r="J12" t="inlineStr">
        <is>
          <t>{"choices":[{"finish_reason":"stop","index":0,"logprobs":null,"message":{"annotations":[],"content":"Essentials Homecoming Unisex Heavy Cotton Streetwear T-Shirt","refusal":null,"role":"assistant"}}],"created":1776666426,"id":"chatcmpl-DWcO2HFS6nXQqlz3C5hh2qvKxf485","model":"gpt-5-chat-latest","object":"chat.completion","service_tier":"default","system_fingerprint":"fp_ad66631dec","usage":{"completion_tokens":13,"completion_tokens_details":{"accepted_prediction_tokens":0,"audio_tokens":0,"reasoning_tokens":0,"rejected_prediction_tokens":0},"prompt_tokens":877,"prompt_tokens_details":{"audio_tokens":0,"cached_tokens":0},"total_tokens":890}}</t>
        </is>
      </c>
      <c r="K12" t="inlineStr">
        <is>
          <t>Essentials Homecoming Unisex Heavy Cotton Streetwear T-Shirt</t>
        </is>
      </c>
      <c r="L12" t="inlineStr">
        <is>
          <t>{"choices":[{"finish_reason":"stop","index":0,"logprobs":null,"message":{"annotations":[],"content":"Essentials Homecoming T-Shirt, heavy cotton fabric, soft and breathable. Bold chest print, loose drop-shoulder fit, unisex streetwear look for effortless daily urban style.","refusal":null,"role":"assistant"}}],"created":1776659190,"id":"chatcmpl-DWaVKDEdif2vWU8fP0df00PCegRln","model":"gpt-5-chat-latest","object":"chat.completion","service_tier":"default","system_fingerprint":"fp_ad66631dec","usage":{"completion_tokens":38,"completion_tokens_details":{"accepted_prediction_tokens":0,"audio_tokens":0,"reasoning_tokens":0,"rejected_prediction_tokens":0},"prompt_tokens":926,"prompt_tokens_details":{"audio_tokens":0,"cached_tokens":0},"total_tokens":964}}</t>
        </is>
      </c>
      <c r="M12" t="inlineStr">
        <is>
          <t>{"alt-svc":"h3=\":443\"; ma=2592000","apim-request-id":"5633bbbd-d248-464e-b2cc-42d1777c2f1c","azureml-model-session":"d20260402074105-51db401e","cache-control":"no-cache","connection":"close","content-length":"760","content-security-policy":"frame-ancestors 'self'","content-type":"application/json","date":"Mon, 20 Apr 2026 04:26:31 GMT","server":"Caddy","skip-error-remapping":"true","strict-transport-security":"max-age=31536000; includeSubDomains; preload","via":"1.1 Caddy","x-api-request-id":"202604201226299061244262nQxrBwu","x-content-type-options":"nosniff","x-frame-options":"SAMEORIGIN","x-ms-client-request-id":"Not-Set","x-ms-is-spilled-over":"false","x-ms-rai-invoked":"true","x-ms-region":"East US 2","x-new-api-version":"0.4.39","x-oneapi-request-id":"202604200426298379239028268d9d6DVoWxub7","x-ratelimit-abusepenalty-active":"False","x-ratelimit-limit-requests":"3850","x-ratelimit-limit-tokens":"3850000","x-ratelimit-remaining-requests":"3849","x-ratelimit-remaining-tokens":"3848312","x-ratelimit-renewalperiod-requests":"60","x-ratelimit-renewalperiod-tokens":"60","x-ratelimit-reset-requests":"15","x-ratelimit-reset-tokens":"26","x-request-id":"9fe8e317-e28c-4a78-b05e-c9b4f09e8759"}</t>
        </is>
      </c>
      <c r="N12" t="inlineStr">
        <is>
          <t>Essentials Homecoming T-Shirt, heavy cotton fabric, soft and breathable. Bold chest print, loose drop-shoulder fit, unisex streetwear look for effortless daily urban style.</t>
        </is>
      </c>
      <c r="O12" t="inlineStr">
        <is>
          <t>{"choices":[{"finish_reason":"stop","index":0,"logprobs":null,"message":{"annotations":[],"content":"Homecoming, T-Shirts, kakobuy, kakebuy2026, kekobuysheet, kakobuysheet2026, 2026kakobuy, kakobuyspreadsheeet, kakobuylink, kakebuylist, Kakobuy MEGA Spreadsheet, kakobuysheetfind, kakobuysheetfind2026, 2026kakobuysheetfind, kakobuysheet2026","refusal":null,"role":"assistant"}}],"created":1776668499,"id":"chatcmpl-DWcvTlYWyUfiJg6up3eUloTyQlY5z","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12" t="inlineStr">
        <is>
          <t>Homecoming, T-Shirts, kakobuy, kakebuy2026, kekobuysheet, kakobuysheet2026, 2026kakobuy, kakobuyspreadsheeet, kakobuylink, kakebuylist, Kakobuy MEGA Spreadsheet, kakobuysheetfind, kakobuysheetfind2026, 2026kakobuysheetfind, kakobuysheet2026</t>
        </is>
      </c>
      <c r="Q12" t="inlineStr">
        <is>
          <t>Unisex, Streetwear, Breathable</t>
        </is>
      </c>
      <c r="R12" t="inlineStr">
        <is>
          <t>recvh6xFVjl3jO</t>
        </is>
      </c>
      <c r="S12" t="inlineStr">
        <is>
          <t>essentials-homecoming-heavy-cotton-streetwear-tshirt-recvh6xfvjl3jo</t>
        </is>
      </c>
      <c r="T12"/>
      <c r="U12"/>
      <c r="V12"/>
      <c r="W12" t="inlineStr">
        <is>
          <t>{"choices":[{"finish_reason":"stop","index":0,"logprobs":null,"message":{"annotations":[],"content":"Essentials 系列褐红色短袖T恤，采用高克重纯棉面料，亲肤柔软透气。胸前醒目标语“HOMECOMING”印花设计，彰显休闲潮流态度。宽松落肩剪裁兼具舒适与街头感，适合男女穿搭，简约百搭，轻松演绎日常都市时尚。","refusal":null,"role":"assistant"}}],"created":1776655310,"id":"chatcmpl-DWZUkYsZ1SikXHk45I3nkzbcW5gY6","model":"gpt-5-chat-latest","object":"chat.completion","service_tier":"default","system_fingerprint":"fp_ad66631dec","usage":{"completion_tokens":93,"completion_tokens_details":{"accepted_prediction_tokens":0,"audio_tokens":0,"reasoning_tokens":0,"rejected_prediction_tokens":0},"prompt_tokens":1309,"prompt_tokens_details":{"audio_tokens":0,"cached_tokens":0},"total_tokens":1402}}</t>
        </is>
      </c>
      <c r="X12" t="inlineStr">
        <is>
          <t>Essentials 系列褐红色短袖T恤，采用高克重纯棉面料，亲肤柔软透气。胸前醒目标语“HOMECOMING”印花设计，彰显休闲潮流态度。宽松落肩剪裁兼具舒适与街头感，适合男女穿搭，简约百搭，轻松演绎日常都市时尚。</t>
        </is>
      </c>
    </row>
    <row r="13" ht="25.5" customHeight="1">
      <c r="A13">
        <v>1839115443</v>
      </c>
      <c r="B13">
        <v>7635999873</v>
      </c>
      <c r="C13" t="inlineStr">
        <is>
          <t>https://weidian.com/item.html?itemID=7635999873</t>
        </is>
      </c>
      <c r="D13"/>
      <c r="E13" s="2" t="str">
        <f>=HYPERLINK("https://si.geilicdn.com/open1839115443-252808396-12480000019b3576bc710a23b491_800_800.jpg?w=640&amp;h=640", "https://si.geilicdn.com/open1839115443-252808396-12480000019b3576bc710a23b491_800_800.jpg?w=640&amp;h=640")</f>
        <v>https://si.geilicdn.com/open1839115443-252808396-12480000019b3576bc710a23b491_800_800.jpg?w=640&amp;h=640</v>
      </c>
      <c r="F13" t="inlineStr">
        <is>
          <t>T-Shirts</t>
        </is>
      </c>
      <c r="G13" t="inlineStr">
        <is>
          <t xml:space="preserve"> Essentials</t>
        </is>
      </c>
      <c r="H13" t="inlineStr">
        <is>
          <t>135.00</t>
        </is>
      </c>
      <c r="I13">
        <v>19.5797101449275</v>
      </c>
      <c r="J13" t="inlineStr">
        <is>
          <t>{"choices":[{"finish_reason":"stop","index":0,"logprobs":null,"message":{"annotations":[],"content":"ESSENTIALS White Oversized Cotton T-Shirt Unisex","refusal":null,"role":"assistant"}}],"created":1776666312,"id":"chatcmpl-DWcMCGmSBlVpWtymoVHl8ZEt7qsSW","model":"gpt-5-chat-latest","object":"chat.completion","service_tier":"default","system_fingerprint":"fp_ad66631dec","usage":{"completion_tokens":12,"completion_tokens_details":{"accepted_prediction_tokens":0,"audio_tokens":0,"reasoning_tokens":0,"rejected_prediction_tokens":0},"prompt_tokens":875,"prompt_tokens_details":{"audio_tokens":0,"cached_tokens":0},"total_tokens":887}}</t>
        </is>
      </c>
      <c r="K13" t="inlineStr">
        <is>
          <t>ESSENTIALS White Oversized Cotton T-Shirt Unisex</t>
        </is>
      </c>
      <c r="L13" t="inlineStr">
        <is>
          <t>{"id":"chatcmpl-DWaMTlIuYq0lo4kSkISXRclmrgy3N","object":"chat.completion","created":1776658641,"model":"gpt-5-chat-latest","choices":[{"index":0,"message":{"role":"assistant","content":"ESSENTIALS white cotton oversized T-shirt, minimal design with premium texture, soft breathable fabric for men and women, perfect for casual daily wear, modern urban style with youthful attitude.","refusal":null,"annotations":[]},"logprobs":null,"finish_reason":"stop"}],"usage":{"prompt_tokens":889,"completion_tokens":37,"total_tokens":926,"prompt_tokens_details":{"cached_tokens":0,"audio_tokens":0},"completion_tokens_details":{"reasoning_tokens":0,"audio_tokens":0,"accepted_prediction_tokens":0,"rejected_prediction_tokens":0}},"service_tier":"default","system_fingerprint":"fp_ad66631dec"}</t>
        </is>
      </c>
      <c r="M1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ma=2592000","apim-request-id":"6b6fbded-3db4-4ec9-9fb8-e472aef1bd96","azureml-model-session":"d20260405234249-f9874baf","cache-control":"no-cache, no-store, must-revalidate","connection":"close","content-length":"999","content-security-policy":"frame-ancestors 'self'","content-type":"application/json","date":"Mon, 20 Apr 2026 04:17:22 GMT","server":"nginx","skip-error-remapping":"true","strict-transport-security":"max-age=31536000; includeSubDomains; preload","via":"1.1 Caddy, 1.1 Caddy","x-api-request-id":"202604201217203973844799n233sWq","x-content-type-options":"nosniff","x-frame-options":"SAMEORIGIN","x-ms-is-spilled-over":"false","x-ms-rai-invoked":"false","x-ms-region":"East US 2","x-new-api-version":"0.4.39","x-oneapi-request-id":"202604200417203213041378268d9d6ZYwnwtsm","x-ratelimit-abusepenalty-active":"False","x-ratelimit-limit-requests":"4994","x-ratelimit-limit-tokens":"4994000","x-ratelimit-remaining-requests":"4993","x-ratelimit-remaining-tokens":"4992349","x-ratelimit-renewalperiod-requests":"60","x-ratelimit-renewalperiod-tokens":"60","x-ratelimit-reset-requests":"12","x-ratelimit-reset-tokens":"19","x-request-id":"ba115416-c868-4244-8de6-74193515686d"}</t>
        </is>
      </c>
      <c r="N13" t="inlineStr">
        <is>
          <t>ESSENTIALS white cotton oversized T-shirt, minimal design with premium texture, soft breathable fabric for men and women, perfect for casual daily wear, modern urban style with youthful attitude.</t>
        </is>
      </c>
      <c r="O13" t="inlineStr">
        <is>
          <t>{"choices":[{"finish_reason":"stop","index":0,"logprobs":null,"message":{"annotations":[],"content":"Fear of God Essentials,T-Shirt,kakobuy,kakebuy2026,kekobuysheet,kakobuysheet2026,2026kakobuy,kakobuyspreadsheeet,kakobuylink,kakebuylist,Kakobuy MEGA Spreadsheet,kakobuysheetfind,kakobuysheetfind2026,2026kakobuysheetfind,kakobuysheet2026","refusal":null,"role":"assistant"}}],"created":1776668850,"id":"chatcmpl-DWd18yw6VGdiuF8ajJAki477QSjmX","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13" t="inlineStr">
        <is>
          <t>Fear of God Essentials,T-Shirt,kakobuy,kakebuy2026,kekobuysheet,kakobuysheet2026,2026kakobuy,kakobuyspreadsheeet,kakobuylink,kakebuylist,Kakobuy MEGA Spreadsheet,kakobuysheetfind,kakobuysheetfind2026,2026kakobuysheetfind,kakobuysheet2026</t>
        </is>
      </c>
      <c r="Q13" t="inlineStr">
        <is>
          <t>White, Minimalist, Unisex, Casual Footwear, Breathable</t>
        </is>
      </c>
      <c r="R13" t="inlineStr">
        <is>
          <t>recvh6xFVjyz0e</t>
        </is>
      </c>
      <c r="S13" t="inlineStr">
        <is>
          <t>essentials-white-oversized-cotton-t-shirt-unisex-recvh6xFVjyz0e</t>
        </is>
      </c>
      <c r="T13"/>
      <c r="U13"/>
      <c r="V13"/>
      <c r="W13" t="inlineStr">
        <is>
          <t>{"choices":[{"finish_reason":"stop","index":0,"logprobs":null,"message":{"annotations":[],"content":"Essentials：白色系列宽松版纯棉短袖T恤，极简设计彰显品牌质感，柔软透气适合男女休闲日常穿搭，都市潮流风格，现代线条展现年轻态度。","refusal":null,"role":"assistant"}}],"created":1776656082,"id":"chatcmpl-DWZhC9HgtpgWdSDtJvEdT8mre8TLo","model":"gpt-5-chat-latest","object":"chat.completion","service_tier":"default","system_fingerprint":"fp_ad66631dec","usage":{"completion_tokens":57,"completion_tokens_details":{"accepted_prediction_tokens":0,"audio_tokens":0,"reasoning_tokens":0,"rejected_prediction_tokens":0},"prompt_tokens":1307,"prompt_tokens_details":{"audio_tokens":0,"cached_tokens":0},"total_tokens":1364}}</t>
        </is>
      </c>
      <c r="X13" t="inlineStr">
        <is>
          <t>Essentials：白色系列宽松版纯棉短袖T恤，极简设计彰显品牌质感，柔软透气适合男女休闲日常穿搭，都市潮流风格，现代线条展现年轻态度。</t>
        </is>
      </c>
    </row>
    <row r="14" ht="25.5" customHeight="1">
      <c r="A14">
        <v>1839115443</v>
      </c>
      <c r="B14">
        <v>7638901454</v>
      </c>
      <c r="C14" t="inlineStr">
        <is>
          <t>https://weidian.com/item.html?itemID=7638901454</t>
        </is>
      </c>
      <c r="D14"/>
      <c r="E14" s="2" t="str">
        <f>=HYPERLINK("https://si.geilicdn.com/open1839115443-252808396-00530000019b3571a5340a8115c2_790_2318.jpg?w=640&amp;h=640", "https://si.geilicdn.com/open1839115443-252808396-00530000019b3571a5340a8115c2_790_2318.jpg?w=640&amp;h=640")</f>
        <v>https://si.geilicdn.com/open1839115443-252808396-00530000019b3571a5340a8115c2_790_2318.jpg?w=640&amp;h=640</v>
      </c>
      <c r="F14" t="inlineStr">
        <is>
          <t>Hoodies</t>
        </is>
      </c>
      <c r="G14" t="inlineStr">
        <is>
          <t>Drew House</t>
        </is>
      </c>
      <c r="H14" t="inlineStr">
        <is>
          <t>177.00</t>
        </is>
      </c>
      <c r="I14">
        <v>25.65</v>
      </c>
      <c r="J14" t="inlineStr">
        <is>
          <t>{"choices":[{"finish_reason":"stop","index":0,"logprobs":null,"message":{"annotations":[],"content":"Drew House Classic Burgundy Unisex Hoodie Streetwear","refusal":null,"role":"assistant"}}],"created":1776666618,"id":"chatcmpl-DWcR8e1kd7WJVO4KIhRh9tWZLcYHb","model":"gpt-5-chat-latest","object":"chat.completion","service_tier":"default","system_fingerprint":"fp_ad66631dec","usage":{"completion_tokens":11,"completion_tokens_details":{"accepted_prediction_tokens":0,"audio_tokens":0,"reasoning_tokens":0,"rejected_prediction_tokens":0},"prompt_tokens":1428,"prompt_tokens_details":{"audio_tokens":0,"cached_tokens":0},"total_tokens":1439}}</t>
        </is>
      </c>
      <c r="K14" t="inlineStr">
        <is>
          <t>Drew House Classic Burgundy Unisex Hoodie Streetwear</t>
        </is>
      </c>
      <c r="L14" t="inlineStr">
        <is>
          <t>{"choices":[{"finish_reason":"stop","index":0,"logprobs":null,"message":{"annotations":[],"content":"Drew House Classic Burgundy Hoodie – soft thick cotton, yellow “drew” embroidery, unisex loose fit street style for comfy autumn and winter wear.","refusal":null,"role":"assistant"}}],"created":1776658996,"id":"chatcmpl-DWaSCclB9aGH7ExRVYlerYwMlcUIK","model":"gpt-5-chat-latest","object":"chat.completion","service_tier":"default","system_fingerprint":"fp_ad66631dec","usage":{"completion_tokens":32,"completion_tokens_details":{"accepted_prediction_tokens":0,"audio_tokens":0,"reasoning_tokens":0,"rejected_prediction_tokens":0},"prompt_tokens":1464,"prompt_tokens_details":{"audio_tokens":0,"cached_tokens":0},"total_tokens":1496}}</t>
        </is>
      </c>
      <c r="M14" t="inlineStr">
        <is>
          <t>{"alt-svc":"h3=\":443\"; ma=2592000","apim-request-id":"862b1426-c557-4431-b047-2d50178f1b77","azureml-model-session":"d20260405234249-f9874baf","cache-control":"no-cache","connection":"close","content-length":"741","content-security-policy":"frame-ancestors 'self'","content-type":"application/json","date":"Mon, 20 Apr 2026 04:23:17 GMT","server":"Caddy","skip-error-remapping":"true","strict-transport-security":"max-age=31536000; includeSubDomains; preload","via":"1.1 Caddy","x-api-request-id":"20260420122315437782295ftmKmCVJ","x-content-type-options":"nosniff","x-frame-options":"SAMEORIGIN","x-ms-client-request-id":"Not-Set","x-ms-is-spilled-over":"false","x-ms-rai-invoked":"true","x-ms-region":"East US 2","x-new-api-version":"0.4.39","x-oneapi-request-id":"202604200423153722301498268d9d6bjNxItfT","x-ratelimit-abusepenalty-active":"False","x-ratelimit-limit-requests":"3850","x-ratelimit-limit-tokens":"3850000","x-ratelimit-remaining-requests":"3849","x-ratelimit-remaining-tokens":"3847771","x-ratelimit-renewalperiod-requests":"60","x-ratelimit-renewalperiod-tokens":"60","x-ratelimit-reset-requests":"15","x-ratelimit-reset-tokens":"34","x-request-id":"74be70a2-8681-4fac-be34-b7f05355bf26"}</t>
        </is>
      </c>
      <c r="N14" t="inlineStr">
        <is>
          <t>Drew House Classic Burgundy Hoodie – soft thick cotton, yellow “drew” embroidery, unisex loose fit street style for comfy autumn and winter wear.</t>
        </is>
      </c>
      <c r="O14" t="inlineStr">
        <is>
          <t>{"choices":[{"finish_reason":"stop","index":0,"logprobs":null,"message":{"annotations":[],"content":"Drew House,Hoodies,kakobuy,kakebuy2026,kekobuysheet,kakobuysheet2026,2026kakobuy,kakobuyspreadsheeet,kakobuylink,kakebuylist,Kakobuy MEGA Spreadsheet,kakobuysheetfind,kakobuysheetfind2026,2026kakobuysheetfind,kakobuysheet2026","refusal":null,"role":"assistant"}}],"created":1776667954,"id":"chatcmpl-DWcmgaHBTdJeOWQHEEQqEvQ3IbumV","model":"gpt-5-chat-latest","object":"chat.completion","service_tier":"default","system_fingerprint":"fp_ad66631dec","usage":{"completion_tokens":89,"completion_tokens_details":{"accepted_prediction_tokens":0,"audio_tokens":0,"reasoning_tokens":0,"rejected_prediction_tokens":0},"prompt_tokens":1345,"prompt_tokens_details":{"audio_tokens":0,"cached_tokens":1280},"total_tokens":1434}}</t>
        </is>
      </c>
      <c r="P14" t="inlineStr">
        <is>
          <t>Drew House,Hoodies,kakobuy,kakebuy2026,kekobuysheet,kakobuysheet2026,2026kakobuy,kakobuyspreadsheeet,kakobuylink,kakebuylist,Kakobuy MEGA Spreadsheet,kakobuysheetfind,kakobuysheetfind2026,2026kakobuysheetfind,kakobuysheet2026</t>
        </is>
      </c>
      <c r="Q14" t="inlineStr">
        <is>
          <t>Burgundy, Streetwear, Unisex, Autumn And Winter, Comfort</t>
        </is>
      </c>
      <c r="R14" t="inlineStr">
        <is>
          <t>recvh6xFVjA1he</t>
        </is>
      </c>
      <c r="S14" t="inlineStr">
        <is>
          <t>drew-house-classic-burgundy-unisex-hoodie-recvh6xFVjA1he</t>
        </is>
      </c>
      <c r="T14"/>
      <c r="U14"/>
      <c r="V14"/>
      <c r="W14" t="inlineStr">
        <is>
          <t>{"choices":[{"finish_reason":"stop","index":0,"logprobs":null,"message":{"annotations":[],"content":"Drew House：经典系列酒红色连帽卫衣，柔软厚棉材质，正面黄色drew字母刺绣设计，街头休闲风格，男女皆宜，宽松版型展现随性个性，适合秋冬日常穿搭。","refusal":null,"role":"assistant"}}],"created":1776655179,"id":"chatcmpl-DWZSd8TcE77aMh6FD2mXP9ixHwnod","model":"gpt-5-chat-latest","object":"chat.completion","service_tier":"default","system_fingerprint":"fp_ad66631dec","usage":{"completion_tokens":66,"completion_tokens_details":{"accepted_prediction_tokens":0,"audio_tokens":0,"reasoning_tokens":0,"rejected_prediction_tokens":0},"prompt_tokens":1880,"prompt_tokens_details":{"audio_tokens":0,"cached_tokens":0},"total_tokens":1946}}</t>
        </is>
      </c>
      <c r="X14" t="inlineStr">
        <is>
          <t>Drew House：经典系列酒红色连帽卫衣，柔软厚棉材质，正面黄色drew字母刺绣设计，街头休闲风格，男女皆宜，宽松版型展现随性个性，适合秋冬日常穿搭。</t>
        </is>
      </c>
    </row>
    <row r="15" ht="25.5" customHeight="1">
      <c r="A15">
        <v>1839115443</v>
      </c>
      <c r="B15">
        <v>7635963797</v>
      </c>
      <c r="C15" t="inlineStr">
        <is>
          <t>https://weidian.com/item.html?itemID=7635963797</t>
        </is>
      </c>
      <c r="D15"/>
      <c r="E15" s="2" t="str">
        <f>=HYPERLINK("https://si.geilicdn.com/open1839115443-252808396-10020000019b356b0ecf0a23b4de_800_800.jpg?w=640&amp;h=640", "https://si.geilicdn.com/open1839115443-252808396-10020000019b356b0ecf0a23b4de_800_800.jpg?w=640&amp;h=640")</f>
        <v>https://si.geilicdn.com/open1839115443-252808396-10020000019b356b0ecf0a23b4de_800_800.jpg?w=640&amp;h=640</v>
      </c>
      <c r="F15" t="inlineStr">
        <is>
          <t>Pants</t>
        </is>
      </c>
      <c r="G15" t="inlineStr">
        <is>
          <t xml:space="preserve"> Essentials</t>
        </is>
      </c>
      <c r="H15" t="inlineStr">
        <is>
          <t>155.00</t>
        </is>
      </c>
      <c r="I15">
        <v>22.46</v>
      </c>
      <c r="J15" t="inlineStr">
        <is>
          <t>{"id":"chatcmpl-DWcTxIE0eg41AinjJhRxQz3KrkW9k","object":"chat.completion","created":1776666793,"model":"gpt-5-chat-latest","choices":[{"index":0,"message":{"role":"assistant","content":"ESSENTIALS Beige Unisex Heavy Cotton Jogger Pants","refusal":null,"annotations":[]},"logprobs":null,"finish_reason":"stop"}],"usage":{"prompt_tokens":881,"completion_tokens":12,"total_tokens":893,"prompt_tokens_details":{"cached_tokens":0,"audio_tokens":0},"completion_tokens_details":{"reasoning_tokens":0,"audio_tokens":0,"accepted_prediction_tokens":0,"rejected_prediction_tokens":0}},"service_tier":"default","system_fingerprint":"fp_ad66631dec"}</t>
        </is>
      </c>
      <c r="K15" t="inlineStr">
        <is>
          <t>ESSENTIALS Beige Unisex Heavy Cotton Jogger Pants</t>
        </is>
      </c>
      <c r="L15" t="inlineStr">
        <is>
          <t>{"choices":[{"finish_reason":"stop","index":0,"logprobs":null,"message":{"annotations":[],"content":"ESSENTIALS beige jogger pants made from heavy cotton blend, soft yet structured. Unisex loose fit with drawstring waist, side logo print. Perfect for daily wear or casual sports style.","refusal":null,"role":"assistant"}}],"created":1776659355,"id":"chatcmpl-DWaXzGqS74zqPAf2fK0OnqbAFwlLA","model":"gpt-5-chat-latest","object":"chat.completion","service_tier":"default","system_fingerprint":"fp_ad66631dec","usage":{"completion_tokens":40,"completion_tokens_details":{"accepted_prediction_tokens":0,"audio_tokens":0,"reasoning_tokens":0,"rejected_prediction_tokens":0},"prompt_tokens":928,"prompt_tokens_details":{"audio_tokens":0,"cached_tokens":0},"total_tokens":968}}</t>
        </is>
      </c>
      <c r="M15" t="inlineStr">
        <is>
          <t>{"alt-svc":"h3=\":443\"; ma=2592000","apim-request-id":"db27f870-e5ef-4573-9736-e886c59e119b","azureml-model-session":"d20260402083108-57a85543","cache-control":"no-cache","connection":"close","content-length":"772","content-security-policy":"frame-ancestors 'self'","content-type":"application/json","date":"Mon, 20 Apr 2026 04:29:16 GMT","server":"Caddy","skip-error-remapping":"true","strict-transport-security":"max-age=31536000; includeSubDomains; preload","via":"1.1 Caddy","x-api-request-id":"202604201229145637697961lOFDpYo","x-content-type-options":"nosniff","x-frame-options":"SAMEORIGIN","x-ms-client-request-id":"Not-Set","x-ms-is-spilled-over":"false","x-ms-rai-invoked":"true","x-ms-region":"East US 2","x-new-api-version":"0.4.39","x-oneapi-request-id":"202604200429144967098888268d9d6F096zb8Q","x-ratelimit-abusepenalty-active":"False","x-ratelimit-limit-requests":"3850","x-ratelimit-limit-tokens":"3850000","x-ratelimit-remaining-requests":"3849","x-ratelimit-remaining-tokens":"3848310","x-ratelimit-renewalperiod-requests":"60","x-ratelimit-renewalperiod-tokens":"60","x-ratelimit-reset-requests":"15","x-ratelimit-reset-tokens":"26","x-request-id":"cf6dcff2-8c21-4a87-9d0d-029bcf6c21ab"}</t>
        </is>
      </c>
      <c r="N15" t="inlineStr">
        <is>
          <t>ESSENTIALS beige jogger pants made from heavy cotton blend, soft yet structured. Unisex loose fit with drawstring waist, side logo print. Perfect for daily wear or casual sports style.</t>
        </is>
      </c>
      <c r="O15" t="inlineStr">
        <is>
          <t>{"choices":[{"finish_reason":"stop","index":0,"logprobs":null,"message":{"annotations":[],"content":"Essentials,Pants,kakobuy,kakebuy2026,kekobuysheet,kakobuysheet2026,2026kakobuy,kakobuyspreadsheeet,kakobuylink,kakebuylist,Kakobuy MEGA Spreadsheet,kakobuysheetfind,kakobuysheetfind2026,2026kakobuysheetfind,kakobuysheet2026","refusal":null,"role":"assistant"}}],"created":1776668273,"id":"chatcmpl-DWcrppKmhM2kuvwtpSShNfX2BT5Tp","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5" t="inlineStr">
        <is>
          <t>Essentials,Pants,kakobuy,kakebuy2026,kekobuysheet,kakobuysheet2026,2026kakobuy,kakobuyspreadsheeet,kakobuylink,kakebuylist,Kakobuy MEGA Spreadsheet,kakobuysheetfind,kakobuysheetfind2026,2026kakobuysheetfind,kakobuysheet2026</t>
        </is>
      </c>
      <c r="Q15" t="inlineStr">
        <is>
          <t>Beige, Unisex, Joggers, All Seasons</t>
        </is>
      </c>
      <c r="R15" t="inlineStr">
        <is>
          <t>recvh6xFVjTkZX</t>
        </is>
      </c>
      <c r="S15" t="inlineStr">
        <is>
          <t>essentials-beige-heavy-cotton-jogger-recvh6xFVjTkZX</t>
        </is>
      </c>
      <c r="T15"/>
      <c r="U15"/>
      <c r="V15"/>
      <c r="W15" t="inlineStr">
        <is>
          <t>{"choices":[{"finish_reason":"stop","index":0,"logprobs":null,"message":{"annotations":[],"content":"Essentials：米色休闲束脚长裤，采用高克重纯棉混纺面料，柔软亲肤且挺括有型；简约宽松版型搭配抽绳设计，侧面印有ESSENTIALS标识，彰显极简街头美学；男女同款，适合日常出行或运动休闲，轻松演绎现代都市风格。","refusal":null,"role":"assistant"}}],"created":1776655521,"id":"chatcmpl-DWZY9nedWSMo6HKbhYkEWYKrA0pKu","model":"gpt-5-chat-latest","object":"chat.completion","service_tier":"default","system_fingerprint":"fp_ad66631dec","usage":{"completion_tokens":93,"completion_tokens_details":{"accepted_prediction_tokens":0,"audio_tokens":0,"reasoning_tokens":0,"rejected_prediction_tokens":0},"prompt_tokens":1313,"prompt_tokens_details":{"audio_tokens":0,"cached_tokens":1280},"total_tokens":1406}}</t>
        </is>
      </c>
      <c r="X15" t="inlineStr">
        <is>
          <t>Essentials：米色休闲束脚长裤，采用高克重纯棉混纺面料，柔软亲肤且挺括有型；简约宽松版型搭配抽绳设计，侧面印有ESSENTIALS标识，彰显极简街头美学；男女同款，适合日常出行或运动休闲，轻松演绎现代都市风格。</t>
        </is>
      </c>
    </row>
    <row r="16" ht="25.5" customHeight="1">
      <c r="A16">
        <v>1839115443</v>
      </c>
      <c r="B16">
        <v>7635905547</v>
      </c>
      <c r="C16" t="inlineStr">
        <is>
          <t>https://weidian.com/item.html?itemID=7635905547</t>
        </is>
      </c>
      <c r="D16"/>
      <c r="E16" s="2" t="str">
        <f>=HYPERLINK("https://si.geilicdn.com/open1839115443-252808396-0e8b0000019b356600100a231226_800_400.jpg?w=640&amp;h=640", "https://si.geilicdn.com/open1839115443-252808396-0e8b0000019b356600100a231226_800_400.jpg?w=640&amp;h=640")</f>
        <v>https://si.geilicdn.com/open1839115443-252808396-0e8b0000019b356600100a231226_800_400.jpg?w=640&amp;h=640</v>
      </c>
      <c r="F16" t="inlineStr">
        <is>
          <t>T-Shirts</t>
        </is>
      </c>
      <c r="G16" t="inlineStr">
        <is>
          <t>Trapstar</t>
        </is>
      </c>
      <c r="H16" t="inlineStr">
        <is>
          <t>173.00</t>
        </is>
      </c>
      <c r="I16">
        <v>25.07</v>
      </c>
      <c r="J16" t="inlineStr">
        <is>
          <t>{"choices":[{"finish_reason":"stop","index":0,"logprobs":null,"message":{"annotations":[],"content":"Trapstar Sky Blue Street Graffiti Cotton Hoodie","refusal":null,"role":"assistant"}}],"created":1776666748,"id":"chatcmpl-DWcTE4h2pQOO9ctAxTUaCJcHruuyM","model":"gpt-5-chat-latest","object":"chat.completion","service_tier":"default","system_fingerprint":"fp_ad66631dec","usage":{"completion_tokens":10,"completion_tokens_details":{"accepted_prediction_tokens":0,"audio_tokens":0,"reasoning_tokens":0,"rejected_prediction_tokens":0},"prompt_tokens":598,"prompt_tokens_details":{"audio_tokens":0,"cached_tokens":0},"total_tokens":608}}</t>
        </is>
      </c>
      <c r="K16" t="inlineStr">
        <is>
          <t>Trapstar Sky Blue Street Graffiti Cotton Hoodie</t>
        </is>
      </c>
      <c r="L16" t="inlineStr">
        <is>
          <t>{"choices":[{"finish_reason":"stop","index":0,"logprobs":null,"message":{"annotations":[],"content":"Trapstar Sky Blue Street Hoodie – soft cotton, graffiti logo on back, loose unisex fit inspired by London street culture. Trendy, comfy, and perfect for everyday fashion style.","refusal":null,"role":"assistant"}}],"created":1776658474,"id":"chatcmpl-DWaJmYvwH8RqeGRYoA4GhwFr9GyPY","model":"gpt-5-chat-latest","object":"chat.completion","service_tier":"default","system_fingerprint":"fp_ad66631dec","usage":{"completion_tokens":38,"completion_tokens_details":{"accepted_prediction_tokens":0,"audio_tokens":0,"reasoning_tokens":0,"rejected_prediction_tokens":0},"prompt_tokens":625,"prompt_tokens_details":{"audio_tokens":0,"cached_tokens":0},"total_tokens":663}}</t>
        </is>
      </c>
      <c r="M16" t="inlineStr">
        <is>
          <t>{"alt-svc":"h3=\":443\"; ma=2592000","apim-request-id":"05a01e6b-53b1-41fa-be38-74c9513b6bb4","azureml-model-session":"d20260405234249-f9874baf","cache-control":"no-cache","connection":"close","content-length":"766","content-security-policy":"frame-ancestors 'self'","content-type":"application/json","date":"Mon, 20 Apr 2026 04:14:35 GMT","server":"Caddy","skip-error-remapping":"true","strict-transport-security":"max-age=31536000; includeSubDomains; preload","via":"1.1 Caddy","x-api-request-id":"20260420121434694949277KNouCgI","x-content-type-options":"nosniff","x-frame-options":"SAMEORIGIN","x-ms-client-request-id":"Not-Set","x-ms-is-spilled-over":"false","x-ms-rai-invoked":"true","x-ms-region":"East US 2","x-new-api-version":"0.4.39","x-oneapi-request-id":"2026042004143440465818268d9d6DW7OG3N3","x-ratelimit-abusepenalty-active":"False","x-ratelimit-limit-requests":"3850","x-ratelimit-limit-tokens":"3850000","x-ratelimit-remaining-requests":"3849","x-ratelimit-remaining-tokens":"3848514","x-ratelimit-renewalperiod-requests":"60","x-ratelimit-renewalperiod-tokens":"60","x-ratelimit-reset-requests":"15","x-ratelimit-reset-tokens":"23","x-request-id":"f658ec04-778b-432d-8e72-e904bce761d3"}</t>
        </is>
      </c>
      <c r="N16" t="inlineStr">
        <is>
          <t>Trapstar Sky Blue Street Hoodie – soft cotton, graffiti logo on back, loose unisex fit inspired by London street culture. Trendy, comfy, and perfect for everyday fashion style.</t>
        </is>
      </c>
      <c r="O16" t="inlineStr">
        <is>
          <t>{"choices":[{"finish_reason":"stop","index":0,"logprobs":null,"message":{"annotations":[],"content":"Trapstar,Hoodie,kakobuy,kakebuy2026,kekobuysheet,kakobuysheet2026,2026kakobuy,kakobuyspreadsheeet,kakobuylink,kakebuylist,Kakobuy MEGA Spreadsheet,kakobuysheetfind,kakobuysheetfind2026,2026kakobuysheetfind,kakobuysheet2026","refusal":null,"role":"assistant"}}],"created":1776667747,"id":"chatcmpl-DWcjL3ywLapfAXsKTMMO6YFtmrNGF","model":"gpt-5-chat-latest","object":"chat.completion","service_tier":"default","system_fingerprint":"fp_ad66631dec","usage":{"completion_tokens":88,"completion_tokens_details":{"accepted_prediction_tokens":0,"audio_tokens":0,"reasoning_tokens":0,"rejected_prediction_tokens":0},"prompt_tokens":503,"prompt_tokens_details":{"audio_tokens":0,"cached_tokens":0},"total_tokens":591}}</t>
        </is>
      </c>
      <c r="P16" t="inlineStr">
        <is>
          <t>Trapstar,Hoodie,kakobuy,kakebuy2026,kekobuysheet,kakobuysheet2026,2026kakobuy,kakobuyspreadsheeet,kakobuylink,kakebuylist,Kakobuy MEGA Spreadsheet,kakobuysheetfind,kakobuysheetfind2026,2026kakobuysheetfind,kakobuysheet2026</t>
        </is>
      </c>
      <c r="Q16" t="inlineStr">
        <is>
          <t>Streetwear, Unisex, Blue, Fashion</t>
        </is>
      </c>
      <c r="R16" t="inlineStr">
        <is>
          <t>recvh6xFVj4dNi</t>
        </is>
      </c>
      <c r="S16" t="inlineStr">
        <is>
          <t>trapstar-sky-blue-street-graffiti-cotton-hoodie-recvh6xfvj4dni</t>
        </is>
      </c>
      <c r="T16"/>
      <c r="U16"/>
      <c r="V16"/>
      <c r="W16" t="inlineStr">
        <is>
          <t>{"id":"chatcmpl-DWZMynWc0B9dfhmGYi0UhNEOGRG3x","object":"chat.completion","created":1776654828,"model":"gpt-5-chat-latest","choices":[{"index":0,"message":{"role":"assistant","content":"Trapstar：天蓝色街头系列连帽卫衣，采用柔软纯棉面料，背部标志性涂鸦字母设计，休闲宽松廓形，男女皆宜，融合伦敦街头文化，展现前卫潮流态度与舒适穿着体验。","refusal":null,"annotations":[]},"logprobs":null,"finish_reason":"stop"}],"usage":{"prompt_tokens":1032,"completion_tokens":71,"total_tokens":1103,"prompt_tokens_details":{"cached_tokens":0,"audio_tokens":0},"completion_tokens_details":{"reasoning_tokens":0,"audio_tokens":0,"accepted_prediction_tokens":0,"rejected_prediction_tokens":0}},"service_tier":"default","system_fingerprint":"fp_ad66631dec"}</t>
        </is>
      </c>
      <c r="X16" t="inlineStr">
        <is>
          <t>Trapstar：天蓝色街头系列连帽卫衣，采用柔软纯棉面料，背部标志性涂鸦字母设计，休闲宽松廓形，男女皆宜，融合伦敦街头文化，展现前卫潮流态度与舒适穿着体验。</t>
        </is>
      </c>
    </row>
    <row r="17" ht="25.5" customHeight="1">
      <c r="A17">
        <v>1839115443</v>
      </c>
      <c r="B17">
        <v>7639031876</v>
      </c>
      <c r="C17" t="inlineStr">
        <is>
          <t>https://weidian.com/item.html?itemID=7639031876</t>
        </is>
      </c>
      <c r="D17"/>
      <c r="E17" s="2" t="str">
        <f>=HYPERLINK("https://si.geilicdn.com/open1839115443-252808396-541f0000019b3590d1020aa08245_1340_1785.jpg?w=640&amp;h=640", "https://si.geilicdn.com/open1839115443-252808396-541f0000019b3590d1020aa08245_1340_1785.jpg?w=640&amp;h=640")</f>
        <v>https://si.geilicdn.com/open1839115443-252808396-541f0000019b3590d1020aa08245_1340_1785.jpg?w=640&amp;h=640</v>
      </c>
      <c r="F17" t="inlineStr">
        <is>
          <t>Hoodies</t>
        </is>
      </c>
      <c r="G17" t="inlineStr">
        <is>
          <t>Other</t>
        </is>
      </c>
      <c r="H17" t="inlineStr">
        <is>
          <t>91.00</t>
        </is>
      </c>
      <c r="I17">
        <v>13.19</v>
      </c>
      <c r="J17" t="inlineStr">
        <is>
          <t>{"choices":[{"finish_reason":"stop","index":0,"logprobs":null,"message":{"annotations":[],"content":"HoodiesOther Light Gray Tiger Game Day Hoodie","refusal":null,"role":"assistant"}}],"created":1776666943,"id":"chatcmpl-DWcWNPaIpgwxowt1HeqqXdILzrtRZ","model":"gpt-5-chat-latest","object":"chat.completion","service_tier":"default","system_fingerprint":"fp_ad66631dec","usage":{"completion_tokens":11,"completion_tokens_details":{"accepted_prediction_tokens":0,"audio_tokens":0,"reasoning_tokens":0,"rejected_prediction_tokens":0},"prompt_tokens":884,"prompt_tokens_details":{"audio_tokens":0,"cached_tokens":0},"total_tokens":895}}</t>
        </is>
      </c>
      <c r="K17" t="inlineStr">
        <is>
          <t>HoodiesOther Light Gray Tiger Game Day Hoodie</t>
        </is>
      </c>
      <c r="L17" t="inlineStr">
        <is>
          <t>{"id":"chatcmpl-DWaRsdSpUW4lghQfap4zsTxSVroxd","object":"chat.completion","created":1776658976,"model":"gpt-5-chat-latest","choices":[{"index":0,"message":{"role":"assistant","content":"HoodiesOther light gray tiger graphic hoodie made from soft cotton, features playful “GAME DAY” sunglasses print, unisex loose fit for streetwear style, perfect for casual autumn and winter outfits.","refusal":null,"annotations":[]},"logprobs":null,"finish_reason":"stop"}],"usage":{"prompt_tokens":904,"completion_tokens":41,"total_tokens":945,"prompt_tokens_details":{"cached_tokens":0,"audio_tokens":0},"completion_tokens_details":{"reasoning_tokens":0,"audio_tokens":0,"accepted_prediction_tokens":0,"rejected_prediction_tokens":0}},"service_tier":"default","system_fingerprint":"fp_ad66631dec"}</t>
        </is>
      </c>
      <c r="M1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ma=2592000","apim-request-id":"fe7fda65-30d4-41c7-be76-69634ac7c0e5","azureml-model-session":"d20260402075109-1fc5a0ec","cache-control":"no-cache, no-store, must-revalidate","connection":"close","content-length":"1006","content-security-policy":"frame-ancestors 'self'","content-type":"application/json","date":"Mon, 20 Apr 2026 04:22:59 GMT","server":"nginx","skip-error-remapping":"true","strict-transport-security":"max-age=31536000; includeSubDomains; preload","via":"1.1 Caddy, 1.1 Caddy","x-api-request-id":"20260420122255323168610Xh0Wm3cS","x-content-type-options":"nosniff","x-frame-options":"SAMEORIGIN","x-ms-is-spilled-over":"false","x-ms-rai-invoked":"false","x-ms-region":"Sweden Central","x-new-api-version":"0.4.39","x-oneapi-request-id":"202604200422552552086968268d9d6O5uPXjsb","x-ratelimit-abusepenalty-active":"False","x-ratelimit-limit-requests":"4993","x-ratelimit-limit-tokens":"4993000","x-ratelimit-remaining-requests":"4992","x-ratelimit-remaining-tokens":"4991334","x-ratelimit-renewalperiod-requests":"60","x-ratelimit-renewalperiod-tokens":"60","x-ratelimit-reset-requests":"12","x-ratelimit-reset-tokens":"20","x-request-id":"61dc158f-cea9-490a-a0a7-4610b9cfc104"}</t>
        </is>
      </c>
      <c r="N17" t="inlineStr">
        <is>
          <t>HoodiesOther light gray tiger graphic hoodie made from soft cotton, features playful “GAME DAY” sunglasses print, unisex loose fit for streetwear style, perfect for casual autumn and winter outfits.</t>
        </is>
      </c>
      <c r="O17" t="inlineStr">
        <is>
          <t>{"choices":[{"finish_reason":"stop","index":0,"logprobs":null,"message":{"annotations":[],"content":"HoodiesOther,hoodie,kakobuy,kakebuy2026,kekobuysheet,kakobuysheet2026,2026kakobuy,kakobuyspreadsheeet,kakobuylink,kakebuylist,Kakobuy MEGA Spreadsheet,kakobuysheetfind,kakobuysheetfind2026,2026kakobuysheetfind,kakobuysheet2026","refusal":null,"role":"assistant"}}],"created":1776668779,"id":"chatcmpl-DWczzdQTpkNnZdwVp3941RnRpmKxW","model":"gpt-5-chat-latest","object":"chat.completion","service_tier":"default","system_fingerprint":"fp_ad66631dec","usage":{"completion_tokens":90,"completion_tokens_details":{"accepted_prediction_tokens":0,"audio_tokens":0,"reasoning_tokens":0,"rejected_prediction_tokens":0},"prompt_tokens":783,"prompt_tokens_details":{"audio_tokens":0,"cached_tokens":0},"total_tokens":873}}</t>
        </is>
      </c>
      <c r="P17" t="inlineStr">
        <is>
          <t>HoodiesOther,hoodie,kakobuy,kakebuy2026,kekobuysheet,kakobuysheet2026,2026kakobuy,kakobuyspreadsheeet,kakobuylink,kakebuylist,Kakobuy MEGA Spreadsheet,kakobuysheetfind,kakobuysheetfind2026,2026kakobuysheetfind,kakobuysheet2026</t>
        </is>
      </c>
      <c r="Q17" t="inlineStr">
        <is>
          <t>Gray, Streetwear, Autumn And Winter, Unisex</t>
        </is>
      </c>
      <c r="R17" t="inlineStr">
        <is>
          <t>recvh6xFVjLOBB</t>
        </is>
      </c>
      <c r="S17" t="inlineStr">
        <is>
          <t>hoodiesother-light-gray-tiger-game-day-recvh6xFVjLOBB</t>
        </is>
      </c>
      <c r="T17"/>
      <c r="U17"/>
      <c r="V17"/>
      <c r="W17" t="inlineStr">
        <is>
          <t>{"choices":[{"finish_reason":"stop","index":0,"logprobs":null,"message":{"annotations":[],"content":"浅灰色虎头图腾连帽卫衣，柔软棉质面料打造，胸前趣味“GAME DAY”太阳镜印花设计，街头休闲风格，宽松版型兼顾舒适与时尚，男女皆宜，适合秋冬日常穿搭。","refusal":null,"role":"assistant"}}],"created":1776655803,"id":"chatcmpl-DWZchKDEBI01URxjMRvVBsdpn51gK","model":"gpt-5-chat-latest","object":"chat.completion","service_tier":"default","system_fingerprint":"fp_ad66631dec","usage":{"completion_tokens":68,"completion_tokens_details":{"accepted_prediction_tokens":0,"audio_tokens":0,"reasoning_tokens":0,"rejected_prediction_tokens":0},"prompt_tokens":1314,"prompt_tokens_details":{"audio_tokens":0,"cached_tokens":0},"total_tokens":1382}}</t>
        </is>
      </c>
      <c r="X17" t="inlineStr">
        <is>
          <t>浅灰色虎头图腾连帽卫衣，柔软棉质面料打造，胸前趣味“GAME DAY”太阳镜印花设计，街头休闲风格，宽松版型兼顾舒适与时尚，男女皆宜，适合秋冬日常穿搭。</t>
        </is>
      </c>
    </row>
    <row r="18" ht="25.5" customHeight="1">
      <c r="A18">
        <v>1839115443</v>
      </c>
      <c r="B18">
        <v>7636067797</v>
      </c>
      <c r="C18" t="inlineStr">
        <is>
          <t>https://weidian.com/item.html?itemID=7636067797</t>
        </is>
      </c>
      <c r="D18"/>
      <c r="E18" s="2" t="str">
        <f>=HYPERLINK("https://si.geilicdn.com/open1839115443-252808396-120a0000019b3590a5b30a8133b0_1340_1785.jpg?w=640&amp;h=640", "https://si.geilicdn.com/open1839115443-252808396-120a0000019b3590a5b30a8133b0_1340_1785.jpg?w=640&amp;h=640")</f>
        <v>https://si.geilicdn.com/open1839115443-252808396-120a0000019b3590a5b30a8133b0_1340_1785.jpg?w=640&amp;h=640</v>
      </c>
      <c r="F18" t="inlineStr">
        <is>
          <t>Jackets</t>
        </is>
      </c>
      <c r="G18" t="inlineStr">
        <is>
          <t>Other</t>
        </is>
      </c>
      <c r="H18" t="inlineStr">
        <is>
          <t>123.00</t>
        </is>
      </c>
      <c r="I18">
        <v>17.83</v>
      </c>
      <c r="J18" t="inlineStr">
        <is>
          <t>{"id":"chatcmpl-DWcV0Ub09jYU8XmeuObHfzZrW0M6g","object":"chat.completion","created":1776666858,"model":"gpt-5-chat-latest","choices":[{"index":0,"message":{"role":"assistant","content":"JacketsOther Black Windproof Running Sports Jacket","refusal":null,"annotations":[]},"logprobs":null,"finish_reason":"stop"}],"usage":{"prompt_tokens":883,"completion_tokens":10,"total_tokens":893,"prompt_tokens_details":{"cached_tokens":0,"audio_tokens":0},"completion_tokens_details":{"reasoning_tokens":0,"audio_tokens":0,"accepted_prediction_tokens":0,"rejected_prediction_tokens":0}},"service_tier":"default","system_fingerprint":"fp_ad66631dec"}</t>
        </is>
      </c>
      <c r="K18" t="inlineStr">
        <is>
          <t>JacketsOther Black Windproof Running Sports Jacket</t>
        </is>
      </c>
      <c r="L18" t="inlineStr">
        <is>
          <t>{"id":"chatcmpl-DWaNJX5gy967Ihpd3tyJ6h5Cmpa0M","object":"chat.completion","created":1776658693,"model":"gpt-5-chat-latest","choices":[{"index":0,"message":{"role":"assistant","content":"JacketsOther Lightweight Black Sports Jacket—windproof, water-repellent fabric, 3D cut with reflective details, sleek tech style for men and women, perfect for running and urban commuting.","refusal":null,"annotations":[]},"logprobs":null,"finish_reason":"stop"}],"usage":{"prompt_tokens":903,"completion_tokens":41,"total_tokens":944,"prompt_tokens_details":{"cached_tokens":0,"audio_tokens":0},"completion_tokens_details":{"reasoning_tokens":0,"audio_tokens":0,"accepted_prediction_tokens":0,"rejected_prediction_tokens":0}},"service_tier":"default","system_fingerprint":"fp_ad66631dec"}</t>
        </is>
      </c>
      <c r="M1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ma=2592000","apim-request-id":"c812c299-ce14-4593-85d1-cb16718501cb","azureml-model-session":"d20260405234249-f9874baf","cache-control":"no-cache, no-store, must-revalidate","connection":"close","content-length":"994","content-security-policy":"frame-ancestors 'self'","content-type":"application/json","date":"Mon, 20 Apr 2026 04:18:16 GMT","server":"nginx","skip-error-remapping":"true","strict-transport-security":"max-age=31536000; includeSubDomains; preload","via":"1.1 Caddy, 1.1 Caddy","x-api-request-id":"202604201218121260166755Eco4UMN","x-content-type-options":"nosniff","x-frame-options":"SAMEORIGIN","x-ms-is-spilled-over":"false","x-ms-rai-invoked":"false","x-ms-region":"Sweden Central","x-new-api-version":"0.4.39","x-oneapi-request-id":"20260420041812600954298268d9d68bbObBlj","x-ratelimit-abusepenalty-active":"False","x-ratelimit-limit-requests":"4993","x-ratelimit-limit-tokens":"4993000","x-ratelimit-remaining-requests":"4992","x-ratelimit-remaining-tokens":"4991335","x-ratelimit-renewalperiod-requests":"60","x-ratelimit-renewalperiod-tokens":"60","x-ratelimit-reset-requests":"12","x-ratelimit-reset-tokens":"20","x-request-id":"9407be5d-e58f-493a-9c90-1372ba35f4c0"}</t>
        </is>
      </c>
      <c r="N18" t="inlineStr">
        <is>
          <t>JacketsOther Lightweight Black Sports Jacket—windproof, water-repellent fabric, 3D cut with reflective details, sleek tech style for men and women, perfect for running and urban commuting.</t>
        </is>
      </c>
      <c r="O18" t="inlineStr">
        <is>
          <t>{"choices":[{"finish_reason":"stop","index":0,"logprobs":null,"message":{"annotations":[],"content":"JacketsOther,kakobuy,kakebuy2026,kekobuysheet,kakobuysheet2026,2026kakobuy,kakobuyspreadsheeet,kakobuylink,kakebuylist,Kakobuy MEGA Spreadsheet,kakobuysheetfind,kakobuysheetfind2026,2026kakobuysheetfind,kakobuysheet2026","refusal":null,"role":"assistant"}}],"created":1776668721,"id":"chatcmpl-DWcz3gWvPdvIAWOprK860CwjhwPL5","model":"gpt-5-chat-latest","object":"chat.completion","service_tier":"default","system_fingerprint":"fp_ad66631dec","usage":{"completion_tokens":86,"completion_tokens_details":{"accepted_prediction_tokens":0,"audio_tokens":0,"reasoning_tokens":0,"rejected_prediction_tokens":0},"prompt_tokens":782,"prompt_tokens_details":{"audio_tokens":0,"cached_tokens":0},"total_tokens":868}}</t>
        </is>
      </c>
      <c r="P18" t="inlineStr">
        <is>
          <t>JacketsOther,kakobuy,kakebuy2026,kekobuysheet,kakobuysheet2026,2026kakobuy,kakobuyspreadsheeet,kakobuylink,kakebuylist,Kakobuy MEGA Spreadsheet,kakobuysheetfind,kakobuysheetfind2026,2026kakobuysheetfind,kakobuysheet2026</t>
        </is>
      </c>
      <c r="Q18" t="inlineStr">
        <is>
          <t>Lightweight, Windproof, Reflective, Sporty, Unisex, Black</t>
        </is>
      </c>
      <c r="R18" t="inlineStr">
        <is>
          <t>recvh6xFVjZ2SO</t>
        </is>
      </c>
      <c r="S18" t="inlineStr">
        <is>
          <t>jacketsother-black-windproof-running-recvh6xFVjZ2SO</t>
        </is>
      </c>
      <c r="T18"/>
      <c r="U18"/>
      <c r="V18"/>
      <c r="W18" t="inlineStr">
        <is>
          <t>{"choices":[{"finish_reason":"stop","index":0,"logprobs":null,"message":{"annotations":[],"content":"黑色轻薄运动夹克，防风防泼水功能面料，立体剪裁设计，融合反光条细节，简约科技风格，男女皆宜，适合户外跑步与日常通勤，彰显都市动感与实用美学。","refusal":null,"role":"assistant"}}],"created":1776655160,"id":"chatcmpl-DWZSKT7Hf01PGCD0V1EdDkNHz4frY","model":"gpt-5-chat-latest","object":"chat.completion","service_tier":"default","system_fingerprint":"fp_ad66631dec","usage":{"completion_tokens":65,"completion_tokens_details":{"accepted_prediction_tokens":0,"audio_tokens":0,"reasoning_tokens":0,"rejected_prediction_tokens":0},"prompt_tokens":1319,"prompt_tokens_details":{"audio_tokens":0,"cached_tokens":0},"total_tokens":1384}}</t>
        </is>
      </c>
      <c r="X18" t="inlineStr">
        <is>
          <t>黑色轻薄运动夹克，防风防泼水功能面料，立体剪裁设计，融合反光条细节，简约科技风格，男女皆宜，适合户外跑步与日常通勤，彰显都市动感与实用美学。</t>
        </is>
      </c>
    </row>
    <row r="19" ht="25.5" customHeight="1">
      <c r="A19">
        <v>1839115443</v>
      </c>
      <c r="B19">
        <v>7635939201</v>
      </c>
      <c r="C19" t="inlineStr">
        <is>
          <t>https://weidian.com/item.html?itemID=7635939201</t>
        </is>
      </c>
      <c r="D19"/>
      <c r="E19" s="2" t="str">
        <f>=HYPERLINK("https://si.geilicdn.com/open1839115443-252808396-11f80000019b359090410a8133b0_1340_1785.jpg?w=640&amp;h=640", "https://si.geilicdn.com/open1839115443-252808396-11f80000019b359090410a8133b0_1340_1785.jpg?w=640&amp;h=640")</f>
        <v>https://si.geilicdn.com/open1839115443-252808396-11f80000019b359090410a8133b0_1340_1785.jpg?w=640&amp;h=640</v>
      </c>
      <c r="F19" t="inlineStr">
        <is>
          <t>T-Shirts</t>
        </is>
      </c>
      <c r="G19" t="inlineStr">
        <is>
          <t>Other</t>
        </is>
      </c>
      <c r="H19" t="inlineStr">
        <is>
          <t>63.00</t>
        </is>
      </c>
      <c r="I19">
        <v>9.13</v>
      </c>
      <c r="J19" t="inlineStr">
        <is>
          <t>{"choices":[{"finish_reason":"stop","index":0,"logprobs":null,"message":{"annotations":[],"content":"Africa Twin Black Cotton Motorcycle T-Shirt Unisex","refusal":null,"role":"assistant"}}],"created":1776666452,"id":"chatcmpl-DWcOSnEQeOZ33XZR0LKV24rjEUSK7","model":"gpt-5-chat-latest","object":"chat.completion","service_tier":"default","system_fingerprint":"fp_ad66631dec","usage":{"completion_tokens":10,"completion_tokens_details":{"accepted_prediction_tokens":0,"audio_tokens":0,"reasoning_tokens":0,"rejected_prediction_tokens":0},"prompt_tokens":875,"prompt_tokens_details":{"audio_tokens":0,"cached_tokens":0},"total_tokens":885}}</t>
        </is>
      </c>
      <c r="K19" t="inlineStr">
        <is>
          <t>Africa Twin Black Cotton Motorcycle T-Shirt Unisex</t>
        </is>
      </c>
      <c r="L19" t="inlineStr">
        <is>
          <t>{"id":"chatcmpl-DWaKevnbhPdzjUwPgyuPgvYRvnwmz","object":"chat.completion","created":1776658528,"model":"gpt-5-chat-latest","choices":[{"index":0,"message":{"role":"assistant","content":"AFRICA TWIN Black Cotton Motorcycle T-Shirt with bold white-red print, unisex loose fit, stylish for streetwear or riding, showing adventure spirit and speed-inspired design.","refusal":null,"annotations":[]},"logprobs":null,"finish_reason":"stop"}],"usage":{"prompt_tokens":905,"completion_tokens":37,"total_tokens":942,"prompt_tokens_details":{"cached_tokens":0,"audio_tokens":0},"completion_tokens_details":{"reasoning_tokens":0,"audio_tokens":0,"accepted_prediction_tokens":0,"rejected_prediction_tokens":0}},"service_tier":"default","system_fingerprint":"fp_ad66631dec"}</t>
        </is>
      </c>
      <c r="M1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ma=2592000","apim-request-id":"62df8ebb-c392-431c-b590-28adb5846970","azureml-model-session":"d20260405234249-f9874baf","cache-control":"no-cache, no-store, must-revalidate","connection":"close","content-length":"978","content-security-policy":"frame-ancestors 'self'","content-type":"application/json","date":"Mon, 20 Apr 2026 04:15:29 GMT","server":"Caddy","skip-error-remapping":"true","strict-transport-security":"max-age=31536000; includeSubDomains; preload","via":"1.1 Caddy","x-api-request-id":"20260420121526925534061YLh5xkWv","x-content-type-options":"nosniff","x-frame-options":"SAMEORIGIN","x-ms-is-spilled-over":"false","x-ms-rai-invoked":"false","x-ms-region":"East US 2","x-new-api-version":"0.4.39","x-oneapi-request-id":"202604200415267779485828268d9d67p53kuyg","x-ratelimit-abusepenalty-active":"False","x-ratelimit-limit-requests":"4994","x-ratelimit-limit-tokens":"4994000","x-ratelimit-remaining-requests":"4993","x-ratelimit-remaining-tokens":"4992333","x-ratelimit-renewalperiod-requests":"60","x-ratelimit-renewalperiod-tokens":"60","x-ratelimit-reset-requests":"12","x-ratelimit-reset-tokens":"20","x-request-id":"3eb6379d-bff3-4d39-b609-e418008c97c1"}</t>
        </is>
      </c>
      <c r="N19" t="inlineStr">
        <is>
          <t>AFRICA TWIN Black Cotton Motorcycle T-Shirt with bold white-red print, unisex loose fit, stylish for streetwear or riding, showing adventure spirit and speed-inspired design.</t>
        </is>
      </c>
      <c r="O19" t="inlineStr">
        <is>
          <t>{"choices":[{"finish_reason":"stop","index":0,"logprobs":null,"message":{"annotations":[],"content":"Africa Twin,T-Shirts,kakobuy,kakebuy2026,kekobuysheet,kakobuysheet2026,2026kakobuy,kakobuyspreadsheeet,kakobuylink,kakebuylist,Kakobuy MEGA Spreadsheet,kakobuysheetfind,kakobuysheetfind2026,2026kakobuysheetfind,kakobuysheet2026","refusal":null,"role":"assistant"}}],"created":1776667613,"id":"chatcmpl-DWchB4God7ucv96RAIV3L51O4LaQZ","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9" t="inlineStr">
        <is>
          <t>Africa Twin,T-Shirts,kakobuy,kakebuy2026,kekobuysheet,kakobuysheet2026,2026kakobuy,kakobuyspreadsheeet,kakobuylink,kakebuylist,Kakobuy MEGA Spreadsheet,kakobuysheetfind,kakobuysheetfind2026,2026kakobuysheetfind,kakobuysheet2026</t>
        </is>
      </c>
      <c r="Q19" t="inlineStr">
        <is>
          <t>Black, Unisex, Streetwear</t>
        </is>
      </c>
      <c r="R19" t="inlineStr">
        <is>
          <t>recvh6xFVjMCsO</t>
        </is>
      </c>
      <c r="S19" t="inlineStr">
        <is>
          <t>africa-twin-black-cotton-motorcycle-tshirt-recvh6xfvjmcso</t>
        </is>
      </c>
      <c r="T19"/>
      <c r="U19"/>
      <c r="V19"/>
      <c r="W19" t="inlineStr">
        <is>
          <t>{"id":"chatcmpl-DWZj50E2sluzygmQYvNJAdGqbuXam","object":"chat.completion","created":1776656199,"model":"gpt-5-chat-latest","choices":[{"index":0,"message":{"role":"assistant","content":"黑色摩托风格短袖T恤，采用纯棉舒适面料，胸前白红“AFRICA TWIN”印花设计，彰显速度感与冒险精神，宽松版型男女皆宜，街头休闲与骑行穿搭兼具时尚个性。","refusal":null,"annotations":[]},"logprobs":null,"finish_reason":"stop"}],"usage":{"prompt_tokens":1313,"completion_tokens":70,"total_tokens":1383,"prompt_tokens_details":{"cached_tokens":0,"audio_tokens":0},"completion_tokens_details":{"reasoning_tokens":0,"audio_tokens":0,"accepted_prediction_tokens":0,"rejected_prediction_tokens":0}},"service_tier":"default","system_fingerprint":"fp_ad66631dec"}</t>
        </is>
      </c>
      <c r="X19" t="inlineStr">
        <is>
          <t>黑色摩托风格短袖T恤，采用纯棉舒适面料，胸前白红“AFRICA TWIN”印花设计，彰显速度感与冒险精神，宽松版型男女皆宜，街头休闲与骑行穿搭兼具时尚个性。</t>
        </is>
      </c>
    </row>
    <row r="20" ht="25.5" customHeight="1">
      <c r="A20">
        <v>1839115443</v>
      </c>
      <c r="B20">
        <v>7638937918</v>
      </c>
      <c r="C20" t="inlineStr">
        <is>
          <t>https://weidian.com/item.html?itemID=7638937918</t>
        </is>
      </c>
      <c r="D20"/>
      <c r="E20" s="2" t="str">
        <f>=HYPERLINK("https://si.geilicdn.com/open1839115443-252808396-13100000019b3577f8c50a23b491_800_800.jpg?w=640&amp;h=640", "https://si.geilicdn.com/open1839115443-252808396-13100000019b3577f8c50a23b491_800_800.jpg?w=640&amp;h=640")</f>
        <v>https://si.geilicdn.com/open1839115443-252808396-13100000019b3577f8c50a23b491_800_800.jpg?w=640&amp;h=640</v>
      </c>
      <c r="F20" t="inlineStr">
        <is>
          <t>Hoodies</t>
        </is>
      </c>
      <c r="G20" t="inlineStr">
        <is>
          <t xml:space="preserve"> Essentials</t>
        </is>
      </c>
      <c r="H20" t="inlineStr">
        <is>
          <t>215.00</t>
        </is>
      </c>
      <c r="I20">
        <v>31.16</v>
      </c>
      <c r="J20" t="inlineStr">
        <is>
          <t>{"choices":[{"finish_reason":"stop","index":0,"logprobs":null,"message":{"annotations":[],"content":"Essentials Black Cotton Hoodie Unisex Streetwear Pullover","refusal":null,"role":"assistant"}}],"created":1776666499,"id":"chatcmpl-DWcPDFr3LuVsKKPU4XxQqoTTN7UL2","model":"gpt-5-chat-latest","object":"chat.completion","service_tier":"default","system_fingerprint":"fp_ad66631dec","usage":{"completion_tokens":12,"completion_tokens_details":{"accepted_prediction_tokens":0,"audio_tokens":0,"reasoning_tokens":0,"rejected_prediction_tokens":0},"prompt_tokens":874,"prompt_tokens_details":{"audio_tokens":0,"cached_tokens":0},"total_tokens":886}}</t>
        </is>
      </c>
      <c r="K20" t="inlineStr">
        <is>
          <t>Essentials Black Cotton Hoodie Unisex Streetwear Pullover</t>
        </is>
      </c>
      <c r="L20" t="inlineStr">
        <is>
          <t>{"choices":[{"finish_reason":"stop","index":0,"logprobs":null,"message":{"annotations":[],"content":"Essentials black cotton hoodie with white logo, soft fabric and loose fit. Drawstring hood, kangaroo pocket, unisex style for urban casual comfort and minimalist street fashion.","refusal":null,"role":"assistant"}}],"created":1776658973,"id":"chatcmpl-DWaRpPgW9SLW13MfpQNbFsFiDy69Q","model":"gpt-5-chat-latest","object":"chat.completion","service_tier":"default","system_fingerprint":"fp_ad66631dec","usage":{"completion_tokens":36,"completion_tokens_details":{"accepted_prediction_tokens":0,"audio_tokens":0,"reasoning_tokens":0,"rejected_prediction_tokens":0},"prompt_tokens":918,"prompt_tokens_details":{"audio_tokens":0,"cached_tokens":0},"total_tokens":954}}</t>
        </is>
      </c>
      <c r="M20" t="inlineStr">
        <is>
          <t>{"alt-svc":"h3=\":443\"; ma=2592000","apim-request-id":"234049cf-fa92-4125-83c5-21d52d45baa1","azureml-model-session":"d20260405212659-a9daa006","cache-control":"no-cache","connection":"close","content-length":"765","content-security-policy":"frame-ancestors 'self'","content-type":"application/json","date":"Mon, 20 Apr 2026 04:22:54 GMT","server":"Caddy","skip-error-remapping":"true","strict-transport-security":"max-age=31536000; includeSubDomains; preload","via":"1.1 Caddy","x-api-request-id":"20260420122252703698506OxqLkw5S","x-content-type-options":"nosniff","x-frame-options":"SAMEORIGIN","x-ms-client-request-id":"Not-Set","x-ms-is-spilled-over":"false","x-ms-rai-invoked":"true","x-ms-region":"East US 2","x-new-api-version":"0.4.39","x-oneapi-request-id":"202604200422526381640538268d9d6p3fSwxAU","x-ratelimit-abusepenalty-active":"False","x-ratelimit-limit-requests":"3850","x-ratelimit-limit-tokens":"3850000","x-ratelimit-remaining-requests":"3849","x-ratelimit-remaining-tokens":"3848320","x-ratelimit-renewalperiod-requests":"60","x-ratelimit-renewalperiod-tokens":"60","x-ratelimit-reset-requests":"15","x-ratelimit-reset-tokens":"26","x-request-id":"33674a00-9a93-4dde-b52d-704f2d70f367"}</t>
        </is>
      </c>
      <c r="N20" t="inlineStr">
        <is>
          <t>Essentials black cotton hoodie with white logo, soft fabric and loose fit. Drawstring hood, kangaroo pocket, unisex style for urban casual comfort and minimalist street fashion.</t>
        </is>
      </c>
      <c r="O20" t="inlineStr">
        <is>
          <t>{"choices":[{"finish_reason":"stop","index":0,"logprobs":null,"message":{"annotations":[],"content":"Essentials, Hoodies, kakobuy, kakebuy2026, kekobuysheet, kakobuysheet2026, 2026kakobuy, kakobuyspreadsheeet, kakobuylink, kakebuylist, Kakobuy MEGA Spreadsheet, kakobuysheetfind, kakobuysheetfind2026, 2026kakobuysheetfind, kakobuysheet2026","refusal":null,"role":"assistant"}}],"created":1776668530,"id":"chatcmpl-DWcvyeB8Oc7OKxqwJBhpm8poualGW","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20" t="inlineStr">
        <is>
          <t>Essentials, Hoodies, kakobuy, kakebuy2026, kekobuysheet, kakobuysheet2026, 2026kakobuy, kakobuyspreadsheeet, kakobuylink, kakebuylist, Kakobuy MEGA Spreadsheet, kakobuysheetfind, kakobuysheetfind2026, 2026kakobuysheetfind, kakobuysheet2026</t>
        </is>
      </c>
      <c r="Q20" t="inlineStr">
        <is>
          <t>Black, Unisex, Minimalist, Streetwear</t>
        </is>
      </c>
      <c r="R20" t="inlineStr">
        <is>
          <t>recvh6xFVjLKdD</t>
        </is>
      </c>
      <c r="S20" t="inlineStr">
        <is>
          <t>essentials-black-cotton-hoodie-recvh6xfvjlkdd</t>
        </is>
      </c>
      <c r="T20"/>
      <c r="U20"/>
      <c r="V20"/>
      <c r="W20" t="inlineStr">
        <is>
          <t>{"choices":[{"finish_reason":"stop","index":0,"logprobs":null,"message":{"annotations":[],"content":"Essentials 黑色连帽卫衣，精选柔软棉质面料，胸前白色品牌字样彰显极简潮流美学。宽松剪裁搭配抽绳设计与袋鼠兜结构，适合男女通穿，舒适与时尚并存。都市休闲风格，展现简约高街穿搭格调。","refusal":null,"role":"assistant"}}],"created":1776654888,"id":"chatcmpl-DWZNwf7M74VKYh3EmBRsDr4p86Tzp","model":"gpt-5-chat-latest","object":"chat.completion","service_tier":"default","system_fingerprint":"fp_ad66631dec","usage":{"completion_tokens":83,"completion_tokens_details":{"accepted_prediction_tokens":0,"audio_tokens":0,"reasoning_tokens":0,"rejected_prediction_tokens":0},"prompt_tokens":1312,"prompt_tokens_details":{"audio_tokens":0,"cached_tokens":0},"total_tokens":1395}}</t>
        </is>
      </c>
      <c r="X20" t="inlineStr">
        <is>
          <t>Essentials 黑色连帽卫衣，精选柔软棉质面料，胸前白色品牌字样彰显极简潮流美学。宽松剪裁搭配抽绳设计与袋鼠兜结构，适合男女通穿，舒适与时尚并存。都市休闲风格，展现简约高街穿搭格调。</t>
        </is>
      </c>
    </row>
    <row r="21" ht="25.5" customHeight="1">
      <c r="A21">
        <v>1839115443</v>
      </c>
      <c r="B21">
        <v>7636045709</v>
      </c>
      <c r="C21" t="inlineStr">
        <is>
          <t>https://weidian.com/item.html?itemID=7636045709</t>
        </is>
      </c>
      <c r="D21"/>
      <c r="E21" s="2" t="str">
        <f>=HYPERLINK("https://si.geilicdn.com/open1839115443-252808396-12520000019b3576c96b0a23b491_800_800.jpg?w=640&amp;h=640", "https://si.geilicdn.com/open1839115443-252808396-12520000019b3576c96b0a23b491_800_800.jpg?w=640&amp;h=640")</f>
        <v>https://si.geilicdn.com/open1839115443-252808396-12520000019b3576c96b0a23b491_800_800.jpg?w=640&amp;h=640</v>
      </c>
      <c r="F21" t="inlineStr">
        <is>
          <t>T-Shirts</t>
        </is>
      </c>
      <c r="G21" t="inlineStr">
        <is>
          <t xml:space="preserve"> Essentials</t>
        </is>
      </c>
      <c r="H21" t="inlineStr">
        <is>
          <t>115.00</t>
        </is>
      </c>
      <c r="I21">
        <v>16.67</v>
      </c>
      <c r="J21" t="inlineStr">
        <is>
          <t>{"choices":[{"finish_reason":"stop","index":0,"logprobs":null,"message":{"annotations":[],"content":"Essentials White Cotton T-Shirt Unisex Streetwear Top","refusal":null,"role":"assistant"}}],"created":1776666680,"id":"chatcmpl-DWcS8DBkJAnVIna0TG5WM7iiraTus","model":"gpt-5-chat-latest","object":"chat.completion","service_tier":"default","system_fingerprint":"fp_ad66631dec","usage":{"completion_tokens":12,"completion_tokens_details":{"accepted_prediction_tokens":0,"audio_tokens":0,"reasoning_tokens":0,"rejected_prediction_tokens":0},"prompt_tokens":885,"prompt_tokens_details":{"audio_tokens":0,"cached_tokens":0},"total_tokens":897}}</t>
        </is>
      </c>
      <c r="K21" t="inlineStr">
        <is>
          <t>Essentials White Cotton T-Shirt Unisex Streetwear Top</t>
        </is>
      </c>
      <c r="L21" t="inlineStr">
        <is>
          <t>{"choices":[{"finish_reason":"stop","index":0,"logprobs":null,"message":{"annotations":[],"content":"Essentials White T-Shirt – crafted from premium cotton for softness, breathability, and lasting shape. Minimal black logo print design for a clean streetwear look. Unisex, versatile, and effortlessly stylish.","refusal":null,"role":"assistant"}}],"created":1776659168,"id":"chatcmpl-DWaUyGaWX4xIXnT5mlNk6G2235OWm","model":"gpt-5-chat-latest","object":"chat.completion","service_tier":"default","system_fingerprint":"fp_ad66631dec","usage":{"completion_tokens":42,"completion_tokens_details":{"accepted_prediction_tokens":0,"audio_tokens":0,"reasoning_tokens":0,"rejected_prediction_tokens":0},"prompt_tokens":909,"prompt_tokens_details":{"audio_tokens":0,"cached_tokens":0},"total_tokens":951}}</t>
        </is>
      </c>
      <c r="M21" t="inlineStr">
        <is>
          <t>{"alt-svc":"h3=\":443\"; ma=2592000","apim-request-id":"1fe31e09-df17-4690-8ec0-1977a4cd6825","azureml-model-session":"d20260402083108-57a85543","cache-control":"no-cache","connection":"close","content-length":"798","content-security-policy":"frame-ancestors 'self'","content-type":"application/json","date":"Mon, 20 Apr 2026 04:26:09 GMT","server":"nginx","skip-error-remapping":"true","strict-transport-security":"max-age=31536000; includeSubDomains; preload","via":"1.1 Caddy, 1.1 Caddy","x-api-request-id":"20260420122607524187728tPdhl4Kc","x-content-type-options":"nosniff","x-frame-options":"SAMEORIGIN","x-ms-client-request-id":"Not-Set","x-ms-is-spilled-over":"false","x-ms-rai-invoked":"true","x-ms-region":"East US 2","x-new-api-version":"0.4.39","x-oneapi-request-id":"202604200426074586942948268d9d6C9X4Tb18","x-ratelimit-abusepenalty-active":"False","x-ratelimit-limit-requests":"3850","x-ratelimit-limit-tokens":"3850000","x-ratelimit-remaining-requests":"3849","x-ratelimit-remaining-tokens":"3848329","x-ratelimit-renewalperiod-requests":"60","x-ratelimit-renewalperiod-tokens":"60","x-ratelimit-reset-requests":"15","x-ratelimit-reset-tokens":"26","x-request-id":"3b06419a-a084-408d-a0e5-8ee57e7ab07a"}</t>
        </is>
      </c>
      <c r="N21" t="inlineStr">
        <is>
          <t>Essentials White T-Shirt – crafted from premium cotton for softness, breathability, and lasting shape. Minimal black logo print design for a clean streetwear look. Unisex, versatile, and effortlessly stylish.</t>
        </is>
      </c>
      <c r="O21" t="inlineStr">
        <is>
          <t>{"choices":[{"finish_reason":"stop","index":0,"logprobs":null,"message":{"annotations":[],"content":"Essentials,T-Shirt,kakobuy,kakebuy2026,kekobuysheet,kakobuysheet2026,2026kakobuy,kakobuyspreadsheeet,kakobuylink,kakebuylist,Kakobuy MEGA Spreadsheet,kakobuysheetfind,kakobuysheetfind2026,2026kakobuysheetfind,kakobuysheet2026","refusal":null,"role":"assistant"}}],"created":1776668120,"id":"chatcmpl-DWcpMFhJIIwXE1zbByeL3OLKv8Wdf","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21" t="inlineStr">
        <is>
          <t>Essentials,T-Shirt,kakobuy,kakebuy2026,kekobuysheet,kakobuysheet2026,2026kakobuy,kakobuyspreadsheeet,kakobuylink,kakebuylist,Kakobuy MEGA Spreadsheet,kakobuysheetfind,kakobuysheetfind2026,2026kakobuysheetfind,kakobuysheet2026</t>
        </is>
      </c>
      <c r="Q21" t="inlineStr">
        <is>
          <t>Unisex, Versatile, Streetwear, Minimalist, White</t>
        </is>
      </c>
      <c r="R21" t="inlineStr">
        <is>
          <t>recvh6xFVjdj4u</t>
        </is>
      </c>
      <c r="S21" t="inlineStr">
        <is>
          <t>essentials-white-cotton-tshirt-unisex-streetwear-top-recvh6xfvjdj4u</t>
        </is>
      </c>
      <c r="T21"/>
      <c r="U21"/>
      <c r="V21"/>
      <c r="W21" t="inlineStr">
        <is>
          <t>{"id":"chatcmpl-DWZWfYKO6vKINZ2wCdUNlXAXlWsPA","object":"chat.completion","created":1776655429,"model":"gpt-5-chat-latest","choices":[{"index":0,"message":{"role":"assistant","content":"Essentials：白色简约系列短袖T恤，采用高品质纯棉面料，柔软透气不易变形。胸前黑色品牌标识印花设计，呈现极简街头风格，男女皆宜，凸显休闲与高级质感，适合日常百搭穿着。","refusal":null,"annotations":[]},"logprobs":null,"finish_reason":"stop"}],"usage":{"prompt_tokens":1311,"completion_tokens":75,"total_tokens":1386,"prompt_tokens_details":{"cached_tokens":0,"audio_tokens":0},"completion_tokens_details":{"reasoning_tokens":0,"audio_tokens":0,"accepted_prediction_tokens":0,"rejected_prediction_tokens":0}},"service_tier":"default","system_fingerprint":"fp_ad66631dec"}</t>
        </is>
      </c>
      <c r="X21" t="inlineStr">
        <is>
          <t>Essentials：白色简约系列短袖T恤，采用高品质纯棉面料，柔软透气不易变形。胸前黑色品牌标识印花设计，呈现极简街头风格，男女皆宜，凸显休闲与高级质感，适合日常百搭穿着。</t>
        </is>
      </c>
    </row>
    <row r="22" ht="25.5" customHeight="1">
      <c r="A22">
        <v>1839115443</v>
      </c>
      <c r="B22">
        <v>7638995846</v>
      </c>
      <c r="C22" t="inlineStr">
        <is>
          <t>https://weidian.com/item.html?itemID=7638995846</t>
        </is>
      </c>
      <c r="D22"/>
      <c r="E22" s="2" t="str">
        <f>=HYPERLINK("https://si.geilicdn.com/open1839115443-252808396-17970000019b35758bd50a231226_1000_1000.jpg?w=640&amp;h=640", "https://si.geilicdn.com/open1839115443-252808396-17970000019b35758bd50a231226_1000_1000.jpg?w=640&amp;h=640")</f>
        <v>https://si.geilicdn.com/open1839115443-252808396-17970000019b35758bd50a231226_1000_1000.jpg?w=640&amp;h=640</v>
      </c>
      <c r="F22" t="inlineStr">
        <is>
          <t>Hoodies</t>
        </is>
      </c>
      <c r="G22" t="inlineStr">
        <is>
          <t>Other</t>
        </is>
      </c>
      <c r="H22" t="inlineStr">
        <is>
          <t>180.00</t>
        </is>
      </c>
      <c r="I22">
        <v>26.09</v>
      </c>
      <c r="J22" t="inlineStr">
        <is>
          <t>{"choices":[{"finish_reason":"stop","index":0,"logprobs":null,"message":{"annotations":[],"content":"HoodiesOther Skull Skeleton Brown Zip Up Hoodie","refusal":null,"role":"assistant"}}],"created":1776666620,"id":"chatcmpl-DWcRAocsblz9e96wHmrCBu15ShlYV","model":"gpt-5-chat-latest","object":"chat.completion","service_tier":"default","system_fingerprint":"fp_ad66631dec","usage":{"completion_tokens":11,"completion_tokens_details":{"accepted_prediction_tokens":0,"audio_tokens":0,"reasoning_tokens":0,"rejected_prediction_tokens":0},"prompt_tokens":886,"prompt_tokens_details":{"audio_tokens":0,"cached_tokens":0},"total_tokens":897}}</t>
        </is>
      </c>
      <c r="K22" t="inlineStr">
        <is>
          <t>HoodiesOther Skull Skeleton Brown Zip Up Hoodie</t>
        </is>
      </c>
      <c r="L22" t="inlineStr">
        <is>
          <t>{"id":"chatcmpl-DWaQTQ2tHCxhYTvjbmkjQU2Pjpabm","object":"chat.completion","created":1776658889,"model":"gpt-5-chat-latest","choices":[{"index":0,"message":{"role":"assistant","content":"HoodiesOther Skull Skeleton Series Brown Hoodie – thick cotton blend, 3D skeleton print on back and hood, full zipper, kangaroo pocket, unisex fit for street punk autumn winter style.","refusal":null,"annotations":[]},"logprobs":null,"finish_reason":"stop"}],"usage":{"prompt_tokens":923,"completion_tokens":42,"total_tokens":965,"prompt_tokens_details":{"cached_tokens":0,"audio_tokens":0},"completion_tokens_details":{"reasoning_tokens":0,"audio_tokens":0,"accepted_prediction_tokens":0,"rejected_prediction_tokens":0}},"service_tier":"default","system_fingerprint":"fp_ad66631dec"}</t>
        </is>
      </c>
      <c r="M2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ma=2592000","apim-request-id":"111858fa-cceb-4848-b263-0979a0052894","azureml-model-session":"d20260402075109-1fc5a0ec","cache-control":"no-cache, no-store, must-revalidate","connection":"close","content-length":"989","content-security-policy":"frame-ancestors 'self'","content-type":"application/json","date":"Mon, 20 Apr 2026 04:21:31 GMT","server":"nginx","skip-error-remapping":"true","strict-transport-security":"max-age=31536000; includeSubDomains; preload","via":"1.1 Caddy, 1.1 Caddy","x-api-request-id":"20260420122128693088712OCnHPH5m","x-content-type-options":"nosniff","x-frame-options":"SAMEORIGIN","x-ms-is-spilled-over":"false","x-ms-rai-invoked":"false","x-ms-region":"Sweden Central","x-new-api-version":"0.4.39","x-oneapi-request-id":"202604200421286263806618268d9d6acXxUiCg","x-ratelimit-abusepenalty-active":"False","x-ratelimit-limit-requests":"4993","x-ratelimit-limit-tokens":"4993000","x-ratelimit-remaining-requests":"4992","x-ratelimit-remaining-tokens":"4991315","x-ratelimit-renewalperiod-requests":"60","x-ratelimit-renewalperiod-tokens":"60","x-ratelimit-reset-requests":"12","x-ratelimit-reset-tokens":"20","x-request-id":"3de46e64-1415-4a03-9b6b-28bc7d745676"}</t>
        </is>
      </c>
      <c r="N22" t="inlineStr">
        <is>
          <t>HoodiesOther Skull Skeleton Series Brown Hoodie – thick cotton blend, 3D skeleton print on back and hood, full zipper, kangaroo pocket, unisex fit for street punk autumn winter style.</t>
        </is>
      </c>
      <c r="O22" t="inlineStr">
        <is>
          <t>{"choices":[{"finish_reason":"stop","index":0,"logprobs":null,"message":{"annotations":[],"content":"HoodiesOther,kakobuy,kakebuy2026,kekobuysheet,kakobuysheet2026,2026kakobuy,kakobuyspreadsheeet,kakobuylink,kakebuylist,Kakobuy MEGA Spreadsheet,kakobuysheetfind,kakobuysheetfind2026,2026kakobuysheetfind,kakobuysheet2026","refusal":null,"role":"assistant"}}],"created":1776667698,"id":"chatcmpl-DWciYgqTOlgivI7UzcMGXF4HMLzvY","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22" t="inlineStr">
        <is>
          <t>HoodiesOther,kakobuy,kakebuy2026,kekobuysheet,kakobuysheet2026,2026kakobuy,kakobuyspreadsheeet,kakobuylink,kakebuylist,Kakobuy MEGA Spreadsheet,kakobuysheetfind,kakobuysheetfind2026,2026kakobuysheetfind,kakobuysheet2026</t>
        </is>
      </c>
      <c r="Q22" t="inlineStr">
        <is>
          <t>Brown, Unisex, Autumn And Winter, Street, Punk</t>
        </is>
      </c>
      <c r="R22" t="inlineStr">
        <is>
          <t>recvh6xFVjJOt5</t>
        </is>
      </c>
      <c r="S22" t="inlineStr">
        <is>
          <t>hoodiesother-skull-skeleton-brown-zip-hoodie-recvh6xFVjJOt5</t>
        </is>
      </c>
      <c r="T22"/>
      <c r="U22"/>
      <c r="V22"/>
      <c r="W22" t="inlineStr">
        <is>
          <t>{"choices":[{"finish_reason":"stop","index":0,"logprobs":null,"message":{"annotations":[],"content":"骷髅骨架系列棕色连帽卫衣，采用纯棉混纺面料，质地厚实保暖，背面与帽兜拼接立体骨骼印花设计，彰显街头朋克风格。宽松剪裁搭配全拉链结构与袋鼠口袋，男女皆宜，适合秋冬潮流休闲穿搭。","refusal":null,"role":"assistant"}}],"created":1776655574,"id":"chatcmpl-DWZZ0AbDxbco1QswgKq4msOAaDu0S","model":"gpt-5-chat-latest","object":"chat.completion","service_tier":"default","system_fingerprint":"fp_ad66631dec","usage":{"completion_tokens":89,"completion_tokens_details":{"accepted_prediction_tokens":0,"audio_tokens":0,"reasoning_tokens":0,"rejected_prediction_tokens":0},"prompt_tokens":1310,"prompt_tokens_details":{"audio_tokens":0,"cached_tokens":0},"total_tokens":1399}}</t>
        </is>
      </c>
      <c r="X22" t="inlineStr">
        <is>
          <t>骷髅骨架系列棕色连帽卫衣，采用纯棉混纺面料，质地厚实保暖，背面与帽兜拼接立体骨骼印花设计，彰显街头朋克风格。宽松剪裁搭配全拉链结构与袋鼠口袋，男女皆宜，适合秋冬潮流休闲穿搭。</t>
        </is>
      </c>
    </row>
    <row r="23" ht="25.5" customHeight="1">
      <c r="A23">
        <v>1839115443</v>
      </c>
      <c r="B23">
        <v>7635919417</v>
      </c>
      <c r="C23" t="inlineStr">
        <is>
          <t>https://weidian.com/item.html?itemID=7635919417</t>
        </is>
      </c>
      <c r="D23"/>
      <c r="E23" s="2" t="str">
        <f>=HYPERLINK("https://si.geilicdn.com/open1839115443-252808396-2b8e0000019b3571ecff0aa086a7_800_800.jpg?w=640&amp;h=640", "https://si.geilicdn.com/open1839115443-252808396-2b8e0000019b3571ecff0aa086a7_800_800.jpg?w=640&amp;h=640")</f>
        <v>https://si.geilicdn.com/open1839115443-252808396-2b8e0000019b3571ecff0aa086a7_800_800.jpg?w=640&amp;h=640</v>
      </c>
      <c r="F23" t="inlineStr">
        <is>
          <t>Pants</t>
        </is>
      </c>
      <c r="G23" t="inlineStr">
        <is>
          <t xml:space="preserve"> Essentials</t>
        </is>
      </c>
      <c r="H23" t="inlineStr">
        <is>
          <t>131.00</t>
        </is>
      </c>
      <c r="I23">
        <v>18.99</v>
      </c>
      <c r="J23" t="inlineStr">
        <is>
          <t>{"id":"chatcmpl-DWcGBKaIBzvZ2cW7eAz6H3hVmipuE","object":"chat.completion","created":1776665939,"model":"gpt-5-chat-latest","choices":[{"index":0,"message":{"role":"assistant","content":"Essentials FG7C Gray White Cotton Shorts","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23" t="inlineStr">
        <is>
          <t>Essentials FG7C Gray White Cotton Shorts</t>
        </is>
      </c>
      <c r="L23" t="inlineStr">
        <is>
          <t>{"choices":[{"finish_reason":"stop","index":0,"logprobs":null,"message":{"annotations":[],"content":"Essentials FG7C gray-white cotton shorts with elastic waistband and contrast drawstring, minimalist streetwear style, breathable loose fit for men and women, perfect for summer casual or sports.","refusal":null,"role":"assistant"}}],"created":1776659451,"id":"chatcmpl-DWaZXlmFIUIKI6ECMZk40mAoPQZ0Z","model":"gpt-5-chat-latest","object":"chat.completion","service_tier":"default","system_fingerprint":"fp_ad66631dec","usage":{"completion_tokens":38,"completion_tokens_details":{"accepted_prediction_tokens":0,"audio_tokens":0,"reasoning_tokens":0,"rejected_prediction_tokens":0},"prompt_tokens":925,"prompt_tokens_details":{"audio_tokens":0,"cached_tokens":0},"total_tokens":963}}</t>
        </is>
      </c>
      <c r="M23" t="inlineStr">
        <is>
          <t>{"alt-svc":"h3=\":443\"; ma=2592000","apim-request-id":"21e66a8e-53d3-4445-8301-69d9b7b91296","azureml-model-session":"d20260405234249-f9874baf","cache-control":"no-cache","connection":"close","content-length":"782","content-security-policy":"frame-ancestors 'self'","content-type":"application/json","date":"Mon, 20 Apr 2026 04:30:52 GMT","server":"nginx","skip-error-remapping":"true","strict-transport-security":"max-age=31536000; includeSubDomains; preload","via":"1.1 Caddy, 1.1 Caddy","x-api-request-id":"20260420123051163545619BOAmQZ4f","x-content-type-options":"nosniff","x-frame-options":"SAMEORIGIN","x-ms-client-request-id":"Not-Set","x-ms-is-spilled-over":"false","x-ms-rai-invoked":"true","x-ms-region":"East US 2","x-new-api-version":"0.4.39","x-oneapi-request-id":"20260420043051948717798268d9d6cZgfQkLH","x-ratelimit-abusepenalty-active":"False","x-ratelimit-limit-requests":"3850","x-ratelimit-limit-tokens":"3850000","x-ratelimit-remaining-requests":"3849","x-ratelimit-remaining-tokens":"3848313","x-ratelimit-renewalperiod-requests":"60","x-ratelimit-renewalperiod-tokens":"60","x-ratelimit-reset-requests":"15","x-ratelimit-reset-tokens":"26","x-request-id":"9f6eb1a4-a19b-4b22-9bb3-5782793b5f72"}</t>
        </is>
      </c>
      <c r="N23" t="inlineStr">
        <is>
          <t>Essentials FG7C gray-white cotton shorts with elastic waistband and contrast drawstring, minimalist streetwear style, breathable loose fit for men and women, perfect for summer casual or sports.</t>
        </is>
      </c>
      <c r="O23" t="inlineStr">
        <is>
          <t>{"choices":[{"finish_reason":"stop","index":0,"logprobs":null,"message":{"annotations":[],"content":"Essentials, Pants, kakobuy, kakebuy2026, kekobuysheet, kakobuysheet2026, 2026kakobuy, kakobuyspreadsheeet, kakobuylink, kakebuylist, Kakobuy MEGA Spreadsheet, kakobuysheetfind, kakobuysheetfind2026, 2026kakobuysheetfind, kakobuysheet2026","refusal":null,"role":"assistant"}}],"created":1776667116,"id":"chatcmpl-DWcZA6GjRlBo0VahonDvSbo5TQnH2","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23" t="inlineStr">
        <is>
          <t>Essentials, Pants, kakobuy, kakebuy2026, kekobuysheet, kakobuysheet2026, 2026kakobuy, kakobuyspreadsheeet, kakobuylink, kakebuylist, Kakobuy MEGA Spreadsheet, kakobuysheetfind, kakobuysheetfind2026, 2026kakobuysheetfind, kakobuysheet2026</t>
        </is>
      </c>
      <c r="Q23" t="inlineStr">
        <is>
          <t>Gray, White, Minimalist, Streetwear, Summer, Unisex</t>
        </is>
      </c>
      <c r="R23" t="inlineStr">
        <is>
          <t>recvh6xFVjMbUb</t>
        </is>
      </c>
      <c r="S23" t="inlineStr">
        <is>
          <t>essentials-fg7c-gray-white-cotton-shorts-recvh6xfvjmbub</t>
        </is>
      </c>
      <c r="T23"/>
      <c r="U23"/>
      <c r="V23"/>
      <c r="W23" t="inlineStr">
        <is>
          <t>{"id":"chatcmpl-DWZNOCPqQGeeo5oHQeGHsC6SUrNnf","object":"chat.completion","created":1776654854,"model":"gpt-5-chat-latest","choices":[{"index":0,"message":{"role":"assistant","content":"Essentials：灰白色休闲短裤，柔软棉质面料搭配弹力腰带与对比抽绳设计，简约印花“FG7C”标识彰显品牌街头感，宽松直筒剪裁舒适透气，男女皆宜，呈现现代极简美学，是夏日出街与运动休闲的理想之选。","refusal":null,"annotations":[]},"logprobs":null,"finish_reason":"stop"}],"usage":{"prompt_tokens":1315,"completion_tokens":89,"total_tokens":1404,"prompt_tokens_details":{"cached_tokens":0,"audio_tokens":0},"completion_tokens_details":{"reasoning_tokens":0,"audio_tokens":0,"accepted_prediction_tokens":0,"rejected_prediction_tokens":0}},"service_tier":"default","system_fingerprint":"fp_ad66631dec"}</t>
        </is>
      </c>
      <c r="X23" t="inlineStr">
        <is>
          <t>Essentials：灰白色休闲短裤，柔软棉质面料搭配弹力腰带与对比抽绳设计，简约印花“FG7C”标识彰显品牌街头感，宽松直筒剪裁舒适透气，男女皆宜，呈现现代极简美学，是夏日出街与运动休闲的理想之选。</t>
        </is>
      </c>
    </row>
    <row r="24" ht="25.5" customHeight="1">
      <c r="A24">
        <v>1839115443</v>
      </c>
      <c r="B24">
        <v>7638934462</v>
      </c>
      <c r="C24" t="inlineStr">
        <is>
          <t>https://weidian.com/item.html?itemID=7638934462</t>
        </is>
      </c>
      <c r="D24"/>
      <c r="E24" s="2" t="str">
        <f>=HYPERLINK("https://si.geilicdn.com/open1839115443-252808396-13f60000019b3570510f0a23b4de_800_800.jpg?w=640&amp;h=640", "https://si.geilicdn.com/open1839115443-252808396-13f60000019b3570510f0a23b4de_800_800.jpg?w=640&amp;h=640")</f>
        <v>https://si.geilicdn.com/open1839115443-252808396-13f60000019b3570510f0a23b4de_800_800.jpg?w=640&amp;h=640</v>
      </c>
      <c r="F24" t="inlineStr">
        <is>
          <t>T-Shirts</t>
        </is>
      </c>
      <c r="G24" t="inlineStr">
        <is>
          <t>Other</t>
        </is>
      </c>
      <c r="H24" t="inlineStr">
        <is>
          <t>103.00</t>
        </is>
      </c>
      <c r="I24">
        <v>14.93</v>
      </c>
      <c r="J24" t="inlineStr">
        <is>
          <t>{"choices":[{"finish_reason":"stop","index":0,"logprobs":null,"message":{"annotations":[],"content":"Metallica Vintage Black Sleeveless Rock T-Shirt","refusal":null,"role":"assistant"}}],"created":1776666683,"id":"chatcmpl-DWcSBzH9dqqxJeRDHyN1kfJGN4jIQ","model":"gpt-5-chat-latest","object":"chat.completion","service_tier":"default","system_fingerprint":"fp_ad66631dec","usage":{"completion_tokens":10,"completion_tokens_details":{"accepted_prediction_tokens":0,"audio_tokens":0,"reasoning_tokens":0,"rejected_prediction_tokens":0},"prompt_tokens":885,"prompt_tokens_details":{"audio_tokens":0,"cached_tokens":0},"total_tokens":895}}</t>
        </is>
      </c>
      <c r="K24" t="inlineStr">
        <is>
          <t>Metallica Vintage Black Sleeveless Rock T-Shirt</t>
        </is>
      </c>
      <c r="L24" t="inlineStr">
        <is>
          <t>{"choices":[{"finish_reason":"stop","index":0,"logprobs":null,"message":{"annotations":[],"content":"METALLICA Vintage Black Rock Sleeveless T-Shirt, washed cotton fabric, front and back band graphic prints, 80s heavy metal style, loose fit, unisex design, retro street fashion essential.","refusal":null,"role":"assistant"}}],"created":1776658958,"id":"chatcmpl-DWaRaI9h58Oh9vmUGyI69hBpfY2iU","model":"gpt-5-chat-latest","object":"chat.completion","service_tier":"default","system_fingerprint":"fp_ad66631dec","usage":{"completion_tokens":42,"completion_tokens_details":{"accepted_prediction_tokens":0,"audio_tokens":0,"reasoning_tokens":0,"rejected_prediction_tokens":0},"prompt_tokens":902,"prompt_tokens_details":{"audio_tokens":0,"cached_tokens":0},"total_tokens":944}}</t>
        </is>
      </c>
      <c r="M24" t="inlineStr">
        <is>
          <t>{"alt-svc":"h3=\":443\"; ma=2592000","apim-request-id":"92ca067f-12d0-4d5a-a69f-62bedc0bca91","azureml-model-session":"d20260405234249-f9874baf","cache-control":"no-cache","connection":"close","content-length":"775","content-security-policy":"frame-ancestors 'self'","content-type":"application/json","date":"Mon, 20 Apr 2026 04:22:39 GMT","server":"nginx","skip-error-remapping":"true","strict-transport-security":"max-age=31536000; includeSubDomains; preload","via":"1.1 Caddy, 1.1 Caddy","x-api-request-id":"2026042012223762083100173gUZVbl","x-content-type-options":"nosniff","x-frame-options":"SAMEORIGIN","x-ms-client-request-id":"Not-Set","x-ms-is-spilled-over":"false","x-ms-rai-invoked":"true","x-ms-region":"East US 2","x-new-api-version":"0.4.39","x-oneapi-request-id":"202604200422374448975298268d9d6vfYAfvtn","x-ratelimit-abusepenalty-active":"False","x-ratelimit-limit-requests":"3850","x-ratelimit-limit-tokens":"3850000","x-ratelimit-remaining-requests":"3849","x-ratelimit-remaining-tokens":"3848336","x-ratelimit-renewalperiod-requests":"60","x-ratelimit-renewalperiod-tokens":"60","x-ratelimit-reset-requests":"15","x-ratelimit-reset-tokens":"25","x-request-id":"d147535f-ef33-49fa-b0cc-6d936c9a13c3"}</t>
        </is>
      </c>
      <c r="N24" t="inlineStr">
        <is>
          <t>METALLICA Vintage Black Rock Sleeveless T-Shirt, washed cotton fabric, front and back band graphic prints, 80s heavy metal style, loose fit, unisex design, retro street fashion essential.</t>
        </is>
      </c>
      <c r="O24" t="inlineStr">
        <is>
          <t>{"id":"chatcmpl-DWceHiyRjKpWukkAx8wOIG5NXnhIT","object":"chat.completion","created":1776667433,"model":"gpt-5-chat-latest","choices":[{"index":0,"message":{"role":"assistant","content":"Metallica,T-Shirt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24" t="inlineStr">
        <is>
          <t>Metallica,T-Shirts,kakobuy,kakebuy2026,kekobuysheet,kakobuysheet2026,2026kakobuy,kakobuyspreadsheeet,kakobuylink,kakebuylist,Kakobuy MEGA Spreadsheet,kakobuysheetfind,kakobuysheetfind2026,2026kakobuysheetfind,kakobuysheet2026</t>
        </is>
      </c>
      <c r="Q24" t="inlineStr">
        <is>
          <t>Black, Retro, Streetwear, Unisex</t>
        </is>
      </c>
      <c r="R24" t="inlineStr">
        <is>
          <t>recvh6xFVj7edP</t>
        </is>
      </c>
      <c r="S24" t="inlineStr">
        <is>
          <t>metallica-vintage-black-sleeveless-rock-t-shirt-recvh6xFVj7edP</t>
        </is>
      </c>
      <c r="T24"/>
      <c r="U24"/>
      <c r="V24"/>
      <c r="W24" t="inlineStr">
        <is>
          <t>{"id":"chatcmpl-DWZfAUqIIfKqh21EWe14vz43sG5Zk","object":"chat.completion","created":1776655956,"model":"gpt-5-chat-latest","choices":[{"index":0,"message":{"role":"assistant","content":"复古黑色摇滚无袖T恤，采用洗水棉质面料，正反面经典乐队图腾印花设计，呈现80年代重金属音乐风格，剪裁宽松舒适，男女皆宜，街头复古潮流必备单品。","refusal":null,"annotations":[]},"logprobs":null,"finish_reason":"stop"}],"usage":{"prompt_tokens":1313,"completion_tokens":67,"total_tokens":1380,"prompt_tokens_details":{"cached_tokens":0,"audio_tokens":0},"completion_tokens_details":{"reasoning_tokens":0,"audio_tokens":0,"accepted_prediction_tokens":0,"rejected_prediction_tokens":0}},"service_tier":"default","system_fingerprint":"fp_ad66631dec"}</t>
        </is>
      </c>
      <c r="X24" t="inlineStr">
        <is>
          <t>复古黑色摇滚无袖T恤，采用洗水棉质面料，正反面经典乐队图腾印花设计，呈现80年代重金属音乐风格，剪裁宽松舒适，男女皆宜，街头复古潮流必备单品。</t>
        </is>
      </c>
    </row>
    <row r="25" ht="25.5" customHeight="1">
      <c r="A25">
        <v>1839115443</v>
      </c>
      <c r="B25">
        <v>7635954433</v>
      </c>
      <c r="C25" t="inlineStr">
        <is>
          <t>https://weidian.com/item.html?itemID=7635954433</t>
        </is>
      </c>
      <c r="D25"/>
      <c r="E25" s="2" t="str">
        <f>=HYPERLINK("https://si.geilicdn.com/open1839115443-252808396-13190000019b35675b520a22d249_800_800.jpg?w=640&amp;h=640", "https://si.geilicdn.com/open1839115443-252808396-13190000019b35675b520a22d249_800_800.jpg?w=640&amp;h=640")</f>
        <v>https://si.geilicdn.com/open1839115443-252808396-13190000019b35675b520a22d249_800_800.jpg?w=640&amp;h=640</v>
      </c>
      <c r="F25" t="inlineStr">
        <is>
          <t>T-Shirts</t>
        </is>
      </c>
      <c r="G25" t="inlineStr">
        <is>
          <t xml:space="preserve"> Essentials</t>
        </is>
      </c>
      <c r="H25" t="inlineStr">
        <is>
          <t>131.00</t>
        </is>
      </c>
      <c r="I25">
        <v>18.99</v>
      </c>
      <c r="J25" t="inlineStr">
        <is>
          <t>{"choices":[{"finish_reason":"stop","index":0,"logprobs":null,"message":{"annotations":[],"content":"Essentials Black 3D Logo Minimalist Cotton T-Shirt","refusal":null,"role":"assistant"}}],"created":1776665728,"id":"chatcmpl-DWcCmO2wGL221A1pQuc5VUgkKJjqC","model":"gpt-5-chat-latest","object":"chat.completion","service_tier":"default","system_fingerprint":"fp_ad66631dec","usage":{"completion_tokens":13,"completion_tokens_details":{"accepted_prediction_tokens":0,"audio_tokens":0,"reasoning_tokens":0,"rejected_prediction_tokens":0},"prompt_tokens":881,"prompt_tokens_details":{"audio_tokens":0,"cached_tokens":0},"total_tokens":894}}</t>
        </is>
      </c>
      <c r="K25" t="inlineStr">
        <is>
          <t>Essentials Black 3D Logo Minimalist Cotton T-Shirt</t>
        </is>
      </c>
      <c r="L25" t="inlineStr">
        <is>
          <t>{"choices":[{"finish_reason":"stop","index":0,"logprobs":null,"message":{"annotations":[],"content":"Essentials Black Minimalist T-Shirt, crafted from premium cotton for soft breathable comfort, features tonal 3D logo print, loose unisex fit, perfect for streetwear and daily minimal style.","refusal":null,"role":"assistant"}}],"created":1776659410,"id":"chatcmpl-DWaYse3HX3ptwKAAXaTFrjWQO99U3","model":"gpt-5-chat-latest","object":"chat.completion","service_tier":"default","system_fingerprint":"fp_ad66631dec","usage":{"completion_tokens":40,"completion_tokens_details":{"accepted_prediction_tokens":0,"audio_tokens":0,"reasoning_tokens":0,"rejected_prediction_tokens":0},"prompt_tokens":915,"prompt_tokens_details":{"audio_tokens":0,"cached_tokens":0},"total_tokens":955}}</t>
        </is>
      </c>
      <c r="M25" t="inlineStr">
        <is>
          <t>{"alt-svc":"h3=\":443\"; ma=2592000","apim-request-id":"50cef9e9-421a-4957-85fb-8769740e7dda","azureml-model-session":"d20260405212659-a9daa006","cache-control":"no-cache","connection":"close","content-length":"777","content-security-policy":"frame-ancestors 'self'","content-type":"application/json","date":"Mon, 20 Apr 2026 04:30:11 GMT","server":"nginx","skip-error-remapping":"true","strict-transport-security":"max-age=31536000; includeSubDomains; preload","via":"1.1 Caddy, 1.1 Caddy","x-api-request-id":"202604201230095242232753YmFPccm","x-content-type-options":"nosniff","x-frame-options":"SAMEORIGIN","x-ms-client-request-id":"Not-Set","x-ms-is-spilled-over":"false","x-ms-rai-invoked":"true","x-ms-region":"East US 2","x-new-api-version":"0.4.39","x-oneapi-request-id":"202604200430094580481088268d9d62sYA3ZVu","x-ratelimit-abusepenalty-active":"False","x-ratelimit-limit-requests":"50","x-ratelimit-limit-tokens":"50000","x-ratelimit-remaining-requests":"49","x-ratelimit-remaining-tokens":"48323","x-ratelimit-renewalperiod-requests":"60","x-ratelimit-renewalperiod-tokens":"60","x-ratelimit-reset-requests":"1200","x-ratelimit-reset-tokens":"2012","x-request-id":"1e2c1e5b-cc90-4081-99f4-283f6314ce65"}</t>
        </is>
      </c>
      <c r="N25" t="inlineStr">
        <is>
          <t>Essentials Black Minimalist T-Shirt, crafted from premium cotton for soft breathable comfort, features tonal 3D logo print, loose unisex fit, perfect for streetwear and daily minimal style.</t>
        </is>
      </c>
      <c r="O25" t="inlineStr">
        <is>
          <t>{"id":"chatcmpl-DWcabCjd2htIqwBLCtzfv88rjuQrN","object":"chat.completion","created":1776667205,"model":"gpt-5-chat-latest","choices":[{"index":0,"message":{"role":"assistant","content":"Essentials,T-Shir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25" t="inlineStr">
        <is>
          <t>Essentials,T-Shirt,kakobuy,kakebuy2026,kekobuysheet,kakobuysheet2026,2026kakobuy,kakobuyspreadsheeet,kakobuylink,kakebuylist,Kakobuy MEGA Spreadsheet,kakobuysheetfind,kakobuysheetfind2026,2026kakobuysheetfind,kakobuysheet2026</t>
        </is>
      </c>
      <c r="Q25" t="inlineStr">
        <is>
          <t>Black, Minimalist, Streetwear, Unisex, Breathable</t>
        </is>
      </c>
      <c r="R25" t="inlineStr">
        <is>
          <t>recvh6xFVjkFBH</t>
        </is>
      </c>
      <c r="S25" t="inlineStr">
        <is>
          <t>essentials-black-3d-logo-minimalist-cotton-t-shirt-recvh6xFVjkFBH</t>
        </is>
      </c>
      <c r="T25"/>
      <c r="U25"/>
      <c r="V25"/>
      <c r="W25" t="inlineStr">
        <is>
          <t>{"choices":[{"finish_reason":"stop","index":0,"logprobs":null,"message":{"annotations":[],"content":"Essentials：黑色简约系列短袖T恤，采用高品质纯棉面料，柔软舒适透气，胸前立体同色Logo印花彰显极简美学，宽松剪裁适合男女皆宜，街头休闲风格与现代极简设计完美融合，百搭日常穿搭必备单品。","refusal":null,"role":"assistant"}}],"created":1776656159,"id":"chatcmpl-DWZiRnwGJtBItnL4zu1rFcB3Gh7kF","model":"gpt-5-chat-latest","object":"chat.completion","service_tier":"default","system_fingerprint":"fp_ad66631dec","usage":{"completion_tokens":83,"completion_tokens_details":{"accepted_prediction_tokens":0,"audio_tokens":0,"reasoning_tokens":0,"rejected_prediction_tokens":0},"prompt_tokens":1307,"prompt_tokens_details":{"audio_tokens":0,"cached_tokens":0},"total_tokens":1390}}</t>
        </is>
      </c>
      <c r="X25" t="inlineStr">
        <is>
          <t>Essentials：黑色简约系列短袖T恤，采用高品质纯棉面料，柔软舒适透气，胸前立体同色Logo印花彰显极简美学，宽松剪裁适合男女皆宜，街头休闲风格与现代极简设计完美融合，百搭日常穿搭必备单品。</t>
        </is>
      </c>
    </row>
    <row r="26" ht="25.5" customHeight="1">
      <c r="A26">
        <v>1839115443</v>
      </c>
      <c r="B26">
        <v>7639061662</v>
      </c>
      <c r="C26" t="inlineStr">
        <is>
          <t>https://weidian.com/item.html?itemID=7639061662</t>
        </is>
      </c>
      <c r="D26"/>
      <c r="E26" s="2" t="str">
        <f>=HYPERLINK("https://si.geilicdn.com/open1839115443-252808396-11ee0000019b359086090a8133b0_1340_1785.jpg?w=640&amp;h=640", "https://si.geilicdn.com/open1839115443-252808396-11ee0000019b359086090a8133b0_1340_1785.jpg?w=640&amp;h=640")</f>
        <v>https://si.geilicdn.com/open1839115443-252808396-11ee0000019b359086090a8133b0_1340_1785.jpg?w=640&amp;h=640</v>
      </c>
      <c r="F26" t="inlineStr">
        <is>
          <t>Hoodies</t>
        </is>
      </c>
      <c r="G26" t="inlineStr">
        <is>
          <t>Other</t>
        </is>
      </c>
      <c r="H26" t="inlineStr">
        <is>
          <t>91.00</t>
        </is>
      </c>
      <c r="I26">
        <v>13.19</v>
      </c>
      <c r="J26" t="inlineStr">
        <is>
          <t>{"choices":[{"finish_reason":"stop","index":0,"logprobs":null,"message":{"annotations":[],"content":"Other Red Cartoon Graphic Streetwear Hoodie Unisex","refusal":null,"role":"assistant"}}],"created":1776665751,"id":"chatcmpl-DWcD9bP2S3O1JRPvvJq1KAGiHkKtA","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is>
      </c>
      <c r="K26" t="inlineStr">
        <is>
          <t>Other Red Cartoon Graphic Streetwear Hoodie Unisex</t>
        </is>
      </c>
      <c r="L26" t="inlineStr">
        <is>
          <t>{"choices":[{"finish_reason":"stop","index":0,"logprobs":null,"message":{"annotations":[],"content":"HoodiesOther red streetwear hoodie made of soft cotton, featuring cartoon band graphic print, loose fit and kangaroo pocket for comfort and style, unisex design perfect for daily trendy looks.","refusal":null,"role":"assistant"}}],"created":1776658896,"id":"chatcmpl-DWaQatD8SHg5WfMoM2BBP2lXzFiuv","model":"gpt-5-chat-latest","object":"chat.completion","service_tier":"default","system_fingerprint":"fp_ad66631dec","usage":{"completion_tokens":40,"completion_tokens_details":{"accepted_prediction_tokens":0,"audio_tokens":0,"reasoning_tokens":0,"rejected_prediction_tokens":0},"prompt_tokens":909,"prompt_tokens_details":{"audio_tokens":0,"cached_tokens":0},"total_tokens":949}}</t>
        </is>
      </c>
      <c r="M26" t="inlineStr">
        <is>
          <t>{"alt-svc":"h3=\":443\"; ma=2592000","apim-request-id":"4e8cf67f-1e01-49c8-bafe-ac305fb25061","azureml-model-session":"d20260402083108-57a85543","cache-control":"no-cache","connection":"close","content-length":"780","content-security-policy":"frame-ancestors 'self'","content-type":"application/json","date":"Mon, 20 Apr 2026 04:21:38 GMT","server":"nginx","skip-error-remapping":"true","strict-transport-security":"max-age=31536000; includeSubDomains; preload","via":"1.1 Caddy, 1.1 Caddy","x-api-request-id":"20260420122136178627183eUpoxsJx","x-content-type-options":"nosniff","x-frame-options":"SAMEORIGIN","x-ms-client-request-id":"Not-Set","x-ms-is-spilled-over":"false","x-ms-rai-invoked":"true","x-ms-region":"East US 2","x-new-api-version":"0.4.39","x-oneapi-request-id":"20260420042136617395438268d9d6C40P6dMQ","x-ratelimit-abusepenalty-active":"False","x-ratelimit-limit-requests":"3850","x-ratelimit-limit-tokens":"3850000","x-ratelimit-remaining-requests":"3849","x-ratelimit-remaining-tokens":"3848329","x-ratelimit-renewalperiod-requests":"60","x-ratelimit-renewalperiod-tokens":"60","x-ratelimit-reset-requests":"15","x-ratelimit-reset-tokens":"26","x-request-id":"bcd6202a-e000-42e9-8abc-8a028a772651"}</t>
        </is>
      </c>
      <c r="N26" t="inlineStr">
        <is>
          <t>HoodiesOther red streetwear hoodie made of soft cotton, featuring cartoon band graphic print, loose fit and kangaroo pocket for comfort and style, unisex design perfect for daily trendy looks.</t>
        </is>
      </c>
      <c r="O26" t="inlineStr">
        <is>
          <t>{"choices":[{"finish_reason":"stop","index":0,"logprobs":null,"message":{"annotations":[],"content":"Gorillaz,Hoodies,kakobuy,kakebuy2026,kekobuysheet,kakobuysheet2026,2026kakobuy,kakobuyspreadsheeet,kakobuylink,kakebuylist,Kakobuy MEGA Spreadsheet,kakobuysheetfind,kakobuysheetfind2026,2026kakobuysheetfind,kakobuysheet2026","refusal":null,"role":"assistant"}}],"created":1776667919,"id":"chatcmpl-DWcm7FTk3DDmqPSV4AzCR5mU6XcbG","model":"gpt-5-chat-latest","object":"chat.completion","service_tier":"default","system_fingerprint":"fp_ad66631dec","usage":{"completion_tokens":90,"completion_tokens_details":{"accepted_prediction_tokens":0,"audio_tokens":0,"reasoning_tokens":0,"rejected_prediction_tokens":0},"prompt_tokens":783,"prompt_tokens_details":{"audio_tokens":0,"cached_tokens":0},"total_tokens":873}}</t>
        </is>
      </c>
      <c r="P26" t="inlineStr">
        <is>
          <t>Gorillaz,Hoodies,kakobuy,kakebuy2026,kekobuysheet,kakobuysheet2026,2026kakobuy,kakobuyspreadsheeet,kakobuylink,kakebuylist,Kakobuy MEGA Spreadsheet,kakobuysheetfind,kakobuysheetfind2026,2026kakobuysheetfind,kakobuysheet2026</t>
        </is>
      </c>
      <c r="Q26" t="inlineStr">
        <is>
          <t>Streetwear, Unisex, Comfort</t>
        </is>
      </c>
      <c r="R26" t="inlineStr">
        <is>
          <t>recvh6xFVjhx1B</t>
        </is>
      </c>
      <c r="S26" t="inlineStr">
        <is>
          <t>other-red-cartoon-graphic-streetwear-hoodie-recvh6xFVjhx1B</t>
        </is>
      </c>
      <c r="T26"/>
      <c r="U26"/>
      <c r="V26"/>
      <c r="W26" t="inlineStr">
        <is>
          <t>{"choices":[{"finish_reason":"stop","index":0,"logprobs":null,"message":{"annotations":[],"content":"红色街头系列连帽卫衣，采用柔软棉质面料，胸前印有卡通乐队人物图腾，展现复古潮流艺术风格，宽松版型与前袋设计兼具舒适与个性，男女皆宜，日常穿搭尽显时尚态度。","refusal":null,"role":"assistant"}}],"created":1776655356,"id":"chatcmpl-DWZVUjqqiEc3rkIzp8kWbbO5c5LFs","model":"gpt-5-chat-latest","object":"chat.completion","service_tier":"default","system_fingerprint":"fp_ad66631dec","usage":{"completion_tokens":73,"completion_tokens_details":{"accepted_prediction_tokens":0,"audio_tokens":0,"reasoning_tokens":0,"rejected_prediction_tokens":0},"prompt_tokens":1314,"prompt_tokens_details":{"audio_tokens":0,"cached_tokens":0},"total_tokens":1387}}</t>
        </is>
      </c>
      <c r="X26" t="inlineStr">
        <is>
          <t>红色街头系列连帽卫衣，采用柔软棉质面料，胸前印有卡通乐队人物图腾，展现复古潮流艺术风格，宽松版型与前袋设计兼具舒适与个性，男女皆宜，日常穿搭尽显时尚态度。</t>
        </is>
      </c>
    </row>
    <row r="27" ht="25.5" customHeight="1">
      <c r="A27">
        <v>1839115443</v>
      </c>
      <c r="B27">
        <v>7635927391</v>
      </c>
      <c r="C27" t="inlineStr">
        <is>
          <t>https://weidian.com/item.html?itemID=7635927391</t>
        </is>
      </c>
      <c r="D27"/>
      <c r="E27" s="2" t="str">
        <f>=HYPERLINK("https://si.geilicdn.com/open1839115443-252808396-07720000019b357b0c8c0a8133b0_800_800.jpg?w=640&amp;h=640", "https://si.geilicdn.com/open1839115443-252808396-07720000019b357b0c8c0a8133b0_800_800.jpg?w=640&amp;h=640")</f>
        <v>https://si.geilicdn.com/open1839115443-252808396-07720000019b357b0c8c0a8133b0_800_800.jpg?w=640&amp;h=640</v>
      </c>
      <c r="F27" t="inlineStr">
        <is>
          <t>Hoodies</t>
        </is>
      </c>
      <c r="G27" t="inlineStr">
        <is>
          <t xml:space="preserve"> Essentials</t>
        </is>
      </c>
      <c r="H27" t="inlineStr">
        <is>
          <t>161.00</t>
        </is>
      </c>
      <c r="I27">
        <v>23.33</v>
      </c>
      <c r="J27" t="inlineStr">
        <is>
          <t>{"id":"chatcmpl-DWcR4CJ2EF1w72w8E59NjriF4zbVt","object":"chat.completion","created":1776666614,"model":"gpt-5-chat-latest","choices":[{"index":0,"message":{"role":"assistant","content":"Fear of God Essentials Oversized Unisex White Hoodie","refusal":null,"annotations":[]},"logprobs":null,"finish_reason":"stop"}],"usage":{"prompt_tokens":872,"completion_tokens":11,"total_tokens":883,"prompt_tokens_details":{"cached_tokens":0,"audio_tokens":0},"completion_tokens_details":{"reasoning_tokens":0,"audio_tokens":0,"accepted_prediction_tokens":0,"rejected_prediction_tokens":0}},"service_tier":"default","system_fingerprint":"fp_ad66631dec"}</t>
        </is>
      </c>
      <c r="K27" t="inlineStr">
        <is>
          <t>Fear of God Essentials Oversized Unisex White Hoodie</t>
        </is>
      </c>
      <c r="L27" t="inlineStr">
        <is>
          <t>{"choices":[{"finish_reason":"stop","index":0,"logprobs":null,"message":{"annotations":[],"content":"Fear of God Essentials hoodie: soft cotton fabric, iconic logo design, oversized unisex fit, white color, combines comfort and street style, perfect for casual everyday wear.","refusal":null,"role":"assistant"}}],"created":1776658228,"id":"chatcmpl-DWaFodvah4nAUewZfdRjv5zcZWy9Q","model":"gpt-5-chat-latest","object":"chat.completion","service_tier":"default","system_fingerprint":"fp_ad66631dec","usage":{"completion_tokens":35,"completion_tokens_details":{"accepted_prediction_tokens":0,"audio_tokens":0,"reasoning_tokens":0,"rejected_prediction_tokens":0},"prompt_tokens":906,"prompt_tokens_details":{"audio_tokens":0,"cached_tokens":0},"total_tokens":941}}</t>
        </is>
      </c>
      <c r="M27" t="inlineStr">
        <is>
          <t>{"alt-svc":"h3=\":443\"; ma=2592000","apim-request-id":"5d836ee0-b207-4071-8796-d008227eac5f","azureml-model-session":"d20260405212659-a9daa006","cache-control":"no-cache","connection":"close","content-length":"762","content-security-policy":"frame-ancestors 'self'","content-type":"application/json","date":"Mon, 20 Apr 2026 04:10:30 GMT","server":"Caddy","skip-error-remapping":"true","strict-transport-security":"max-age=31536000; includeSubDomains; preload","via":"1.1 Caddy","x-api-request-id":"202604201210281920321862aFCGZ1e","x-content-type-options":"nosniff","x-frame-options":"SAMEORIGIN","x-ms-client-request-id":"Not-Set","x-ms-is-spilled-over":"false","x-ms-rai-invoked":"true","x-ms-region":"East US 2","x-new-api-version":"0.4.39","x-oneapi-request-id":"202604200410281020657578268d9d6Kwe4JqxP","x-ratelimit-abusepenalty-active":"False","x-ratelimit-limit-requests":"3850","x-ratelimit-limit-tokens":"3850000","x-ratelimit-remaining-requests":"3849","x-ratelimit-remaining-tokens":"3848332","x-ratelimit-renewalperiod-requests":"60","x-ratelimit-renewalperiod-tokens":"60","x-ratelimit-reset-requests":"15","x-ratelimit-reset-tokens":"25","x-request-id":"b5a107d7-8f70-48b4-8ad2-10558a567d85"}</t>
        </is>
      </c>
      <c r="N27" t="inlineStr">
        <is>
          <t>Fear of God Essentials hoodie: soft cotton fabric, iconic logo design, oversized unisex fit, white color, combines comfort and street style, perfect for casual everyday wear.</t>
        </is>
      </c>
      <c r="O27" t="inlineStr">
        <is>
          <t>{"choices":[{"finish_reason":"stop","index":0,"logprobs":null,"message":{"annotations":[],"content":"Fear of God Essentials,Hoodies,kakobuy,kakebuy2026,kekobuysheet,kakobuysheet2026,2026kakobuy,kakobuyspreadsheeet,kakobuylink,kakebuylist,Kakobuy MEGA Spreadsheet,kakobuysheetfind,kakobuysheetfind2026,2026kakobuysheetfind,kakobuysheet2026","refusal":null,"role":"assistant"}}],"created":1776668471,"id":"chatcmpl-DWcv1nHrA8pnSJriNfcRBgt9Ph4RG","model":"gpt-5-chat-latest","object":"chat.completion","service_tier":"default","system_fingerprint":"fp_ad66631dec","usage":{"completion_tokens":90,"completion_tokens_details":{"accepted_prediction_tokens":0,"audio_tokens":0,"reasoning_tokens":0,"rejected_prediction_tokens":0},"prompt_tokens":783,"prompt_tokens_details":{"audio_tokens":0,"cached_tokens":0},"total_tokens":873}}</t>
        </is>
      </c>
      <c r="P27" t="inlineStr">
        <is>
          <t>Fear of God Essentials,Hoodies,kakobuy,kakebuy2026,kekobuysheet,kakobuysheet2026,2026kakobuy,kakobuyspreadsheeet,kakobuylink,kakebuylist,Kakobuy MEGA Spreadsheet,kakobuysheetfind,kakobuysheetfind2026,2026kakobuysheetfind,kakobuysheet2026</t>
        </is>
      </c>
      <c r="Q27" t="inlineStr">
        <is>
          <t>White, Unisex, Streetwear, Comfort</t>
        </is>
      </c>
      <c r="R27" t="inlineStr">
        <is>
          <t>recvh6xFVjeH0H</t>
        </is>
      </c>
      <c r="S27" t="inlineStr">
        <is>
          <t>fear-of-god-essentials-oversized-white-hoodie-recvh6xfvjeh0h</t>
        </is>
      </c>
      <c r="T27"/>
      <c r="U27"/>
      <c r="V27"/>
      <c r="W27" t="inlineStr">
        <is>
          <t>{"choices":[{"finish_reason":"stop","index":0,"logprobs":null,"message":{"annotations":[],"content":"Essentials：白色连帽卫衣，柔软棉质面料打造，胸前印有标志性品牌字样，简约宽松版型设计，男女皆宜，展现美式街头休闲风格，兼具舒适与时尚，适合日常穿搭。","refusal":null,"role":"assistant"}}],"created":1776655370,"id":"chatcmpl-DWZViE1bQpANSrRKPlNGf6jbY7lv0","model":"gpt-5-chat-latest","object":"chat.completion","service_tier":"default","system_fingerprint":"fp_ad66631dec","usage":{"completion_tokens":69,"completion_tokens_details":{"accepted_prediction_tokens":0,"audio_tokens":0,"reasoning_tokens":0,"rejected_prediction_tokens":0},"prompt_tokens":1316,"prompt_tokens_details":{"audio_tokens":0,"cached_tokens":0},"total_tokens":1385}}</t>
        </is>
      </c>
      <c r="X27" t="inlineStr">
        <is>
          <t>Essentials：白色连帽卫衣，柔软棉质面料打造，胸前印有标志性品牌字样，简约宽松版型设计，男女皆宜，展现美式街头休闲风格，兼具舒适与时尚，适合日常穿搭。</t>
        </is>
      </c>
    </row>
    <row r="28" ht="25.5" customHeight="1">
      <c r="A28">
        <v>1839115443</v>
      </c>
      <c r="B28">
        <v>7635923451</v>
      </c>
      <c r="C28" t="inlineStr">
        <is>
          <t>https://weidian.com/item.html?itemID=7635923451</t>
        </is>
      </c>
      <c r="D28"/>
      <c r="E28" s="2" t="str">
        <f>=HYPERLINK("https://si.geilicdn.com/open1839115443-252808396-17dc0000019b357969830a23b4de_1920_1920.jpg?w=640&amp;h=640", "https://si.geilicdn.com/open1839115443-252808396-17dc0000019b357969830a23b4de_1920_1920.jpg?w=640&amp;h=640")</f>
        <v>https://si.geilicdn.com/open1839115443-252808396-17dc0000019b357969830a23b4de_1920_1920.jpg?w=640&amp;h=640</v>
      </c>
      <c r="F28" t="inlineStr">
        <is>
          <t>Hoodies</t>
        </is>
      </c>
      <c r="G28" t="inlineStr">
        <is>
          <t>Trapstar</t>
        </is>
      </c>
      <c r="H28" t="inlineStr">
        <is>
          <t>120.00</t>
        </is>
      </c>
      <c r="I28">
        <v>17.39</v>
      </c>
      <c r="J28" t="inlineStr">
        <is>
          <t>{"choices":[{"finish_reason":"stop","index":0,"logprobs":null,"message":{"annotations":[],"content":"Trapstar Grey Pink Graffiti Cotton Unisex Hoodie","refusal":null,"role":"assistant"}}],"created":1776666193,"id":"chatcmpl-DWcKHsLPpp82izf0fkfwNXSqst3O7","model":"gpt-5-chat-latest","object":"chat.completion","service_tier":"default","system_fingerprint":"fp_ad66631dec","usage":{"completion_tokens":11,"completion_tokens_details":{"accepted_prediction_tokens":0,"audio_tokens":0,"reasoning_tokens":0,"rejected_prediction_tokens":0},"prompt_tokens":877,"prompt_tokens_details":{"audio_tokens":0,"cached_tokens":0},"total_tokens":888}}</t>
        </is>
      </c>
      <c r="K28" t="inlineStr">
        <is>
          <t>Trapstar Grey Pink Graffiti Cotton Unisex Hoodie</t>
        </is>
      </c>
      <c r="L28" t="inlineStr">
        <is>
          <t>{"choices":[{"finish_reason":"stop","index":0,"logprobs":null,"message":{"annotations":[],"content":"Trapstar Grey Pink Hoodie crafted from premium soft cotton, featuring pink graffiti logo on hood, tonal drawstrings, and unisex relaxed fit for urban streetwear and casual British style.","refusal":null,"role":"assistant"}}],"created":1776659295,"id":"chatcmpl-DWaX1RkCcBk9qBuj8Nf40rg9IsoMW","model":"gpt-5-chat-latest","object":"chat.completion","service_tier":"default","system_fingerprint":"fp_ad66631dec","usage":{"completion_tokens":37,"completion_tokens_details":{"accepted_prediction_tokens":0,"audio_tokens":0,"reasoning_tokens":0,"rejected_prediction_tokens":0},"prompt_tokens":923,"prompt_tokens_details":{"audio_tokens":0,"cached_tokens":0},"total_tokens":960}}</t>
        </is>
      </c>
      <c r="M28" t="inlineStr">
        <is>
          <t>{"alt-svc":"h3=\":443\"; ma=2592000","apim-request-id":"8ed188e6-e72c-4695-a0a9-697529cb74f9","azureml-model-session":"d20260402083108-57a85543","cache-control":"no-cache","connection":"close","content-length":"774","content-security-policy":"frame-ancestors 'self'","content-type":"application/json","date":"Mon, 20 Apr 2026 04:28:17 GMT","server":"Caddy","skip-error-remapping":"true","strict-transport-security":"max-age=31536000; includeSubDomains; preload","via":"1.1 Caddy","x-api-request-id":"20260420122815153246192H8aFYYRs","x-content-type-options":"nosniff","x-frame-options":"SAMEORIGIN","x-ms-client-request-id":"Not-Set","x-ms-is-spilled-over":"false","x-ms-rai-invoked":"true","x-ms-region":"East US 2","x-new-api-version":"0.4.39","x-oneapi-request-id":"20260420042815848894538268d9d6UXPWlg85","x-ratelimit-abusepenalty-active":"False","x-ratelimit-limit-requests":"3850","x-ratelimit-limit-tokens":"3850000","x-ratelimit-remaining-requests":"3849","x-ratelimit-remaining-tokens":"3846398","x-ratelimit-renewalperiod-requests":"60","x-ratelimit-renewalperiod-tokens":"60","x-ratelimit-reset-requests":"15","x-ratelimit-reset-tokens":"56","x-request-id":"355099cc-00dd-42eb-947b-4e9e9af927ea"}</t>
        </is>
      </c>
      <c r="N28" t="inlineStr">
        <is>
          <t>Trapstar Grey Pink Hoodie crafted from premium soft cotton, featuring pink graffiti logo on hood, tonal drawstrings, and unisex relaxed fit for urban streetwear and casual British style.</t>
        </is>
      </c>
      <c r="O28" t="inlineStr">
        <is>
          <t>{"choices":[{"finish_reason":"stop","index":0,"logprobs":null,"message":{"annotations":[],"content":"Trapstar,Hoodie,kakobuy,kakebuy2026,kekobuysheet,kakobuysheet2026,2026kakobuy,kakobuyspreadsheeet,kakobuylink,kakebuylist,Kakobuy MEGA Spreadsheet,kakobuysheetfind,kakobuysheetfind2026,2026kakobuysheetfind,kakobuysheet2026","refusal":null,"role":"assistant"}}],"created":1776667576,"id":"chatcmpl-DWcgaEVdhGgpWlGzNTk2MMLEzaNIY","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28" t="inlineStr">
        <is>
          <t>Trapstar,Hoodie,kakobuy,kakebuy2026,kekobuysheet,kakobuysheet2026,2026kakobuy,kakobuyspreadsheeet,kakobuylink,kakebuylist,Kakobuy MEGA Spreadsheet,kakobuysheetfind,kakobuysheetfind2026,2026kakobuysheetfind,kakobuysheet2026</t>
        </is>
      </c>
      <c r="Q28" t="inlineStr">
        <is>
          <t>Grey Pink, Streetwear, Unisex</t>
        </is>
      </c>
      <c r="R28" t="inlineStr">
        <is>
          <t>recvh6xFVjsD87</t>
        </is>
      </c>
      <c r="S28" t="inlineStr">
        <is>
          <t>trapstar-grey-pink-graffiti-hoodie-recvh6xFVjsD87</t>
        </is>
      </c>
      <c r="T28"/>
      <c r="U28"/>
      <c r="V28"/>
      <c r="W28" t="inlineStr">
        <is>
          <t>{"id":"chatcmpl-DWZfxrwu9ltMw6CJCOIsHUMYcsBpF","object":"chat.completion","created":1776656005,"model":"gpt-5-chat-latest","choices":[{"index":0,"message":{"role":"assistant","content":"Trapstar灰粉色连帽卫衣，采用柔软优质棉质面料，兜帽饰以粉色街头涂鸦字母图腾，搭配同色系抽绳细节。宽松版型设计适合男女穿搭，融合英式街头潮流与休闲风范，体现都市年轻态度与个性魅力。","refusal":null,"annotations":[]},"logprobs":null,"finish_reason":"stop"}],"usage":{"prompt_tokens":1317,"completion_tokens":86,"total_tokens":1403,"prompt_tokens_details":{"cached_tokens":0,"audio_tokens":0},"completion_tokens_details":{"reasoning_tokens":0,"audio_tokens":0,"accepted_prediction_tokens":0,"rejected_prediction_tokens":0}},"service_tier":"default","system_fingerprint":"fp_ad66631dec"}</t>
        </is>
      </c>
      <c r="X28" t="inlineStr">
        <is>
          <t>Trapstar灰粉色连帽卫衣，采用柔软优质棉质面料，兜帽饰以粉色街头涂鸦字母图腾，搭配同色系抽绳细节。宽松版型设计适合男女穿搭，融合英式街头潮流与休闲风范，体现都市年轻态度与个性魅力。</t>
        </is>
      </c>
    </row>
    <row r="29" ht="25.5" customHeight="1">
      <c r="A29">
        <v>1839115443</v>
      </c>
      <c r="B29">
        <v>7638987822</v>
      </c>
      <c r="C29" t="inlineStr">
        <is>
          <t>https://weidian.com/item.html?itemID=7638987822</t>
        </is>
      </c>
      <c r="D29"/>
      <c r="E29" s="2" t="str">
        <f>=HYPERLINK("https://si.geilicdn.com/open1839115443-252808396-1c970000019b357751300a22d249_800_800.jpg?w=640&amp;h=640", "https://si.geilicdn.com/open1839115443-252808396-1c970000019b357751300a22d249_800_800.jpg?w=640&amp;h=640")</f>
        <v>https://si.geilicdn.com/open1839115443-252808396-1c970000019b357751300a22d249_800_800.jpg?w=640&amp;h=640</v>
      </c>
      <c r="F29" t="inlineStr">
        <is>
          <t>Hoodies</t>
        </is>
      </c>
      <c r="G29" t="inlineStr">
        <is>
          <t xml:space="preserve"> Essentials</t>
        </is>
      </c>
      <c r="H29" t="inlineStr">
        <is>
          <t>239.00</t>
        </is>
      </c>
      <c r="I29">
        <v>34.64</v>
      </c>
      <c r="J29" t="inlineStr">
        <is>
          <t>{"choices":[{"finish_reason":"stop","index":0,"logprobs":null,"message":{"annotations":[],"content":"Essentials Fear of God Off White Hoodie Unisex","refusal":null,"role":"assistant"}}],"created":1776666494,"id":"chatcmpl-DWcP8X26HPYxyV6TUhPesG9oTBOLQ","model":"gpt-5-chat-latest","object":"chat.completion","service_tier":"default","system_fingerprint":"fp_ad66631dec","usage":{"completion_tokens":11,"completion_tokens_details":{"accepted_prediction_tokens":0,"audio_tokens":0,"reasoning_tokens":0,"rejected_prediction_tokens":0},"prompt_tokens":882,"prompt_tokens_details":{"audio_tokens":0,"cached_tokens":0},"total_tokens":893}}</t>
        </is>
      </c>
      <c r="K29" t="inlineStr">
        <is>
          <t>Essentials Fear of God Off White Hoodie Unisex</t>
        </is>
      </c>
      <c r="L29" t="inlineStr">
        <is>
          <t>{"id":"chatcmpl-DWaI396oyaTx0otSG1HpgVnCBNi0D","object":"chat.completion","created":1776658367,"model":"gpt-5-chat-latest","choices":[{"index":0,"message":{"role":"assistant","content":"Essentials Fear of God hoodie in off-white cotton, soft and breathable fabric, black logo print on back, relaxed unisex fit, perfect for streetwear, commute, and everyday urban style.","refusal":null,"annotations":[]},"logprobs":null,"finish_reason":"stop"}],"usage":{"prompt_tokens":893,"completion_tokens":40,"total_tokens":933,"prompt_tokens_details":{"cached_tokens":0,"audio_tokens":0},"completion_tokens_details":{"reasoning_tokens":0,"audio_tokens":0,"accepted_prediction_tokens":0,"rejected_prediction_tokens":0}},"service_tier":"default","system_fingerprint":"fp_ad66631dec"}</t>
        </is>
      </c>
      <c r="M2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ma=2592000","apim-request-id":"bc7cc086-a22c-4fbc-a6f3-dd9e845eb96f","azureml-model-session":"d20260405234249-f9874baf","cache-control":"no-cache, no-store, must-revalidate","connection":"close","content-length":"987","content-security-policy":"frame-ancestors 'self'","content-type":"application/json","date":"Mon, 20 Apr 2026 04:12:48 GMT","server":"Caddy","skip-error-remapping":"true","strict-transport-security":"max-age=31536000; includeSubDomains; preload","via":"1.1 Caddy","x-api-request-id":"20260420121246667639524UNzMdt0U","x-content-type-options":"nosniff","x-frame-options":"SAMEORIGIN","x-ms-is-spilled-over":"false","x-ms-rai-invoked":"false","x-ms-region":"East US 2","x-new-api-version":"0.4.39","x-oneapi-request-id":"202604200412465373547318268d9d6hxGEjyFX","x-ratelimit-abusepenalty-active":"False","x-ratelimit-limit-requests":"4994","x-ratelimit-limit-tokens":"4994000","x-ratelimit-remaining-requests":"4993","x-ratelimit-remaining-tokens":"4992345","x-ratelimit-renewalperiod-requests":"60","x-ratelimit-renewalperiod-tokens":"60","x-ratelimit-reset-requests":"12","x-ratelimit-reset-tokens":"19","x-request-id":"c1d61af2-e954-4a3a-8386-579a464de1aa"}</t>
        </is>
      </c>
      <c r="N29" t="inlineStr">
        <is>
          <t>Essentials Fear of God hoodie in off-white cotton, soft and breathable fabric, black logo print on back, relaxed unisex fit, perfect for streetwear, commute, and everyday urban style.</t>
        </is>
      </c>
      <c r="O29" t="inlineStr">
        <is>
          <t>{"choices":[{"finish_reason":"stop","index":0,"logprobs":null,"message":{"annotations":[],"content":"Essentials, Hoodies, kakobuy, kakebuy2026, kekobuysheet, kakobuysheet2026, 2026kakobuy, kakobuyspreadsheeet, kakobuylink, kakebuylist, Kakobuy MEGA Spreadsheet, kakobuysheetfind, kakobuysheetfind2026, 2026kakobuysheetfind, kakobuysheet2026","refusal":null,"role":"assistant"}}],"created":1776667803,"id":"chatcmpl-DWckFvW56CgnSx9URU1rOruEaOVe8","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29" t="inlineStr">
        <is>
          <t>Essentials, Hoodies, kakobuy, kakebuy2026, kekobuysheet, kakobuysheet2026, 2026kakobuy, kakobuyspreadsheeet, kakobuylink, kakebuylist, Kakobuy MEGA Spreadsheet, kakobuysheetfind, kakobuysheetfind2026, 2026kakobuysheetfind, kakobuysheet2026</t>
        </is>
      </c>
      <c r="Q29" t="inlineStr">
        <is>
          <t>Streetwear, Unisex, Breathable, White</t>
        </is>
      </c>
      <c r="R29" t="inlineStr">
        <is>
          <t>recvh6xFVjuqBr</t>
        </is>
      </c>
      <c r="S29" t="inlineStr">
        <is>
          <t>fear-of-god-off-white-hoodie-recvh6xFVjuqBr</t>
        </is>
      </c>
      <c r="T29"/>
      <c r="U29"/>
      <c r="V29"/>
      <c r="W29" t="inlineStr">
        <is>
          <t>{"choices":[{"finish_reason":"stop","index":0,"logprobs":null,"message":{"annotations":[],"content":"Essentials：米白色连帽卫衣，柔软纯棉面料，背部印有经典黑色LOGO字样，宽松中性剪裁，街头休闲风格设计，适合日常通勤与都市时尚穿搭。","refusal":null,"role":"assistant"}}],"created":1776656088,"id":"chatcmpl-DWZhIlb9fwYzsFs9g2xvIVT3TlYq5","model":"gpt-5-chat-latest","object":"chat.completion","service_tier":"default","system_fingerprint":"fp_ad66631dec","usage":{"completion_tokens":60,"completion_tokens_details":{"accepted_prediction_tokens":0,"audio_tokens":0,"reasoning_tokens":0,"rejected_prediction_tokens":0},"prompt_tokens":1308,"prompt_tokens_details":{"audio_tokens":0,"cached_tokens":0},"total_tokens":1368}}</t>
        </is>
      </c>
      <c r="X29" t="inlineStr">
        <is>
          <t>Essentials：米白色连帽卫衣，柔软纯棉面料，背部印有经典黑色LOGO字样，宽松中性剪裁，街头休闲风格设计，适合日常通勤与都市时尚穿搭。</t>
        </is>
      </c>
    </row>
    <row r="30" ht="25.5" customHeight="1">
      <c r="A30">
        <v>1839115443</v>
      </c>
      <c r="B30">
        <v>7638979870</v>
      </c>
      <c r="C30" t="inlineStr">
        <is>
          <t>https://weidian.com/item.html?itemID=7638979870</t>
        </is>
      </c>
      <c r="D30"/>
      <c r="E30" s="2" t="str">
        <f>=HYPERLINK("https://si.geilicdn.com/open1839115443-252808396-1b650000019b3574ef6e0a22d249_800_800.jpg?w=640&amp;h=640", "https://si.geilicdn.com/open1839115443-252808396-1b650000019b3574ef6e0a22d249_800_800.jpg?w=640&amp;h=640")</f>
        <v>https://si.geilicdn.com/open1839115443-252808396-1b650000019b3574ef6e0a22d249_800_800.jpg?w=640&amp;h=640</v>
      </c>
      <c r="F30" t="inlineStr">
        <is>
          <t>Pants</t>
        </is>
      </c>
      <c r="G30" t="inlineStr">
        <is>
          <t>Cactus Jack</t>
        </is>
      </c>
      <c r="H30" t="inlineStr">
        <is>
          <t>135.00</t>
        </is>
      </c>
      <c r="I30">
        <v>19.5797101449275</v>
      </c>
      <c r="J30" t="inlineStr">
        <is>
          <t>{"id":"chatcmpl-DWcTFuUsSCjRxpSyqCXKHvGoY507P","object":"chat.completion","created":1776666749,"model":"gpt-5-chat-latest","choices":[{"index":0,"message":{"role":"assistant","content":"Cactus Jack Flame Dog Sun Print Street Shorts","refusal":null,"annotations":[]},"logprobs":null,"finish_reason":"stop"}],"usage":{"prompt_tokens":883,"completion_tokens":10,"total_tokens":893,"prompt_tokens_details":{"cached_tokens":0,"audio_tokens":0},"completion_tokens_details":{"reasoning_tokens":0,"audio_tokens":0,"accepted_prediction_tokens":0,"rejected_prediction_tokens":0}},"service_tier":"default","system_fingerprint":"fp_ad66631dec"}</t>
        </is>
      </c>
      <c r="K30" t="inlineStr">
        <is>
          <t>Cactus Jack Flame Dog Sun Print Street Shorts</t>
        </is>
      </c>
      <c r="L30" t="inlineStr">
        <is>
          <t>{"choices":[{"finish_reason":"stop","index":0,"logprobs":null,"message":{"annotations":[],"content":"Cactus Jack Pants: Dark brown street-style cotton shorts with flame dog and sun totem prints, soft and breathable, loose fit with elastic waist, unisex design showing retro urban art vibes.","refusal":null,"role":"assistant"}}],"created":1776658433,"id":"chatcmpl-DWaJ7He8G7p98be37vkhyXF2rdciM","model":"gpt-5-chat-latest","object":"chat.completion","service_tier":"default","system_fingerprint":"fp_ad66631dec","usage":{"completion_tokens":40,"completion_tokens_details":{"accepted_prediction_tokens":0,"audio_tokens":0,"reasoning_tokens":0,"rejected_prediction_tokens":0},"prompt_tokens":916,"prompt_tokens_details":{"audio_tokens":0,"cached_tokens":0},"total_tokens":956}}</t>
        </is>
      </c>
      <c r="M30" t="inlineStr">
        <is>
          <t>{"alt-svc":"h3=\":443\"; ma=2592000","apim-request-id":"84544ffa-ca8f-481f-b1a8-56dda26c7d15","azureml-model-session":"d20260402074105-51db401e","cache-control":"no-cache","connection":"close","content-length":"777","content-security-policy":"frame-ancestors 'self'","content-type":"application/json","date":"Mon, 20 Apr 2026 04:13:54 GMT","server":"nginx","skip-error-remapping":"true","strict-transport-security":"max-age=31536000; includeSubDomains; preload","via":"1.1 Caddy, 1.1 Caddy","x-api-request-id":"20260420121352624578386Yb6WN6gh","x-content-type-options":"nosniff","x-frame-options":"SAMEORIGIN","x-ms-client-request-id":"Not-Set","x-ms-is-spilled-over":"false","x-ms-rai-invoked":"true","x-ms-region":"East US 2","x-new-api-version":"0.4.39","x-oneapi-request-id":"202604200413525582539688268d9d6JBdmB7uo","x-ratelimit-abusepenalty-active":"False","x-ratelimit-limit-requests":"3850","x-ratelimit-limit-tokens":"3850000","x-ratelimit-remaining-requests":"3849","x-ratelimit-remaining-tokens":"3848322","x-ratelimit-renewalperiod-requests":"60","x-ratelimit-renewalperiod-tokens":"60","x-ratelimit-reset-requests":"15","x-ratelimit-reset-tokens":"26","x-request-id":"bcd47282-b812-4cf7-ba42-003ba8f9c3eb"}</t>
        </is>
      </c>
      <c r="N30" t="inlineStr">
        <is>
          <t>Cactus Jack Pants: Dark brown street-style cotton shorts with flame dog and sun totem prints, soft and breathable, loose fit with elastic waist, unisex design showing retro urban art vibes.</t>
        </is>
      </c>
      <c r="O30" t="inlineStr">
        <is>
          <t>{"choices":[{"finish_reason":"stop","index":0,"logprobs":null,"message":{"annotations":[],"content":"Cactus Jack,Pants,kakobuy,kakebuy2026,kekobuysheet,kakobuysheet2026,2026kakobuy,kakobuyspreadsheeet,kakobuylink,kakebuylist,Kakobuy MEGA Spreadsheet,kakobuysheetfind,kakobuysheetfind2026,2026kakobuysheetfind,kakobuysheet2026","refusal":null,"role":"assistant"}}],"created":1776667889,"id":"chatcmpl-DWcldc9NzX9fTTOZMNhDGOXFbaeMF","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30" t="inlineStr">
        <is>
          <t>Cactus Jack,Pants,kakobuy,kakebuy2026,kekobuysheet,kakobuysheet2026,2026kakobuy,kakobuyspreadsheeet,kakobuylink,kakebuylist,Kakobuy MEGA Spreadsheet,kakobuysheetfind,kakobuysheetfind2026,2026kakobuysheetfind,kakobuysheet2026</t>
        </is>
      </c>
      <c r="Q30" t="inlineStr">
        <is>
          <t>Dark Brown, Streetwear, Retro, Unisex, Breathable</t>
        </is>
      </c>
      <c r="R30" t="inlineStr">
        <is>
          <t>recvh6xFVjNfOy</t>
        </is>
      </c>
      <c r="S30" t="inlineStr">
        <is>
          <t>cactus-jack-flame-dog-sun-print-shorts-recvh6xfvjnfoy</t>
        </is>
      </c>
      <c r="T30"/>
      <c r="U30"/>
      <c r="V30"/>
      <c r="W30" t="inlineStr">
        <is>
          <t>{"choices":[{"finish_reason":"stop","index":0,"logprobs":null,"message":{"annotations":[],"content":"Cactus Jack：暗棕色街头系列休闲短裤，柔软棉质面料舒适透气，火焰犬与日光图腾展现独特视觉冲击，宽松剪裁与弹性腰头设计兼具潮流与实穿性，男女皆宜，尽显复古街头艺术风格。","refusal":null,"role":"assistant"}}],"created":1776655697,"id":"chatcmpl-DWZazz9b3gunrdjXyankVV0x0m62e","model":"gpt-5-chat-latest","object":"chat.completion","service_tier":"default","system_fingerprint":"fp_ad66631dec","usage":{"completion_tokens":79,"completion_tokens_details":{"accepted_prediction_tokens":0,"audio_tokens":0,"reasoning_tokens":0,"rejected_prediction_tokens":0},"prompt_tokens":1319,"prompt_tokens_details":{"audio_tokens":0,"cached_tokens":0},"total_tokens":1398}}</t>
        </is>
      </c>
      <c r="X30" t="inlineStr">
        <is>
          <t>Cactus Jack：暗棕色街头系列休闲短裤，柔软棉质面料舒适透气，火焰犬与日光图腾展现独特视觉冲击，宽松剪裁与弹性腰头设计兼具潮流与实穿性，男女皆宜，尽显复古街头艺术风格。</t>
        </is>
      </c>
    </row>
    <row r="31" ht="25.5" customHeight="1">
      <c r="A31">
        <v>1839115443</v>
      </c>
      <c r="B31">
        <v>7638960004</v>
      </c>
      <c r="C31" t="inlineStr">
        <is>
          <t>https://weidian.com/item.html?itemID=7638960004</t>
        </is>
      </c>
      <c r="D31"/>
      <c r="E31" s="2" t="str">
        <f>=HYPERLINK("https://si.geilicdn.com/open1839115443-252808396-109a0000019b35735be30a23b491_800_800.jpg?w=640&amp;h=640", "https://si.geilicdn.com/open1839115443-252808396-109a0000019b35735be30a23b491_800_800.jpg?w=640&amp;h=640")</f>
        <v>https://si.geilicdn.com/open1839115443-252808396-109a0000019b35735be30a23b491_800_800.jpg?w=640&amp;h=640</v>
      </c>
      <c r="F31" t="inlineStr">
        <is>
          <t>Pants</t>
        </is>
      </c>
      <c r="G31" t="inlineStr">
        <is>
          <t>False Perception</t>
        </is>
      </c>
      <c r="H31" t="inlineStr">
        <is>
          <t>127.00</t>
        </is>
      </c>
      <c r="I31">
        <v>18.41</v>
      </c>
      <c r="J31" t="inlineStr">
        <is>
          <t>{"choices":[{"finish_reason":"stop","index":0,"logprobs":null,"message":{"annotations":[],"content":"False Perception Cotton Flaming Heart Street Shorts","refusal":null,"role":"assistant"}}],"created":1776666446,"id":"chatcmpl-DWcOMhmeP1CvClIxcXTIGPyjIhtAI","model":"gpt-5-chat-latest","object":"chat.completion","service_tier":"default","system_fingerprint":"fp_ad66631dec","usage":{"completion_tokens":9,"completion_tokens_details":{"accepted_prediction_tokens":0,"audio_tokens":0,"reasoning_tokens":0,"rejected_prediction_tokens":0},"prompt_tokens":875,"prompt_tokens_details":{"audio_tokens":0,"cached_tokens":0},"total_tokens":884}}</t>
        </is>
      </c>
      <c r="K31" t="inlineStr">
        <is>
          <t>False Perception Cotton Flaming Heart Street Shorts</t>
        </is>
      </c>
      <c r="L31" t="inlineStr">
        <is>
          <t>{"choices":[{"finish_reason":"stop","index":0,"logprobs":null,"message":{"annotations":[],"content":"False Perception unisex casual shorts, crafted from soft cotton with flaming heart and street logo prints, loose fit, elastic drawstring waist, perfect for summer streetwear style.","refusal":null,"role":"assistant"}}],"created":1776658633,"id":"chatcmpl-DWaML7upKYugtJF9s7rY2sGhfr8l4","model":"gpt-5-chat-latest","object":"chat.completion","service_tier":"default","system_fingerprint":"fp_ad66631dec","usage":{"completion_tokens":36,"completion_tokens_details":{"accepted_prediction_tokens":0,"audio_tokens":0,"reasoning_tokens":0,"rejected_prediction_tokens":0},"prompt_tokens":906,"prompt_tokens_details":{"audio_tokens":0,"cached_tokens":0},"total_tokens":942}}</t>
        </is>
      </c>
      <c r="M31" t="inlineStr">
        <is>
          <t>{"alt-svc":"h3=\":443\"; ma=2592000","apim-request-id":"43a591ee-7f30-4787-9d5d-dfca4d767e7c","azureml-model-session":"d20260402083108-57a85543","cache-control":"no-cache","connection":"close","content-length":"768","content-security-policy":"frame-ancestors 'self'","content-type":"application/json","date":"Mon, 20 Apr 2026 04:17:14 GMT","server":"Caddy","skip-error-remapping":"true","strict-transport-security":"max-age=31536000; includeSubDomains; preload","via":"1.1 Caddy","x-api-request-id":"20260420121712517254618wwxMJmMD","x-content-type-options":"nosniff","x-frame-options":"SAMEORIGIN","x-ms-client-request-id":"Not-Set","x-ms-is-spilled-over":"false","x-ms-rai-invoked":"true","x-ms-region":"East US 2","x-new-api-version":"0.4.39","x-oneapi-request-id":"202604200417124250804238268d9d6uHyOEU91","x-ratelimit-abusepenalty-active":"False","x-ratelimit-limit-requests":"3850","x-ratelimit-limit-tokens":"3850000","x-ratelimit-remaining-requests":"3849","x-ratelimit-remaining-tokens":"3848332","x-ratelimit-renewalperiod-requests":"60","x-ratelimit-renewalperiod-tokens":"60","x-ratelimit-reset-requests":"15","x-ratelimit-reset-tokens":"25","x-request-id":"08e6a8c8-27b1-4315-9f72-4e4754d0eaaf"}</t>
        </is>
      </c>
      <c r="N31" t="inlineStr">
        <is>
          <t>False Perception unisex casual shorts, crafted from soft cotton with flaming heart and street logo prints, loose fit, elastic drawstring waist, perfect for summer streetwear style.</t>
        </is>
      </c>
      <c r="O31" t="inlineStr">
        <is>
          <t>{"choices":[{"finish_reason":"stop","index":0,"logprobs":null,"message":{"annotations":[],"content":"False Perception,Pants,kakobuy,kakebuy2026,kekobuysheet,kakobuysheet2026,2026kakobuy,kakobuyspreadsheeet,kakobuylink,kakebuylist,Kakobuy MEGA Spreadsheet,kakobuysheetfind,kakobuysheetfind2026,2026kakobuysheetfind,kakobuysheet2026","refusal":null,"role":"assistant"}}],"created":1776668236,"id":"chatcmpl-DWcrE7FuexS4Jnpw1KD9FkSHLdj4i","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31" t="inlineStr">
        <is>
          <t>False Perception,Pants,kakobuy,kakebuy2026,kekobuysheet,kakobuysheet2026,2026kakobuy,kakobuyspreadsheeet,kakobuylink,kakebuylist,Kakobuy MEGA Spreadsheet,kakobuysheetfind,kakobuysheetfind2026,2026kakobuysheetfind,kakobuysheet2026</t>
        </is>
      </c>
      <c r="Q31" t="inlineStr">
        <is>
          <t>Unisex, Summer, Streetwear</t>
        </is>
      </c>
      <c r="R31" t="inlineStr">
        <is>
          <t>recvh6xFVjEwGL</t>
        </is>
      </c>
      <c r="S31" t="inlineStr">
        <is>
          <t>false-perception-cotton-flaming-heart-street-shorts-recvh6xfvjewgl</t>
        </is>
      </c>
      <c r="T31"/>
      <c r="U31"/>
      <c r="V31"/>
      <c r="W31" t="inlineStr">
        <is>
          <t>{"choices":[{"finish_reason":"stop","index":0,"logprobs":null,"message":{"annotations":[],"content":"False Perception 灰色休闲短裤，柔软棉质面料打造，点缀炽热心形与街头标识印花，宽松剪裁搭配松紧抽绳腰设计，男女皆宜，街头潮流风格演绎夏日随性态度。","refusal":null,"role":"assistant"}}],"created":1776655087,"id":"chatcmpl-DWZR9PCuYGDw3GDW5F1dk7k61Xxrq","model":"gpt-5-chat-latest","object":"chat.completion","service_tier":"default","system_fingerprint":"fp_ad66631dec","usage":{"completion_tokens":71,"completion_tokens_details":{"accepted_prediction_tokens":0,"audio_tokens":0,"reasoning_tokens":0,"rejected_prediction_tokens":0},"prompt_tokens":1315,"prompt_tokens_details":{"audio_tokens":0,"cached_tokens":1280},"total_tokens":1386}}</t>
        </is>
      </c>
      <c r="X31" t="inlineStr">
        <is>
          <t>False Perception 灰色休闲短裤，柔软棉质面料打造，点缀炽热心形与街头标识印花，宽松剪裁搭配松紧抽绳腰设计，男女皆宜，街头潮流风格演绎夏日随性态度。</t>
        </is>
      </c>
    </row>
    <row r="32" ht="25.5" customHeight="1">
      <c r="A32">
        <v>1839115443</v>
      </c>
      <c r="B32">
        <v>7635913501</v>
      </c>
      <c r="C32" t="inlineStr">
        <is>
          <t>https://weidian.com/item.html?itemID=7635913501</t>
        </is>
      </c>
      <c r="D32"/>
      <c r="E32" s="2" t="str">
        <f>=HYPERLINK("https://si.geilicdn.com/open1839115443-252808396-14460000019b357147570a23b4de_800_800.jpg?w=640&amp;h=640", "https://si.geilicdn.com/open1839115443-252808396-14460000019b357147570a23b4de_800_800.jpg?w=640&amp;h=640")</f>
        <v>https://si.geilicdn.com/open1839115443-252808396-14460000019b357147570a23b4de_800_800.jpg?w=640&amp;h=640</v>
      </c>
      <c r="F32" t="inlineStr">
        <is>
          <t>T-Shirts</t>
        </is>
      </c>
      <c r="G32" t="inlineStr">
        <is>
          <t>Other</t>
        </is>
      </c>
      <c r="H32" t="inlineStr">
        <is>
          <t>103.00</t>
        </is>
      </c>
      <c r="I32">
        <v>14.927536231884</v>
      </c>
      <c r="J32" t="inlineStr">
        <is>
          <t>{"id":"chatcmpl-DWcGLwlTLB5HdZuTL6JUA6ailLTUP","object":"chat.completion","created":1776665949,"model":"gpt-5-chat-latest","choices":[{"index":0,"message":{"role":"assistant","content":"RetroRock Metal Demon Graphic Sleeveless Black T-Shirt","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is>
      </c>
      <c r="K32" t="inlineStr">
        <is>
          <t>RetroRock Metal Demon Graphic Sleeveless Black T-Shirt</t>
        </is>
      </c>
      <c r="L32" t="inlineStr">
        <is>
          <t>{"choices":[{"finish_reason":"stop","index":0,"logprobs":null,"message":{"annotations":[],"content":"Brand RetroRock black sleeveless T-shirt in washed cotton with soft breathable texture, featuring bold metal demon totem and flame gradient text, loose fit with raw edges, unisex street festival style.","refusal":null,"role":"assistant"}}],"created":1776658998,"id":"chatcmpl-DWaSEJqIWxKmIPEbOMHriIiKiMYt3","model":"gpt-5-chat-latest","object":"chat.completion","service_tier":"default","system_fingerprint":"fp_ad66631dec","usage":{"completion_tokens":40,"completion_tokens_details":{"accepted_prediction_tokens":0,"audio_tokens":0,"reasoning_tokens":0,"rejected_prediction_tokens":0},"prompt_tokens":930,"prompt_tokens_details":{"audio_tokens":0,"cached_tokens":0},"total_tokens":970}}</t>
        </is>
      </c>
      <c r="M32" t="inlineStr">
        <is>
          <t>{"alt-svc":"h3=\":443\"; ma=2592000","apim-request-id":"1b039e42-41e0-40e4-a9bb-f7dbb0c08491","azureml-model-session":"d20260402083108-57a85543","cache-control":"no-cache","connection":"close","content-length":"789","content-security-policy":"frame-ancestors 'self'","content-type":"application/json","date":"Mon, 20 Apr 2026 04:23:19 GMT","server":"Caddy","skip-error-remapping":"true","strict-transport-security":"max-age=31536000; includeSubDomains; preload","via":"1.1 Caddy","x-api-request-id":"20260420122317996284342win3RzdH","x-content-type-options":"nosniff","x-frame-options":"SAMEORIGIN","x-ms-client-request-id":"Not-Set","x-ms-is-spilled-over":"false","x-ms-rai-invoked":"true","x-ms-region":"East US 2","x-new-api-version":"0.4.39","x-oneapi-request-id":"202604200423179284933398268d9d6V13Gc7bh","x-ratelimit-abusepenalty-active":"False","x-ratelimit-limit-requests":"3850","x-ratelimit-limit-tokens":"3850000","x-ratelimit-remaining-requests":"3849","x-ratelimit-remaining-tokens":"3847920","x-ratelimit-renewalperiod-requests":"60","x-ratelimit-renewalperiod-tokens":"60","x-ratelimit-reset-requests":"15","x-ratelimit-reset-tokens":"32","x-request-id":"692a7c8f-40c0-4eff-9504-883c50054b3d"}</t>
        </is>
      </c>
      <c r="N32" t="inlineStr">
        <is>
          <t>Brand RetroRock black sleeveless T-shirt in washed cotton with soft breathable texture, featuring bold metal demon totem and flame gradient text, loose fit with raw edges, unisex street festival style.</t>
        </is>
      </c>
      <c r="O32" t="inlineStr">
        <is>
          <t>{"choices":[{"finish_reason":"stop","index":0,"logprobs":null,"message":{"annotations":[],"content":"Pantera,T-Shirts,kakobuy,kakebuy2026,kekobuysheet,kakobuysheet2026,2026kakobuy,kakobuyspreadsheeet,kakobuylink,kakebuylist,Kakobuy MEGA Spreadsheet,kakobuysheetfind,kakobuysheetfind2026,2026kakobuysheetfind,kakobuysheet2026","refusal":null,"role":"assistant"}}],"created":1776668354,"id":"chatcmpl-DWct8kV4d9HUxippmXOFA3QNPjjQA","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32" t="inlineStr">
        <is>
          <t>Pantera,T-Shirts,kakobuy,kakebuy2026,kekobuysheet,kakobuysheet2026,2026kakobuy,kakobuyspreadsheeet,kakobuylink,kakebuylist,Kakobuy MEGA Spreadsheet,kakobuysheetfind,kakobuysheetfind2026,2026kakobuysheetfind,kakobuysheet2026</t>
        </is>
      </c>
      <c r="Q32" t="inlineStr">
        <is>
          <t>Black, Streetwear, Unisex, Breathable</t>
        </is>
      </c>
      <c r="R32" t="inlineStr">
        <is>
          <t>recvh6xFVjcQl2</t>
        </is>
      </c>
      <c r="S32" t="inlineStr">
        <is>
          <t>retro-rock-metal-demon-graphic-sleeveless-black-tshirt-recvh6xFVjcQl2</t>
        </is>
      </c>
      <c r="T32"/>
      <c r="U32"/>
      <c r="V32"/>
      <c r="W32" t="inlineStr">
        <is>
          <t>{"id":"chatcmpl-DWZUId697gETB7noPMt9gMd8xnyga","object":"chat.completion","created":1776655282,"model":"gpt-5-chat-latest","choices":[{"index":0,"message":{"role":"assistant","content":"复古摇滚系列黑色无袖T恤，采用水洗棉质面料，柔软亲肤透气。正面印有醒目金属乐队恶魔图腾，结合渐变火焰字体设计，彰显叛逆个性。宽松剪裁搭配毛边袖口，复古街头机能风格，男女皆宜，适合日常穿搭与音乐节造型。","refusal":null,"annotations":[]},"logprobs":null,"finish_reason":"stop"}],"usage":{"prompt_tokens":1307,"completion_tokens":98,"total_tokens":1405,"prompt_tokens_details":{"cached_tokens":0,"audio_tokens":0},"completion_tokens_details":{"reasoning_tokens":0,"audio_tokens":0,"accepted_prediction_tokens":0,"rejected_prediction_tokens":0}},"service_tier":"default","system_fingerprint":"fp_ad66631dec"}</t>
        </is>
      </c>
      <c r="X32" t="inlineStr">
        <is>
          <t>复古摇滚系列黑色无袖T恤，采用水洗棉质面料，柔软亲肤透气。正面印有醒目金属乐队恶魔图腾，结合渐变火焰字体设计，彰显叛逆个性。宽松剪裁搭配毛边袖口，复古街头机能风格，男女皆宜，适合日常穿搭与音乐节造型。</t>
        </is>
      </c>
    </row>
    <row r="33" ht="25.5" customHeight="1">
      <c r="A33">
        <v>1839115443</v>
      </c>
      <c r="B33">
        <v>7638897406</v>
      </c>
      <c r="C33" t="inlineStr">
        <is>
          <t>https://weidian.com/item.html?itemID=7638897406</t>
        </is>
      </c>
      <c r="D33"/>
      <c r="E33" s="2" t="str">
        <f>=HYPERLINK("https://si.geilicdn.com/open1839115443-252808396-0ea80000019b356d9b4f0a23b491_800_800.jpg?w=640&amp;h=640", "https://si.geilicdn.com/open1839115443-252808396-0ea80000019b356d9b4f0a23b491_800_800.jpg?w=640&amp;h=640")</f>
        <v>https://si.geilicdn.com/open1839115443-252808396-0ea80000019b356d9b4f0a23b491_800_800.jpg?w=640&amp;h=640</v>
      </c>
      <c r="F33" t="inlineStr">
        <is>
          <t>T-Shirts</t>
        </is>
      </c>
      <c r="G33" t="inlineStr">
        <is>
          <t>Hellstar</t>
        </is>
      </c>
      <c r="H33" t="inlineStr">
        <is>
          <t>103.00</t>
        </is>
      </c>
      <c r="I33">
        <v>14.93</v>
      </c>
      <c r="J33" t="inlineStr">
        <is>
          <t>{"id":"chatcmpl-DWcLoe6LMP4jIhgmcOEVI1YbDO1R2","object":"chat.completion","created":1776666288,"model":"gpt-5-chat-latest","choices":[{"index":0,"message":{"role":"assistant","content":"Hellstar Vintage Black Sleeveless Street Style T-Shirt","refusal":null,"annotations":[]},"logprobs":null,"finish_reason":"stop"}],"usage":{"prompt_tokens":880,"completion_tokens":11,"total_tokens":891,"prompt_tokens_details":{"cached_tokens":0,"audio_tokens":0},"completion_tokens_details":{"reasoning_tokens":0,"audio_tokens":0,"accepted_prediction_tokens":0,"rejected_prediction_tokens":0}},"service_tier":"default","system_fingerprint":"fp_ad66631dec"}</t>
        </is>
      </c>
      <c r="K33" t="inlineStr">
        <is>
          <t>Hellstar Vintage Black Sleeveless Street Style T-Shirt</t>
        </is>
      </c>
      <c r="L33" t="inlineStr">
        <is>
          <t>{"id":"chatcmpl-DWaZyGcSOtqYpbpp4auT9BfP2wblb","object":"chat.completion","created":1776659478,"model":"gpt-5-chat-latest","choices":[{"index":0,"message":{"role":"assistant","content":"Hellstar Vintage Black Sleeveless T-Shirt—washed cotton fabric with bold street and mystic symbols, expressive logo design, relaxed unisex fit blending Y2K retro and rebellious street style.","refusal":null,"annotations":[]},"logprobs":null,"finish_reason":"stop"}],"usage":{"prompt_tokens":932,"completion_tokens":39,"total_tokens":971,"prompt_tokens_details":{"cached_tokens":0,"audio_tokens":0},"completion_tokens_details":{"reasoning_tokens":0,"audio_tokens":0,"accepted_prediction_tokens":0,"rejected_prediction_tokens":0}},"service_tier":"default","system_fingerprint":"fp_ad66631dec"}</t>
        </is>
      </c>
      <c r="M3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ma=2592000","apim-request-id":"9d4adc1b-7c15-4115-8f50-3259960153e2","azureml-model-session":"d20260405234249-f9874baf","cache-control":"no-cache, no-store, must-revalidate","connection":"close","content-length":"996","content-security-policy":"frame-ancestors 'self'","content-type":"application/json","date":"Mon, 20 Apr 2026 04:31:20 GMT","server":"nginx","skip-error-remapping":"true","strict-transport-security":"max-age=31536000; includeSubDomains; preload","via":"1.1 Caddy, 1.1 Caddy","x-api-request-id":"2026042012311643750112WSase5KL","x-content-type-options":"nosniff","x-frame-options":"SAMEORIGIN","x-ms-is-spilled-over":"false","x-ms-rai-invoked":"false","x-ms-region":"Sweden Central","x-new-api-version":"0.4.39","x-oneapi-request-id":"202604200431159762047328268d9d6e7AFPWYW","x-ratelimit-abusepenalty-active":"False","x-ratelimit-limit-requests":"4993","x-ratelimit-limit-tokens":"4993000","x-ratelimit-remaining-requests":"4992","x-ratelimit-remaining-tokens":"4991306","x-ratelimit-renewalperiod-requests":"60","x-ratelimit-renewalperiod-tokens":"60","x-ratelimit-reset-requests":"12","x-ratelimit-reset-tokens":"20","x-request-id":"b63469e5-5dd1-443e-ba09-a28331ae75c0"}</t>
        </is>
      </c>
      <c r="N33" t="inlineStr">
        <is>
          <t>Hellstar Vintage Black Sleeveless T-Shirt—washed cotton fabric with bold street and mystic symbols, expressive logo design, relaxed unisex fit blending Y2K retro and rebellious street style.</t>
        </is>
      </c>
      <c r="O33" t="inlineStr">
        <is>
          <t>{"choices":[{"finish_reason":"stop","index":0,"logprobs":null,"message":{"annotations":[],"content":"Hellstar, T-Shirts, kakobuy, kakebuy2026, kekobuysheet, kakobuysheet2026, 2026kakobuy, kakobuyspreadsheeet, kakobuylink, kakebuylist, Kakobuy MEGA Spreadsheet, kakobuysheetfind, kakobuysheetfind2026, 2026kakobuysheetfind, kakobuysheet2026","refusal":null,"role":"assistant"}}],"created":1776668253,"id":"chatcmpl-DWcrViTiym375so5nxVQtDSNm3Ie4","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33" t="inlineStr">
        <is>
          <t>Hellstar, T-Shirts, kakobuy, kakebuy2026, kekobuysheet, kakobuysheet2026, 2026kakobuy, kakobuyspreadsheeet, kakobuylink, kakebuylist, Kakobuy MEGA Spreadsheet, kakobuysheetfind, kakobuysheetfind2026, 2026kakobuysheetfind, kakobuysheet2026</t>
        </is>
      </c>
      <c r="Q33" t="inlineStr">
        <is>
          <t>Black, Retro, Street, Streetwear, Unisex</t>
        </is>
      </c>
      <c r="R33" t="inlineStr">
        <is>
          <t>recvh6xFVjzMAR</t>
        </is>
      </c>
      <c r="S33" t="inlineStr">
        <is>
          <t>hellstar-vintage-black-sleeveless-street-tshirt-recvh6xFVjzMAR</t>
        </is>
      </c>
      <c r="T33"/>
      <c r="U33"/>
      <c r="V33"/>
      <c r="W33" t="inlineStr">
        <is>
          <t>{"choices":[{"finish_reason":"stop","index":0,"logprobs":null,"message":{"annotations":[],"content":"Hellstar：复古黑色无袖T恤，采用水洗棉质面料，正反面印有灵感源于街头与神秘宗教的图腾设计，字体张扬彰显品牌态度。宽松剪裁兼具舒适与率性，男女皆宜，融合Y2K复古与街头叛逆风格，展现独立个性的时尚宣言。","refusal":null,"role":"assistant"}}],"created":1776655547,"id":"chatcmpl-DWZYZFpq6JsDaDPBEb9TZnxBxxMWP","model":"gpt-5-chat-latest","object":"chat.completion","service_tier":"default","system_fingerprint":"fp_ad66631dec","usage":{"completion_tokens":95,"completion_tokens_details":{"accepted_prediction_tokens":0,"audio_tokens":0,"reasoning_tokens":0,"rejected_prediction_tokens":0},"prompt_tokens":1318,"prompt_tokens_details":{"audio_tokens":0,"cached_tokens":0},"total_tokens":1413}}</t>
        </is>
      </c>
      <c r="X33" t="inlineStr">
        <is>
          <t>Hellstar：复古黑色无袖T恤，采用水洗棉质面料，正反面印有灵感源于街头与神秘宗教的图腾设计，字体张扬彰显品牌态度。宽松剪裁兼具舒适与率性，男女皆宜，融合Y2K复古与街头叛逆风格，展现独立个性的时尚宣言。</t>
        </is>
      </c>
    </row>
    <row r="34" ht="25.5" customHeight="1">
      <c r="A34">
        <v>1839115443</v>
      </c>
      <c r="B34">
        <v>7638928084</v>
      </c>
      <c r="C34" t="inlineStr">
        <is>
          <t>https://weidian.com/item.html?itemID=7638928084</t>
        </is>
      </c>
      <c r="D34"/>
      <c r="E34" s="2" t="str">
        <f>=HYPERLINK("https://si.geilicdn.com/open1839115443-252808396-0e660000019b356d43cc0a23b491_800_800.jpg?w=640&amp;h=640", "https://si.geilicdn.com/open1839115443-252808396-0e660000019b356d43cc0a23b491_800_800.jpg?w=640&amp;h=640")</f>
        <v>https://si.geilicdn.com/open1839115443-252808396-0e660000019b356d43cc0a23b491_800_800.jpg?w=640&amp;h=640</v>
      </c>
      <c r="F34" t="inlineStr">
        <is>
          <t>T-Shirts</t>
        </is>
      </c>
      <c r="G34" t="inlineStr">
        <is>
          <t>False Perception</t>
        </is>
      </c>
      <c r="H34" t="inlineStr">
        <is>
          <t>103.00</t>
        </is>
      </c>
      <c r="I34">
        <v>14.93</v>
      </c>
      <c r="J34" t="inlineStr">
        <is>
          <t>{"choices":[{"finish_reason":"stop","index":0,"logprobs":null,"message":{"annotations":[],"content":"False Perception Vintage Black nWo Sleeveless T-Shirt","refusal":null,"role":"assistant"}}],"created":1776665748,"id":"chatcmpl-DWcD6LblgUYAElDLfWK22zPsY0J5l","model":"gpt-5-chat-latest","object":"chat.completion","service_tier":"default","system_fingerprint":"fp_ad66631dec","usage":{"completion_tokens":12,"completion_tokens_details":{"accepted_prediction_tokens":0,"audio_tokens":0,"reasoning_tokens":0,"rejected_prediction_tokens":0},"prompt_tokens":877,"prompt_tokens_details":{"audio_tokens":0,"cached_tokens":0},"total_tokens":889}}</t>
        </is>
      </c>
      <c r="K34" t="inlineStr">
        <is>
          <t>False Perception Vintage Black nWo Sleeveless T-Shirt</t>
        </is>
      </c>
      <c r="L34" t="inlineStr">
        <is>
          <t>{"choices":[{"finish_reason":"stop","index":0,"logprobs":null,"message":{"annotations":[],"content":"False Perception Vintage Black Sleeveless T-Shirt, washed cotton with bold red nWo logo, 90s street punk style unisex tee showing rebellious attitude and retro fashion spirit.","refusal":null,"role":"assistant"}}],"created":1776658714,"id":"chatcmpl-DWaNe2qgtw6DMwlR7G3MFM5hRsepB","model":"gpt-5-chat-latest","object":"chat.completion","service_tier":"default","system_fingerprint":"fp_ad66631dec","usage":{"completion_tokens":37,"completion_tokens_details":{"accepted_prediction_tokens":0,"audio_tokens":0,"reasoning_tokens":0,"rejected_prediction_tokens":0},"prompt_tokens":895,"prompt_tokens_details":{"audio_tokens":0,"cached_tokens":0},"total_tokens":932}}</t>
        </is>
      </c>
      <c r="M34" t="inlineStr">
        <is>
          <t>{"alt-svc":"h3=\":443\"; ma=2592000","apim-request-id":"16bd3205-5aa2-47c1-b7a2-31b90c80240d","azureml-model-session":"d20260402083108-57a85543","cache-control":"no-cache","connection":"close","content-length":"763","content-security-policy":"frame-ancestors 'self'","content-type":"application/json","date":"Mon, 20 Apr 2026 04:18:35 GMT","server":"nginx","skip-error-remapping":"true","strict-transport-security":"max-age=31536000; includeSubDomains; preload","via":"1.1 Caddy, 1.1 Caddy","x-api-request-id":"20260420121833525007923psM3SLsS","x-content-type-options":"nosniff","x-frame-options":"SAMEORIGIN","x-ms-client-request-id":"Not-Set","x-ms-is-spilled-over":"false","x-ms-rai-invoked":"true","x-ms-region":"East US 2","x-new-api-version":"0.4.39","x-oneapi-request-id":"202604200418333951333678268d9d6SR9iRpHs","x-ratelimit-abusepenalty-active":"False","x-ratelimit-limit-requests":"3850","x-ratelimit-limit-tokens":"3850000","x-ratelimit-remaining-requests":"3849","x-ratelimit-remaining-tokens":"3848343","x-ratelimit-renewalperiod-requests":"60","x-ratelimit-renewalperiod-tokens":"60","x-ratelimit-reset-requests":"15","x-ratelimit-reset-tokens":"25","x-request-id":"3e5bf252-a097-4f85-99f5-2c2ab75549a4"}</t>
        </is>
      </c>
      <c r="N34" t="inlineStr">
        <is>
          <t>False Perception Vintage Black Sleeveless T-Shirt, washed cotton with bold red nWo logo, 90s street punk style unisex tee showing rebellious attitude and retro fashion spirit.</t>
        </is>
      </c>
      <c r="O34" t="inlineStr">
        <is>
          <t>{"choices":[{"finish_reason":"stop","index":0,"logprobs":null,"message":{"annotations":[],"content":"False Perception,T-Shirts,kakobuy,kakebuy2026,kekobuysheet,kakobuysheet2026,2026kakobuy,kakobuyspreadsheeet,kakobuylink,kakebuylist,Kakobuy MEGA Spreadsheet,kakobuysheetfind,kakobuysheetfind2026,2026kakobuysheetfind,kakobuysheet2026","refusal":null,"role":"assistant"}}],"created":1776668443,"id":"chatcmpl-DWcuZMlmbg0PXWTR1WYsWjgmo8NDi","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34" t="inlineStr">
        <is>
          <t>False Perception,T-Shirts,kakobuy,kakebuy2026,kekobuysheet,kakobuysheet2026,2026kakobuy,kakobuyspreadsheeet,kakobuylink,kakebuylist,Kakobuy MEGA Spreadsheet,kakobuysheetfind,kakobuysheetfind2026,2026kakobuysheetfind,kakobuysheet2026</t>
        </is>
      </c>
      <c r="Q34" t="inlineStr">
        <is>
          <t>Black, Red, Retro, Street, Punk, Unisex</t>
        </is>
      </c>
      <c r="R34" t="inlineStr">
        <is>
          <t>recvh6xFVj6SiC</t>
        </is>
      </c>
      <c r="S34" t="inlineStr">
        <is>
          <t>nwo-false-perception-vintage-black-recvh6xfvj6sic</t>
        </is>
      </c>
      <c r="T34"/>
      <c r="U34"/>
      <c r="V34"/>
      <c r="W34" t="inlineStr">
        <is>
          <t>{"choices":[{"finish_reason":"stop","index":0,"logprobs":null,"message":{"annotations":[],"content":"False Perception 黑色复古无袖T恤，做旧水洗棉质面料，红色nWo图腾印花设计，街头朋克风格，男女通穿，彰显90年代反叛个性与潮流态度。","refusal":null,"role":"assistant"}}],"created":1776655023,"id":"chatcmpl-DWZQ7nEL2oLVLZYrDpZFy3zHG6QF3","model":"gpt-5-chat-latest","object":"chat.completion","service_tier":"default","system_fingerprint":"fp_ad66631dec","usage":{"completion_tokens":59,"completion_tokens_details":{"accepted_prediction_tokens":0,"audio_tokens":0,"reasoning_tokens":0,"rejected_prediction_tokens":0},"prompt_tokens":1317,"prompt_tokens_details":{"audio_tokens":0,"cached_tokens":0},"total_tokens":1376}}</t>
        </is>
      </c>
      <c r="X34" t="inlineStr">
        <is>
          <t>False Perception 黑色复古无袖T恤，做旧水洗棉质面料，红色nWo图腾印花设计，街头朋克风格，男女通穿，彰显90年代反叛个性与潮流态度。</t>
        </is>
      </c>
    </row>
    <row r="35" ht="25.5" customHeight="1">
      <c r="A35">
        <v>1839115443</v>
      </c>
      <c r="B35">
        <v>7638950464</v>
      </c>
      <c r="C35" t="inlineStr">
        <is>
          <t>https://weidian.com/item.html?itemID=7638950464</t>
        </is>
      </c>
      <c r="D35"/>
      <c r="E35" s="2" t="str">
        <f>=HYPERLINK("https://si.geilicdn.com/open1839115443-252808396-54250000019b3590d4f60aa08245_1340_1785.jpg?w=640&amp;h=640", "https://si.geilicdn.com/open1839115443-252808396-54250000019b3590d4f60aa08245_1340_1785.jpg?w=640&amp;h=640")</f>
        <v>https://si.geilicdn.com/open1839115443-252808396-54250000019b3590d4f60aa08245_1340_1785.jpg?w=640&amp;h=640</v>
      </c>
      <c r="F35" t="inlineStr">
        <is>
          <t>Hoodies</t>
        </is>
      </c>
      <c r="G35" t="inlineStr">
        <is>
          <t>Other</t>
        </is>
      </c>
      <c r="H35" t="inlineStr">
        <is>
          <t>91.00</t>
        </is>
      </c>
      <c r="I35">
        <v>13.19</v>
      </c>
      <c r="J35" t="inlineStr">
        <is>
          <t>{"choices":[{"finish_reason":"stop","index":0,"logprobs":null,"message":{"annotations":[],"content":"Umbrella Corporation Navy Hoodie Unisex Streetwear","refusal":null,"role":"assistant"}}],"created":1776666836,"id":"chatcmpl-DWcUe8KBt30IbmMWmREIBH3nov2aj","model":"gpt-5-chat-latest","object":"chat.completion","service_tier":"default","system_fingerprint":"fp_ad66631dec","usage":{"completion_tokens":10,"completion_tokens_details":{"accepted_prediction_tokens":0,"audio_tokens":0,"reasoning_tokens":0,"rejected_prediction_tokens":0},"prompt_tokens":890,"prompt_tokens_details":{"audio_tokens":0,"cached_tokens":0},"total_tokens":900}}</t>
        </is>
      </c>
      <c r="K35" t="inlineStr">
        <is>
          <t>Umbrella Corporation Navy Hoodie Unisex Streetwear</t>
        </is>
      </c>
      <c r="L35" t="inlineStr">
        <is>
          <t>{"id":"chatcmpl-DWaNrQ93T21QqWgG2J8isslgjvCA9","object":"chat.completion","created":1776658727,"model":"gpt-5-chat-latest","choices":[{"index":0,"message":{"role":"assistant","content":"UMBRELLA CORPORATION navy hoodie with bold red-white sci-fi emblem, soft thick cotton, warm comfort, loose fit, drawstring hood, kangaroo pocket, unisex streetwear, futuristic cool style.","refusal":null,"annotations":[]},"logprobs":null,"finish_reason":"stop"}],"usage":{"prompt_tokens":928,"completion_tokens":44,"total_tokens":972,"prompt_tokens_details":{"cached_tokens":0,"audio_tokens":0},"completion_tokens_details":{"reasoning_tokens":0,"audio_tokens":0,"accepted_prediction_tokens":0,"rejected_prediction_tokens":0}},"service_tier":"default","system_fingerprint":"fp_ad66631dec"}</t>
        </is>
      </c>
      <c r="M3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ma=2592000","apim-request-id":"15572059-c0b4-4b85-b254-d190df9e39b3","azureml-model-session":"d20260405234249-f9874baf","cache-control":"no-cache, no-store, must-revalidate","connection":"close","content-length":"991","content-security-policy":"frame-ancestors 'self'","content-type":"application/json","date":"Mon, 20 Apr 2026 04:18:50 GMT","server":"Caddy","skip-error-remapping":"true","strict-transport-security":"max-age=31536000; includeSubDomains; preload","via":"1.1 Caddy","x-api-request-id":"20260420121845959514362lveHP0xQ","x-content-type-options":"nosniff","x-frame-options":"SAMEORIGIN","x-ms-is-spilled-over":"false","x-ms-rai-invoked":"false","x-ms-region":"Sweden Central","x-new-api-version":"0.4.39","x-oneapi-request-id":"202604200418458331808678268d9d61k58gnap","x-ratelimit-abusepenalty-active":"False","x-ratelimit-limit-requests":"4993","x-ratelimit-limit-tokens":"4993000","x-ratelimit-remaining-requests":"4992","x-ratelimit-remaining-tokens":"4991310","x-ratelimit-renewalperiod-requests":"60","x-ratelimit-renewalperiod-tokens":"60","x-ratelimit-reset-requests":"12","x-ratelimit-reset-tokens":"20","x-request-id":"083c78b2-6f0c-416b-ac13-a2c74d3a14a2"}</t>
        </is>
      </c>
      <c r="N35" t="inlineStr">
        <is>
          <t>UMBRELLA CORPORATION navy hoodie with bold red-white sci-fi emblem, soft thick cotton, warm comfort, loose fit, drawstring hood, kangaroo pocket, unisex streetwear, futuristic cool style.</t>
        </is>
      </c>
      <c r="O35" t="inlineStr">
        <is>
          <t>{"choices":[{"finish_reason":"stop","index":0,"logprobs":null,"message":{"annotations":[],"content":"Umbrella Corporation,Hoodies,kakobuy,kakebuy2026,kekobuysheet,kakobuysheet2026,2026kakobuy,kakobuyspreadsheeet,kakobuylink,kakebuylist,Kakobuy MEGA Spreadsheet,kakobuysheetfind,kakobuysheetfind2026,2026kakobuysheetfind,kakobuysheet2026","refusal":null,"role":"assistant"}}],"created":1776667327,"id":"chatcmpl-DWccZMdRnegKGd18uEWBhWWg9fp5o","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35" t="inlineStr">
        <is>
          <t>Umbrella Corporation,Hoodies,kakobuy,kakebuy2026,kekobuysheet,kakobuysheet2026,2026kakobuy,kakobuyspreadsheeet,kakobuylink,kakebuylist,Kakobuy MEGA Spreadsheet,kakobuysheetfind,kakobuysheetfind2026,2026kakobuysheetfind,kakobuysheet2026</t>
        </is>
      </c>
      <c r="Q35" t="inlineStr">
        <is>
          <t>Navy, Red, Unisex, Streetwear</t>
        </is>
      </c>
      <c r="R35" t="inlineStr">
        <is>
          <t>recvh6xFVjvu0Y</t>
        </is>
      </c>
      <c r="S35" t="inlineStr">
        <is>
          <t>umbrella-navy-hoodie-recvh6xFVjvu0Y</t>
        </is>
      </c>
      <c r="T35"/>
      <c r="U35"/>
      <c r="V35"/>
      <c r="W35" t="inlineStr">
        <is>
          <t>{"choices":[{"finish_reason":"stop","index":0,"logprobs":null,"message":{"annotations":[],"content":"深蓝色连帽卫衣，正面印有醒目红白科幻图腾标识，选用柔软加厚棉质面料，保暖舒适。经典宽松版型搭配抽绳设计与袋鼠口袋，兼具休闲与实穿性。中性风格，适合男女日常街头穿搭，展现未来感与酷感个性。","refusal":null,"role":"assistant"}}],"created":1776655496,"id":"chatcmpl-DWZXkGK2IyvOOslKWHAIs6nFRy4Ta","model":"gpt-5-chat-latest","object":"chat.completion","service_tier":"default","system_fingerprint":"fp_ad66631dec","usage":{"completion_tokens":92,"completion_tokens_details":{"accepted_prediction_tokens":0,"audio_tokens":0,"reasoning_tokens":0,"rejected_prediction_tokens":0},"prompt_tokens":1314,"prompt_tokens_details":{"audio_tokens":0,"cached_tokens":0},"total_tokens":1406}}</t>
        </is>
      </c>
      <c r="X35" t="inlineStr">
        <is>
          <t>深蓝色连帽卫衣，正面印有醒目红白科幻图腾标识，选用柔软加厚棉质面料，保暖舒适。经典宽松版型搭配抽绳设计与袋鼠口袋，兼具休闲与实穿性。中性风格，适合男女日常街头穿搭，展现未来感与酷感个性。</t>
        </is>
      </c>
    </row>
    <row r="36" ht="25.5" customHeight="1">
      <c r="A36">
        <v>1839115443</v>
      </c>
      <c r="B36">
        <v>7635943137</v>
      </c>
      <c r="C36" t="inlineStr">
        <is>
          <t>https://weidian.com/item.html?itemID=7635943137</t>
        </is>
      </c>
      <c r="D36"/>
      <c r="E36" s="2" t="str">
        <f>=HYPERLINK("https://si.geilicdn.com/open1839115443-252808396-24a90000019b3590af9e0a231226_1340_1785.jpg?w=640&amp;h=640", "https://si.geilicdn.com/open1839115443-252808396-24a90000019b3590af9e0a231226_1340_1785.jpg?w=640&amp;h=640")</f>
        <v>https://si.geilicdn.com/open1839115443-252808396-24a90000019b3590af9e0a231226_1340_1785.jpg?w=640&amp;h=640</v>
      </c>
      <c r="F36" t="inlineStr">
        <is>
          <t>T-Shirts</t>
        </is>
      </c>
      <c r="G36" t="inlineStr">
        <is>
          <t>Jack Jones</t>
        </is>
      </c>
      <c r="H36" t="inlineStr">
        <is>
          <t>63.00</t>
        </is>
      </c>
      <c r="I36">
        <v>9.13</v>
      </c>
      <c r="J36" t="inlineStr">
        <is>
          <t>{"choices":[{"finish_reason":"stop","index":0,"logprobs":null,"message":{"annotations":[],"content":"Jack &amp; Jones Black Denim Wear Unisex Loose T-Shirt","refusal":null,"role":"assistant"}}],"created":1776665694,"id":"chatcmpl-DWcCET3Ib97vMVHM8yWS0y83mzjP1","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is>
      </c>
      <c r="K36" t="inlineStr">
        <is>
          <t>Jack &amp; Jones Black Denim Wear Unisex Loose T-Shirt</t>
        </is>
      </c>
      <c r="L36" t="inlineStr">
        <is>
          <t>{"choices":[{"finish_reason":"stop","index":0,"logprobs":null,"message":{"annotations":[],"content":"Jack &amp; Jones Black Denim Wear T-Shirt, soft cotton fabric with retro logo print, unisex loose fit for a trendy street look, perfect for daily casual wear and showing youthful urban energy.","refusal":null,"role":"assistant"}}],"created":1776658689,"id":"chatcmpl-DWaNFPAxQ1hLLXmWhUKj5QkPuyHYM","model":"gpt-5-chat-latest","object":"chat.completion","service_tier":"default","system_fingerprint":"fp_ad66631dec","usage":{"completion_tokens":39,"completion_tokens_details":{"accepted_prediction_tokens":0,"audio_tokens":0,"reasoning_tokens":0,"rejected_prediction_tokens":0},"prompt_tokens":908,"prompt_tokens_details":{"audio_tokens":0,"cached_tokens":0},"total_tokens":947}}</t>
        </is>
      </c>
      <c r="M36" t="inlineStr">
        <is>
          <t>{"alt-svc":"h3=\":443\"; ma=2592000","apim-request-id":"f63b056d-aef3-44de-a40e-640ad7685343","azureml-model-session":"d20260402083108-57a85543","cache-control":"no-cache","connection":"close","content-length":"781","content-security-policy":"frame-ancestors 'self'","content-type":"application/json","date":"Mon, 20 Apr 2026 04:18:10 GMT","server":"nginx","skip-error-remapping":"true","strict-transport-security":"max-age=31536000; includeSubDomains; preload","via":"1.1 Caddy, 1.1 Caddy","x-api-request-id":"202604201218082411264865d7QCX2s","x-content-type-options":"nosniff","x-frame-options":"SAMEORIGIN","x-ms-client-request-id":"Not-Set","x-ms-is-spilled-over":"false","x-ms-rai-invoked":"true","x-ms-region":"East US 2","x-new-api-version":"0.4.39","x-oneapi-request-id":"202604200418081751227318268d9d6IJUvvT5D","x-ratelimit-abusepenalty-active":"False","x-ratelimit-limit-requests":"3850","x-ratelimit-limit-tokens":"3850000","x-ratelimit-remaining-requests":"3849","x-ratelimit-remaining-tokens":"3848330","x-ratelimit-renewalperiod-requests":"60","x-ratelimit-renewalperiod-tokens":"60","x-ratelimit-reset-requests":"15","x-ratelimit-reset-tokens":"26","x-request-id":"4e180f91-629e-4f90-b2e2-db18c7eba420"}</t>
        </is>
      </c>
      <c r="N36" t="inlineStr">
        <is>
          <t>Jack &amp; Jones Black Denim Wear T-Shirt, soft cotton fabric with retro logo print, unisex loose fit for a trendy street look, perfect for daily casual wear and showing youthful urban energy.</t>
        </is>
      </c>
      <c r="O36" t="inlineStr">
        <is>
          <t>{"choices":[{"finish_reason":"stop","index":0,"logprobs":null,"message":{"annotations":[],"content":"Jack Jones,T-Shirts,kakobuy,kakebuy2026,kekobuysheet,kakobuysheet2026,2026kakobuy,kakobuyspreadsheeet,kakobuylink,kakebuylist,Kakobuy MEGA Spreadsheet,kakobuysheetfind,kakobuysheetfind2026,2026kakobuysheetfind,kakobuysheet2026","refusal":null,"role":"assistant"}}],"created":1776668655,"id":"chatcmpl-DWcxzITcCHC46s96BbdRJt7UdeTg3","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36" t="inlineStr">
        <is>
          <t>Jack Jones,T-Shirts,kakobuy,kakebuy2026,kekobuysheet,kakobuysheet2026,2026kakobuy,kakobuyspreadsheeet,kakobuylink,kakebuylist,Kakobuy MEGA Spreadsheet,kakobuysheetfind,kakobuysheetfind2026,2026kakobuysheetfind,kakobuysheet2026</t>
        </is>
      </c>
      <c r="Q36" t="inlineStr">
        <is>
          <t>Black, Retro, Streetwear, Unisex</t>
        </is>
      </c>
      <c r="R36" t="inlineStr">
        <is>
          <t>recvh6xFVj4wpq</t>
        </is>
      </c>
      <c r="S36" t="inlineStr">
        <is>
          <t>jack-jones-black-denim-loose-t-shirt-recvh6xfvj4wpq</t>
        </is>
      </c>
      <c r="T36"/>
      <c r="U36"/>
      <c r="V36"/>
      <c r="W36" t="inlineStr">
        <is>
          <t>{"id":"chatcmpl-DWZMo5h4KCotYVDdowcf1WIi0Zyw6","object":"chat.completion","created":1776654818,"model":"gpt-5-chat-2025-10-03","choices":[{"index":0,"message":{"role":"assistant","content":"Jack Jones：黑色DENIM WEAR系列短袖T恤，柔软纯棉材质，胸前复古印花LOGO设计，宽松剪裁展现街头潮流风格，男女通用百搭款，适合日常休闲穿搭，彰显都市年轻活力。","refusal":null,"annotations":[]},"logprobs":null,"finish_reason":"stop"}],"usage":{"prompt_tokens":1318,"completion_tokens":71,"total_tokens":1389,"prompt_tokens_details":{"cached_tokens":0,"audio_tokens":0},"completion_tokens_details":{"reasoning_tokens":0,"audio_tokens":0,"accepted_prediction_tokens":0,"rejected_prediction_tokens":0}},"service_tier":"default","system_fingerprint":"fp_ad66631dec"}</t>
        </is>
      </c>
      <c r="X36" t="inlineStr">
        <is>
          <t>Jack Jones：黑色DENIM WEAR系列短袖T恤，柔软纯棉材质，胸前复古印花LOGO设计，宽松剪裁展现街头潮流风格，男女通用百搭款，适合日常休闲穿搭，彰显都市年轻活力。</t>
        </is>
      </c>
    </row>
    <row r="37" ht="25.5" customHeight="1">
      <c r="A37">
        <v>1839115443</v>
      </c>
      <c r="B37">
        <v>7636049915</v>
      </c>
      <c r="C37" t="inlineStr">
        <is>
          <t>https://weidian.com/item.html?itemID=7636049915</t>
        </is>
      </c>
      <c r="D37"/>
      <c r="E37" s="2" t="str">
        <f>=HYPERLINK("https://si.geilicdn.com/open1839115443-252808396-3a100000019b35908fd10aa086a7_1340_1785.jpg?w=640&amp;h=640", "https://si.geilicdn.com/open1839115443-252808396-3a100000019b35908fd10aa086a7_1340_1785.jpg?w=640&amp;h=640")</f>
        <v>https://si.geilicdn.com/open1839115443-252808396-3a100000019b35908fd10aa086a7_1340_1785.jpg?w=640&amp;h=640</v>
      </c>
      <c r="F37" t="inlineStr">
        <is>
          <t>T-Shirts</t>
        </is>
      </c>
      <c r="G37" t="inlineStr">
        <is>
          <t>Other</t>
        </is>
      </c>
      <c r="H37" t="inlineStr">
        <is>
          <t>63.00</t>
        </is>
      </c>
      <c r="I37">
        <v>9.13</v>
      </c>
      <c r="J37" t="inlineStr">
        <is>
          <t>{"id":"chatcmpl-DWcIHVnDJYvw2P8EohyhD3Wy4OIxD","object":"chat.completion","created":1776666069,"model":"gpt-5-chat-latest","choices":[{"index":0,"message":{"role":"assistant","content":"Contrast Cartoon Totem Black Oversized Unisex T-Shirt","refusal":null,"annotations":[]},"logprobs":null,"finish_reason":"stop"}],"usage":{"prompt_tokens":887,"completion_tokens":12,"total_tokens":899,"prompt_tokens_details":{"cached_tokens":0,"audio_tokens":0},"completion_tokens_details":{"reasoning_tokens":0,"audio_tokens":0,"accepted_prediction_tokens":0,"rejected_prediction_tokens":0}},"service_tier":"default","system_fingerprint":"fp_ad66631dec"}</t>
        </is>
      </c>
      <c r="K37" t="inlineStr">
        <is>
          <t>Contrast Cartoon Totem Black Oversized Unisex T-Shirt</t>
        </is>
      </c>
      <c r="L37" t="inlineStr">
        <is>
          <t>{"choices":[{"finish_reason":"stop","index":0,"logprobs":null,"message":{"annotations":[],"content":"T-ShirtsOther Contrast Cartoon Print Black Oversized T-Shirt, made of heavy cotton for soft breathable comfort. Fun layered totem front shows street fashion vibe. Drop shoulder, crew neck, unisex casual style.","refusal":null,"role":"assistant"}}],"created":1776659160,"id":"chatcmpl-DWaUqGWxSVmuYAOcHDAEv7SD2XFDi","model":"gpt-5-chat-latest","object":"chat.completion","service_tier":"default","system_fingerprint":"fp_ad66631dec","usage":{"completion_tokens":43,"completion_tokens_details":{"accepted_prediction_tokens":0,"audio_tokens":0,"reasoning_tokens":0,"rejected_prediction_tokens":0},"prompt_tokens":937,"prompt_tokens_details":{"audio_tokens":0,"cached_tokens":0},"total_tokens":980}}</t>
        </is>
      </c>
      <c r="M37" t="inlineStr">
        <is>
          <t>{"alt-svc":"h3=\":443\"; ma=2592000","apim-request-id":"ffbac851-5651-49df-9e96-9732853eca81","azureml-model-session":"d20260405234249-f9874baf","cache-control":"no-cache","connection":"close","content-length":"797","content-security-policy":"frame-ancestors 'self'","content-type":"application/json","date":"Mon, 20 Apr 2026 04:26:01 GMT","server":"nginx","skip-error-remapping":"true","strict-transport-security":"max-age=31536000; includeSubDomains; preload","via":"1.1 Caddy, 1.1 Caddy","x-api-request-id":"202604201225596060022218dtzBUmM","x-content-type-options":"nosniff","x-frame-options":"SAMEORIGIN","x-ms-client-request-id":"Not-Set","x-ms-is-spilled-over":"false","x-ms-rai-invoked":"true","x-ms-region":"East US 2","x-new-api-version":"0.4.39","x-oneapi-request-id":"202604200425595406308118268d9d6A23JAW5y","x-ratelimit-abusepenalty-active":"False","x-ratelimit-limit-requests":"3850","x-ratelimit-limit-tokens":"3850000","x-ratelimit-remaining-requests":"3849","x-ratelimit-remaining-tokens":"3848301","x-ratelimit-renewalperiod-requests":"60","x-ratelimit-renewalperiod-tokens":"60","x-ratelimit-reset-requests":"15","x-ratelimit-reset-tokens":"26","x-request-id":"34bc8a6f-ba70-4caf-8241-e7ef74f73f79"}</t>
        </is>
      </c>
      <c r="N37" t="inlineStr">
        <is>
          <t>T-ShirtsOther Contrast Cartoon Print Black Oversized T-Shirt, made of heavy cotton for soft breathable comfort. Fun layered totem front shows street fashion vibe. Drop shoulder, crew neck, unisex casual style.</t>
        </is>
      </c>
      <c r="O37" t="inlineStr">
        <is>
          <t>{"choices":[{"finish_reason":"stop","index":0,"logprobs":null,"message":{"annotations":[],"content":"T-Shirts,Other,kakobuy,kakebuy2026,kekobuysheet,kakobuysheet2026,2026kakobuy,kakobuyspreadsheeet,kakobuylink,kakebuylist,Kakobuy MEGA Spreadsheet,kakobuysheetfind,kakobuysheetfind2026,2026kakobuysheetfind,kakobuysheet2026","refusal":null,"role":"assistant"}}],"created":1776668078,"id":"chatcmpl-DWcog62Hoy1IzKkLnNjZJharAbdNZ","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37" t="inlineStr">
        <is>
          <t>T-Shirts,Other,kakobuy,kakebuy2026,kekobuysheet,kakobuysheet2026,2026kakobuy,kakobuyspreadsheeet,kakobuylink,kakebuylist,Kakobuy MEGA Spreadsheet,kakobuysheetfind,kakobuysheetfind2026,2026kakobuysheetfind,kakobuysheet2026</t>
        </is>
      </c>
      <c r="Q37" t="inlineStr">
        <is>
          <t>Black, Unisex, Streetwear</t>
        </is>
      </c>
      <c r="R37" t="inlineStr">
        <is>
          <t>recvh6xFVjWmL3</t>
        </is>
      </c>
      <c r="S37" t="inlineStr">
        <is>
          <t>contrast-cartoon-totem-black-oversized-unisex-recvh6xfvjwml3</t>
        </is>
      </c>
      <c r="T37"/>
      <c r="U37"/>
      <c r="V37"/>
      <c r="W37" t="inlineStr">
        <is>
          <t>{"id":"chatcmpl-DWZfGlJdTiMKxiJdnuZcFqBorIrJn","object":"chat.completion","created":1776655962,"model":"gpt-5-chat-latest","choices":[{"index":0,"message":{"role":"assistant","content":"撞色卡通印花黑色宽松T恤，选用高克重纯棉面料，质地柔软透气。前幅趣味分层图腾设计，展现街头玩味风格，潮流感十足。落肩剪裁搭配简约圆领，修饰身形，男女皆宜。适合日常休闲、街拍穿搭，彰显个性态度与时尚品味。","refusal":null,"annotations":[]},"logprobs":null,"finish_reason":"stop"}],"usage":{"prompt_tokens":1313,"completion_tokens":102,"total_tokens":1415,"prompt_tokens_details":{"cached_tokens":0,"audio_tokens":0},"completion_tokens_details":{"reasoning_tokens":0,"audio_tokens":0,"accepted_prediction_tokens":0,"rejected_prediction_tokens":0}},"service_tier":"default","system_fingerprint":"fp_ad66631dec"}</t>
        </is>
      </c>
      <c r="X37" t="inlineStr">
        <is>
          <t>撞色卡通印花黑色宽松T恤，选用高克重纯棉面料，质地柔软透气。前幅趣味分层图腾设计，展现街头玩味风格，潮流感十足。落肩剪裁搭配简约圆领，修饰身形，男女皆宜。适合日常休闲、街拍穿搭，彰显个性态度与时尚品味。</t>
        </is>
      </c>
    </row>
    <row r="38" ht="25.5" customHeight="1">
      <c r="A38">
        <v>1839115443</v>
      </c>
      <c r="B38">
        <v>7638913412</v>
      </c>
      <c r="C38" t="inlineStr">
        <is>
          <t>https://weidian.com/item.html?itemID=7638913412</t>
        </is>
      </c>
      <c r="D38"/>
      <c r="E38" s="2" t="str">
        <f>=HYPERLINK("https://si.geilicdn.com/open1839115443-252808396-18f60000019b3586926a0a23b491_1340_1785.jpg?w=640&amp;h=640", "https://si.geilicdn.com/open1839115443-252808396-18f60000019b3586926a0a23b491_1340_1785.jpg?w=640&amp;h=640")</f>
        <v>https://si.geilicdn.com/open1839115443-252808396-18f60000019b3586926a0a23b491_1340_1785.jpg?w=640&amp;h=640</v>
      </c>
      <c r="F38" t="inlineStr">
        <is>
          <t>Hoodies</t>
        </is>
      </c>
      <c r="G38" t="inlineStr">
        <is>
          <t>Other</t>
        </is>
      </c>
      <c r="H38" t="inlineStr">
        <is>
          <t>91.00</t>
        </is>
      </c>
      <c r="I38">
        <v>13.1884057971014</v>
      </c>
      <c r="J38" t="inlineStr">
        <is>
          <t>{"choices":[{"finish_reason":"stop","index":0,"logprobs":null,"message":{"annotations":[],"content":"Texaco Retro Motor Oil Blue Vintage Hoodie","refusal":null,"role":"assistant"}}],"created":1776666392,"id":"chatcmpl-DWcNUtAszT1MYnKifrEeXkjeauQUq","model":"gpt-5-chat-latest","object":"chat.completion","service_tier":"default","system_fingerprint":"fp_ad66631dec","usage":{"completion_tokens":9,"completion_tokens_details":{"accepted_prediction_tokens":0,"audio_tokens":0,"reasoning_tokens":0,"rejected_prediction_tokens":0},"prompt_tokens":882,"prompt_tokens_details":{"audio_tokens":0,"cached_tokens":0},"total_tokens":891}}</t>
        </is>
      </c>
      <c r="K38" t="inlineStr">
        <is>
          <t>Texaco Retro Motor Oil Blue Vintage Hoodie</t>
        </is>
      </c>
      <c r="L38" t="inlineStr">
        <is>
          <t>{"choices":[{"finish_reason":"stop","index":0,"logprobs":null,"message":{"annotations":[],"content":"TEXACO Retro Motor Oil Hoodie, deep blue cotton fabric with vintage red star logo, loose fit, drawstring hood and kangaroo pocket, unisex streetwear for casual American industrial style.","refusal":null,"role":"assistant"}}],"created":1776658275,"id":"chatcmpl-DWaGZlbzzpJ6fJK5wnzqg6WPu4yOx","model":"gpt-5-chat-latest","object":"chat.completion","service_tier":"default","system_fingerprint":"fp_ad66631dec","usage":{"completion_tokens":40,"completion_tokens_details":{"accepted_prediction_tokens":0,"audio_tokens":0,"reasoning_tokens":0,"rejected_prediction_tokens":0},"prompt_tokens":915,"prompt_tokens_details":{"audio_tokens":0,"cached_tokens":0},"total_tokens":955}}</t>
        </is>
      </c>
      <c r="M38" t="inlineStr">
        <is>
          <t>{"alt-svc":"h3=\":443\"; ma=2592000","apim-request-id":"b7e389e1-8a18-405c-80b4-99f70654056a","azureml-model-session":"d20260405225800-40f19e54","cache-control":"no-cache","connection":"close","content-length":"774","content-security-policy":"frame-ancestors 'self'","content-type":"application/json","date":"Mon, 20 Apr 2026 04:11:16 GMT","server":"nginx","skip-error-remapping":"true","strict-transport-security":"max-age=31536000; includeSubDomains; preload","via":"1.1 Caddy, 1.1 Caddy","x-api-request-id":"202604201211146585040562IqfRCEI","x-content-type-options":"nosniff","x-frame-options":"SAMEORIGIN","x-ms-client-request-id":"Not-Set","x-ms-is-spilled-over":"false","x-ms-rai-invoked":"true","x-ms-region":"East US 2","x-new-api-version":"0.4.39","x-oneapi-request-id":"202604200411144440085568268d9d6zND0ncpL","x-ratelimit-abusepenalty-active":"False","x-ratelimit-limit-requests":"3850","x-ratelimit-limit-tokens":"3850000","x-ratelimit-remaining-requests":"3849","x-ratelimit-remaining-tokens":"3848323","x-ratelimit-renewalperiod-requests":"60","x-ratelimit-renewalperiod-tokens":"60","x-ratelimit-reset-requests":"15","x-ratelimit-reset-tokens":"26","x-request-id":"24477876-f762-4624-b6a9-e6515d83c550"}</t>
        </is>
      </c>
      <c r="N38" t="inlineStr">
        <is>
          <t>TEXACO Retro Motor Oil Hoodie, deep blue cotton fabric with vintage red star logo, loose fit, drawstring hood and kangaroo pocket, unisex streetwear for casual American industrial style.</t>
        </is>
      </c>
      <c r="O38" t="inlineStr">
        <is>
          <t>{"choices":[{"finish_reason":"stop","index":0,"logprobs":null,"message":{"annotations":[],"content":"Texaco,Hoodies,kakobuy,kakebuy2026,kekobuysheet,kakobuysheet2026,2026kakobuy,kakobuyspreadsheeet,kakobuylink,kakebuylist,Kakobuy MEGA Spreadsheet,kakobuysheetfind,kakobuysheetfind2026,2026kakobuysheetfind,kakobuysheet2026","refusal":null,"role":"assistant"}}],"created":1776668294,"id":"chatcmpl-DWcsAB97djx6S1Ede9K5FidRXOtKR","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38" t="inlineStr">
        <is>
          <t>Texaco,Hoodies,kakobuy,kakebuy2026,kekobuysheet,kakobuysheet2026,2026kakobuy,kakobuyspreadsheeet,kakobuylink,kakebuylist,Kakobuy MEGA Spreadsheet,kakobuysheetfind,kakobuysheetfind2026,2026kakobuysheetfind,kakobuysheet2026</t>
        </is>
      </c>
      <c r="Q38" t="inlineStr">
        <is>
          <t>Unisex, Streetwear, Vintage</t>
        </is>
      </c>
      <c r="R38" t="inlineStr">
        <is>
          <t>recvh6xFVjH4O9</t>
        </is>
      </c>
      <c r="S38" t="inlineStr">
        <is>
          <t>texaco-retro-motor-oil-blue-vintage-hoodie-recvh6xFVjH4O9</t>
        </is>
      </c>
      <c r="T38"/>
      <c r="U38"/>
      <c r="V38"/>
      <c r="W38" t="inlineStr">
        <is>
          <t>{"id":"chatcmpl-DWZS4L4yygIVfoA9tjaziAdE3MkPY","object":"chat.completion","created":1776655144,"model":"gpt-5-chat-latest","choices":[{"index":0,"message":{"role":"assistant","content":"深蓝色复古汽车机油系列连帽卫衣，精选柔软棉质面料，胸前复刻红星标志印花，彰显美式复古工业风格，宽松版型搭配抽绳连帽与袋鼠口袋设计，男女皆宜，休闲百搭彰显街头个性。","refusal":null,"annotations":[]},"logprobs":null,"finish_reason":"stop"}],"usage":{"prompt_tokens":1316,"completion_tokens":78,"total_tokens":1394,"prompt_tokens_details":{"cached_tokens":0,"audio_tokens":0},"completion_tokens_details":{"reasoning_tokens":0,"audio_tokens":0,"accepted_prediction_tokens":0,"rejected_prediction_tokens":0}},"service_tier":"default","system_fingerprint":"fp_ad66631dec"}</t>
        </is>
      </c>
      <c r="X38" t="inlineStr">
        <is>
          <t>深蓝色复古汽车机油系列连帽卫衣，精选柔软棉质面料，胸前复刻红星标志印花，彰显美式复古工业风格，宽松版型搭配抽绳连帽与袋鼠口袋设计，男女皆宜，休闲百搭彰显街头个性。</t>
        </is>
      </c>
    </row>
    <row r="39" ht="25.5" customHeight="1">
      <c r="A39">
        <v>1839115443</v>
      </c>
      <c r="B39">
        <v>7638889522</v>
      </c>
      <c r="C39" t="inlineStr">
        <is>
          <t>https://weidian.com/item.html?itemID=7638889522</t>
        </is>
      </c>
      <c r="D39"/>
      <c r="E39" s="2" t="str">
        <f>=HYPERLINK("https://si.geilicdn.com/open1839115443-252808396-13aa0000019b35799ec90a23b491_1000_1000.jpg?w=640&amp;h=640", "https://si.geilicdn.com/open1839115443-252808396-13aa0000019b35799ec90a23b491_1000_1000.jpg?w=640&amp;h=640")</f>
        <v>https://si.geilicdn.com/open1839115443-252808396-13aa0000019b35799ec90a23b491_1000_1000.jpg?w=640&amp;h=640</v>
      </c>
      <c r="F39" t="inlineStr">
        <is>
          <t>Pants</t>
        </is>
      </c>
      <c r="G39" t="inlineStr">
        <is>
          <t xml:space="preserve"> Essentials</t>
        </is>
      </c>
      <c r="H39" t="inlineStr">
        <is>
          <t>153.00</t>
        </is>
      </c>
      <c r="I39">
        <v>22.17</v>
      </c>
      <c r="J39" t="inlineStr">
        <is>
          <t>{"choices":[{"finish_reason":"stop","index":0,"logprobs":null,"message":{"annotations":[],"content":"Essentials Beige Fleece Sweatpants Unisex Casual Joggers","refusal":null,"role":"assistant"}}],"created":1776666745,"id":"chatcmpl-DWcTBUrcYsHHYrbGK9L5FuhLD1aix","model":"gpt-5-chat-latest","object":"chat.completion","service_tier":"default","system_fingerprint":"fp_ad66631dec","usage":{"completion_tokens":13,"completion_tokens_details":{"accepted_prediction_tokens":0,"audio_tokens":0,"reasoning_tokens":0,"rejected_prediction_tokens":0},"prompt_tokens":881,"prompt_tokens_details":{"audio_tokens":0,"cached_tokens":0},"total_tokens":894}}</t>
        </is>
      </c>
      <c r="K39" t="inlineStr">
        <is>
          <t>Essentials Beige Fleece Sweatpants Unisex Casual Joggers</t>
        </is>
      </c>
      <c r="L39" t="inlineStr">
        <is>
          <t>{"id":"chatcmpl-DWaXyirXby8HWJhnQlBTkJfEdaIBr","object":"chat.completion","created":1776659354,"model":"gpt-5-chat-latest","choices":[{"index":0,"message":{"role":"assistant","content":"Essentials Beige Fleece Sweatpants – soft cotton fabric, elastic drawstring waist, side pockets, cuffed ankles, minimalist logo design. Unisex joggers for casual wear and daily comfort.","refusal":null,"annotations":[]},"logprobs":null,"finish_reason":"stop"}],"usage":{"prompt_tokens":926,"completion_tokens":40,"total_tokens":966,"prompt_tokens_details":{"cached_tokens":0,"audio_tokens":0},"completion_tokens_details":{"reasoning_tokens":0,"audio_tokens":0,"accepted_prediction_tokens":0,"rejected_prediction_tokens":0}},"service_tier":"default","system_fingerprint":"fp_ad66631dec"}</t>
        </is>
      </c>
      <c r="M3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ma=2592000","apim-request-id":"7d14e746-1fda-4216-85fc-4780c083c7f9","azureml-model-session":"d20260405234249-f9874baf","cache-control":"no-cache, no-store, must-revalidate","connection":"close","content-length":"991","content-security-policy":"frame-ancestors 'self'","content-type":"application/json","date":"Mon, 20 Apr 2026 04:29:16 GMT","server":"nginx","skip-error-remapping":"true","strict-transport-security":"max-age=31536000; includeSubDomains; preload","via":"1.1 Caddy, 1.1 Caddy","x-api-request-id":"20260420122912725760628ufPzBavY","x-content-type-options":"nosniff","x-frame-options":"SAMEORIGIN","x-ms-is-spilled-over":"false","x-ms-rai-invoked":"false","x-ms-region":"Sweden Central","x-new-api-version":"0.4.39","x-oneapi-request-id":"202604200429126586064968268d9d67yDvpKh3","x-ratelimit-abusepenalty-active":"False","x-ratelimit-limit-requests":"4993","x-ratelimit-limit-tokens":"4993000","x-ratelimit-remaining-requests":"4992","x-ratelimit-remaining-tokens":"4991312","x-ratelimit-renewalperiod-requests":"60","x-ratelimit-renewalperiod-tokens":"60","x-ratelimit-reset-requests":"12","x-ratelimit-reset-tokens":"20","x-request-id":"faa75ba5-9b7d-4497-b463-cd4aef8624e8"}</t>
        </is>
      </c>
      <c r="N39" t="inlineStr">
        <is>
          <t>Essentials Beige Fleece Sweatpants – soft cotton fabric, elastic drawstring waist, side pockets, cuffed ankles, minimalist logo design. Unisex joggers for casual wear and daily comfort.</t>
        </is>
      </c>
      <c r="O39" t="inlineStr">
        <is>
          <t>{"choices":[{"finish_reason":"stop","index":0,"logprobs":null,"message":{"annotations":[],"content":"Essentials, Pants, kakobuy, kakebuy2026, kekobuysheet, kakobuysheet2026, 2026kakobuy, kakobuyspreadsheeet, kakobuylink, kakebuylist, Kakobuy MEGA Spreadsheet, kakobuysheetfind, kakobuysheetfind2026, 2026kakobuysheetfind, kakobuysheet2026","refusal":null,"role":"assistant"}}],"created":1776667431,"id":"chatcmpl-DWceFk12Uh4IEj18QHCwerRBqlcWz","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39" t="inlineStr">
        <is>
          <t>Essentials, Pants, kakobuy, kakebuy2026, kekobuysheet, kakobuysheet2026, 2026kakobuy, kakobuyspreadsheeet, kakobuylink, kakebuylist, Kakobuy MEGA Spreadsheet, kakobuysheetfind, kakobuysheetfind2026, 2026kakobuysheetfind, kakobuysheet2026</t>
        </is>
      </c>
      <c r="Q39" t="inlineStr">
        <is>
          <t>Beige, Unisex, Joggers, Casual Footwear, Minimalist</t>
        </is>
      </c>
      <c r="R39" t="inlineStr">
        <is>
          <t>recvh6xFVjY21r</t>
        </is>
      </c>
      <c r="S39" t="inlineStr">
        <is>
          <t>essentials-beige-fleece-sweatpants-recvh6xfvj</t>
        </is>
      </c>
      <c r="T39"/>
      <c r="U39"/>
      <c r="V39"/>
      <c r="W39" t="inlineStr">
        <is>
          <t>{"choices":[{"finish_reason":"stop","index":0,"logprobs":null,"message":{"annotations":[],"content":"Essentials：米色休闲运动长裤，柔软纯棉抓绒面料，简约束脚设计搭配松紧抽绳腰头，侧边口袋实用方便，裤脚印有品牌标识字样，展现极简街头风格。中性款式，男女皆宜，舒适百搭，适合日常穿搭与休闲出行。","refusal":null,"role":"assistant"}}],"created":1776655690,"id":"chatcmpl-DWZasGdf4PJbAWCTCu8kL6TLdBuEO","model":"gpt-5-chat-latest","object":"chat.completion","service_tier":"default","system_fingerprint":"fp_ad66631dec","usage":{"completion_tokens":91,"completion_tokens_details":{"accepted_prediction_tokens":0,"audio_tokens":0,"reasoning_tokens":0,"rejected_prediction_tokens":0},"prompt_tokens":1313,"prompt_tokens_details":{"audio_tokens":0,"cached_tokens":1280},"total_tokens":1404}}</t>
        </is>
      </c>
      <c r="X39" t="inlineStr">
        <is>
          <t>Essentials：米色休闲运动长裤，柔软纯棉抓绒面料，简约束脚设计搭配松紧抽绳腰头，侧边口袋实用方便，裤脚印有品牌标识字样，展现极简街头风格。中性款式，男女皆宜，舒适百搭，适合日常穿搭与休闲出行。</t>
        </is>
      </c>
    </row>
    <row r="40" ht="25.5" customHeight="1">
      <c r="A40">
        <v>1839115443</v>
      </c>
      <c r="B40">
        <v>7638920954</v>
      </c>
      <c r="C40" t="inlineStr">
        <is>
          <t>https://weidian.com/item.html?itemID=7638920954</t>
        </is>
      </c>
      <c r="D40"/>
      <c r="E40" s="2" t="str">
        <f>=HYPERLINK("https://si.geilicdn.com/open1839115443-252808396-1b830000019b357532040a22d249_800_800.jpg?w=640&amp;h=640", "https://si.geilicdn.com/open1839115443-252808396-1b830000019b357532040a22d249_800_800.jpg?w=640&amp;h=640")</f>
        <v>https://si.geilicdn.com/open1839115443-252808396-1b830000019b357532040a22d249_800_800.jpg?w=640&amp;h=640</v>
      </c>
      <c r="F40" t="inlineStr">
        <is>
          <t>Hoodies</t>
        </is>
      </c>
      <c r="G40" t="inlineStr">
        <is>
          <t xml:space="preserve"> Essentials</t>
        </is>
      </c>
      <c r="H40" t="inlineStr">
        <is>
          <t>167.00</t>
        </is>
      </c>
      <c r="I40">
        <v>24.2</v>
      </c>
      <c r="J40" t="inlineStr">
        <is>
          <t>{"choices":[{"finish_reason":"stop","index":0,"logprobs":null,"message":{"annotations":[],"content":"Essentials ABC Cream Hoodie Vintage Unisex Pullover","refusal":null,"role":"assistant"}}],"created":1776666713,"id":"chatcmpl-DWcSfPCAN1tkh4H5N4B7mAOIieNQD","model":"gpt-5-chat-latest","object":"chat.completion","service_tier":"default","system_fingerprint":"fp_ad66631dec","usage":{"completion_tokens":11,"completion_tokens_details":{"accepted_prediction_tokens":0,"audio_tokens":0,"reasoning_tokens":0,"rejected_prediction_tokens":0},"prompt_tokens":906,"prompt_tokens_details":{"audio_tokens":0,"cached_tokens":0},"total_tokens":917}}</t>
        </is>
      </c>
      <c r="K40" t="inlineStr">
        <is>
          <t>Essentials ABC Cream Hoodie Vintage Unisex Pullover</t>
        </is>
      </c>
      <c r="L40" t="inlineStr">
        <is>
          <t>{"choices":[{"finish_reason":"stop","index":0,"logprobs":null,"message":{"annotations":[],"content":"Essentials ABC Hoodie – Cream letter print, premium cotton blend, soft, warm &amp; shape-retaining. Black 3D “ABC” chest print adds vintage collegiate style. Relaxed fit, ribbed cuffs, unisex for street or daily wear.","refusal":null,"role":"assistant"}}],"created":1776658420,"id":"chatcmpl-DWaIu5KeCeUAOGMVvWao3MGaW6iWS","model":"gpt-5-chat-latest","object":"chat.completion","service_tier":"default","system_fingerprint":"fp_ad66631dec","usage":{"completion_tokens":52,"completion_tokens_details":{"accepted_prediction_tokens":0,"audio_tokens":0,"reasoning_tokens":0,"rejected_prediction_tokens":0},"prompt_tokens":933,"prompt_tokens_details":{"audio_tokens":0,"cached_tokens":0},"total_tokens":985}}</t>
        </is>
      </c>
      <c r="M40" t="inlineStr">
        <is>
          <t>{"alt-svc":"h3=\":443\"; ma=2592000","apim-request-id":"0c190caa-62f8-4c79-84f4-733e4033e60d","azureml-model-session":"d20260405234249-f9874baf","cache-control":"no-cache","connection":"close","content-length":"812","content-security-policy":"frame-ancestors 'self'","content-type":"application/json","date":"Mon, 20 Apr 2026 04:13:41 GMT","server":"Caddy","skip-error-remapping":"true","strict-transport-security":"max-age=31536000; includeSubDomains; preload","via":"1.1 Caddy","x-api-request-id":"20260420121339554917488Prh7BD1k","x-content-type-options":"nosniff","x-frame-options":"SAMEORIGIN","x-ms-client-request-id":"Not-Set","x-ms-is-spilled-over":"false","x-ms-rai-invoked":"true","x-ms-region":"East US 2","x-new-api-version":"0.4.39","x-oneapi-request-id":"202604200413394055439908268d9d6zHyBCImz","x-ratelimit-abusepenalty-active":"False","x-ratelimit-limit-requests":"3850","x-ratelimit-limit-tokens":"3850000","x-ratelimit-remaining-requests":"3849","x-ratelimit-remaining-tokens":"3848305","x-ratelimit-renewalperiod-requests":"60","x-ratelimit-renewalperiod-tokens":"60","x-ratelimit-reset-requests":"15","x-ratelimit-reset-tokens":"26","x-request-id":"9828028b-1dbf-4841-aab1-8f18c62b3871"}</t>
        </is>
      </c>
      <c r="N40" t="inlineStr">
        <is>
          <t>Essentials ABC Hoodie – Cream letter print, premium cotton blend, soft, warm &amp; shape-retaining. Black 3D “ABC” chest print adds vintage collegiate style. Relaxed fit, ribbed cuffs, unisex for street or daily wear.</t>
        </is>
      </c>
      <c r="O40" t="inlineStr">
        <is>
          <t>{"id":"chatcmpl-DWceYXGGzcHCwleQHJOZgVR7OyPUD","object":"chat.completion","created":1776667450,"model":"gpt-5-chat-latest","choices":[{"index":0,"message":{"role":"assistant","content":"Essentials, Hoodies,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40" t="inlineStr">
        <is>
          <t>Essentials, Hoodies, kakobuy, kakebuy2026, kekobuysheet, kakobuysheet2026, 2026kakobuy, kakobuyspreadsheeet, kakobuylink, kakebuylist, Kakobuy MEGA Spreadsheet, kakobuysheetfind, kakobuysheetfind2026, 2026kakobuysheetfind, kakobuysheet2026</t>
        </is>
      </c>
      <c r="Q40" t="inlineStr">
        <is>
          <t>Cream, Unisex, Street, Vintage</t>
        </is>
      </c>
      <c r="R40" t="inlineStr">
        <is>
          <t>recvh6xFVjrtmg</t>
        </is>
      </c>
      <c r="S40" t="inlineStr">
        <is>
          <t>essentials-abc-cream-hoodie-vintage-unisex-pullover-recvh6xfvjrtmg</t>
        </is>
      </c>
      <c r="T40"/>
      <c r="U40"/>
      <c r="V40"/>
      <c r="W40" t="inlineStr">
        <is>
          <t>{"choices":[{"finish_reason":"stop","index":0,"logprobs":null,"message":{"annotations":[],"content":"Other：米白色字母印花连帽卫衣，优质棉质混纺面料，柔软保暖不易变形。胸前黑色“ABC”立体字母印花设计，简约又具学院复古气息。宽松剪裁配合罗纹袖口与下摆，兼顾舒适与时尚。男女皆可穿搭，日常通勤或街头休闲皆宜。","refusal":null,"role":"assistant"}}],"created":1776655353,"id":"chatcmpl-DWZVRcuBpX3O6UNlmcozjiIwFRZ1e","model":"gpt-5-chat-latest","object":"chat.completion","service_tier":"default","system_fingerprint":"fp_ad66631dec","usage":{"completion_tokens":100,"completion_tokens_details":{"accepted_prediction_tokens":0,"audio_tokens":0,"reasoning_tokens":0,"rejected_prediction_tokens":0},"prompt_tokens":1308,"prompt_tokens_details":{"audio_tokens":0,"cached_tokens":0},"total_tokens":1408}}</t>
        </is>
      </c>
      <c r="X40" t="inlineStr">
        <is>
          <t>Other：米白色字母印花连帽卫衣，优质棉质混纺面料，柔软保暖不易变形。胸前黑色“ABC”立体字母印花设计，简约又具学院复古气息。宽松剪裁配合罗纹袖口与下摆，兼顾舒适与时尚。男女皆可穿搭，日常通勤或街头休闲皆宜。</t>
        </is>
      </c>
    </row>
    <row r="41" ht="25.5" customHeight="1">
      <c r="A41">
        <v>1839115443</v>
      </c>
      <c r="B41">
        <v>7635938905</v>
      </c>
      <c r="C41" t="inlineStr">
        <is>
          <t>https://weidian.com/item.html?itemID=7635938905</t>
        </is>
      </c>
      <c r="D41"/>
      <c r="E41" s="2" t="str">
        <f>=HYPERLINK("https://si.geilicdn.com/open1839115443-252808396-7db60000019b356c146b0a8115c2_800_800.jpg?w=640&amp;h=640", "https://si.geilicdn.com/open1839115443-252808396-7db60000019b356c146b0a8115c2_800_800.jpg?w=640&amp;h=640")</f>
        <v>https://si.geilicdn.com/open1839115443-252808396-7db60000019b356c146b0a8115c2_800_800.jpg?w=640&amp;h=640</v>
      </c>
      <c r="F41" t="inlineStr">
        <is>
          <t>T-Shirts</t>
        </is>
      </c>
      <c r="G41" t="inlineStr">
        <is>
          <t>False Perception</t>
        </is>
      </c>
      <c r="H41" t="inlineStr">
        <is>
          <t>103.00</t>
        </is>
      </c>
      <c r="I41">
        <v>14.93</v>
      </c>
      <c r="J41" t="inlineStr">
        <is>
          <t>{"choices":[{"finish_reason":"stop","index":0,"logprobs":null,"message":{"annotations":[],"content":"False Perception Brown Vintage Wrestling Sleeveless Tee","refusal":null,"role":"assistant"}}],"created":1776666928,"id":"chatcmpl-DWcW8qHr2n6xzIt2fsB8KVNxhMhFM","model":"gpt-5-chat-latest","object":"chat.completion","service_tier":"default","system_fingerprint":"fp_ad66631dec","usage":{"completion_tokens":10,"completion_tokens_details":{"accepted_prediction_tokens":0,"audio_tokens":0,"reasoning_tokens":0,"rejected_prediction_tokens":0},"prompt_tokens":883,"prompt_tokens_details":{"audio_tokens":0,"cached_tokens":0},"total_tokens":893}}</t>
        </is>
      </c>
      <c r="K41" t="inlineStr">
        <is>
          <t>False Perception Brown Vintage Wrestling Sleeveless Tee</t>
        </is>
      </c>
      <c r="L41" t="inlineStr">
        <is>
          <t>{"id":"chatcmpl-DWaJq7nCQaZwKznF50zDl41jJLWCY","object":"chat.completion","created":1776658478,"model":"gpt-5-chat-latest","choices":[{"index":0,"message":{"role":"assistant","content":"False Perception Brown Sleeveless Graphic Tee, made of soft cotton, featuring vintage wrestling print and bold typography, unique back scar list detail, unisex loose fit, perfect for street retro style.","refusal":null,"annotations":[]},"logprobs":null,"finish_reason":"stop"}],"usage":{"prompt_tokens":926,"completion_tokens":40,"total_tokens":966,"prompt_tokens_details":{"cached_tokens":0,"audio_tokens":0},"completion_tokens_details":{"reasoning_tokens":0,"audio_tokens":0,"accepted_prediction_tokens":0,"rejected_prediction_tokens":0}},"service_tier":"default","system_fingerprint":"fp_ad66631dec"}</t>
        </is>
      </c>
      <c r="M4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ma=2592000","apim-request-id":"76302df6-74a9-4497-8193-429c5c04e862","azureml-model-session":"d20260405234249-f9874baf","cache-control":"no-cache, no-store, must-revalidate","connection":"close","content-length":"1006","content-security-policy":"frame-ancestors 'self'","content-type":"application/json","date":"Mon, 20 Apr 2026 04:14:39 GMT","server":"Caddy","skip-error-remapping":"true","strict-transport-security":"max-age=31536000; includeSubDomains; preload","via":"1.1 Caddy","x-api-request-id":"20260420121437766414372MjTUKFBy","x-content-type-options":"nosniff","x-frame-options":"SAMEORIGIN","x-ms-is-spilled-over":"false","x-ms-rai-invoked":"false","x-ms-region":"East US 2","x-new-api-version":"0.4.39","x-oneapi-request-id":"202604200414376999590748268d9d6Hp8YqJzu","x-ratelimit-abusepenalty-active":"False","x-ratelimit-limit-requests":"4994","x-ratelimit-limit-tokens":"4994000","x-ratelimit-remaining-requests":"4993","x-ratelimit-remaining-tokens":"4992312","x-ratelimit-renewalperiod-requests":"60","x-ratelimit-renewalperiod-tokens":"60","x-ratelimit-reset-requests":"12","x-ratelimit-reset-tokens":"20","x-request-id":"e94b3e99-4eef-4dd9-a36b-2bf612deedb4"}</t>
        </is>
      </c>
      <c r="N41" t="inlineStr">
        <is>
          <t>False Perception Brown Sleeveless Graphic Tee, made of soft cotton, featuring vintage wrestling print and bold typography, unique back scar list detail, unisex loose fit, perfect for street retro style.</t>
        </is>
      </c>
      <c r="O41" t="inlineStr">
        <is>
          <t>{"id":"chatcmpl-DWca2rwgubBVMd2eql5moJA4H6mur","object":"chat.completion","created":1776667170,"model":"gpt-5-chat-latest","choices":[{"index":0,"message":{"role":"assistant","content":"False Perception,T-Shirts,kakobuy,kakebuy2026,kekobuysheet,kakobuysheet2026,2026kakobuy,kakobuyspreadsheeet,kakobuylink,kakebuylist,Kakobuy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ad66631dec"}</t>
        </is>
      </c>
      <c r="P41" t="inlineStr">
        <is>
          <t>False Perception,T-Shirts,kakobuy,kakebuy2026,kekobuysheet,kakobuysheet2026,2026kakobuy,kakobuyspreadsheeet,kakobuylink,kakebuylist,Kakobuy MEGA Spreadsheet,kakobuysheetfind,kakobuysheetfind2026,2026kakobuysheetfind,kakobuysheet2026</t>
        </is>
      </c>
      <c r="Q41" t="inlineStr">
        <is>
          <t>Unisex, Vintage, Street, Retro</t>
        </is>
      </c>
      <c r="R41" t="inlineStr">
        <is>
          <t>recvh6xFVjzVyV</t>
        </is>
      </c>
      <c r="S41" t="inlineStr">
        <is>
          <t>false-perception-brown-vintage-wrestling-tee-recvh6xFVjzVyV</t>
        </is>
      </c>
      <c r="T41"/>
      <c r="U41"/>
      <c r="V41"/>
      <c r="W41" t="inlineStr">
        <is>
          <t>{"id":"chatcmpl-DWZRxN8d4DlNE3r8kuvD1LRj0KB4A","object":"chat.completion","created":1776655137,"model":"gpt-5-chat-latest","choices":[{"index":0,"message":{"role":"assistant","content":"False Perception 棕色无袖印花T恤，采用纯棉质地柔软亲肤，正面复古摔跤主题图腾与粗犷字体设计，背面伤痕清单印花细节独特。街头复古风格，宽松剪裁展现自由态度，男女皆宜，适合休闲与潮流穿搭。","refusal":null,"annotations":[]},"logprobs":null,"finish_reason":"stop"}],"usage":{"prompt_tokens":1319,"completion_tokens":89,"total_tokens":1408,"prompt_tokens_details":{"cached_tokens":0,"audio_tokens":0},"completion_tokens_details":{"reasoning_tokens":0,"audio_tokens":0,"accepted_prediction_tokens":0,"rejected_prediction_tokens":0}},"service_tier":"default","system_fingerprint":"fp_ad66631dec"}</t>
        </is>
      </c>
      <c r="X41" t="inlineStr">
        <is>
          <t>False Perception 棕色无袖印花T恤，采用纯棉质地柔软亲肤，正面复古摔跤主题图腾与粗犷字体设计，背面伤痕清单印花细节独特。街头复古风格，宽松剪裁展现自由态度，男女皆宜，适合休闲与潮流穿搭。</t>
        </is>
      </c>
    </row>
    <row r="42" ht="25.5" customHeight="1">
      <c r="A42">
        <v>1839115443</v>
      </c>
      <c r="B42">
        <v>7638992140</v>
      </c>
      <c r="C42" t="inlineStr">
        <is>
          <t>https://weidian.com/item.html?itemID=7638992140</t>
        </is>
      </c>
      <c r="D42"/>
      <c r="E42" s="2" t="str">
        <f>=HYPERLINK("https://si.geilicdn.com/open1839115443-252808396-24d70000019b3590c1490a231226_1340_1785.jpg?w=640&amp;h=640", "https://si.geilicdn.com/open1839115443-252808396-24d70000019b3590c1490a231226_1340_1785.jpg?w=640&amp;h=640")</f>
        <v>https://si.geilicdn.com/open1839115443-252808396-24d70000019b3590c1490a231226_1340_1785.jpg?w=640&amp;h=640</v>
      </c>
      <c r="F42" t="inlineStr">
        <is>
          <t>Hoodies</t>
        </is>
      </c>
      <c r="G42" t="inlineStr">
        <is>
          <t>Other</t>
        </is>
      </c>
      <c r="H42" t="inlineStr">
        <is>
          <t>91.00</t>
        </is>
      </c>
      <c r="I42">
        <v>13.19</v>
      </c>
      <c r="J42" t="inlineStr">
        <is>
          <t>{"id":"chatcmpl-DWcJBBKHqQazujjy3M0fvQE4HJc0g","object":"chat.completion","created":1776666125,"model":"gpt-5-chat-latest","choices":[{"index":0,"message":{"role":"assistant","content":"ADIO Unisex Light Gray Skateboard Streetwear Hoodie","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42" t="inlineStr">
        <is>
          <t>ADIO Unisex Light Gray Skateboard Streetwear Hoodie</t>
        </is>
      </c>
      <c r="L42" t="inlineStr">
        <is>
          <t>{"choices":[{"finish_reason":"stop","index":0,"logprobs":null,"message":{"annotations":[],"content":"ADIO unisex light gray hoodie made from soft cotton blend, features bold black logo print on chest, drop shoulder loose fit, cozy warm feel, minimalist skateboard streetwear style.","refusal":null,"role":"assistant"}}],"created":1776658649,"id":"chatcmpl-DWaMbOKNrDsKAcWNLXYSaxFSxPZbb","model":"gpt-5-chat-latest","object":"chat.completion","service_tier":"default","system_fingerprint":"fp_ad66631dec","usage":{"completion_tokens":37,"completion_tokens_details":{"accepted_prediction_tokens":0,"audio_tokens":0,"reasoning_tokens":0,"rejected_prediction_tokens":0},"prompt_tokens":910,"prompt_tokens_details":{"audio_tokens":0,"cached_tokens":0},"total_tokens":947}}</t>
        </is>
      </c>
      <c r="M42" t="inlineStr">
        <is>
          <t>{"alt-svc":"h3=\":443\"; ma=2592000","apim-request-id":"6b097cc3-2892-4724-940b-af3c857279b2","azureml-model-session":"d20260402083108-57a85543","cache-control":"no-cache","connection":"close","content-length":"768","content-security-policy":"frame-ancestors 'self'","content-type":"application/json","date":"Mon, 20 Apr 2026 04:17:30 GMT","server":"Caddy","skip-error-remapping":"true","strict-transport-security":"max-age=31536000; includeSubDomains; preload","via":"1.1 Caddy","x-api-request-id":"2026042012172859607661y5YrDBue","x-content-type-options":"nosniff","x-frame-options":"SAMEORIGIN","x-ms-client-request-id":"Not-Set","x-ms-is-spilled-over":"false","x-ms-rai-invoked":"true","x-ms-region":"East US 2","x-new-api-version":"0.4.39","x-oneapi-request-id":"202604200417279934428178268d9d6eF8WeutK","x-ratelimit-abusepenalty-active":"False","x-ratelimit-limit-requests":"3850","x-ratelimit-limit-tokens":"3850000","x-ratelimit-remaining-requests":"3849","x-ratelimit-remaining-tokens":"3848328","x-ratelimit-renewalperiod-requests":"60","x-ratelimit-renewalperiod-tokens":"60","x-ratelimit-reset-requests":"15","x-ratelimit-reset-tokens":"26","x-request-id":"4492ae5b-5f2e-4f6a-944e-9511f5d3658d"}</t>
        </is>
      </c>
      <c r="N42" t="inlineStr">
        <is>
          <t>ADIO unisex light gray hoodie made from soft cotton blend, features bold black logo print on chest, drop shoulder loose fit, cozy warm feel, minimalist skateboard streetwear style.</t>
        </is>
      </c>
      <c r="O42" t="inlineStr">
        <is>
          <t>{"choices":[{"finish_reason":"stop","index":0,"logprobs":null,"message":{"annotations":[],"content":"ADIO,Hoodies,kakobuy,kakebuy2026,kekobuysheet,kakobuysheet2026,2026kakobuy,kakobuyspreadsheeet,kakobuylink,kakebuylist,Kakobuy MEGA Spreadsheet,kakobuysheetfind,kakobuysheetfind2026,2026kakobuysheetfind,kakobuysheet2026","refusal":null,"role":"assistant"}}],"created":1776668186,"id":"chatcmpl-DWcqQfoSo9laXQOVYA2dK0s5ktS8e","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42" t="inlineStr">
        <is>
          <t>ADIO,Hoodies,kakobuy,kakebuy2026,kekobuysheet,kakobuysheet2026,2026kakobuy,kakobuyspreadsheeet,kakobuylink,kakebuylist,Kakobuy MEGA Spreadsheet,kakobuysheetfind,kakobuysheetfind2026,2026kakobuysheetfind,kakobuysheet2026</t>
        </is>
      </c>
      <c r="Q42" t="inlineStr">
        <is>
          <t>Unisex, Lightweight, Minimalist, Streetwear, Skater, Gray</t>
        </is>
      </c>
      <c r="R42" t="inlineStr">
        <is>
          <t>recvh6xFVj0nfp</t>
        </is>
      </c>
      <c r="S42" t="inlineStr">
        <is>
          <t>adio-unisex-light-gray-skateboard-streetwear-hoodie-recvh6xFVj0nfp</t>
        </is>
      </c>
      <c r="T42"/>
      <c r="U42"/>
      <c r="V42"/>
      <c r="W42" t="inlineStr">
        <is>
          <t>{"choices":[{"finish_reason":"stop","index":0,"logprobs":null,"message":{"annotations":[],"content":"浅灰色连帽卫衣，采用柔软棉质混纺面料，胸前黑色ADIO标志印花简约醒目，宽松剪裁搭配落肩设计展现休闲街头风格，男女皆宜，舒适保暖，彰显极简滑板潮流态度。","refusal":null,"role":"assistant"}}],"created":1776655380,"id":"chatcmpl-DWZVs5mCMVnM4cQCpnA5uCEi3HiPs","model":"gpt-5-chat-latest","object":"chat.completion","service_tier":"default","system_fingerprint":"fp_ad66631dec","usage":{"completion_tokens":74,"completion_tokens_details":{"accepted_prediction_tokens":0,"audio_tokens":0,"reasoning_tokens":0,"rejected_prediction_tokens":0},"prompt_tokens":1314,"prompt_tokens_details":{"audio_tokens":0,"cached_tokens":0},"total_tokens":1388}}</t>
        </is>
      </c>
      <c r="X42" t="inlineStr">
        <is>
          <t>浅灰色连帽卫衣，采用柔软棉质混纺面料，胸前黑色ADIO标志印花简约醒目，宽松剪裁搭配落肩设计展现休闲街头风格，男女皆宜，舒适保暖，彰显极简滑板潮流态度。</t>
        </is>
      </c>
    </row>
    <row r="43" ht="25.5" customHeight="1">
      <c r="A43">
        <v>1839115443</v>
      </c>
      <c r="B43">
        <v>7638930194</v>
      </c>
      <c r="C43" t="inlineStr">
        <is>
          <t>https://weidian.com/item.html?itemID=7638930194</t>
        </is>
      </c>
      <c r="D43"/>
      <c r="E43" s="2" t="str">
        <f>=HYPERLINK("https://si.geilicdn.com/open1839115443-252808396-24fd0000019b3590d4cf0a231226_1785_1785.jpg?w=640&amp;h=640", "https://si.geilicdn.com/open1839115443-252808396-24fd0000019b3590d4cf0a231226_1785_1785.jpg?w=640&amp;h=640")</f>
        <v>https://si.geilicdn.com/open1839115443-252808396-24fd0000019b3590d4cf0a231226_1785_1785.jpg?w=640&amp;h=640</v>
      </c>
      <c r="F43" t="inlineStr">
        <is>
          <t>T-Shirts</t>
        </is>
      </c>
      <c r="G43" t="inlineStr">
        <is>
          <t>Jack Jones</t>
        </is>
      </c>
      <c r="H43" t="inlineStr">
        <is>
          <t>63.00</t>
        </is>
      </c>
      <c r="I43">
        <v>9.13</v>
      </c>
      <c r="J43" t="inlineStr">
        <is>
          <t>{"choices":[{"finish_reason":"stop","index":0,"logprobs":null,"message":{"annotations":[],"content":"Jack &amp; Jones Black Logo Cotton T-Shirt","refusal":null,"role":"assistant"}}],"created":1776666152,"id":"chatcmpl-DWcJcLPxfkma1mW8BDdTjxuIJYXEP","model":"gpt-5-chat-latest","object":"chat.completion","service_tier":"default","system_fingerprint":"fp_ad66631dec","usage":{"completion_tokens":9,"completion_tokens_details":{"accepted_prediction_tokens":0,"audio_tokens":0,"reasoning_tokens":0,"rejected_prediction_tokens":0},"prompt_tokens":878,"prompt_tokens_details":{"audio_tokens":0,"cached_tokens":0},"total_tokens":887}}</t>
        </is>
      </c>
      <c r="K43" t="inlineStr">
        <is>
          <t>Jack &amp; Jones Black Logo Cotton T-Shirt</t>
        </is>
      </c>
      <c r="L43" t="inlineStr">
        <is>
          <t>{"id":"chatcmpl-DWaSrWk3JA6j1BHJBCddy2MgpYG4U","object":"chat.completion","created":1776659037,"model":"gpt-5-chat-latest","choices":[{"index":0,"message":{"role":"assistant","content":"Jack &amp; Jones black printed T-shirt in soft cotton with bold orange-white logo on chest. Loose fit, breathable and unisex, perfect for casual streetwear and expressing effortless urban style.","refusal":null,"annotations":[]},"logprobs":null,"finish_reason":"stop"}],"usage":{"prompt_tokens":911,"completion_tokens":38,"total_tokens":949,"prompt_tokens_details":{"cached_tokens":0,"audio_tokens":0},"completion_tokens_details":{"reasoning_tokens":0,"audio_tokens":0,"accepted_prediction_tokens":0,"rejected_prediction_tokens":0}},"service_tier":"default","system_fingerprint":"fp_ad66631dec"}</t>
        </is>
      </c>
      <c r="M4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ma=2592000","apim-request-id":"dca1e920-65f8-4ea6-b900-085de232f8a2","azureml-model-session":"d20260402075109-1fc5a0ec","cache-control":"no-cache, no-store, must-revalidate","connection":"close","content-length":"994","content-security-policy":"frame-ancestors 'self'","content-type":"application/json","date":"Mon, 20 Apr 2026 04:23:58 GMT","server":"Caddy","skip-error-remapping":"true","strict-transport-security":"max-age=31536000; includeSubDomains; preload","via":"1.1 Caddy","x-api-request-id":"20260420122356205410323LX91vFUw","x-content-type-options":"nosniff","x-frame-options":"SAMEORIGIN","x-ms-is-spilled-over":"false","x-ms-rai-invoked":"false","x-ms-region":"East US 2","x-new-api-version":"0.4.39","x-oneapi-request-id":"202604200423561368532378268d9d6VQx5qmrh","x-ratelimit-abusepenalty-active":"False","x-ratelimit-limit-requests":"4994","x-ratelimit-limit-tokens":"4994000","x-ratelimit-remaining-requests":"4993","x-ratelimit-remaining-tokens":"4992327","x-ratelimit-renewalperiod-requests":"60","x-ratelimit-renewalperiod-tokens":"60","x-ratelimit-reset-requests":"12","x-ratelimit-reset-tokens":"20","x-request-id":"3ffbd75f-3efe-47fb-bb96-60870621f324"}</t>
        </is>
      </c>
      <c r="N43" t="inlineStr">
        <is>
          <t>Jack &amp; Jones black printed T-shirt in soft cotton with bold orange-white logo on chest. Loose fit, breathable and unisex, perfect for casual streetwear and expressing effortless urban style.</t>
        </is>
      </c>
      <c r="O43" t="inlineStr">
        <is>
          <t>{"choices":[{"finish_reason":"stop","index":0,"logprobs":null,"message":{"annotations":[],"content":"Jack Jones, T-Shirts, kakobuy, kakebuy2026, kekobuysheet, kakobuysheet2026, 2026kakobuy, kakobuyspreadsheeet, kakobuylink, kakebuylist, Kakobuy MEGA Spreadsheet, kakobuysheetfind, kakobuysheetfind2026, 2026kakobuysheetfind, kakobuysheet2026","refusal":null,"role":"assistant"}}],"created":1776668373,"id":"chatcmpl-DWctRoygXRhP0XiPgfvGDCPnGXlxH","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43" t="inlineStr">
        <is>
          <t>Jack Jones, T-Shirts, kakobuy, kakebuy2026, kekobuysheet, kakobuysheet2026, 2026kakobuy, kakobuyspreadsheeet, kakobuylink, kakebuylist, Kakobuy MEGA Spreadsheet, kakobuysheetfind, kakobuysheetfind2026, 2026kakobuysheetfind, kakobuysheet2026</t>
        </is>
      </c>
      <c r="Q43" t="inlineStr">
        <is>
          <t>Black, Unisex, Streetwear, Breathable</t>
        </is>
      </c>
      <c r="R43" t="inlineStr">
        <is>
          <t>recvh6xFVjw6IM</t>
        </is>
      </c>
      <c r="S43" t="inlineStr">
        <is>
          <t>jack-jones-black-logo-cotton-tshirt-recvh6xfvjw6im</t>
        </is>
      </c>
      <c r="T43"/>
      <c r="U43"/>
      <c r="V43"/>
      <c r="W43" t="inlineStr">
        <is>
          <t>{"choices":[{"finish_reason":"stop","index":0,"logprobs":null,"message":{"annotations":[],"content":"Jack Jones：黑色印花短袖T恤，采用柔软纯棉面料，胸前橙白撞色LOGO字母设计，展现街头潮流个性。宽松剪裁舒适透气，男女皆宜，休闲百搭，轻松诠释都市时尚态度。","refusal":null,"role":"assistant"}}],"created":1776655817,"id":"chatcmpl-DWZcvXgk44rIUyagM29rf0LKBTX60","model":"gpt-5-chat-latest","object":"chat.completion","service_tier":"default","system_fingerprint":"fp_ad66631dec","usage":{"completion_tokens":74,"completion_tokens_details":{"accepted_prediction_tokens":0,"audio_tokens":0,"reasoning_tokens":0,"rejected_prediction_tokens":0},"prompt_tokens":1318,"prompt_tokens_details":{"audio_tokens":0,"cached_tokens":0},"total_tokens":1392}}</t>
        </is>
      </c>
      <c r="X43" t="inlineStr">
        <is>
          <t>Jack Jones：黑色印花短袖T恤，采用柔软纯棉面料，胸前橙白撞色LOGO字母设计，展现街头潮流个性。宽松剪裁舒适透气，男女皆宜，休闲百搭，轻松诠释都市时尚态度。</t>
        </is>
      </c>
    </row>
    <row r="44" ht="25.5" customHeight="1">
      <c r="A44">
        <v>1839115443</v>
      </c>
      <c r="B44">
        <v>7638994140</v>
      </c>
      <c r="C44" t="inlineStr">
        <is>
          <t>https://weidian.com/item.html?itemID=7638994140</t>
        </is>
      </c>
      <c r="D44"/>
      <c r="E44" s="2" t="str">
        <f>=HYPERLINK("https://si.geilicdn.com/open1839115443-252808396-0ec30000019b35908c710a8115c2_1340_1785.jpg?w=640&amp;h=640", "https://si.geilicdn.com/open1839115443-252808396-0ec30000019b35908c710a8115c2_1340_1785.jpg?w=640&amp;h=640")</f>
        <v>https://si.geilicdn.com/open1839115443-252808396-0ec30000019b35908c710a8115c2_1340_1785.jpg?w=640&amp;h=640</v>
      </c>
      <c r="F44" t="inlineStr">
        <is>
          <t>Hoodies</t>
        </is>
      </c>
      <c r="G44" t="inlineStr">
        <is>
          <t>Other</t>
        </is>
      </c>
      <c r="H44" t="inlineStr">
        <is>
          <t>91.00</t>
        </is>
      </c>
      <c r="I44">
        <v>13.19</v>
      </c>
      <c r="J44" t="inlineStr">
        <is>
          <t>{"id":"chatcmpl-DWcUnieyk5t7vI00KszwIzfTpd02Y","object":"chat.completion","created":1776666845,"model":"gpt-5-chat-latest","choices":[{"index":0,"message":{"role":"assistant","content":"Anti Hero Skateboards Gray Oversized Unisex Hoodie","refusal":null,"annotations":[]},"logprobs":null,"finish_reason":"stop"}],"usage":{"prompt_tokens":882,"completion_tokens":11,"total_tokens":893,"prompt_tokens_details":{"cached_tokens":0,"audio_tokens":0},"completion_tokens_details":{"reasoning_tokens":0,"audio_tokens":0,"accepted_prediction_tokens":0,"rejected_prediction_tokens":0}},"service_tier":"default","system_fingerprint":"fp_ad66631dec"}</t>
        </is>
      </c>
      <c r="K44" t="inlineStr">
        <is>
          <t>Anti Hero Skateboards Gray Oversized Unisex Hoodie</t>
        </is>
      </c>
      <c r="L44" t="inlineStr">
        <is>
          <t>{"choices":[{"finish_reason":"stop","index":0,"logprobs":null,"message":{"annotations":[],"content":"ANTI HERO SKATEBOARDS gray oversized hoodie, soft cotton blend fabric, bold chest logo print, drawstring hood and kangaroo pocket, unisex streetwear for daily wear and skateboarding.","refusal":null,"role":"assistant"}}],"created":1776659148,"id":"chatcmpl-DWaUeJfNG4VcXUSpnzpCL6otA4DZk","model":"gpt-5-chat-latest","object":"chat.completion","service_tier":"default","system_fingerprint":"fp_ad66631dec","usage":{"completion_tokens":40,"completion_tokens_details":{"accepted_prediction_tokens":0,"audio_tokens":0,"reasoning_tokens":0,"rejected_prediction_tokens":0},"prompt_tokens":932,"prompt_tokens_details":{"audio_tokens":0,"cached_tokens":0},"total_tokens":972}}</t>
        </is>
      </c>
      <c r="M44" t="inlineStr">
        <is>
          <t>{"alt-svc":"h3=\":443\"; ma=2592000","apim-request-id":"2f6a6349-0f22-4a94-9b20-12edc2648212","azureml-model-session":"d20260405221325-2e8d5e76","cache-control":"no-cache","connection":"close","content-length":"770","content-security-policy":"frame-ancestors 'self'","content-type":"application/json","date":"Mon, 20 Apr 2026 04:25:49 GMT","server":"nginx","skip-error-remapping":"true","strict-transport-security":"max-age=31536000; includeSubDomains; preload","via":"1.1 Caddy, 1.1 Caddy","x-api-request-id":"20260420122547522077650CFXTzhrR","x-content-type-options":"nosniff","x-frame-options":"SAMEORIGIN","x-ms-client-request-id":"Not-Set","x-ms-is-spilled-over":"false","x-ms-rai-invoked":"true","x-ms-region":"East US 2","x-new-api-version":"0.4.39","x-oneapi-request-id":"202604200425474534587728268d9d6zoWoxbd1","x-ratelimit-abusepenalty-active":"False","x-ratelimit-limit-requests":"3850","x-ratelimit-limit-tokens":"3850000","x-ratelimit-remaining-requests":"3849","x-ratelimit-remaining-tokens":"3848306","x-ratelimit-renewalperiod-requests":"60","x-ratelimit-renewalperiod-tokens":"60","x-ratelimit-reset-requests":"15","x-ratelimit-reset-tokens":"26","x-request-id":"528afefb-b7cb-4658-8740-ae8d943b466d"}</t>
        </is>
      </c>
      <c r="N44" t="inlineStr">
        <is>
          <t>ANTI HERO SKATEBOARDS gray oversized hoodie, soft cotton blend fabric, bold chest logo print, drawstring hood and kangaroo pocket, unisex streetwear for daily wear and skateboarding.</t>
        </is>
      </c>
      <c r="O44" t="inlineStr">
        <is>
          <t>{"choices":[{"finish_reason":"stop","index":0,"logprobs":null,"message":{"annotations":[],"content":"Anti Hero,Hoodies,kakobuy,kakebuy2026,kekobuysheet,kakobuysheet2026,2026kakobuy,kakobuyspreadsheeet,kakobuylink,kakebuylist,Kakobuy MEGA Spreadsheet,kakobuysheetfind,kakobuysheetfind2026,2026kakobuysheetfind,kakobuysheet2026","refusal":null,"role":"assistant"}}],"created":1776667588,"id":"chatcmpl-DWcgmmdxEO8xRDa0sX6eBmk13saR9","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44" t="inlineStr">
        <is>
          <t>Anti Hero,Hoodies,kakobuy,kakebuy2026,kekobuysheet,kakobuysheet2026,2026kakobuy,kakobuyspreadsheeet,kakobuylink,kakebuylist,Kakobuy MEGA Spreadsheet,kakobuysheetfind,kakobuysheetfind2026,2026kakobuysheetfind,kakobuysheet2026</t>
        </is>
      </c>
      <c r="Q44" t="inlineStr">
        <is>
          <t>Gray, Streetwear, Unisex</t>
        </is>
      </c>
      <c r="R44" t="inlineStr">
        <is>
          <t>recvh6xFVjcotG</t>
        </is>
      </c>
      <c r="S44" t="inlineStr">
        <is>
          <t>anti-hero-skateboards-gray-oversized-hoodie-recvh6xfvjcotg</t>
        </is>
      </c>
      <c r="T44"/>
      <c r="U44"/>
      <c r="V44"/>
      <c r="W44" t="inlineStr">
        <is>
          <t>{"choices":[{"finish_reason":"stop","index":0,"logprobs":null,"message":{"annotations":[],"content":"灰色滑板风宽松连帽卫衣，采用柔软棉质混纺面料，胸前大胆黑色“ANTI HERO SKATEBOARDS”字母印花设计，彰显街头个性。经典抽绳连帽与大口袋设计兼具保暖与实用，男女通用款，潮流休闲风格，适合日常穿搭与滑板运动场景。","refusal":null,"role":"assistant"}}],"created":1776655401,"id":"chatcmpl-DWZWDTeUfNZzZb17K3ArLMMkxXM81","model":"gpt-5-chat-latest","object":"chat.completion","service_tier":"default","system_fingerprint":"fp_ad66631dec","usage":{"completion_tokens":95,"completion_tokens_details":{"accepted_prediction_tokens":0,"audio_tokens":0,"reasoning_tokens":0,"rejected_prediction_tokens":0},"prompt_tokens":1316,"prompt_tokens_details":{"audio_tokens":0,"cached_tokens":0},"total_tokens":1411}}</t>
        </is>
      </c>
      <c r="X44" t="inlineStr">
        <is>
          <t>灰色滑板风宽松连帽卫衣，采用柔软棉质混纺面料，胸前大胆黑色“ANTI HERO SKATEBOARDS”字母印花设计，彰显街头个性。经典抽绳连帽与大口袋设计兼具保暖与实用，男女通用款，潮流休闲风格，适合日常穿搭与滑板运动场景。</t>
        </is>
      </c>
    </row>
    <row r="45" ht="25.5" customHeight="1">
      <c r="A45">
        <v>1839115443</v>
      </c>
      <c r="B45">
        <v>7636041729</v>
      </c>
      <c r="C45" t="inlineStr">
        <is>
          <t>https://weidian.com/item.html?itemID=7636041729</t>
        </is>
      </c>
      <c r="D45"/>
      <c r="E45" s="2" t="str">
        <f>=HYPERLINK("https://si.geilicdn.com/open1839115443-252808396-1c610000019b35770b860a22d249_800_800.jpg?w=640&amp;h=640", "https://si.geilicdn.com/open1839115443-252808396-1c610000019b35770b860a22d249_800_800.jpg?w=640&amp;h=640")</f>
        <v>https://si.geilicdn.com/open1839115443-252808396-1c610000019b35770b860a22d249_800_800.jpg?w=640&amp;h=640</v>
      </c>
      <c r="F45" t="inlineStr">
        <is>
          <t>Hoodies</t>
        </is>
      </c>
      <c r="G45" t="inlineStr">
        <is>
          <t xml:space="preserve"> Essentials</t>
        </is>
      </c>
      <c r="H45" t="inlineStr">
        <is>
          <t>169.00</t>
        </is>
      </c>
      <c r="I45">
        <v>24.49</v>
      </c>
      <c r="J45" t="inlineStr">
        <is>
          <t>{"choices":[{"finish_reason":"stop","index":0,"logprobs":null,"message":{"annotations":[],"content":"Essentials White Crewneck Sweatshirt Unisex Streetwear Pullover","refusal":null,"role":"assistant"}}],"created":1776666437,"id":"chatcmpl-DWcODHpDrt4nlszLddBTvGQICA9Fw","model":"gpt-5-chat-latest","object":"chat.completion","service_tier":"default","system_fingerprint":"fp_ad66631dec","usage":{"completion_tokens":14,"completion_tokens_details":{"accepted_prediction_tokens":0,"audio_tokens":0,"reasoning_tokens":0,"rejected_prediction_tokens":0},"prompt_tokens":882,"prompt_tokens_details":{"audio_tokens":0,"cached_tokens":0},"total_tokens":896}}</t>
        </is>
      </c>
      <c r="K45" t="inlineStr">
        <is>
          <t>Essentials White Crewneck Sweatshirt Unisex Streetwear Pullover</t>
        </is>
      </c>
      <c r="L45" t="inlineStr">
        <is>
          <t>{"choices":[{"finish_reason":"stop","index":0,"logprobs":null,"message":{"annotations":[],"content":"ESSENTIALS White Cotton Crewneck Sweatshirt with Black Logo, Unisex Loose Fit for Street Style, Daily Wear, and Urban Fashion, Soft Comfy Fabric Perfect for Casual Commuting.","refusal":null,"role":"assistant"}}],"created":1776658832,"id":"chatcmpl-DWaPYqpOJvjUwV2PhZCHjkDX7ha9H","model":"gpt-5-chat-latest","object":"chat.completion","service_tier":"default","system_fingerprint":"fp_ad66631dec","usage":{"completion_tokens":40,"completion_tokens_details":{"accepted_prediction_tokens":0,"audio_tokens":0,"reasoning_tokens":0,"rejected_prediction_tokens":0},"prompt_tokens":899,"prompt_tokens_details":{"audio_tokens":0,"cached_tokens":0},"total_tokens":939}}</t>
        </is>
      </c>
      <c r="M45" t="inlineStr">
        <is>
          <t>{"alt-svc":"h3=\":443\"; ma=2592000","apim-request-id":"b4723717-7a19-4a34-abd7-36905a3933c2","azureml-model-session":"d20260405234249-f9874baf","cache-control":"no-cache","connection":"close","content-length":"762","content-security-policy":"frame-ancestors 'self'","content-type":"application/json","date":"Mon, 20 Apr 2026 04:20:33 GMT","server":"Caddy","skip-error-remapping":"true","strict-transport-security":"max-age=31536000; includeSubDomains; preload","via":"1.1 Caddy","x-api-request-id":"20260420122032193923955kjLROTd7","x-content-type-options":"nosniff","x-frame-options":"SAMEORIGIN","x-ms-client-request-id":"Not-Set","x-ms-is-spilled-over":"false","x-ms-rai-invoked":"true","x-ms-region":"East US 2","x-new-api-version":"0.4.39","x-oneapi-request-id":"202604200420321278191688268d9d64t2I0K2C","x-ratelimit-abusepenalty-active":"False","x-ratelimit-limit-requests":"3850","x-ratelimit-limit-tokens":"3850000","x-ratelimit-remaining-requests":"3849","x-ratelimit-remaining-tokens":"3848339","x-ratelimit-renewalperiod-requests":"60","x-ratelimit-renewalperiod-tokens":"60","x-ratelimit-reset-requests":"15","x-ratelimit-reset-tokens":"25","x-request-id":"71c24c49-8cfc-47c6-8888-31b0fe57e8f8"}</t>
        </is>
      </c>
      <c r="N45" t="inlineStr">
        <is>
          <t>ESSENTIALS White Cotton Crewneck Sweatshirt with Black Logo, Unisex Loose Fit for Street Style, Daily Wear, and Urban Fashion, Soft Comfy Fabric Perfect for Casual Commuting.</t>
        </is>
      </c>
      <c r="O45" t="inlineStr">
        <is>
          <t>{"choices":[{"finish_reason":"stop","index":0,"logprobs":null,"message":{"annotations":[],"content":"Essentials,Hoodies,kakobuy,kakebuy2026,kekobuysheet,kakobuysheet2026,2026kakobuy,kakobuyspreadsheeet,kakobuylink,kakebuylist,Kakobuy MEGA Spreadsheet,kakobuysheetfind,kakobuysheetfind2026,2026kakobuysheetfind,kakobuysheet2026","refusal":null,"role":"assistant"}}],"created":1776668514,"id":"chatcmpl-DWcvi0s7fziu5frOwJcQ14svHcDO4","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45" t="inlineStr">
        <is>
          <t>Essentials,Hoodies,kakobuy,kakebuy2026,kekobuysheet,kakobuysheet2026,2026kakobuy,kakobuyspreadsheeet,kakobuylink,kakebuylist,Kakobuy MEGA Spreadsheet,kakobuysheetfind,kakobuysheetfind2026,2026kakobuysheetfind,kakobuysheet2026</t>
        </is>
      </c>
      <c r="Q45" t="inlineStr">
        <is>
          <t>White, Streetwear, Unisex</t>
        </is>
      </c>
      <c r="R45" t="inlineStr">
        <is>
          <t>recvh6xFVj74Ll</t>
        </is>
      </c>
      <c r="S45" t="inlineStr">
        <is>
          <t>essentials-white-crewneck-sweatshirt-unisex-streetwear-recvh6xFVj74Ll</t>
        </is>
      </c>
      <c r="T45"/>
      <c r="U45"/>
      <c r="V45"/>
      <c r="W45" t="inlineStr">
        <is>
          <t>{"choices":[{"finish_reason":"stop","index":0,"logprobs":null,"message":{"annotations":[],"content":"Essentials：白色圆领卫衣，舒适纯棉材质打造，胸前黑色品牌字样彰显简约街头风格，宽松剪裁兼顾潮流与休闲，男女皆宜，适合日常通勤与都市时尚穿搭。","refusal":null,"role":"assistant"}}],"created":1776655188,"id":"chatcmpl-DWZSmQ82PExgu64etTqlcdBHixvb9","model":"gpt-5-chat-latest","object":"chat.completion","service_tier":"default","system_fingerprint":"fp_ad66631dec","usage":{"completion_tokens":65,"completion_tokens_details":{"accepted_prediction_tokens":0,"audio_tokens":0,"reasoning_tokens":0,"rejected_prediction_tokens":0},"prompt_tokens":1310,"prompt_tokens_details":{"audio_tokens":0,"cached_tokens":0},"total_tokens":1375}}</t>
        </is>
      </c>
      <c r="X45" t="inlineStr">
        <is>
          <t>Essentials：白色圆领卫衣，舒适纯棉材质打造，胸前黑色品牌字样彰显简约街头风格，宽松剪裁兼顾潮流与休闲，男女皆宜，适合日常通勤与都市时尚穿搭。</t>
        </is>
      </c>
    </row>
    <row r="46" ht="25.5" customHeight="1">
      <c r="A46">
        <v>1839115443</v>
      </c>
      <c r="B46">
        <v>7639025688</v>
      </c>
      <c r="C46" t="inlineStr">
        <is>
          <t>https://weidian.com/item.html?itemID=7639025688</t>
        </is>
      </c>
      <c r="D46"/>
      <c r="E46" s="2" t="str">
        <f>=HYPERLINK("https://si.geilicdn.com/open1839115443-252808396-14080000019b3570a3df0a23b4de_800_800.jpg?w=640&amp;h=640", "https://si.geilicdn.com/open1839115443-252808396-14080000019b3570a3df0a23b4de_800_800.jpg?w=640&amp;h=640")</f>
        <v>https://si.geilicdn.com/open1839115443-252808396-14080000019b3570a3df0a23b4de_800_800.jpg?w=640&amp;h=640</v>
      </c>
      <c r="F46" t="inlineStr">
        <is>
          <t>T-Shirts</t>
        </is>
      </c>
      <c r="G46" t="inlineStr">
        <is>
          <t>Other</t>
        </is>
      </c>
      <c r="H46" t="inlineStr">
        <is>
          <t>103.00</t>
        </is>
      </c>
      <c r="I46">
        <v>14.93</v>
      </c>
      <c r="J46" t="inlineStr">
        <is>
          <t>{"choices":[{"finish_reason":"stop","index":0,"logprobs":null,"message":{"annotations":[],"content":"Marilyn Manson Vintage Sleeveless Gothic Rock T-Shirt","refusal":null,"role":"assistant"}}],"created":1776666726,"id":"chatcmpl-DWcSsABYOLbiykQooPtwQhn7gpGaI","model":"gpt-5-chat-latest","object":"chat.completion","service_tier":"default","system_fingerprint":"fp_ad66631dec","usage":{"completion_tokens":12,"completion_tokens_details":{"accepted_prediction_tokens":0,"audio_tokens":0,"reasoning_tokens":0,"rejected_prediction_tokens":0},"prompt_tokens":887,"prompt_tokens_details":{"audio_tokens":0,"cached_tokens":0},"total_tokens":899}}</t>
        </is>
      </c>
      <c r="K46" t="inlineStr">
        <is>
          <t>Marilyn Manson Vintage Sleeveless Gothic Rock T-Shirt</t>
        </is>
      </c>
      <c r="L46" t="inlineStr">
        <is>
          <t>{"id":"chatcmpl-DWaWusU31twRDzwD2gLROrXqKfN86","object":"chat.completion","created":1776659288,"model":"gpt-5-chat-latest","choices":[{"index":0,"message":{"role":"assistant","content":"Marilyn Manson Vintage Washed Sleeveless T-Shirt, soft breathable cotton, gothic totem and electric symbol print, loose fit with raw edges, unisex streetwear for 90s dark rock style.","refusal":null,"annotations":[]},"logprobs":null,"finish_reason":"stop"}],"usage":{"prompt_tokens":930,"completion_tokens":43,"total_tokens":973,"prompt_tokens_details":{"cached_tokens":0,"audio_tokens":0},"completion_tokens_details":{"reasoning_tokens":0,"audio_tokens":0,"accepted_prediction_tokens":0,"rejected_prediction_tokens":0}},"service_tier":"default","system_fingerprint":"fp_ad66631dec"}</t>
        </is>
      </c>
      <c r="M4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ma=2592000","apim-request-id":"65ab45d3-f9d1-4eb8-a2ec-cd3141e69097","azureml-model-session":"d20260405234249-f9874baf","cache-control":"no-cache, no-store, must-revalidate","connection":"close","content-length":"986","content-security-policy":"frame-ancestors 'self'","content-type":"application/json","date":"Mon, 20 Apr 2026 04:28:10 GMT","server":"nginx","skip-error-remapping":"true","strict-transport-security":"max-age=31536000; includeSubDomains; preload","via":"1.1 Caddy, 1.1 Caddy","x-api-request-id":"202604201228069910603456mYW0cx6","x-content-type-options":"nosniff","x-frame-options":"SAMEORIGIN","x-ms-is-spilled-over":"false","x-ms-rai-invoked":"false","x-ms-region":"Sweden Central","x-new-api-version":"0.4.39","x-oneapi-request-id":"202604200428069239353058268d9d6xA7UXBMC","x-ratelimit-abusepenalty-active":"False","x-ratelimit-limit-requests":"4993","x-ratelimit-limit-tokens":"4993000","x-ratelimit-remaining-requests":"4992","x-ratelimit-remaining-tokens":"4991308","x-ratelimit-renewalperiod-requests":"60","x-ratelimit-renewalperiod-tokens":"60","x-ratelimit-reset-requests":"12","x-ratelimit-reset-tokens":"20","x-request-id":"d932bc64-4875-447a-95ed-e920435c56dc"}</t>
        </is>
      </c>
      <c r="N46" t="inlineStr">
        <is>
          <t>Marilyn Manson Vintage Washed Sleeveless T-Shirt, soft breathable cotton, gothic totem and electric symbol print, loose fit with raw edges, unisex streetwear for 90s dark rock style.</t>
        </is>
      </c>
      <c r="O46" t="inlineStr">
        <is>
          <t>{"choices":[{"finish_reason":"stop","index":0,"logprobs":null,"message":{"annotations":[],"content":"Marilyn Manson,T-Shirts,kakobuy,kakebuy2026,kekobuysheet,kakobuysheet2026,2026kakobuy,kakobuyspreadsheeet,kakobuylink,kakebuylist,Kakobuy MEGA Spreadsheet,kakobuysheetfind,kakobuysheetfind2026,2026kakobuysheetfind,kakobuysheet2026","refusal":null,"role":"assistant"}}],"created":1776668876,"id":"chatcmpl-DWd1Y33QrEExRcz7H63jaB5RFrhns","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46" t="inlineStr">
        <is>
          <t>Marilyn Manson,T-Shirts,kakobuy,kakebuy2026,kekobuysheet,kakobuysheet2026,2026kakobuy,kakobuyspreadsheeet,kakobuylink,kakebuylist,Kakobuy MEGA Spreadsheet,kakobuysheetfind,kakobuysheetfind2026,2026kakobuysheetfind,kakobuysheet2026</t>
        </is>
      </c>
      <c r="Q46" t="inlineStr">
        <is>
          <t>Gothic, Unisex, Streetwear, Retro</t>
        </is>
      </c>
      <c r="R46" t="inlineStr">
        <is>
          <t>recvh6xFVj2eax</t>
        </is>
      </c>
      <c r="S46" t="inlineStr">
        <is>
          <t>marilyn-manson-vintage-gothic-rock-tshirt-recvh6xFVj2eax</t>
        </is>
      </c>
      <c r="T46"/>
      <c r="U46"/>
      <c r="V46"/>
      <c r="W46" t="inlineStr">
        <is>
          <t>{"choices":[{"finish_reason":"stop","index":0,"logprobs":null,"message":{"annotations":[],"content":"复古做旧黑灰无袖T恤，优选水洗棉质面料，柔软透气。正面印有哥特风图腾与电符号标识，彰显硬核摇滚美学。宽松剪裁与粗边袖口设计凸显街头态度，男女皆宜，适合休闲与舞台穿搭，展现90年代暗黑潮流风格。","refusal":null,"role":"assistant"}}],"created":1776655642,"id":"chatcmpl-DWZa6nD0oR8kDCqGTF3mIwwvMZ6iU","model":"gpt-5-chat-latest","object":"chat.completion","service_tier":"default","system_fingerprint":"fp_ad66631dec","usage":{"completion_tokens":95,"completion_tokens_details":{"accepted_prediction_tokens":0,"audio_tokens":0,"reasoning_tokens":0,"rejected_prediction_tokens":0},"prompt_tokens":1313,"prompt_tokens_details":{"audio_tokens":0,"cached_tokens":0},"total_tokens":1408}}</t>
        </is>
      </c>
      <c r="X46" t="inlineStr">
        <is>
          <t>复古做旧黑灰无袖T恤，优选水洗棉质面料，柔软透气。正面印有哥特风图腾与电符号标识，彰显硬核摇滚美学。宽松剪裁与粗边袖口设计凸显街头态度，男女皆宜，适合休闲与舞台穿搭，展现90年代暗黑潮流风格。</t>
        </is>
      </c>
    </row>
    <row r="47" ht="25.5" customHeight="1">
      <c r="A47">
        <v>1839115443</v>
      </c>
      <c r="B47">
        <v>7635974083</v>
      </c>
      <c r="C47" t="inlineStr">
        <is>
          <t>https://weidian.com/item.html?itemID=7635974083</t>
        </is>
      </c>
      <c r="D47"/>
      <c r="E47" s="2" t="str">
        <f>=HYPERLINK("https://si.geilicdn.com/open1839115443-252808396-027e0000019b356ee3f20a8133b0_800_800.jpg?w=640&amp;h=640", "https://si.geilicdn.com/open1839115443-252808396-027e0000019b356ee3f20a8133b0_800_800.jpg?w=640&amp;h=640")</f>
        <v>https://si.geilicdn.com/open1839115443-252808396-027e0000019b356ee3f20a8133b0_800_800.jpg?w=640&amp;h=640</v>
      </c>
      <c r="F47" t="inlineStr">
        <is>
          <t>T-Shirts</t>
        </is>
      </c>
      <c r="G47" t="inlineStr">
        <is>
          <t>False Perception</t>
        </is>
      </c>
      <c r="H47" t="inlineStr">
        <is>
          <t>103.00</t>
        </is>
      </c>
      <c r="I47">
        <v>14.93</v>
      </c>
      <c r="J47" t="inlineStr">
        <is>
          <t>{"choices":[{"finish_reason":"stop","index":0,"logprobs":null,"message":{"annotations":[],"content":"False Perception Vintage Black Sleeveless Cotton T-Shirt","refusal":null,"role":"assistant"}}],"created":1776665852,"id":"chatcmpl-DWcEmrZT5Ru33QHPb3YZSf3ake0mH","model":"gpt-5-chat-latest","object":"chat.completion","service_tier":"default","system_fingerprint":"fp_ad66631dec","usage":{"completion_tokens":11,"completion_tokens_details":{"accepted_prediction_tokens":0,"audio_tokens":0,"reasoning_tokens":0,"rejected_prediction_tokens":0},"prompt_tokens":883,"prompt_tokens_details":{"audio_tokens":0,"cached_tokens":0},"total_tokens":894}}</t>
        </is>
      </c>
      <c r="K47" t="inlineStr">
        <is>
          <t>False Perception Vintage Black Sleeveless Cotton T-Shirt</t>
        </is>
      </c>
      <c r="L47" t="inlineStr">
        <is>
          <t>{"choices":[{"finish_reason":"stop","index":0,"logprobs":null,"message":{"annotations":[],"content":"False Perception Vintage Black Sleeveless T-Shirt, washed cotton with unique texture, front rock-inspired heart graphic, back English print, unisex streetwear style, casual and edgy for daily wear.","refusal":null,"role":"assistant"}}],"created":1776659054,"id":"chatcmpl-DWaT8bBeoXeoCC8O6ZQvK4H97akBY","model":"gpt-5-chat-latest","object":"chat.completion","service_tier":"default","system_fingerprint":"fp_ad66631dec","usage":{"completion_tokens":40,"completion_tokens_details":{"accepted_prediction_tokens":0,"audio_tokens":0,"reasoning_tokens":0,"rejected_prediction_tokens":0},"prompt_tokens":907,"prompt_tokens_details":{"audio_tokens":0,"cached_tokens":0},"total_tokens":947}}</t>
        </is>
      </c>
      <c r="M47" t="inlineStr">
        <is>
          <t>{"alt-svc":"h3=\":443\"; ma=2592000","apim-request-id":"6f8ef3be-e6ca-4998-893c-7288314d0dd9","azureml-model-session":"d20260405234249-f9874baf","cache-control":"no-cache","connection":"close","content-length":"785","content-security-policy":"frame-ancestors 'self'","content-type":"application/json","date":"Mon, 20 Apr 2026 04:24:16 GMT","server":"Caddy","skip-error-remapping":"true","strict-transport-security":"max-age=31536000; includeSubDomains; preload","via":"1.1 Caddy","x-api-request-id":"20260420122414134906714VCVJGT0q","x-content-type-options":"nosniff","x-frame-options":"SAMEORIGIN","x-ms-client-request-id":"Not-Set","x-ms-is-spilled-over":"false","x-ms-rai-invoked":"true","x-ms-region":"East US 2","x-new-api-version":"0.4.39","x-oneapi-request-id":"20260420042414666794938268d9d6EvzNKtGz","x-ratelimit-abusepenalty-active":"False","x-ratelimit-limit-requests":"3850","x-ratelimit-limit-tokens":"3850000","x-ratelimit-remaining-requests":"3849","x-ratelimit-remaining-tokens":"3847920","x-ratelimit-renewalperiod-requests":"60","x-ratelimit-renewalperiod-tokens":"60","x-ratelimit-reset-requests":"15","x-ratelimit-reset-tokens":"32","x-request-id":"eed9d72f-47d2-49ea-a561-a44cba3c66aa"}</t>
        </is>
      </c>
      <c r="N47" t="inlineStr">
        <is>
          <t>False Perception Vintage Black Sleeveless T-Shirt, washed cotton with unique texture, front rock-inspired heart graphic, back English print, unisex streetwear style, casual and edgy for daily wear.</t>
        </is>
      </c>
      <c r="O47" t="inlineStr">
        <is>
          <t>{"choices":[{"finish_reason":"stop","index":0,"logprobs":null,"message":{"annotations":[],"content":"False Perception,T-Shirts,kakobuy,kakebuy2026,kekobuysheet,kakobuysheet2026,2026kakobuy,kakobuyspreadsheeet,kakobuylink,kakebuylist,Kakobuy MEGA Spreadsheet,kakobuysheetfind,kakobuysheetfind2026,2026kakobuysheetfind,kakobuysheet2026","refusal":null,"role":"assistant"}}],"created":1776668134,"id":"chatcmpl-DWcpajfcLQ3MsVh9vfCtOxKJtms6C","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47" t="inlineStr">
        <is>
          <t>False Perception,T-Shirts,kakobuy,kakebuy2026,kekobuysheet,kakobuysheet2026,2026kakobuy,kakobuyspreadsheeet,kakobuylink,kakebuylist,Kakobuy MEGA Spreadsheet,kakobuysheetfind,kakobuysheetfind2026,2026kakobuysheetfind,kakobuysheet2026</t>
        </is>
      </c>
      <c r="Q47" t="inlineStr">
        <is>
          <t>Vintage, Black, Streetwear, Unisex</t>
        </is>
      </c>
      <c r="R47" t="inlineStr">
        <is>
          <t>recvh6xFVjViz6</t>
        </is>
      </c>
      <c r="S47" t="inlineStr">
        <is>
          <t>false-perception-vintage-black-sleeveless-cotton-t-shirt-recvh6xFVjViz6</t>
        </is>
      </c>
      <c r="T47"/>
      <c r="U47"/>
      <c r="V47"/>
      <c r="W47" t="inlineStr">
        <is>
          <t>{"choices":[{"finish_reason":"stop","index":0,"logprobs":null,"message":{"annotations":[],"content":"False Perception：复古黑色无袖T恤，水洗棉质面料质感独特，正面暗纹摇滚人像心形图腾，背面英文字印花设计，街头复古风格，男女皆宜，休闲百搭彰显独立个性。","refusal":null,"role":"assistant"}}],"created":1776655345,"id":"chatcmpl-DWZVJbKVkQOvxj5QubBjxPs0YgIeK","model":"gpt-5-chat-latest","object":"chat.completion","service_tier":"default","system_fingerprint":"fp_ad66631dec","usage":{"completion_tokens":70,"completion_tokens_details":{"accepted_prediction_tokens":0,"audio_tokens":0,"reasoning_tokens":0,"rejected_prediction_tokens":0},"prompt_tokens":1319,"prompt_tokens_details":{"audio_tokens":0,"cached_tokens":0},"total_tokens":1389}}</t>
        </is>
      </c>
      <c r="X47" t="inlineStr">
        <is>
          <t>False Perception：复古黑色无袖T恤，水洗棉质面料质感独特，正面暗纹摇滚人像心形图腾，背面英文字印花设计，街头复古风格，男女皆宜，休闲百搭彰显独立个性。</t>
        </is>
      </c>
    </row>
    <row r="48" ht="25.5" customHeight="1">
      <c r="A48">
        <v>1839115443</v>
      </c>
      <c r="B48">
        <v>7638942190</v>
      </c>
      <c r="C48" t="inlineStr">
        <is>
          <t>https://weidian.com/item.html?itemID=7638942190</t>
        </is>
      </c>
      <c r="D48"/>
      <c r="E48" s="2" t="str">
        <f>=HYPERLINK("https://si.geilicdn.com/open1839115443-252808396-29540000019b356ce2620aa086a7_800_800.jpg?w=640&amp;h=640", "https://si.geilicdn.com/open1839115443-252808396-29540000019b356ce2620aa086a7_800_800.jpg?w=640&amp;h=640")</f>
        <v>https://si.geilicdn.com/open1839115443-252808396-29540000019b356ce2620aa086a7_800_800.jpg?w=640&amp;h=640</v>
      </c>
      <c r="F48" t="inlineStr">
        <is>
          <t>T-Shirts</t>
        </is>
      </c>
      <c r="G48" t="inlineStr">
        <is>
          <t>False Perception</t>
        </is>
      </c>
      <c r="H48" t="inlineStr">
        <is>
          <t>103.00</t>
        </is>
      </c>
      <c r="I48">
        <v>14.93</v>
      </c>
      <c r="J48" t="inlineStr">
        <is>
          <t>{"id":"chatcmpl-DWcJnx8Xkf4lTTWSMhQ9oHe60D0Q5","object":"chat.completion","created":1776666163,"model":"gpt-5-chat-latest","choices":[{"index":0,"message":{"role":"assistant","content":"False Perception Washed Gray Sleeveless Flame Chain T-Shirt","refusal":null,"annotations":[]},"logprobs":null,"finish_reason":"stop"}],"usage":{"prompt_tokens":877,"completion_tokens":13,"total_tokens":890,"prompt_tokens_details":{"cached_tokens":0,"audio_tokens":0},"completion_tokens_details":{"reasoning_tokens":0,"audio_tokens":0,"accepted_prediction_tokens":0,"rejected_prediction_tokens":0}},"service_tier":"default","system_fingerprint":"fp_ad66631dec"}</t>
        </is>
      </c>
      <c r="K48" t="inlineStr">
        <is>
          <t>False Perception Washed Gray Sleeveless Flame Chain T-Shirt</t>
        </is>
      </c>
      <c r="L48" t="inlineStr">
        <is>
          <t>{"choices":[{"finish_reason":"stop","index":0,"logprobs":null,"message":{"annotations":[],"content":"False Perception sleeveless washed gray T-shirt in high-density cotton, featuring metal chain and flame print with “Pain To Paradise”, unisex street rock retro style for summer fashion.","refusal":null,"role":"assistant"}}],"created":1776659372,"id":"chatcmpl-DWaYG8QmjVuU1C8dwCqVDtPtyO651","model":"gpt-5-chat-latest","object":"chat.completion","service_tier":"default","system_fingerprint":"fp_ad66631dec","usage":{"completion_tokens":37,"completion_tokens_details":{"accepted_prediction_tokens":0,"audio_tokens":0,"reasoning_tokens":0,"rejected_prediction_tokens":0},"prompt_tokens":904,"prompt_tokens_details":{"audio_tokens":0,"cached_tokens":0},"total_tokens":941}}</t>
        </is>
      </c>
      <c r="M48" t="inlineStr">
        <is>
          <t>{"alt-svc":"h3=\":443\"; ma=2592000","apim-request-id":"618e4619-a78f-42e5-a8e1-6d98315619a7","azureml-model-session":"d20260405234249-f9874baf","cache-control":"no-cache","connection":"close","content-length":"777","content-security-policy":"frame-ancestors 'self'","content-type":"application/json","date":"Mon, 20 Apr 2026 04:29:34 GMT","server":"nginx","skip-error-remapping":"true","strict-transport-security":"max-age=31536000; includeSubDomains; preload","via":"1.1 Caddy, 1.1 Caddy","x-api-request-id":"20260420122932366113152HS25tp39","x-content-type-options":"nosniff","x-frame-options":"SAMEORIGIN","x-ms-client-request-id":"Not-Set","x-ms-is-spilled-over":"false","x-ms-rai-invoked":"true","x-ms-region":"East US 2","x-new-api-version":"0.4.39","x-oneapi-request-id":"20260420042932916084898268d9d6Hm4meQVa","x-ratelimit-abusepenalty-active":"False","x-ratelimit-limit-requests":"3850","x-ratelimit-limit-tokens":"3850000","x-ratelimit-remaining-requests":"3849","x-ratelimit-remaining-tokens":"3848334","x-ratelimit-renewalperiod-requests":"60","x-ratelimit-renewalperiod-tokens":"60","x-ratelimit-reset-requests":"15","x-ratelimit-reset-tokens":"25","x-request-id":"b8aad6ce-45ab-4ce1-a1be-b3b5ea840638"}</t>
        </is>
      </c>
      <c r="N48" t="inlineStr">
        <is>
          <t>False Perception sleeveless washed gray T-shirt in high-density cotton, featuring metal chain and flame print with “Pain To Paradise”, unisex street rock retro style for summer fashion.</t>
        </is>
      </c>
      <c r="O48" t="inlineStr">
        <is>
          <t>{"choices":[{"finish_reason":"stop","index":0,"logprobs":null,"message":{"annotations":[],"content":"False Perception,T-Shirts,kakobuy,kakebuy2026,kekobuysheet,kakobuysheet2026,2026kakobuy,kakobuyspreadsheeet,kakobuylink,kakebuylist,Kakobuy MEGA Spreadsheet,kakobuysheetfind,kakobuysheetfind2026,2026kakobuysheetfind,kakobuysheet2026","refusal":null,"role":"assistant"}}],"created":1776667587,"id":"chatcmpl-DWcglO15qoeZsT5fCabAMdVoCZR2K","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48" t="inlineStr">
        <is>
          <t>False Perception,T-Shirts,kakobuy,kakebuy2026,kekobuysheet,kakobuysheet2026,2026kakobuy,kakobuyspreadsheeet,kakobuylink,kakebuylist,Kakobuy MEGA Spreadsheet,kakobuysheetfind,kakobuysheetfind2026,2026kakobuysheetfind,kakobuysheet2026</t>
        </is>
      </c>
      <c r="Q48" t="inlineStr">
        <is>
          <t>Unisex, Street, Retro, Summer, Fashion</t>
        </is>
      </c>
      <c r="R48" t="inlineStr">
        <is>
          <t>recvh6xFVj70f9</t>
        </is>
      </c>
      <c r="S48" t="inlineStr">
        <is>
          <t>false-perception-washed-gray-sleeveless-flame-chain-t-shirt-recvh6xFVj70f9</t>
        </is>
      </c>
      <c r="T48"/>
      <c r="U48"/>
      <c r="V48"/>
      <c r="W48" t="inlineStr">
        <is>
          <t>{"id":"chatcmpl-DWZhXlgTA8j8jcRMWeYKDNldARNAR","object":"chat.completion","created":1776656103,"model":"gpt-5-chat-latest","choices":[{"index":0,"message":{"role":"assistant","content":"False Perception 灰黑做旧无袖T恤，采用高密度纯棉质地，胸前金属链与火焰印花搭配“Pain To Paradise”字样，展现街头摇滚复古风格，男女皆宜，夏日休闲潮流必备。","refusal":null,"annotations":[]},"logprobs":null,"finish_reason":"stop"}],"usage":{"prompt_tokens":1313,"completion_tokens":70,"total_tokens":1383,"prompt_tokens_details":{"cached_tokens":1280,"audio_tokens":0},"completion_tokens_details":{"reasoning_tokens":0,"audio_tokens":0,"accepted_prediction_tokens":0,"rejected_prediction_tokens":0}},"service_tier":"default","system_fingerprint":"fp_ad66631dec"}</t>
        </is>
      </c>
      <c r="X48" t="inlineStr">
        <is>
          <t>False Perception 灰黑做旧无袖T恤，采用高密度纯棉质地，胸前金属链与火焰印花搭配“Pain To Paradise”字样，展现街头摇滚复古风格，男女皆宜，夏日休闲潮流必备。</t>
        </is>
      </c>
    </row>
    <row r="49" ht="25.5" customHeight="1">
      <c r="A49">
        <v>1839115443</v>
      </c>
      <c r="B49">
        <v>7639017690</v>
      </c>
      <c r="C49" t="inlineStr">
        <is>
          <t>https://weidian.com/item.html?itemID=7639017690</t>
        </is>
      </c>
      <c r="D49"/>
      <c r="E49" s="2" t="str">
        <f>=HYPERLINK("https://si.geilicdn.com/open1839115443-252808396-0f620000019b356acd0c0a23b4de_800_800.jpg?w=640&amp;h=640", "https://si.geilicdn.com/open1839115443-252808396-0f620000019b356acd0c0a23b4de_800_800.jpg?w=640&amp;h=640")</f>
        <v>https://si.geilicdn.com/open1839115443-252808396-0f620000019b356acd0c0a23b4de_800_800.jpg?w=640&amp;h=640</v>
      </c>
      <c r="F49" t="inlineStr">
        <is>
          <t>T-Shirts</t>
        </is>
      </c>
      <c r="G49" t="inlineStr">
        <is>
          <t xml:space="preserve"> Essentials</t>
        </is>
      </c>
      <c r="H49" t="inlineStr">
        <is>
          <t>157.00</t>
        </is>
      </c>
      <c r="I49">
        <v>22.75</v>
      </c>
      <c r="J49" t="inlineStr">
        <is>
          <t>{"choices":[{"finish_reason":"stop","index":0,"logprobs":null,"message":{"annotations":[],"content":"Essentials FG7C Off White Cotton Unisex Shorts","refusal":null,"role":"assistant"}}],"created":1776666127,"id":"chatcmpl-DWcJDhZesQToq2oVcObo8BuzJK3Bf","model":"gpt-5-chat-latest","object":"chat.completion","service_tier":"default","system_fingerprint":"fp_ad66631dec","usage":{"completion_tokens":12,"completion_tokens_details":{"accepted_prediction_tokens":0,"audio_tokens":0,"reasoning_tokens":0,"rejected_prediction_tokens":0},"prompt_tokens":887,"prompt_tokens_details":{"audio_tokens":0,"cached_tokens":0},"total_tokens":899}}</t>
        </is>
      </c>
      <c r="K49" t="inlineStr">
        <is>
          <t>Essentials FG7C Off White Cotton Unisex Shorts</t>
        </is>
      </c>
      <c r="L49" t="inlineStr">
        <is>
          <t>{"choices":[{"finish_reason":"stop","index":0,"logprobs":null,"message":{"annotations":[],"content":"Essentials FG7C Off-White Shorts crafted from heavy-weight cotton. Soft, breathable, and skin-friendly with elastic waistband and long drawstrings. Loose fit unisex design for casual spring-summer style.","refusal":null,"role":"assistant"}}],"created":1776659385,"id":"chatcmpl-DWaYThJ7DPf7dK33i3M0FCl20XwYw","model":"gpt-5-chat-latest","object":"chat.completion","service_tier":"default","system_fingerprint":"fp_ad66631dec","usage":{"completion_tokens":43,"completion_tokens_details":{"accepted_prediction_tokens":0,"audio_tokens":0,"reasoning_tokens":0,"rejected_prediction_tokens":0},"prompt_tokens":943,"prompt_tokens_details":{"audio_tokens":0,"cached_tokens":0},"total_tokens":986}}</t>
        </is>
      </c>
      <c r="M49" t="inlineStr">
        <is>
          <t>{"alt-svc":"h3=\":443\"; ma=2592000","apim-request-id":"3ca942a6-c373-4e47-adad-fb50cd11eb09","azureml-model-session":"d20260402083108-57a85543","cache-control":"no-cache","connection":"close","content-length":"791","content-security-policy":"frame-ancestors 'self'","content-type":"application/json","date":"Mon, 20 Apr 2026 04:29:46 GMT","server":"Caddy","skip-error-remapping":"true","strict-transport-security":"max-age=31536000; includeSubDomains; preload","via":"1.1 Caddy","x-api-request-id":"20260420122944487157816aYu5GBhy","x-content-type-options":"nosniff","x-frame-options":"SAMEORIGIN","x-ms-client-request-id":"Not-Set","x-ms-is-spilled-over":"false","x-ms-rai-invoked":"true","x-ms-region":"East US 2","x-new-api-version":"0.4.39","x-oneapi-request-id":"202604200429443645370478268d9d6SgHyqMcs","x-ratelimit-abusepenalty-active":"False","x-ratelimit-limit-requests":"3850","x-ratelimit-limit-tokens":"3850000","x-ratelimit-remaining-requests":"3849","x-ratelimit-remaining-tokens":"3848295","x-ratelimit-renewalperiod-requests":"60","x-ratelimit-renewalperiod-tokens":"60","x-ratelimit-reset-requests":"15","x-ratelimit-reset-tokens":"26","x-request-id":"fc047a79-97c7-4a52-a28a-b3afa4b62eb8"}</t>
        </is>
      </c>
      <c r="N49" t="inlineStr">
        <is>
          <t>Essentials FG7C Off-White Shorts crafted from heavy-weight cotton. Soft, breathable, and skin-friendly with elastic waistband and long drawstrings. Loose fit unisex design for casual spring-summer style.</t>
        </is>
      </c>
      <c r="O49" t="inlineStr">
        <is>
          <t>{"id":"chatcmpl-DWccT7GaF01ClQeoXJoeyfHG1wNrh","object":"chat.completion","created":1776667321,"model":"gpt-5-chat-latest","choices":[{"index":0,"message":{"role":"assistant","content":"FG7C, Shorts,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49" t="inlineStr">
        <is>
          <t>FG7C, Shorts, kakobuy, kakebuy2026, kekobuysheet, kakobuysheet2026, 2026kakobuy, kakobuyspreadsheeet, kakobuylink, kakebuylist, Kakobuy MEGA Spreadsheet, kakobuysheetfind, kakobuysheetfind2026, 2026kakobuysheetfind, kakobuysheet2026</t>
        </is>
      </c>
      <c r="Q49" t="inlineStr">
        <is>
          <t>Unisex, Spring And Summer, Breathable</t>
        </is>
      </c>
      <c r="R49" t="inlineStr">
        <is>
          <t>recvh6xFVj7Xdx</t>
        </is>
      </c>
      <c r="S49" t="inlineStr">
        <is>
          <t>essentials-fg7c-off-white-cotton-unisex-shorts-recvh6xFVj7Xdx</t>
        </is>
      </c>
      <c r="T49"/>
      <c r="U49"/>
      <c r="V49"/>
      <c r="W49" t="inlineStr">
        <is>
          <t>{"choices":[{"finish_reason":"stop","index":0,"logprobs":null,"message":{"annotations":[],"content":"Essentials：米白色休闲短裤，甄选高克重纯棉面料，柔软亲肤透气。宽松剪裁搭配弹力松紧腰与长抽绳设计，舒适且易于调节。裤脚印有醒目“FG7C”字样标示，凸显极简街头潮流美学。中性款式，适合春夏日常穿搭，轻松展现随性与品质感。","refusal":null,"role":"assistant"}}],"created":1776655880,"id":"chatcmpl-DWZdwGCavxk62OgRIfax7xDeJZhrs","model":"gpt-5-chat-latest","object":"chat.completion","service_tier":"default","system_fingerprint":"fp_ad66631dec","usage":{"completion_tokens":108,"completion_tokens_details":{"accepted_prediction_tokens":0,"audio_tokens":0,"reasoning_tokens":0,"rejected_prediction_tokens":0},"prompt_tokens":1313,"prompt_tokens_details":{"audio_tokens":0,"cached_tokens":0},"total_tokens":1421}}</t>
        </is>
      </c>
      <c r="X49" t="inlineStr">
        <is>
          <t>Essentials：米白色休闲短裤，甄选高克重纯棉面料，柔软亲肤透气。宽松剪裁搭配弹力松紧腰与长抽绳设计，舒适且易于调节。裤脚印有醒目“FG7C”字样标示，凸显极简街头潮流美学。中性款式，适合春夏日常穿搭，轻松展现随性与品质感。</t>
        </is>
      </c>
    </row>
    <row r="50" ht="25.5" customHeight="1">
      <c r="A50">
        <v>1839115443</v>
      </c>
      <c r="B50">
        <v>7635940907</v>
      </c>
      <c r="C50" t="inlineStr">
        <is>
          <t>https://weidian.com/item.html?itemID=7635940907</t>
        </is>
      </c>
      <c r="D50"/>
      <c r="E50" s="2" t="str">
        <f>=HYPERLINK("https://si.geilicdn.com/open1839115443-252808396-7d210000019b35691cb30a8133b0_1500_1500.jpg?w=640&amp;h=640", "https://si.geilicdn.com/open1839115443-252808396-7d210000019b35691cb30a8133b0_1500_1500.jpg?w=640&amp;h=640")</f>
        <v>https://si.geilicdn.com/open1839115443-252808396-7d210000019b35691cb30a8133b0_1500_1500.jpg?w=640&amp;h=640</v>
      </c>
      <c r="F50" t="inlineStr">
        <is>
          <t>T-Shirts</t>
        </is>
      </c>
      <c r="G50" t="inlineStr">
        <is>
          <t xml:space="preserve"> Essentials</t>
        </is>
      </c>
      <c r="H50" t="inlineStr">
        <is>
          <t>131.00</t>
        </is>
      </c>
      <c r="I50">
        <v>18.99</v>
      </c>
      <c r="J50" t="inlineStr">
        <is>
          <t>{"choices":[{"finish_reason":"stop","index":0,"logprobs":null,"message":{"annotations":[],"content":"Essentials Beige Cotton Unisex Hoodie Casual Wear","refusal":null,"role":"assistant"}}],"created":1776665933,"id":"chatcmpl-DWcG55343bK0HtroHCjmpPnp1aS7j","model":"gpt-5-chat-latest","object":"chat.completion","service_tier":"default","system_fingerprint":"fp_ad66631dec","usage":{"completion_tokens":10,"completion_tokens_details":{"accepted_prediction_tokens":0,"audio_tokens":0,"reasoning_tokens":0,"rejected_prediction_tokens":0},"prompt_tokens":871,"prompt_tokens_details":{"audio_tokens":0,"cached_tokens":0},"total_tokens":881}}</t>
        </is>
      </c>
      <c r="K50" t="inlineStr">
        <is>
          <t>Essentials Beige Cotton Unisex Hoodie Casual Wear</t>
        </is>
      </c>
      <c r="L50" t="inlineStr">
        <is>
          <t>{"choices":[{"finish_reason":"stop","index":0,"logprobs":null,"message":{"annotations":[],"content":"Essentials Beige Cotton Hoodie—Unisex relaxed fit with black logo print, soft breathable fabric, front kangaroo pocket, minimal aesthetic and street casual style for everyday wear.","refusal":null,"role":"assistant"}}],"created":1776658252,"id":"chatcmpl-DWaGCn2bfrPnvO6vgfWNYZwBmpQX8","model":"gpt-5-chat-latest","object":"chat.completion","service_tier":"default","system_fingerprint":"fp_ad66631dec","usage":{"completion_tokens":35,"completion_tokens_details":{"accepted_prediction_tokens":0,"audio_tokens":0,"reasoning_tokens":0,"rejected_prediction_tokens":0},"prompt_tokens":906,"prompt_tokens_details":{"audio_tokens":0,"cached_tokens":0},"total_tokens":941}}</t>
        </is>
      </c>
      <c r="M50" t="inlineStr">
        <is>
          <t>{"alt-svc":"h3=\":443\"; ma=2592000","apim-request-id":"caaa2367-88fe-427c-b24d-874d46cb3f08","azureml-model-session":"d20260405234249-f9874baf","cache-control":"no-cache","connection":"close","content-length":"770","content-security-policy":"frame-ancestors 'self'","content-type":"application/json","date":"Mon, 20 Apr 2026 04:10:53 GMT","server":"nginx","skip-error-remapping":"true","strict-transport-security":"max-age=31536000; includeSubDomains; preload","via":"1.1 Caddy, 1.1 Caddy","x-api-request-id":"20260420121051661948636mek1Gh2S","x-content-type-options":"nosniff","x-frame-options":"SAMEORIGIN","x-ms-client-request-id":"Not-Set","x-ms-is-spilled-over":"false","x-ms-rai-invoked":"true","x-ms-region":"East US 2","x-new-api-version":"0.4.39","x-oneapi-request-id":"202604200410515817720288268d9d6dkvbn2SS","x-ratelimit-abusepenalty-active":"False","x-ratelimit-limit-requests":"3850","x-ratelimit-limit-tokens":"3850000","x-ratelimit-remaining-requests":"3848","x-ratelimit-remaining-tokens":"3846085","x-ratelimit-renewalperiod-requests":"60","x-ratelimit-renewalperiod-tokens":"60","x-ratelimit-reset-requests":"31","x-ratelimit-reset-tokens":"61","x-request-id":"bec80fcc-11d7-4bb0-8e09-af27fe047220"}</t>
        </is>
      </c>
      <c r="N50" t="inlineStr">
        <is>
          <t>Essentials Beige Cotton Hoodie—Unisex relaxed fit with black logo print, soft breathable fabric, front kangaroo pocket, minimal aesthetic and street casual style for everyday wear.</t>
        </is>
      </c>
      <c r="O50" t="inlineStr">
        <is>
          <t>{"choices":[{"finish_reason":"stop","index":0,"logprobs":null,"message":{"annotations":[],"content":"Essentials,Hoodie,kakobuy,kakebuy2026,kekobuysheet,kakobuysheet2026,2026kakobuy,kakobuyspreadsheeet,kakobuylink,kakebuylist,Kakobuy MEGA Spreadsheet,kakobuysheetfind,kakobuysheetfind2026,2026kakobuysheetfind,kakobuysheet2026","refusal":null,"role":"assistant"}}],"created":1776668538,"id":"chatcmpl-DWcw6QZH5uCog2yesenpZbVIFqdzd","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50" t="inlineStr">
        <is>
          <t>Essentials,Hoodie,kakobuy,kakebuy2026,kekobuysheet,kakobuysheet2026,2026kakobuy,kakobuyspreadsheeet,kakobuylink,kakebuylist,Kakobuy MEGA Spreadsheet,kakobuysheetfind,kakobuysheetfind2026,2026kakobuysheetfind,kakobuysheet2026</t>
        </is>
      </c>
      <c r="Q50" t="inlineStr">
        <is>
          <t>Beige, Unisex, Minimalist, Streetwear</t>
        </is>
      </c>
      <c r="R50" t="inlineStr">
        <is>
          <t>recvh6xFVj7KzL</t>
        </is>
      </c>
      <c r="S50" t="inlineStr">
        <is>
          <t>beige-cotton-unisex-hoodie-recvh6xFVj7KzL</t>
        </is>
      </c>
      <c r="T50"/>
      <c r="U50"/>
      <c r="V50"/>
      <c r="W50" t="inlineStr">
        <is>
          <t>{"choices":[{"finish_reason":"stop","index":0,"logprobs":null,"message":{"annotations":[],"content":"Essentials：米色棉质连帽卫衣，简约宽松版型搭配黑色品牌标识印花，柔软透气面料，前置袋鼠兜设计，男女皆宜，展现极简美学与街头休闲风格，适合日常穿搭。","refusal":null,"role":"assistant"}}],"created":1776655721,"id":"chatcmpl-DWZbNh4H7QUXePpgxIVLfzLm4N9IZ","model":"gpt-5-chat-latest","object":"chat.completion","service_tier":"default","system_fingerprint":"fp_ad66631dec","usage":{"completion_tokens":70,"completion_tokens_details":{"accepted_prediction_tokens":0,"audio_tokens":0,"reasoning_tokens":0,"rejected_prediction_tokens":0},"prompt_tokens":1315,"prompt_tokens_details":{"audio_tokens":0,"cached_tokens":0},"total_tokens":1385}}</t>
        </is>
      </c>
      <c r="X50" t="inlineStr">
        <is>
          <t>Essentials：米色棉质连帽卫衣，简约宽松版型搭配黑色品牌标识印花，柔软透气面料，前置袋鼠兜设计，男女皆宜，展现极简美学与街头休闲风格，适合日常穿搭。</t>
        </is>
      </c>
    </row>
    <row r="51" ht="25.5" customHeight="1">
      <c r="A51">
        <v>1839115443</v>
      </c>
      <c r="B51">
        <v>7636083605</v>
      </c>
      <c r="C51" t="inlineStr">
        <is>
          <t>https://weidian.com/item.html?itemID=7636083605</t>
        </is>
      </c>
      <c r="D51"/>
      <c r="E51" s="2" t="str">
        <f>=HYPERLINK("https://si.geilicdn.com/open1839115443-252808396-28850000019b359098040a22d249_1600_1600.jpg?w=640&amp;h=640", "https://si.geilicdn.com/open1839115443-252808396-28850000019b359098040a22d249_1600_1600.jpg?w=640&amp;h=640")</f>
        <v>https://si.geilicdn.com/open1839115443-252808396-28850000019b359098040a22d249_1600_1600.jpg?w=640&amp;h=640</v>
      </c>
      <c r="F51" t="inlineStr">
        <is>
          <t>T-Shirts</t>
        </is>
      </c>
      <c r="G51" t="inlineStr">
        <is>
          <t>Nixon</t>
        </is>
      </c>
      <c r="H51" t="inlineStr">
        <is>
          <t>97.00</t>
        </is>
      </c>
      <c r="I51">
        <v>14.06</v>
      </c>
      <c r="J51" t="inlineStr">
        <is>
          <t>{"choices":[{"finish_reason":"stop","index":0,"logprobs":null,"message":{"annotations":[],"content":"Nixon Logo Crewneck Sweatshirt Men Women Casual Pullover","refusal":null,"role":"assistant"}}],"created":1776665682,"id":"chatcmpl-DWcC2JDX2YxQvFDHpD4Rpbh1T8MXI","model":"gpt-5-chat-latest","object":"chat.completion","service_tier":"default","system_fingerprint":"fp_ad66631dec","usage":{"completion_tokens":13,"completion_tokens_details":{"accepted_prediction_tokens":0,"audio_tokens":0,"reasoning_tokens":0,"rejected_prediction_tokens":0},"prompt_tokens":805,"prompt_tokens_details":{"audio_tokens":0,"cached_tokens":0},"total_tokens":818}}</t>
        </is>
      </c>
      <c r="K51" t="inlineStr">
        <is>
          <t>Nixon Logo Crewneck Sweatshirt Men Women Casual Pullover</t>
        </is>
      </c>
      <c r="L51"/>
      <c r="M51"/>
      <c r="N51"/>
      <c r="O51" t="inlineStr">
        <is>
          <t>{"choices":[{"finish_reason":"stop","index":0,"logprobs":null,"message":{"annotations":[],"content":"Nixon,T-Shirts,kakobuy,kakebuy2026,kekobuysheet,kakobuysheet2026,2026kakobuy,kakobuyspreadsheeet,kakobuylink,kakebuylist,Kakobuy MEGA Spreadsheet,kakobuysheetfind,kakobuysheetfind2026,2026kakobuysheetfind,kakobuysheet2026","refusal":null,"role":"assistant"}}],"created":1776667356,"id":"chatcmpl-DWcd2SiNDvcUYHAdyoImmyoTawvLz","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51" t="inlineStr">
        <is>
          <t>Nixon,T-Shirts,kakobuy,kakebuy2026,kekobuysheet,kakobuysheet2026,2026kakobuy,kakobuyspreadsheeet,kakobuylink,kakebuylist,Kakobuy MEGA Spreadsheet,kakobuysheetfind,kakobuysheetfind2026,2026kakobuysheetfind,kakobuysheet2026</t>
        </is>
      </c>
      <c r="Q51"/>
      <c r="R51" t="inlineStr">
        <is>
          <t>recvh6xFVjj25W</t>
        </is>
      </c>
      <c r="S51" t="inlineStr">
        <is>
          <t>nixon-logo-crewneck-sweatshirt-recvh6xfvjj25w</t>
        </is>
      </c>
      <c r="T51"/>
      <c r="U51"/>
      <c r="V51"/>
      <c r="W51" t="inlineStr">
        <is>
          <t>{"choices":[{"finish_reason":"stop","index":0,"logprobs":null,"message":{"annotations":[],"content":"Nixon：简约灰色圆领卫衣，选用柔软纯棉材质，胸前黑色品牌字样与标识设计醒目，展现极简街头风格。宽松版型舒适百搭，男女皆宜，适合日常休闲穿搭，彰显现代都市潮流态度。","refusal":null,"role":"assistant"}}],"created":1776655579,"id":"chatcmpl-DWZZ5cuj4AY8L7bXH1oFbDuXhePyF","model":"gpt-5-chat-latest","object":"chat.completion","service_tier":"default","system_fingerprint":"fp_ad66631dec","usage":{"completion_tokens":77,"completion_tokens_details":{"accepted_prediction_tokens":0,"audio_tokens":0,"reasoning_tokens":0,"rejected_prediction_tokens":0},"prompt_tokens":1312,"prompt_tokens_details":{"audio_tokens":0,"cached_tokens":0},"total_tokens":1389}}</t>
        </is>
      </c>
      <c r="X51" t="inlineStr">
        <is>
          <t>Nixon：简约灰色圆领卫衣，选用柔软纯棉材质，胸前黑色品牌字样与标识设计醒目，展现极简街头风格。宽松版型舒适百搭，男女皆宜，适合日常休闲穿搭，彰显现代都市潮流态度。</t>
        </is>
      </c>
    </row>
    <row r="52" ht="25.5" customHeight="1">
      <c r="A52">
        <v>1839115443</v>
      </c>
      <c r="B52">
        <v>7636067795</v>
      </c>
      <c r="C52" t="inlineStr">
        <is>
          <t>https://weidian.com/item.html?itemID=7636067795</t>
        </is>
      </c>
      <c r="D52"/>
      <c r="E52" s="2" t="str">
        <f>=HYPERLINK("https://si.geilicdn.com/open1839115443-252808396-53bb0000019b3590a3cd0aa08245_1340_1785.jpg?w=640&amp;h=640", "https://si.geilicdn.com/open1839115443-252808396-53bb0000019b3590a3cd0aa08245_1340_1785.jpg?w=640&amp;h=640")</f>
        <v>https://si.geilicdn.com/open1839115443-252808396-53bb0000019b3590a3cd0aa08245_1340_1785.jpg?w=640&amp;h=640</v>
      </c>
      <c r="F52" t="inlineStr">
        <is>
          <t>Hoodies</t>
        </is>
      </c>
      <c r="G52" t="inlineStr">
        <is>
          <t>Other</t>
        </is>
      </c>
      <c r="H52" t="inlineStr">
        <is>
          <t>91.00</t>
        </is>
      </c>
      <c r="I52">
        <v>13.19</v>
      </c>
      <c r="J52" t="inlineStr">
        <is>
          <t>{"choices":[{"finish_reason":"stop","index":0,"logprobs":null,"message":{"annotations":[],"content":"HoodiesOther Deep Blue Anime Graphic Cotton Hoodie","refusal":null,"role":"assistant"}}],"created":1776666363,"id":"chatcmpl-DWcN1Jeaj9lXFN9z5NsE2NXO5pn00","model":"gpt-5-chat-latest","object":"chat.completion","service_tier":"default","system_fingerprint":"fp_ad66631dec","usage":{"completion_tokens":11,"completion_tokens_details":{"accepted_prediction_tokens":0,"audio_tokens":0,"reasoning_tokens":0,"rejected_prediction_tokens":0},"prompt_tokens":876,"prompt_tokens_details":{"audio_tokens":0,"cached_tokens":0},"total_tokens":887}}</t>
        </is>
      </c>
      <c r="K52" t="inlineStr">
        <is>
          <t>HoodiesOther Deep Blue Anime Graphic Cotton Hoodie</t>
        </is>
      </c>
      <c r="L52" t="inlineStr">
        <is>
          <t>{"choices":[{"finish_reason":"stop","index":0,"logprobs":null,"message":{"annotations":[],"content":"HoodiesOther Deep Blue Anime Graphic Hoodie, soft cotton fabric with classic comic totem on chest, street casual unisex style, warm, comfy and trendy for everyday wear.","refusal":null,"role":"assistant"}}],"created":1776658978,"id":"chatcmpl-DWaRu7ac0VLF46jCOuy94DuFLGuvb","model":"gpt-5-chat-latest","object":"chat.completion","service_tier":"default","system_fingerprint":"fp_ad66631dec","usage":{"completion_tokens":37,"completion_tokens_details":{"accepted_prediction_tokens":0,"audio_tokens":0,"reasoning_tokens":0,"rejected_prediction_tokens":0},"prompt_tokens":888,"prompt_tokens_details":{"audio_tokens":0,"cached_tokens":0},"total_tokens":925}}</t>
        </is>
      </c>
      <c r="M52" t="inlineStr">
        <is>
          <t>{"alt-svc":"h3=\":443\"; ma=2592000","apim-request-id":"b7462240-0f8a-4c4e-8a68-19a92ec3e0c0","azureml-model-session":"d20260405234249-f9874baf","cache-control":"no-cache","connection":"close","content-length":"756","content-security-policy":"frame-ancestors 'self'","content-type":"application/json","date":"Mon, 20 Apr 2026 04:22:59 GMT","server":"Caddy","skip-error-remapping":"true","strict-transport-security":"max-age=31536000; includeSubDomains; preload","via":"1.1 Caddy","x-api-request-id":"20260420122257701410972XHfCbTv9","x-content-type-options":"nosniff","x-frame-options":"SAMEORIGIN","x-ms-client-request-id":"Not-Set","x-ms-is-spilled-over":"false","x-ms-rai-invoked":"true","x-ms-region":"East US 2","x-new-api-version":"0.4.39","x-oneapi-request-id":"202604200422576345728388268d9d6s7I1J0jQ","x-ratelimit-abusepenalty-active":"False","x-ratelimit-limit-requests":"3850","x-ratelimit-limit-tokens":"3850000","x-ratelimit-remaining-requests":"3849","x-ratelimit-remaining-tokens":"3848350","x-ratelimit-renewalperiod-requests":"60","x-ratelimit-renewalperiod-tokens":"60","x-ratelimit-reset-requests":"15","x-ratelimit-reset-tokens":"25","x-request-id":"b9f79014-b583-4d32-9037-c3c897aa7e58"}</t>
        </is>
      </c>
      <c r="N52" t="inlineStr">
        <is>
          <t>HoodiesOther Deep Blue Anime Graphic Hoodie, soft cotton fabric with classic comic totem on chest, street casual unisex style, warm, comfy and trendy for everyday wear.</t>
        </is>
      </c>
      <c r="O52" t="inlineStr">
        <is>
          <t>{"choices":[{"finish_reason":"stop","index":0,"logprobs":null,"message":{"annotations":[],"content":"HoodiesOther,kakobuy,kakebuy2026,kekobuysheet,kakobuysheet2026,2026kakobuy,kakobuyspreadsheeet,kakobuylink,kakebuylist,Kakobuy MEGA Spreadsheet,kakobuysheetfind,kakobuysheetfind2026,2026kakobuysheetfind,kakobuysheet2026","refusal":null,"role":"assistant"}}],"created":1776668223,"id":"chatcmpl-DWcr1417KIqol1NPVJrtE2XXwoYTN","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52" t="inlineStr">
        <is>
          <t>HoodiesOther,kakobuy,kakebuy2026,kekobuysheet,kakobuysheet2026,2026kakobuy,kakobuyspreadsheeet,kakobuylink,kakebuylist,Kakobuy MEGA Spreadsheet,kakobuysheetfind,kakobuysheetfind2026,2026kakobuysheetfind,kakobuysheet2026</t>
        </is>
      </c>
      <c r="Q52" t="inlineStr">
        <is>
          <t>Anime Style, Streetwear, Unisex</t>
        </is>
      </c>
      <c r="R52" t="inlineStr">
        <is>
          <t>recvh6xFVjzOyh</t>
        </is>
      </c>
      <c r="S52" t="inlineStr">
        <is>
          <t>hoodiesother-deep-blue-anime-graphic-cotton-hoodie-recvh6xFVjzOyh</t>
        </is>
      </c>
      <c r="T52"/>
      <c r="U52"/>
      <c r="V52"/>
      <c r="W52" t="inlineStr">
        <is>
          <t>{"choices":[{"finish_reason":"stop","index":0,"logprobs":null,"message":{"annotations":[],"content":"深蓝色动漫印花连帽卫衣，柔软棉质面料，胸前经典漫画图腾设计，街头休闲风格，男女通用款，舒适保暖，潮流感十足。","refusal":null,"role":"assistant"}}],"created":1776654918,"id":"chatcmpl-DWZOQzvFOY6roTDa8UhwbLzsbiMNL","model":"gpt-5-chat-latest","object":"chat.completion","service_tier":"default","system_fingerprint":"fp_ad66631dec","usage":{"completion_tokens":51,"completion_tokens_details":{"accepted_prediction_tokens":0,"audio_tokens":0,"reasoning_tokens":0,"rejected_prediction_tokens":0},"prompt_tokens":1316,"prompt_tokens_details":{"audio_tokens":0,"cached_tokens":0},"total_tokens":1367}}</t>
        </is>
      </c>
      <c r="X52" t="inlineStr">
        <is>
          <t>深蓝色动漫印花连帽卫衣，柔软棉质面料，胸前经典漫画图腾设计，街头休闲风格，男女通用款，舒适保暖，潮流感十足。</t>
        </is>
      </c>
    </row>
    <row r="53" ht="25.5" customHeight="1">
      <c r="A53">
        <v>1839115443</v>
      </c>
      <c r="B53">
        <v>7635976381</v>
      </c>
      <c r="C53" t="inlineStr">
        <is>
          <t>https://weidian.com/item.html?itemID=7635976381</t>
        </is>
      </c>
      <c r="D53"/>
      <c r="E53" s="2" t="str">
        <f>=HYPERLINK("https://si.geilicdn.com/open1839115443-252808396-39e40000019b359062f50aa086a7_1340_1785.jpg?w=640&amp;h=640", "https://si.geilicdn.com/open1839115443-252808396-39e40000019b359062f50aa086a7_1340_1785.jpg?w=640&amp;h=640")</f>
        <v>https://si.geilicdn.com/open1839115443-252808396-39e40000019b359062f50aa086a7_1340_1785.jpg?w=640&amp;h=640</v>
      </c>
      <c r="F53" t="inlineStr">
        <is>
          <t>Hoodies</t>
        </is>
      </c>
      <c r="G53" t="inlineStr">
        <is>
          <t>Other</t>
        </is>
      </c>
      <c r="H53" t="inlineStr">
        <is>
          <t>123.00</t>
        </is>
      </c>
      <c r="I53">
        <v>17.83</v>
      </c>
      <c r="J53" t="inlineStr">
        <is>
          <t>{"choices":[{"finish_reason":"stop","index":0,"logprobs":null,"message":{"annotations":[],"content":"HoodiesOther White Quick-Dry Sport Jacket","refusal":null,"role":"assistant"}}],"created":1776665816,"id":"chatcmpl-DWcEC7X3SnuElJkz1O5x50VkNRiY5","model":"gpt-5-chat-latest","object":"chat.completion","service_tier":"default","system_fingerprint":"fp_ad66631dec","usage":{"completion_tokens":11,"completion_tokens_details":{"accepted_prediction_tokens":0,"audio_tokens":0,"reasoning_tokens":0,"rejected_prediction_tokens":0},"prompt_tokens":892,"prompt_tokens_details":{"audio_tokens":0,"cached_tokens":0},"total_tokens":903}}</t>
        </is>
      </c>
      <c r="K53" t="inlineStr">
        <is>
          <t>HoodiesOther White Quick-Dry Sport Jacket</t>
        </is>
      </c>
      <c r="L53" t="inlineStr">
        <is>
          <t>{"choices":[{"finish_reason":"stop","index":0,"logprobs":null,"message":{"annotations":[],"content":"HoodiesOther lightweight breathable white sport hoodie jacket with windproof, sun-protective quick-dry fabric, mesh sides, and sleek design for men and women—perfect for cycling, outdoor, and casual wear.","refusal":null,"role":"assistant"}}],"created":1776658494,"id":"chatcmpl-DWaK6VQZeTy5TKOclc9x8AH3ZhKCo","model":"gpt-5-chat-latest","object":"chat.completion","service_tier":"default","system_fingerprint":"fp_ad66631dec","usage":{"completion_tokens":45,"completion_tokens_details":{"accepted_prediction_tokens":0,"audio_tokens":0,"reasoning_tokens":0,"rejected_prediction_tokens":0},"prompt_tokens":906,"prompt_tokens_details":{"audio_tokens":0,"cached_tokens":0},"total_tokens":951}}</t>
        </is>
      </c>
      <c r="M53" t="inlineStr">
        <is>
          <t>{"alt-svc":"h3=\":443\"; ma=2592000","apim-request-id":"bebfdd41-2be9-494d-8816-620e8588cd29","azureml-model-session":"d20260405234249-f9874baf","cache-control":"no-cache","connection":"close","content-length":"794","content-security-policy":"frame-ancestors 'self'","content-type":"application/json","date":"Mon, 20 Apr 2026 04:14:56 GMT","server":"Caddy","skip-error-remapping":"true","strict-transport-security":"max-age=31536000; includeSubDomains; preload","via":"1.1 Caddy","x-api-request-id":"20260420121453910045401z2lMmZpF","x-content-type-options":"nosniff","x-frame-options":"SAMEORIGIN","x-ms-client-request-id":"Not-Set","x-ms-is-spilled-over":"false","x-ms-rai-invoked":"true","x-ms-region":"East US 2","x-new-api-version":"0.4.39","x-oneapi-request-id":"202604200414538434361968268d9d6r64Svaym","x-ratelimit-abusepenalty-active":"False","x-ratelimit-limit-requests":"3850","x-ratelimit-limit-tokens":"3850000","x-ratelimit-remaining-requests":"3849","x-ratelimit-remaining-tokens":"3848332","x-ratelimit-renewalperiod-requests":"60","x-ratelimit-renewalperiod-tokens":"60","x-ratelimit-reset-requests":"15","x-ratelimit-reset-tokens":"25","x-request-id":"801e4655-3fa0-434d-bc8e-e4c7bd61fa7b"}</t>
        </is>
      </c>
      <c r="N53" t="inlineStr">
        <is>
          <t>HoodiesOther lightweight breathable white sport hoodie jacket with windproof, sun-protective quick-dry fabric, mesh sides, and sleek design for men and women—perfect for cycling, outdoor, and casual wear.</t>
        </is>
      </c>
      <c r="O53" t="inlineStr">
        <is>
          <t>{"choices":[{"finish_reason":"stop","index":0,"logprobs":null,"message":{"annotations":[],"content":"Adidas,Hoodies,kakobuy,kakebuy2026,kekobuysheet,kakobuysheet2026,2026kakobuy,kakobuyspreadsheeet,kakobuylink,kakebuylist,Kakobuy MEGA Spreadsheet,kakobuysheetfind,kakobuysheetfind2026,2026kakobuysheetfind,kakobuysheet2026","refusal":null,"role":"assistant"}}],"created":1776668423,"id":"chatcmpl-DWcuFXQAh5EIRkJiqSOprbIpCNhdB","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53" t="inlineStr">
        <is>
          <t>Adidas,Hoodies,kakobuy,kakebuy2026,kekobuysheet,kakobuysheet2026,2026kakobuy,kakobuyspreadsheeet,kakobuylink,kakebuylist,Kakobuy MEGA Spreadsheet,kakobuysheetfind,kakobuysheetfind2026,2026kakobuysheetfind,kakobuysheet2026</t>
        </is>
      </c>
      <c r="Q53" t="inlineStr">
        <is>
          <t>Lightweight, Breathable, White, Windproof, Sun Protection, Quick Dry</t>
        </is>
      </c>
      <c r="R53" t="inlineStr">
        <is>
          <t>recvh6xFVjoKZ8</t>
        </is>
      </c>
      <c r="S53" t="inlineStr">
        <is>
          <t>hoodiesother-white-quick-dry-sport-jacket-recvh6xfvjokz8</t>
        </is>
      </c>
      <c r="T53"/>
      <c r="U53"/>
      <c r="V53"/>
      <c r="W53" t="inlineStr">
        <is>
          <t>{"choices":[{"finish_reason":"stop","index":0,"logprobs":null,"message":{"annotations":[],"content":"轻盈透气白色运动连帽夹克，选用防风防晒速干面料，侧边网眼透气设计，简约流线剪裁，男女皆宜。休闲与户外骑行皆适配，展现活力运动风格，兼具舒适与功能性。","refusal":null,"role":"assistant"}}],"created":1776655344,"id":"chatcmpl-DWZVIb4Qww0wcJoS8xToy0301wM2j","model":"gpt-5-chat-latest","object":"chat.completion","service_tier":"default","system_fingerprint":"fp_ad66631dec","usage":{"completion_tokens":70,"completion_tokens_details":{"accepted_prediction_tokens":0,"audio_tokens":0,"reasoning_tokens":0,"rejected_prediction_tokens":0},"prompt_tokens":1314,"prompt_tokens_details":{"audio_tokens":0,"cached_tokens":0},"total_tokens":1384}}</t>
        </is>
      </c>
      <c r="X53" t="inlineStr">
        <is>
          <t>轻盈透气白色运动连帽夹克，选用防风防晒速干面料，侧边网眼透气设计，简约流线剪裁，男女皆宜。休闲与户外骑行皆适配，展现活力运动风格，兼具舒适与功能性。</t>
        </is>
      </c>
    </row>
    <row r="54" ht="25.5" customHeight="1">
      <c r="A54">
        <v>1839115443</v>
      </c>
      <c r="B54">
        <v>7635907523</v>
      </c>
      <c r="C54" t="inlineStr">
        <is>
          <t>https://weidian.com/item.html?itemID=7635907523</t>
        </is>
      </c>
      <c r="D54"/>
      <c r="E54" s="2" t="str">
        <f>=HYPERLINK("https://si.geilicdn.com/open1839115443-252808396-2eb40000019b357899e90aa086a7_800_800.jpg?w=640&amp;h=640", "https://si.geilicdn.com/open1839115443-252808396-2eb40000019b357899e90aa086a7_800_800.jpg?w=640&amp;h=640")</f>
        <v>https://si.geilicdn.com/open1839115443-252808396-2eb40000019b357899e90aa086a7_800_800.jpg?w=640&amp;h=640</v>
      </c>
      <c r="F54" t="inlineStr">
        <is>
          <t>T-Shirts</t>
        </is>
      </c>
      <c r="G54" t="inlineStr">
        <is>
          <t>Other</t>
        </is>
      </c>
      <c r="H54" t="inlineStr">
        <is>
          <t>135.00</t>
        </is>
      </c>
      <c r="I54">
        <v>19.5797101449275</v>
      </c>
      <c r="J54" t="inlineStr">
        <is>
          <t>{"choices":[{"finish_reason":"stop","index":0,"logprobs":null,"message":{"annotations":[],"content":"Nirvana Vintage Gray Unisex Rock Sweatshirt","refusal":null,"role":"assistant"}}],"created":1776666596,"id":"chatcmpl-DWcQmkHTGTSKt142fB91OZ2ddnJHA","model":"gpt-5-chat-latest","object":"chat.completion","service_tier":"default","system_fingerprint":"fp_ad66631dec","usage":{"completion_tokens":11,"completion_tokens_details":{"accepted_prediction_tokens":0,"audio_tokens":0,"reasoning_tokens":0,"rejected_prediction_tokens":0},"prompt_tokens":881,"prompt_tokens_details":{"audio_tokens":0,"cached_tokens":0},"total_tokens":892}}</t>
        </is>
      </c>
      <c r="K54" t="inlineStr">
        <is>
          <t>Nirvana Vintage Gray Unisex Rock Sweatshirt</t>
        </is>
      </c>
      <c r="L54" t="inlineStr">
        <is>
          <t>{"choices":[{"finish_reason":"stop","index":0,"logprobs":null,"message":{"annotations":[],"content":"NIRVANA Vintage Gray Sweatshirt, soft cotton loose fit with bold retro music print, lettered back design, unisex street rock style, crew neck long sleeves for casual daily wear.","refusal":null,"role":"assistant"}}],"created":1776658751,"id":"chatcmpl-DWaOFaRei4dZ5AF2yyRrE6kRHfzvq","model":"gpt-5-chat-latest","object":"chat.completion","service_tier":"default","system_fingerprint":"fp_ad66631dec","usage":{"completion_tokens":40,"completion_tokens_details":{"accepted_prediction_tokens":0,"audio_tokens":0,"reasoning_tokens":0,"rejected_prediction_tokens":0},"prompt_tokens":911,"prompt_tokens_details":{"audio_tokens":0,"cached_tokens":0},"total_tokens":951}}</t>
        </is>
      </c>
      <c r="M54" t="inlineStr">
        <is>
          <t>{"alt-svc":"h3=\":443\"; ma=2592000","apim-request-id":"77259107-96d9-4a83-95ea-94760bb4d779","azureml-model-session":"d20260402074105-51db401e","cache-control":"no-cache","connection":"close","content-length":"765","content-security-policy":"frame-ancestors 'self'","content-type":"application/json","date":"Mon, 20 Apr 2026 04:19:12 GMT","server":"Caddy","skip-error-remapping":"true","strict-transport-security":"max-age=31536000; includeSubDomains; preload","via":"1.1 Caddy","x-api-request-id":"20260420121910957787425Ew5K2Bab","x-content-type-options":"nosniff","x-frame-options":"SAMEORIGIN","x-ms-client-request-id":"Not-Set","x-ms-is-spilled-over":"false","x-ms-rai-invoked":"true","x-ms-region":"East US 2","x-new-api-version":"0.4.39","x-oneapi-request-id":"202604200419108275403278268d9d6mMfNKSYQ","x-ratelimit-abusepenalty-active":"False","x-ratelimit-limit-requests":"3850","x-ratelimit-limit-tokens":"3850000","x-ratelimit-remaining-requests":"3849","x-ratelimit-remaining-tokens":"3848327","x-ratelimit-renewalperiod-requests":"60","x-ratelimit-renewalperiod-tokens":"60","x-ratelimit-reset-requests":"15","x-ratelimit-reset-tokens":"26","x-request-id":"c30b7a13-2d9c-4eed-a8cd-6e92e4f7579a"}</t>
        </is>
      </c>
      <c r="N54" t="inlineStr">
        <is>
          <t>NIRVANA Vintage Gray Sweatshirt, soft cotton loose fit with bold retro music print, lettered back design, unisex street rock style, crew neck long sleeves for casual daily wear.</t>
        </is>
      </c>
      <c r="O54" t="inlineStr">
        <is>
          <t>{"choices":[{"finish_reason":"stop","index":0,"logprobs":null,"message":{"annotations":[],"content":"Nirvana,T-Shirts,kakobuy,kakebuy2026,kekobuysheet,kakobuysheet2026,2026kakobuy,kakobuyspreadsheeet,kakobuylink,kakebuylist,Kakobuy MEGA Spreadsheet,kakobuysheetfind,kakobuysheetfind2026,2026kakobuysheetfind,kakobuysheet2026","refusal":null,"role":"assistant"}}],"created":1776668212,"id":"chatcmpl-DWcqqXozDRGTdpPGCERLkZ6U5AMfp","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54" t="inlineStr">
        <is>
          <t>Nirvana,T-Shirts,kakobuy,kakebuy2026,kekobuysheet,kakobuysheet2026,2026kakobuy,kakobuyspreadsheeet,kakobuylink,kakebuylist,Kakobuy MEGA Spreadsheet,kakobuysheetfind,kakobuysheetfind2026,2026kakobuysheetfind,kakobuysheet2026</t>
        </is>
      </c>
      <c r="Q54" t="inlineStr">
        <is>
          <t>Retro, Gray, Street, Unisex</t>
        </is>
      </c>
      <c r="R54" t="inlineStr">
        <is>
          <t>recvh6xFVjWEe8</t>
        </is>
      </c>
      <c r="S54" t="inlineStr">
        <is>
          <t>nirvana-vintage-gray-rock-sweatshirt-recvh6xfvjwe8</t>
        </is>
      </c>
      <c r="T54"/>
      <c r="U54"/>
      <c r="V54"/>
      <c r="W54" t="inlineStr">
        <is>
          <t>{"id":"chatcmpl-DWZSNFN45sik8sVF9cTXFFv6ivS5C","object":"chat.completion","created":1776655163,"model":"gpt-5-chat-latest","choices":[{"index":0,"message":{"role":"assistant","content":"复古灰色印花卫衣，宽松版型采用柔软棉质面料，正面醒目复古音乐图腾，背面字母设计，展现街头摇滚风格。圆领长袖剪裁舒适百搭，适合男女日常休闲穿搭，营造随性个性魅力。","refusal":null,"annotations":[]},"logprobs":null,"finish_reason":"stop"}],"usage":{"prompt_tokens":1309,"completion_tokens":78,"total_tokens":1387,"prompt_tokens_details":{"cached_tokens":1280,"audio_tokens":0},"completion_tokens_details":{"reasoning_tokens":0,"audio_tokens":0,"accepted_prediction_tokens":0,"rejected_prediction_tokens":0}},"service_tier":"default","system_fingerprint":"fp_ad66631dec"}</t>
        </is>
      </c>
      <c r="X54" t="inlineStr">
        <is>
          <t>复古灰色印花卫衣，宽松版型采用柔软棉质面料，正面醒目复古音乐图腾，背面字母设计，展现街头摇滚风格。圆领长袖剪裁舒适百搭，适合男女日常休闲穿搭，营造随性个性魅力。</t>
        </is>
      </c>
    </row>
    <row r="55" ht="25.5" customHeight="1">
      <c r="A55">
        <v>1839115443</v>
      </c>
      <c r="B55">
        <v>7636031823</v>
      </c>
      <c r="C55" t="inlineStr">
        <is>
          <t>https://weidian.com/item.html?itemID=7636031823</t>
        </is>
      </c>
      <c r="D55"/>
      <c r="E55" s="2" t="str">
        <f>=HYPERLINK("https://si.geilicdn.com/open1839115443-252808396-06300000019b3577b1c50a8133b0_800_800.jpg?w=640&amp;h=640", "https://si.geilicdn.com/open1839115443-252808396-06300000019b3577b1c50a8133b0_800_800.jpg?w=640&amp;h=640")</f>
        <v>https://si.geilicdn.com/open1839115443-252808396-06300000019b3577b1c50a8133b0_800_800.jpg?w=640&amp;h=640</v>
      </c>
      <c r="F55" t="inlineStr">
        <is>
          <t>Pants</t>
        </is>
      </c>
      <c r="G55" t="inlineStr">
        <is>
          <t xml:space="preserve"> Essentials</t>
        </is>
      </c>
      <c r="H55" t="inlineStr">
        <is>
          <t>137.00</t>
        </is>
      </c>
      <c r="I55">
        <v>19.86</v>
      </c>
      <c r="J55" t="inlineStr">
        <is>
          <t>{"choices":[{"finish_reason":"stop","index":0,"logprobs":null,"message":{"annotations":[],"content":"Essentials Black Cotton Heavyweight Casual Shorts","refusal":null,"role":"assistant"}}],"created":1776666212,"id":"chatcmpl-DWcKaGEiH8H1c4bSwIoAyfBJLFKXr","model":"gpt-5-chat-latest","object":"chat.completion","service_tier":"default","system_fingerprint":"fp_ad66631dec","usage":{"completion_tokens":9,"completion_tokens_details":{"accepted_prediction_tokens":0,"audio_tokens":0,"reasoning_tokens":0,"rejected_prediction_tokens":0},"prompt_tokens":873,"prompt_tokens_details":{"audio_tokens":0,"cached_tokens":0},"total_tokens":882}}</t>
        </is>
      </c>
      <c r="K55" t="inlineStr">
        <is>
          <t>Essentials Black Cotton Heavyweight Casual Shorts</t>
        </is>
      </c>
      <c r="L55" t="inlineStr">
        <is>
          <t>{"choices":[{"finish_reason":"stop","index":0,"logprobs":null,"message":{"annotations":[],"content":"Essentials black cotton shorts, minimalist athletic style, soft heavyweight fabric, loose fit with drawstring waist, side pockets, unisex design for daily wear and summer street fashion.","refusal":null,"role":"assistant"}}],"created":1776658700,"id":"chatcmpl-DWaNQach9dMt1xj7YuN3Z0W2tkQKD","model":"gpt-5-chat-latest","object":"chat.completion","service_tier":"default","system_fingerprint":"fp_ad66631dec","usage":{"completion_tokens":36,"completion_tokens_details":{"accepted_prediction_tokens":0,"audio_tokens":0,"reasoning_tokens":0,"rejected_prediction_tokens":0},"prompt_tokens":916,"prompt_tokens_details":{"audio_tokens":0,"cached_tokens":0},"total_tokens":952}}</t>
        </is>
      </c>
      <c r="M55" t="inlineStr">
        <is>
          <t>{"alt-svc":"h3=\":443\"; ma=2592000","apim-request-id":"3fe13298-51fa-4539-b196-db8d919c1890","azureml-model-session":"d20260402083108-57a85543","cache-control":"no-cache","connection":"close","content-length":"774","content-security-policy":"frame-ancestors 'self'","content-type":"application/json","date":"Mon, 20 Apr 2026 04:18:22 GMT","server":"Caddy","skip-error-remapping":"true","strict-transport-security":"max-age=31536000; includeSubDomains; preload","via":"1.1 Caddy","x-api-request-id":"20260420121819687306510d5tpmPWC","x-content-type-options":"nosniff","x-frame-options":"SAMEORIGIN","x-ms-client-request-id":"Not-Set","x-ms-is-spilled-over":"false","x-ms-rai-invoked":"true","x-ms-region":"East US 2","x-new-api-version":"0.4.39","x-oneapi-request-id":"202604200418195924527828268d9d6Oxw7T8y6","x-ratelimit-abusepenalty-active":"False","x-ratelimit-limit-requests":"3850","x-ratelimit-limit-tokens":"3850000","x-ratelimit-remaining-requests":"3849","x-ratelimit-remaining-tokens":"3848322","x-ratelimit-renewalperiod-requests":"60","x-ratelimit-renewalperiod-tokens":"60","x-ratelimit-reset-requests":"15","x-ratelimit-reset-tokens":"26","x-request-id":"17cdaa5e-8bc6-41b2-afab-16b17743bda1"}</t>
        </is>
      </c>
      <c r="N55" t="inlineStr">
        <is>
          <t>Essentials black cotton shorts, minimalist athletic style, soft heavyweight fabric, loose fit with drawstring waist, side pockets, unisex design for daily wear and summer street fashion.</t>
        </is>
      </c>
      <c r="O55" t="inlineStr">
        <is>
          <t>{"id":"chatcmpl-DWcehlGJQiILZjc6HQY4o6bMjT4SJ","object":"chat.completion","created":1776667459,"model":"gpt-5-chat-latest","choices":[{"index":0,"message":{"role":"assistant","content":"Essentials, Pants,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55" t="inlineStr">
        <is>
          <t>Essentials, Pants, kakobuy, kakebuy2026, kekobuysheet, kakobuysheet2026, 2026kakobuy, kakobuyspreadsheeet, kakobuylink, kakebuylist, Kakobuy MEGA Spreadsheet, kakobuysheetfind, kakobuysheetfind2026, 2026kakobuysheetfind, kakobuysheet2026</t>
        </is>
      </c>
      <c r="Q55" t="inlineStr">
        <is>
          <t>Black, Minimalist, Athletic, Summer, Streetwear, Unisex</t>
        </is>
      </c>
      <c r="R55" t="inlineStr">
        <is>
          <t>recvh6xFVjSC5p</t>
        </is>
      </c>
      <c r="S55" t="inlineStr">
        <is>
          <t>essentials-black-cotton-heavyweight-casual-shorts-recvh6xFVjSC5p</t>
        </is>
      </c>
      <c r="T55"/>
      <c r="U55"/>
      <c r="V55"/>
      <c r="W55" t="inlineStr">
        <is>
          <t>{"choices":[{"finish_reason":"stop","index":0,"logprobs":null,"message":{"annotations":[],"content":"Essentials：黑色休闲短裤，简约运动系列，柔软高克重棉质面料，宽松直筒版型搭配抽绳松紧腰设计，侧袋实用便捷，男女皆宜，街头休闲风格彰显品牌极简美学，适合日常穿搭与夏季出行。","refusal":null,"role":"assistant"}}],"created":1776656199,"id":"chatcmpl-DWZj5fJrepiZqO6pDK31jB7vCr9QW","model":"gpt-5-chat-latest","object":"chat.completion","service_tier":"default","system_fingerprint":"fp_ad66631dec","usage":{"completion_tokens":81,"completion_tokens_details":{"accepted_prediction_tokens":0,"audio_tokens":0,"reasoning_tokens":0,"rejected_prediction_tokens":0},"prompt_tokens":1313,"prompt_tokens_details":{"audio_tokens":0,"cached_tokens":0},"total_tokens":1394}}</t>
        </is>
      </c>
      <c r="X55" t="inlineStr">
        <is>
          <t>Essentials：黑色休闲短裤，简约运动系列，柔软高克重棉质面料，宽松直筒版型搭配抽绳松紧腰设计，侧袋实用便捷，男女皆宜，街头休闲风格彰显品牌极简美学，适合日常穿搭与夏季出行。</t>
        </is>
      </c>
    </row>
    <row r="56" ht="25.5" customHeight="1">
      <c r="A56">
        <v>1839115443</v>
      </c>
      <c r="B56">
        <v>7636033761</v>
      </c>
      <c r="C56" t="inlineStr">
        <is>
          <t>https://weidian.com/item.html?itemID=7636033761</t>
        </is>
      </c>
      <c r="D56"/>
      <c r="E56" s="2" t="str">
        <f>=HYPERLINK("https://si.geilicdn.com/open1839115443-252808396-019d0000019b3574dd800a8115c2_790_1730.jpg?w=640&amp;h=640", "https://si.geilicdn.com/open1839115443-252808396-019d0000019b3574dd800a8115c2_790_1730.jpg?w=640&amp;h=640")</f>
        <v>https://si.geilicdn.com/open1839115443-252808396-019d0000019b3574dd800a8115c2_790_1730.jpg?w=640&amp;h=640</v>
      </c>
      <c r="F56" t="inlineStr">
        <is>
          <t>Hoodies</t>
        </is>
      </c>
      <c r="G56" t="inlineStr">
        <is>
          <t>Cactus Plant Flea Market</t>
        </is>
      </c>
      <c r="H56" t="inlineStr">
        <is>
          <t>201.00</t>
        </is>
      </c>
      <c r="I56">
        <v>29.13</v>
      </c>
      <c r="J56" t="inlineStr">
        <is>
          <t>{"choices":[{"finish_reason":"stop","index":0,"logprobs":null,"message":{"annotations":[],"content":"Cactus Plant Flea Market Galaxy Blue Hoodie","refusal":null,"role":"assistant"}}],"created":1776665773,"id":"chatcmpl-DWcDVfbMbC0JX1SDq3Uz1ad4YAhHl","model":"gpt-5-chat-latest","object":"chat.completion","service_tier":"default","system_fingerprint":"fp_ad66631dec","usage":{"completion_tokens":10,"completion_tokens_details":{"accepted_prediction_tokens":0,"audio_tokens":0,"reasoning_tokens":0,"rejected_prediction_tokens":0},"prompt_tokens":1179,"prompt_tokens_details":{"audio_tokens":0,"cached_tokens":0},"total_tokens":1189}}</t>
        </is>
      </c>
      <c r="K56" t="inlineStr">
        <is>
          <t>Cactus Plant Flea Market Galaxy Blue Hoodie</t>
        </is>
      </c>
      <c r="L56" t="inlineStr">
        <is>
          <t>{"choices":[{"finish_reason":"stop","index":0,"logprobs":null,"message":{"annotations":[],"content":"Cactus Plant Flea Market Galaxy Blue Hoodie – soft cotton fleece with 3D stars and “Enter Galactic” lettering, relaxed unisex fit, cosmic Y2K streetwear vibes, perfect for fall and winter style.","refusal":null,"role":"assistant"}}],"created":1776658528,"id":"chatcmpl-DWaKeo04Zwz1L85ioi2KR1REZGwDl","model":"gpt-5-chat-latest","object":"chat.completion","service_tier":"default","system_fingerprint":"fp_ad66631dec","usage":{"completion_tokens":46,"completion_tokens_details":{"accepted_prediction_tokens":0,"audio_tokens":0,"reasoning_tokens":0,"rejected_prediction_tokens":0},"prompt_tokens":1237,"prompt_tokens_details":{"audio_tokens":0,"cached_tokens":1152},"total_tokens":1283}}</t>
        </is>
      </c>
      <c r="M56" t="inlineStr">
        <is>
          <t>{"alt-svc":"h3=\":443\"; ma=2592000","apim-request-id":"5cb08624-cc5e-48b8-bb59-ea65fb5a2419","azureml-model-session":"d20260405234249-f9874baf","cache-control":"no-cache","connection":"close","content-length":"793","content-security-policy":"frame-ancestors 'self'","content-type":"application/json","date":"Mon, 20 Apr 2026 04:15:30 GMT","server":"nginx","skip-error-remapping":"true","strict-transport-security":"max-age=31536000; includeSubDomains; preload","via":"1.1 Caddy, 1.1 Caddy","x-api-request-id":"2026042012152838959874Cf6kr1DJ","x-content-type-options":"nosniff","x-frame-options":"SAMEORIGIN","x-ms-client-request-id":"Not-Set","x-ms-is-spilled-over":"false","x-ms-rai-invoked":"true","x-ms-region":"East US 2","x-new-api-version":"0.4.39","x-oneapi-request-id":"202604200415279379882768268d9d6IO3qKTld","x-ratelimit-abusepenalty-active":"False","x-ratelimit-limit-requests":"3850","x-ratelimit-limit-tokens":"3850000","x-ratelimit-remaining-requests":"3849","x-ratelimit-remaining-tokens":"3848000","x-ratelimit-renewalperiod-requests":"60","x-ratelimit-renewalperiod-tokens":"60","x-ratelimit-reset-requests":"15","x-ratelimit-reset-tokens":"31","x-request-id":"c11cdb27-7c67-43f7-9c37-b44059da93a9"}</t>
        </is>
      </c>
      <c r="N56" t="inlineStr">
        <is>
          <t>Cactus Plant Flea Market Galaxy Blue Hoodie – soft cotton fleece with 3D stars and “Enter Galactic” lettering, relaxed unisex fit, cosmic Y2K streetwear vibes, perfect for fall and winter style.</t>
        </is>
      </c>
      <c r="O56" t="inlineStr">
        <is>
          <t>{"id":"chatcmpl-DWcao8cbOnOMiQc9WjPvqXWwPOmNV","object":"chat.completion","created":1776667218,"model":"gpt-5-chat-latest","choices":[{"index":0,"message":{"role":"assistant","content":"Cactus Plant Flea Market, Hoodies, kakobuy, kakebuy2026, kekobuysheet, kakobuysheet2026, 2026kakobuy, kakobuyspreadsheeet, kakobuylink, kakebuylist, Kakobuy MEGA Spreadsheet, kakobuysheetfind, kakobuysheetfind2026, 2026kakobuysheetfind, kakobuysheet2026","refusal":null,"annotations":[]},"logprobs":null,"finish_reason":"stop"}],"usage":{"prompt_tokens":1068,"completion_tokens":96,"total_tokens":1164,"prompt_tokens_details":{"cached_tokens":0,"audio_tokens":0},"completion_tokens_details":{"reasoning_tokens":0,"audio_tokens":0,"accepted_prediction_tokens":0,"rejected_prediction_tokens":0}},"service_tier":"default","system_fingerprint":"fp_ad66631dec"}</t>
        </is>
      </c>
      <c r="P56" t="inlineStr">
        <is>
          <t>Cactus Plant Flea Market, Hoodies, kakobuy, kakebuy2026, kekobuysheet, kakobuysheet2026, 2026kakobuy, kakobuyspreadsheeet, kakobuylink, kakebuylist, Kakobuy MEGA Spreadsheet, kakobuysheetfind, kakobuysheetfind2026, 2026kakobuysheetfind, kakobuysheet2026</t>
        </is>
      </c>
      <c r="Q56" t="inlineStr">
        <is>
          <t>Unisex, Streetwear, Retro, Autumn And Winter, Blue</t>
        </is>
      </c>
      <c r="R56" t="inlineStr">
        <is>
          <t>recvh6xFVj9qd0</t>
        </is>
      </c>
      <c r="S56" t="inlineStr">
        <is>
          <t>cactus-plant-flea-market-galaxy-blue-hoodie-recvh6xFVj9qd0</t>
        </is>
      </c>
      <c r="T56"/>
      <c r="U56"/>
      <c r="V56"/>
      <c r="W56" t="inlineStr">
        <is>
          <t>{"choices":[{"finish_reason":"stop","index":0,"logprobs":null,"message":{"annotations":[],"content":"Cactus Plant Flea Market：银河主题蓝色加绒连帽卫衣，柔软纯棉材质搭配3D立体星星与字母拼贴设计，前后印有“Enter Galactic”与浪漫文字图腾，展现品牌玩趣街头美学。宽松休闲剪裁，兼顾舒适与造型感，男女皆宜。适合秋冬街头穿搭，融合Y2K与复古宇宙风格，彰显独立个性。","refusal":null,"role":"assistant"}}],"created":1776655406,"id":"chatcmpl-DWZWINLB4BdWFrnIz0WhhctuAI1KP","model":"gpt-5-chat-latest","object":"chat.completion","service_tier":"default","system_fingerprint":"fp_ad66631dec","usage":{"completion_tokens":116,"completion_tokens_details":{"accepted_prediction_tokens":0,"audio_tokens":0,"reasoning_tokens":0,"rejected_prediction_tokens":0},"prompt_tokens":1609,"prompt_tokens_details":{"audio_tokens":0,"cached_tokens":1536},"total_tokens":1725}}</t>
        </is>
      </c>
      <c r="X56" t="inlineStr">
        <is>
          <t>Cactus Plant Flea Market：银河主题蓝色加绒连帽卫衣，柔软纯棉材质搭配3D立体星星与字母拼贴设计，前后印有“Enter Galactic”与浪漫文字图腾，展现品牌玩趣街头美学。宽松休闲剪裁，兼顾舒适与造型感，男女皆宜。适合秋冬街头穿搭，融合Y2K与复古宇宙风格，彰显独立个性。</t>
        </is>
      </c>
    </row>
    <row r="57" ht="25.5" customHeight="1">
      <c r="A57">
        <v>1839115443</v>
      </c>
      <c r="B57">
        <v>7639029606</v>
      </c>
      <c r="C57" t="inlineStr">
        <is>
          <t>https://weidian.com/item.html?itemID=7639029606</t>
        </is>
      </c>
      <c r="D57"/>
      <c r="E57" s="2" t="str">
        <f>=HYPERLINK("https://si.geilicdn.com/open1839115443-252808396-2b4a0000019b357116330aa086a7_800_800.jpg?w=640&amp;h=640", "https://si.geilicdn.com/open1839115443-252808396-2b4a0000019b357116330aa086a7_800_800.jpg?w=640&amp;h=640")</f>
        <v>https://si.geilicdn.com/open1839115443-252808396-2b4a0000019b357116330aa086a7_800_800.jpg?w=640&amp;h=640</v>
      </c>
      <c r="F57" t="inlineStr">
        <is>
          <t>T-Shirts</t>
        </is>
      </c>
      <c r="G57" t="inlineStr">
        <is>
          <t>Other</t>
        </is>
      </c>
      <c r="H57" t="inlineStr">
        <is>
          <t>103.00</t>
        </is>
      </c>
      <c r="I57">
        <v>14.93</v>
      </c>
      <c r="J57" t="inlineStr">
        <is>
          <t>{"choices":[{"finish_reason":"stop","index":0,"logprobs":null,"message":{"annotations":[],"content":"BrandX Vintage Black Sleeveless T-Shirt Streetwear Unisex","refusal":null,"role":"assistant"}}],"created":1776666472,"id":"chatcmpl-DWcOmapmUJ7WUgYBGIjRgSZK0E0kx","model":"gpt-5-chat-latest","object":"chat.completion","service_tier":"default","system_fingerprint":"fp_ad66631dec","usage":{"completion_tokens":13,"completion_tokens_details":{"accepted_prediction_tokens":0,"audio_tokens":0,"reasoning_tokens":0,"rejected_prediction_tokens":0},"prompt_tokens":889,"prompt_tokens_details":{"audio_tokens":0,"cached_tokens":0},"total_tokens":902}}</t>
        </is>
      </c>
      <c r="K57" t="inlineStr">
        <is>
          <t>BrandX Vintage Black Sleeveless T-Shirt Streetwear Unisex</t>
        </is>
      </c>
      <c r="L57" t="inlineStr">
        <is>
          <t>{"id":"chatcmpl-DWaYVrVe1qpD3HaEdUeRilS4glylS","object":"chat.completion","created":1776659387,"model":"gpt-5-chat-latest","choices":[{"index":0,"message":{"role":"assistant","content":"BrandX Vintage Black Sleeveless T-Shirt, soft washed cotton, red totem with “LIFE OF AN OUTLAW” print, unisex loose fit for streetwear, music festivals, and casual fashion style.","refusal":null,"annotations":[]},"logprobs":null,"finish_reason":"stop"}],"usage":{"prompt_tokens":921,"completion_tokens":44,"total_tokens":965,"prompt_tokens_details":{"cached_tokens":0,"audio_tokens":0},"completion_tokens_details":{"reasoning_tokens":0,"audio_tokens":0,"accepted_prediction_tokens":0,"rejected_prediction_tokens":0}},"service_tier":"default","system_fingerprint":"fp_ad66631dec"}</t>
        </is>
      </c>
      <c r="M5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ma=2592000","apim-request-id":"27d55beb-09df-44c8-8795-9b90d7d29a73","azureml-model-session":"d20260402075109-1fc5a0ec","cache-control":"no-cache, no-store, must-revalidate","connection":"close","content-length":"986","content-security-policy":"frame-ancestors 'self'","content-type":"application/json","date":"Mon, 20 Apr 2026 04:29:49 GMT","server":"Caddy","skip-error-remapping":"true","strict-transport-security":"max-age=31536000; includeSubDomains; preload","via":"1.1 Caddy","x-api-request-id":"20260420122946825856686P4triDQ3","x-content-type-options":"nosniff","x-frame-options":"SAMEORIGIN","x-ms-is-spilled-over":"false","x-ms-rai-invoked":"false","x-ms-region":"East US 2","x-new-api-version":"0.4.39","x-oneapi-request-id":"202604200429467588531818268d9d66QCkFWlP","x-ratelimit-abusepenalty-active":"False","x-ratelimit-limit-requests":"4994","x-ratelimit-limit-tokens":"4994000","x-ratelimit-remaining-requests":"4993","x-ratelimit-remaining-tokens":"4992317","x-ratelimit-renewalperiod-requests":"60","x-ratelimit-renewalperiod-tokens":"60","x-ratelimit-reset-requests":"12","x-ratelimit-reset-tokens":"20","x-request-id":"669d7dc0-e226-4a9d-8d1b-76d86ec46d08"}</t>
        </is>
      </c>
      <c r="N57" t="inlineStr">
        <is>
          <t>BrandX Vintage Black Sleeveless T-Shirt, soft washed cotton, red totem with “LIFE OF AN OUTLAW” print, unisex loose fit for streetwear, music festivals, and casual fashion style.</t>
        </is>
      </c>
      <c r="O57" t="inlineStr">
        <is>
          <t>{"choices":[{"finish_reason":"stop","index":0,"logprobs":null,"message":{"annotations":[],"content":"Life of an Outlaw, T-Shirts, kakobuy, kakebuy2026, kekobuysheet, kakobuysheet2026, 2026kakobuy, kakobuyspreadsheeet, kakobuylink, kakebuylist, Kakobuy MEGA Spreadsheet, kakobuysheetfind, kakobuysheetfind2026, 2026kakobuysheetfind, kakobuysheet2026","refusal":null,"role":"assistant"}}],"created":1776667319,"id":"chatcmpl-DWccRt0gUf373i5mU002aOK89Nug4","model":"gpt-5-chat-latest","object":"chat.completion","service_tier":"default","system_fingerprint":"fp_ad66631dec","usage":{"completion_tokens":95,"completion_tokens_details":{"accepted_prediction_tokens":0,"audio_tokens":0,"reasoning_tokens":0,"rejected_prediction_tokens":0},"prompt_tokens":782,"prompt_tokens_details":{"audio_tokens":0,"cached_tokens":0},"total_tokens":877}}</t>
        </is>
      </c>
      <c r="P57" t="inlineStr">
        <is>
          <t>Life of an Outlaw, T-Shirts, kakobuy, kakebuy2026, kekobuysheet, kakobuysheet2026, 2026kakobuy, kakobuyspreadsheeet, kakobuylink, kakebuylist, Kakobuy MEGA Spreadsheet, kakobuysheetfind, kakobuysheetfind2026, 2026kakobuysheetfind, kakobuysheet2026</t>
        </is>
      </c>
      <c r="Q57" t="inlineStr">
        <is>
          <t>Black, Unisex, Streetwear</t>
        </is>
      </c>
      <c r="R57" t="inlineStr">
        <is>
          <t>recvh6xFVjB2Wd</t>
        </is>
      </c>
      <c r="S57" t="inlineStr">
        <is>
          <t>brandx-vintage-black-sleeveless-t-shirt-recvh6xfvjb2wd</t>
        </is>
      </c>
      <c r="T57"/>
      <c r="U57"/>
      <c r="V57"/>
      <c r="W57" t="inlineStr">
        <is>
          <t>{"choices":[{"finish_reason":"stop","index":0,"logprobs":null,"message":{"annotations":[],"content":"复古黑色无袖T恤，水洗棉质面料柔软舒适，正面印有红色图腾与英文字样“LIFE OF AN OUTLAW”，展现街头叛逆风格。宽松剪裁设计，男女皆可穿搭，彰显个性与自由态度，适合休闲街头、音乐节等场合。","refusal":null,"role":"assistant"}}],"created":1776655589,"id":"chatcmpl-DWZZFEh8FTQX0xQlPspGj4wZS9h4q","model":"gpt-5-chat-latest","object":"chat.completion","service_tier":"default","system_fingerprint":"fp_ad66631dec","usage":{"completion_tokens":87,"completion_tokens_details":{"accepted_prediction_tokens":0,"audio_tokens":0,"reasoning_tokens":0,"rejected_prediction_tokens":0},"prompt_tokens":1311,"prompt_tokens_details":{"audio_tokens":0,"cached_tokens":0},"total_tokens":1398}}</t>
        </is>
      </c>
      <c r="X57" t="inlineStr">
        <is>
          <t>复古黑色无袖T恤，水洗棉质面料柔软舒适，正面印有红色图腾与英文字样“LIFE OF AN OUTLAW”，展现街头叛逆风格。宽松剪裁设计，男女皆可穿搭，彰显个性与自由态度，适合休闲街头、音乐节等场合。</t>
        </is>
      </c>
    </row>
    <row r="58" ht="25.5" customHeight="1">
      <c r="A58">
        <v>1839115443</v>
      </c>
      <c r="B58">
        <v>7639025680</v>
      </c>
      <c r="C58" t="inlineStr">
        <is>
          <t>https://weidian.com/item.html?itemID=7639025680</t>
        </is>
      </c>
      <c r="D58"/>
      <c r="E58" s="2" t="str">
        <f>=HYPERLINK("https://si.geilicdn.com/open1839115443-252808396-0eec0000019b356e17580a23b491_800_800.jpg?w=640&amp;h=640", "https://si.geilicdn.com/open1839115443-252808396-0eec0000019b356e17580a23b491_800_800.jpg?w=640&amp;h=640")</f>
        <v>https://si.geilicdn.com/open1839115443-252808396-0eec0000019b356e17580a23b491_800_800.jpg?w=640&amp;h=640</v>
      </c>
      <c r="F58" t="inlineStr">
        <is>
          <t>T-Shirts</t>
        </is>
      </c>
      <c r="G58" t="inlineStr">
        <is>
          <t>Other</t>
        </is>
      </c>
      <c r="H58" t="inlineStr">
        <is>
          <t>103.00</t>
        </is>
      </c>
      <c r="I58">
        <v>14.93</v>
      </c>
      <c r="J58" t="inlineStr">
        <is>
          <t>{"id":"chatcmpl-DWcGtw9EaUVKmWgr5BH0dOV3hs1nO","object":"chat.completion","created":1776665983,"model":"gpt-5-chat-latest","choices":[{"index":0,"message":{"role":"assistant","content":"Other Vintage Sleeveless Rock Graphic Black Tee","refusal":null,"annotations":[]},"logprobs":null,"finish_reason":"stop"}],"usage":{"prompt_tokens":875,"completion_tokens":9,"total_tokens":884,"prompt_tokens_details":{"cached_tokens":0,"audio_tokens":0},"completion_tokens_details":{"reasoning_tokens":0,"audio_tokens":0,"accepted_prediction_tokens":0,"rejected_prediction_tokens":0}},"service_tier":"default","system_fingerprint":"fp_ad66631dec"}</t>
        </is>
      </c>
      <c r="K58" t="inlineStr">
        <is>
          <t>Other Vintage Sleeveless Rock Graphic Black Tee</t>
        </is>
      </c>
      <c r="L58" t="inlineStr">
        <is>
          <t>{"id":"chatcmpl-DWaZ7J74gBSOWvodxCScsKYLoqx42","object":"chat.completion","created":1776659425,"model":"gpt-5-chat-latest","choices":[{"index":0,"message":{"role":"assistant","content":"Brand T-ShirtsOther vintage sleeveless tee in washed black and gray cotton, featuring bold metallic rock-inspired chest graphic, loose fit design for unisex street style and cool summer wear.","refusal":null,"annotations":[]},"logprobs":null,"finish_reason":"stop"}],"usage":{"prompt_tokens":894,"completion_tokens":37,"total_tokens":931,"prompt_tokens_details":{"cached_tokens":0,"audio_tokens":0},"completion_tokens_details":{"reasoning_tokens":0,"audio_tokens":0,"accepted_prediction_tokens":0,"rejected_prediction_tokens":0}},"service_tier":"default","system_fingerprint":"fp_ad66631dec"}</t>
        </is>
      </c>
      <c r="M5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ma=2592000","apim-request-id":"82da4a35-8ff9-4f4c-9028-25d5467f84a1","azureml-model-session":"d20260405234249-f9874baf","cache-control":"no-cache, no-store, must-revalidate","connection":"close","content-length":"995","content-security-policy":"frame-ancestors 'self'","content-type":"application/json","date":"Mon, 20 Apr 2026 04:30:27 GMT","server":"Caddy","skip-error-remapping":"true","strict-transport-security":"max-age=31536000; includeSubDomains; preload","via":"1.1 Caddy","x-api-request-id":"2026042012302353461564820gF4O2q","x-content-type-options":"nosniff","x-frame-options":"SAMEORIGIN","x-ms-is-spilled-over":"false","x-ms-rai-invoked":"false","x-ms-region":"Sweden Central","x-new-api-version":"0.4.39","x-oneapi-request-id":"202604200430234687528918268d9d6QmUPOkw4","x-ratelimit-abusepenalty-active":"False","x-ratelimit-limit-requests":"4993","x-ratelimit-limit-tokens":"4993000","x-ratelimit-remaining-requests":"4992","x-ratelimit-remaining-tokens":"4991344","x-ratelimit-renewalperiod-requests":"60","x-ratelimit-renewalperiod-tokens":"60","x-ratelimit-reset-requests":"12","x-ratelimit-reset-tokens":"19","x-request-id":"45eb9bef-541c-4eb5-ae2c-475dbabab958"}</t>
        </is>
      </c>
      <c r="N58" t="inlineStr">
        <is>
          <t>Brand T-ShirtsOther vintage sleeveless tee in washed black and gray cotton, featuring bold metallic rock-inspired chest graphic, loose fit design for unisex street style and cool summer wear.</t>
        </is>
      </c>
      <c r="O58" t="inlineStr">
        <is>
          <t>{"choices":[{"finish_reason":"stop","index":0,"logprobs":null,"message":{"annotations":[],"content":"SICK OF IT ALL,T-Shirts,kakobuy,kakebuy2026,kekobuysheet,kakobuysheet2026,2026kakobuy,kakobuyspreadsheeet,kakobuylink,kakebuylist,Kakobuy MEGA Spreadsheet,kakobuysheetfind,kakobuysheetfind2026,2026kakobuysheetfind,kakobuysheet2026","refusal":null,"role":"assistant"}}],"created":1776668348,"id":"chatcmpl-DWct27sDxrJomZk23hxsiYv4j8s36","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P58" t="inlineStr">
        <is>
          <t>SICK OF IT ALL,T-Shirts,kakobuy,kakebuy2026,kekobuysheet,kakobuysheet2026,2026kakobuy,kakobuyspreadsheeet,kakobuylink,kakebuylist,Kakobuy MEGA Spreadsheet,kakobuysheetfind,kakobuysheetfind2026,2026kakobuysheetfind,kakobuysheet2026</t>
        </is>
      </c>
      <c r="Q58" t="inlineStr">
        <is>
          <t>Unisex, Streetwear, Summer, Black, Grey</t>
        </is>
      </c>
      <c r="R58" t="inlineStr">
        <is>
          <t>recvh6xFVj3So3</t>
        </is>
      </c>
      <c r="S58" t="inlineStr">
        <is>
          <t>other-vintage-sleeveless-rock-graphic-black-tee-recvh6xfvj3so3</t>
        </is>
      </c>
      <c r="T58"/>
      <c r="U58"/>
      <c r="V58"/>
      <c r="W58" t="inlineStr">
        <is>
          <t>{"choices":[{"finish_reason":"stop","index":0,"logprobs":null,"message":{"annotations":[],"content":"黑灰色复古无袖T恤，采用磨旧质感纯棉面料，胸前金属风印花图腾彰显街头摇滚气息，宽松版型男女皆宜，适配夏季潮酷休闲穿搭。","refusal":null,"role":"assistant"}}],"created":1776656190,"id":"chatcmpl-DWZiwq2ZZyu88yOkmJnORcxjBhs5j","model":"gpt-5-chat-latest","object":"chat.completion","service_tier":"default","system_fingerprint":"fp_ad66631dec","usage":{"completion_tokens":60,"completion_tokens_details":{"accepted_prediction_tokens":0,"audio_tokens":0,"reasoning_tokens":0,"rejected_prediction_tokens":0},"prompt_tokens":1311,"prompt_tokens_details":{"audio_tokens":0,"cached_tokens":0},"total_tokens":1371}}</t>
        </is>
      </c>
      <c r="X58" t="inlineStr">
        <is>
          <t>黑灰色复古无袖T恤，采用磨旧质感纯棉面料，胸前金属风印花图腾彰显街头摇滚气息，宽松版型男女皆宜，适配夏季潮酷休闲穿搭。</t>
        </is>
      </c>
    </row>
    <row r="59" ht="25.5" customHeight="1">
      <c r="A59">
        <v>1839115443</v>
      </c>
      <c r="B59">
        <v>7635901571</v>
      </c>
      <c r="C59" t="inlineStr">
        <is>
          <t>https://weidian.com/item.html?itemID=7635901571</t>
        </is>
      </c>
      <c r="D59"/>
      <c r="E59" s="2" t="str">
        <f>=HYPERLINK("https://si.geilicdn.com/open1839115443-252808396-10690000019b356a1c360a231226_800_800.jpg?w=640&amp;h=640", "https://si.geilicdn.com/open1839115443-252808396-10690000019b356a1c360a231226_800_800.jpg?w=640&amp;h=640")</f>
        <v>https://si.geilicdn.com/open1839115443-252808396-10690000019b356a1c360a231226_800_800.jpg?w=640&amp;h=640</v>
      </c>
      <c r="F59" t="inlineStr">
        <is>
          <t>T-Shirts</t>
        </is>
      </c>
      <c r="G59" t="inlineStr">
        <is>
          <t>Cactus Jack</t>
        </is>
      </c>
      <c r="H59" t="inlineStr">
        <is>
          <t>107.00</t>
        </is>
      </c>
      <c r="I59">
        <v>15.51</v>
      </c>
      <c r="J59" t="inlineStr">
        <is>
          <t>{"choices":[{"finish_reason":"stop","index":0,"logprobs":null,"message":{"annotations":[],"content":"Cactus Jack Black Cotton Street Style T-Shirt","refusal":null,"role":"assistant"}}],"created":1776666850,"id":"chatcmpl-DWcUsMoOA3bcZyCSNEARdB14tLHWz","model":"gpt-5-chat-latest","object":"chat.completion","service_tier":"default","system_fingerprint":"fp_ad66631dec","usage":{"completion_tokens":10,"completion_tokens_details":{"accepted_prediction_tokens":0,"audio_tokens":0,"reasoning_tokens":0,"rejected_prediction_tokens":0},"prompt_tokens":875,"prompt_tokens_details":{"audio_tokens":0,"cached_tokens":0},"total_tokens":885}}</t>
        </is>
      </c>
      <c r="K59" t="inlineStr">
        <is>
          <t>Cactus Jack Black Cotton Street Style T-Shirt</t>
        </is>
      </c>
      <c r="L59" t="inlineStr">
        <is>
          <t>{"id":"chatcmpl-DWaH52IZq22BfZD9xbxXIxeWfAvcY","object":"chat.completion","created":1776658307,"model":"gpt-5-chat-latest","choices":[{"index":0,"message":{"role":"assistant","content":"Cactus Jack black cotton T-shirt with red-yellow front emblem and star cross back print, casual unisex loose fit blending street fashion and artistic style, perfect for trend lovers.","refusal":null,"annotations":[]},"logprobs":null,"finish_reason":"stop"}],"usage":{"prompt_tokens":915,"completion_tokens":36,"total_tokens":951,"prompt_tokens_details":{"cached_tokens":0,"audio_tokens":0},"completion_tokens_details":{"reasoning_tokens":0,"audio_tokens":0,"accepted_prediction_tokens":0,"rejected_prediction_tokens":0}},"service_tier":"default","system_fingerprint":"fp_ad66631dec"}</t>
        </is>
      </c>
      <c r="M5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ma=2592000","apim-request-id":"2dec9531-46a3-4f2a-b2b5-e7b5d39c9f6d","azureml-model-session":"d20260405234249-f9874baf","cache-control":"no-cache, no-store, must-revalidate","connection":"close","content-length":"986","content-security-policy":"frame-ancestors 'self'","content-type":"application/json","date":"Mon, 20 Apr 2026 04:11:50 GMT","server":"nginx","skip-error-remapping":"true","strict-transport-security":"max-age=31536000; includeSubDomains; preload","via":"1.1 Caddy, 1.1 Caddy","x-api-request-id":"20260420121145861692151fzptO9jR","x-content-type-options":"nosniff","x-frame-options":"SAMEORIGIN","x-ms-is-spilled-over":"false","x-ms-rai-invoked":"false","x-ms-region":"Sweden Central","x-new-api-version":"0.4.39","x-oneapi-request-id":"202604200411457958359318268d9d6V8P7uxV6","x-ratelimit-abusepenalty-active":"False","x-ratelimit-limit-requests":"4993","x-ratelimit-limit-tokens":"4993000","x-ratelimit-remaining-requests":"4992","x-ratelimit-remaining-tokens":"4991323","x-ratelimit-renewalperiod-requests":"60","x-ratelimit-renewalperiod-tokens":"60","x-ratelimit-reset-requests":"12","x-ratelimit-reset-tokens":"20","x-request-id":"a3c99aa1-6ec3-450f-b540-9d05059d7c08"}</t>
        </is>
      </c>
      <c r="N59" t="inlineStr">
        <is>
          <t>Cactus Jack black cotton T-shirt with red-yellow front emblem and star cross back print, casual unisex loose fit blending street fashion and artistic style, perfect for trend lovers.</t>
        </is>
      </c>
      <c r="O59" t="inlineStr">
        <is>
          <t>{"choices":[{"finish_reason":"stop","index":0,"logprobs":null,"message":{"annotations":[],"content":"Cactus Jack,T-Shirts,kakobuy,kakebuy2026,kekobuysheet,kakobuysheet2026,2026kakobuy,kakobuyspreadsheeet,kakobuylink,kakebuylist,Kakobuy MEGA Spreadsheet,kakobuysheetfind,kakobuysheetfind2026,2026kakobuysheetfind,kakobuysheet2026","refusal":null,"role":"assistant"}}],"created":1776668117,"id":"chatcmpl-DWcpJalKprKFOAJ319EU2slG6444e","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59" t="inlineStr">
        <is>
          <t>Cactus Jack,T-Shirts,kakobuy,kakebuy2026,kekobuysheet,kakobuysheet2026,2026kakobuy,kakobuyspreadsheeet,kakobuylink,kakebuylist,Kakobuy MEGA Spreadsheet,kakobuysheetfind,kakobuysheetfind2026,2026kakobuysheetfind,kakobuysheet2026</t>
        </is>
      </c>
      <c r="Q59" t="inlineStr">
        <is>
          <t>Black, Unisex, Street, Artistic Style</t>
        </is>
      </c>
      <c r="R59" t="inlineStr">
        <is>
          <t>recvh6xFVj3KYU</t>
        </is>
      </c>
      <c r="S59" t="inlineStr">
        <is>
          <t>cactus-jack-black-cotton-street-style-t-shirt-recvh6xFVj3KYU</t>
        </is>
      </c>
      <c r="T59"/>
      <c r="U59"/>
      <c r="V59"/>
      <c r="W59" t="inlineStr">
        <is>
          <t>{"choices":[{"finish_reason":"stop","index":0,"logprobs":null,"message":{"annotations":[],"content":"Cactus Jack 黑色短袖T恤，采用高品质纯棉材质，前胸标志性红黄图腾彰显联名街头元素，背面独特星点十字设计极具视觉冲击，休闲宽松版型男女皆宜，融合潮流与艺术感，展现年轻态度与街头个性。","refusal":null,"role":"assistant"}}],"created":1776654911,"id":"chatcmpl-DWZOJrCvu3QAzoxzszpwh2VaAlWaN","model":"gpt-5-chat-latest","object":"chat.completion","service_tier":"default","system_fingerprint":"fp_ad66631dec","usage":{"completion_tokens":81,"completion_tokens_details":{"accepted_prediction_tokens":0,"audio_tokens":0,"reasoning_tokens":0,"rejected_prediction_tokens":0},"prompt_tokens":1313,"prompt_tokens_details":{"audio_tokens":0,"cached_tokens":0},"total_tokens":1394}}</t>
        </is>
      </c>
      <c r="X59" t="inlineStr">
        <is>
          <t>Cactus Jack 黑色短袖T恤，采用高品质纯棉材质，前胸标志性红黄图腾彰显联名街头元素，背面独特星点十字设计极具视觉冲击，休闲宽松版型男女皆宜，融合潮流与艺术感，展现年轻态度与街头个性。</t>
        </is>
      </c>
    </row>
    <row r="60" ht="25.5" customHeight="1">
      <c r="A60">
        <v>1839115443</v>
      </c>
      <c r="B60">
        <v>7638987968</v>
      </c>
      <c r="C60" t="inlineStr">
        <is>
          <t>https://weidian.com/item.html?itemID=7638987968</t>
        </is>
      </c>
      <c r="D60"/>
      <c r="E60" s="2" t="str">
        <f>=HYPERLINK("https://si.geilicdn.com/open1839115443-252808396-12ac0000019b3590eb340a8133b0_1340_1785.jpg?w=640&amp;h=640", "https://si.geilicdn.com/open1839115443-252808396-12ac0000019b3590eb340a8133b0_1340_1785.jpg?w=640&amp;h=640")</f>
        <v>https://si.geilicdn.com/open1839115443-252808396-12ac0000019b3590eb340a8133b0_1340_1785.jpg?w=640&amp;h=640</v>
      </c>
      <c r="F60" t="inlineStr">
        <is>
          <t>Hoodies</t>
        </is>
      </c>
      <c r="G60" t="inlineStr">
        <is>
          <t>Other</t>
        </is>
      </c>
      <c r="H60" t="inlineStr">
        <is>
          <t>91.00</t>
        </is>
      </c>
      <c r="I60">
        <v>13.19</v>
      </c>
      <c r="J60" t="inlineStr">
        <is>
          <t>{"choices":[{"finish_reason":"stop","index":0,"logprobs":null,"message":{"annotations":[],"content":"HoodiesOther Los Angeles West Coast Light Gray Hoodie","refusal":null,"role":"assistant"}}],"created":1776666871,"id":"chatcmpl-DWcVDsziWYaeDrr58A9PQYJwnCkWm","model":"gpt-5-chat-latest","object":"chat.completion","service_tier":"default","system_fingerprint":"fp_ad66631dec","usage":{"completion_tokens":12,"completion_tokens_details":{"accepted_prediction_tokens":0,"audio_tokens":0,"reasoning_tokens":0,"rejected_prediction_tokens":0},"prompt_tokens":884,"prompt_tokens_details":{"audio_tokens":0,"cached_tokens":0},"total_tokens":896}}</t>
        </is>
      </c>
      <c r="K60" t="inlineStr">
        <is>
          <t>HoodiesOther Los Angeles West Coast Light Gray Hoodie</t>
        </is>
      </c>
      <c r="L60" t="inlineStr">
        <is>
          <t>{"id":"chatcmpl-DWaHQ028tiDaYE7XO7jQ9bvUbkncl","object":"chat.completion","created":1776658328,"model":"gpt-5-chat-latest","choices":[{"index":0,"message":{"role":"assistant","content":"HoodiesOther Light Gray “Los Angeles West Coast” Hoodie, soft cotton blend, retro Gothic letters, adjustable drawstring, kangaroo pocket, unisex streetwear style, cozy urban fashion.","refusal":null,"annotations":[]},"logprobs":null,"finish_reason":"stop"}],"usage":{"prompt_tokens":936,"completion_tokens":41,"total_tokens":977,"prompt_tokens_details":{"cached_tokens":0,"audio_tokens":0},"completion_tokens_details":{"reasoning_tokens":0,"audio_tokens":0,"accepted_prediction_tokens":0,"rejected_prediction_tokens":0}},"service_tier":"default","system_fingerprint":"fp_ad66631dec"}</t>
        </is>
      </c>
      <c r="M6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ma=2592000","apim-request-id":"7cef5b3b-2b03-4c6b-8097-76fffa67fcf3","azureml-model-session":"d20260405234249-f9874baf","cache-control":"no-cache, no-store, must-revalidate","connection":"close","content-length":"990","content-security-policy":"frame-ancestors 'self'","content-type":"application/json","date":"Mon, 20 Apr 2026 04:12:10 GMT","server":"nginx","skip-error-remapping":"true","strict-transport-security":"max-age=31536000; includeSubDomains; preload","via":"1.1 Caddy, 1.1 Caddy","x-api-request-id":"20260420121207179162412RhM540ro","x-content-type-options":"nosniff","x-frame-options":"SAMEORIGIN","x-ms-is-spilled-over":"false","x-ms-rai-invoked":"false","x-ms-region":"Sweden Central","x-new-api-version":"0.4.39","x-oneapi-request-id":"202604200412071153534238268d9d6K7FMS18L","x-ratelimit-abusepenalty-active":"False","x-ratelimit-limit-requests":"4993","x-ratelimit-limit-tokens":"4993000","x-ratelimit-remaining-requests":"4992","x-ratelimit-remaining-tokens":"4991302","x-ratelimit-renewalperiod-requests":"60","x-ratelimit-renewalperiod-tokens":"60","x-ratelimit-reset-requests":"12","x-ratelimit-reset-tokens":"20","x-request-id":"071ad880-6c9a-4015-b29d-03b0c0fb26f0"}</t>
        </is>
      </c>
      <c r="N60" t="inlineStr">
        <is>
          <t>HoodiesOther Light Gray “Los Angeles West Coast” Hoodie, soft cotton blend, retro Gothic letters, adjustable drawstring, kangaroo pocket, unisex streetwear style, cozy urban fashion.</t>
        </is>
      </c>
      <c r="O60" t="inlineStr">
        <is>
          <t>{"choices":[{"finish_reason":"stop","index":0,"logprobs":null,"message":{"annotations":[],"content":"Los Angeles, Hoodies, kakobuy, kakebuy2026, kekobuysheet, kakobuysheet2026, 2026kakobuy, kakobuyspreadsheeet, kakobuylink, kakebuylist, Kakobuy MEGA Spreadsheet, kakobuysheetfind, kakobuysheetfind2026, 2026kakobuysheetfind, kakobuysheet2026","refusal":null,"role":"assistant"}}],"created":1776667789,"id":"chatcmpl-DWck1ugUlZFuTsvradV5TkCMJ4VzS","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60" t="inlineStr">
        <is>
          <t>Los Angeles, Hoodies, kakobuy, kakebuy2026, kekobuysheet, kakobuysheet2026, 2026kakobuy, kakobuyspreadsheeet, kakobuylink, kakebuylist, Kakobuy MEGA Spreadsheet, kakobuysheetfind, kakobuysheetfind2026, 2026kakobuysheetfind, kakobuysheet2026</t>
        </is>
      </c>
      <c r="Q60" t="inlineStr">
        <is>
          <t>Retro, Gothic, Unisex, Streetwear</t>
        </is>
      </c>
      <c r="R60" t="inlineStr">
        <is>
          <t>recvh6xFVjlBdP</t>
        </is>
      </c>
      <c r="S60" t="inlineStr">
        <is>
          <t>los-angeles-west-coast-light-gray-hoodie-recvh6xfvjlbp</t>
        </is>
      </c>
      <c r="T60"/>
      <c r="U60"/>
      <c r="V60"/>
      <c r="W60" t="inlineStr">
        <is>
          <t>{"choices":[{"finish_reason":"stop","index":0,"logprobs":null,"message":{"annotations":[],"content":"浅灰色“Los Angeles West Coast”印花连帽卫衣，采用柔软棉混纺面料，触感细腻保暖。前胸黑色复古哥特字母设计彰显街头态度，宽松版型配可调节抽绳，袋鼠口袋兼具实用与时尚。美式休闲风格，男女通用，轻松打造都市年轻潮流穿搭。","refusal":null,"role":"assistant"}}],"created":1776655716,"id":"chatcmpl-DWZbIY96oGQM0zAR5Rs3WMjAOEyUv","model":"gpt-5-chat-latest","object":"chat.completion","service_tier":"default","system_fingerprint":"fp_ad66631dec","usage":{"completion_tokens":99,"completion_tokens_details":{"accepted_prediction_tokens":0,"audio_tokens":0,"reasoning_tokens":0,"rejected_prediction_tokens":0},"prompt_tokens":1316,"prompt_tokens_details":{"audio_tokens":0,"cached_tokens":0},"total_tokens":1415}}</t>
        </is>
      </c>
      <c r="X60" t="inlineStr">
        <is>
          <t>浅灰色“Los Angeles West Coast”印花连帽卫衣，采用柔软棉混纺面料，触感细腻保暖。前胸黑色复古哥特字母设计彰显街头态度，宽松版型配可调节抽绳，袋鼠口袋兼具实用与时尚。美式休闲风格，男女通用，轻松打造都市年轻潮流穿搭。</t>
        </is>
      </c>
    </row>
    <row r="61" ht="25.5" customHeight="1">
      <c r="A61">
        <v>1839115443</v>
      </c>
      <c r="B61">
        <v>7635954665</v>
      </c>
      <c r="C61" t="inlineStr">
        <is>
          <t>https://weidian.com/item.html?itemID=7635954665</t>
        </is>
      </c>
      <c r="D61"/>
      <c r="E61" s="2" t="str">
        <f>=HYPERLINK("https://si.geilicdn.com/open1839115443-252808396-3a9a0000019b3590dd900aa086a7_1340_1785.jpg?w=640&amp;h=640", "https://si.geilicdn.com/open1839115443-252808396-3a9a0000019b3590dd900aa086a7_1340_1785.jpg?w=640&amp;h=640")</f>
        <v>https://si.geilicdn.com/open1839115443-252808396-3a9a0000019b3590dd900aa086a7_1340_1785.jpg?w=640&amp;h=640</v>
      </c>
      <c r="F61" t="inlineStr">
        <is>
          <t>Hoodies</t>
        </is>
      </c>
      <c r="G61" t="inlineStr">
        <is>
          <t>Other</t>
        </is>
      </c>
      <c r="H61" t="inlineStr">
        <is>
          <t>91.00</t>
        </is>
      </c>
      <c r="I61">
        <v>13.19</v>
      </c>
      <c r="J61" t="inlineStr">
        <is>
          <t>{"id":"chatcmpl-DWcKU5Auukm1FJ6JlGZ2pCvK0fdlI","object":"chat.completion","created":1776666206,"model":"gpt-5-chat-latest","choices":[{"index":0,"message":{"role":"assistant","content":"HoodiesOther Red Cartoon Street Art Unisex Hoodie","refusal":null,"annotations":[]},"logprobs":null,"finish_reason":"stop"}],"usage":{"prompt_tokens":886,"completion_tokens":12,"total_tokens":898,"prompt_tokens_details":{"cached_tokens":0,"audio_tokens":0},"completion_tokens_details":{"reasoning_tokens":0,"audio_tokens":0,"accepted_prediction_tokens":0,"rejected_prediction_tokens":0}},"service_tier":"default","system_fingerprint":"fp_ad66631dec"}</t>
        </is>
      </c>
      <c r="K61" t="inlineStr">
        <is>
          <t>HoodiesOther Red Cartoon Street Art Unisex Hoodie</t>
        </is>
      </c>
      <c r="L61" t="inlineStr">
        <is>
          <t>{"id":"chatcmpl-DWaa3UC6NLl48MdIsAl9DD1pLL1A4","object":"chat.completion","created":1776659483,"model":"gpt-5-chat-latest","choices":[{"index":0,"message":{"role":"assistant","content":"HoodiesOther Red Cotton Hoodie, soft and warm with adjustable drawstring, kangaroo pocket, and bold cartoon print, showcasing street art vibes. Unisex loose fit, perfect for casual trendy outfits.","refusal":null,"annotations":[]},"logprobs":null,"finish_reason":"stop"}],"usage":{"prompt_tokens":911,"completion_tokens":42,"total_tokens":953,"prompt_tokens_details":{"cached_tokens":0,"audio_tokens":0},"completion_tokens_details":{"reasoning_tokens":0,"audio_tokens":0,"accepted_prediction_tokens":0,"rejected_prediction_tokens":0}},"service_tier":"default","system_fingerprint":"fp_ad66631dec"}</t>
        </is>
      </c>
      <c r="M6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ma=2592000","apim-request-id":"f0b109d7-41e6-4813-988f-b91d1ee92b91","azureml-model-session":"d20260405234249-f9874baf","cache-control":"no-cache, no-store, must-revalidate","connection":"close","content-length":"1000","content-security-policy":"frame-ancestors 'self'","content-type":"application/json","date":"Mon, 20 Apr 2026 04:31:25 GMT","server":"nginx","skip-error-remapping":"true","strict-transport-security":"max-age=31536000; includeSubDomains; preload","via":"1.1 Caddy, 1.1 Caddy","x-api-request-id":"20260420123122572947006mCXGchfY","x-content-type-options":"nosniff","x-frame-options":"SAMEORIGIN","x-ms-is-spilled-over":"false","x-ms-rai-invoked":"false","x-ms-region":"East US 2","x-new-api-version":"0.4.39","x-oneapi-request-id":"202604200431225056624668268d9d63ocMGtRn","x-ratelimit-abusepenalty-active":"False","x-ratelimit-limit-requests":"4994","x-ratelimit-limit-tokens":"4994000","x-ratelimit-remaining-requests":"4993","x-ratelimit-remaining-tokens":"4992327","x-ratelimit-renewalperiod-requests":"60","x-ratelimit-renewalperiod-tokens":"60","x-ratelimit-reset-requests":"12","x-ratelimit-reset-tokens":"20","x-request-id":"f75f83a5-ed8f-4ebe-a66a-f26fbec7a31e"}</t>
        </is>
      </c>
      <c r="N61" t="inlineStr">
        <is>
          <t>HoodiesOther Red Cotton Hoodie, soft and warm with adjustable drawstring, kangaroo pocket, and bold cartoon print, showcasing street art vibes. Unisex loose fit, perfect for casual trendy outfits.</t>
        </is>
      </c>
      <c r="O61" t="inlineStr">
        <is>
          <t>{"choices":[{"finish_reason":"stop","index":0,"logprobs":null,"message":{"annotations":[],"content":"Gorillaz,Hoodies,kakobuy,kakebuy2026,kekobuysheet,kakobuysheet2026,2026kakobuy,kakobuyspreadsheeet,kakobuylink,kakebuylist,Kakobuy MEGA Spreadsheet,kakobuysheetfind,kakobuysheetfind2026,2026kakobuysheetfind,kakobuysheet2026","refusal":null,"role":"assistant"}}],"created":1776668181,"id":"chatcmpl-DWcqL53PyX2S4rwHwZ8lJGTMoMDBV","model":"gpt-5-chat-latest","object":"chat.completion","service_tier":"default","system_fingerprint":"fp_ad66631dec","usage":{"completion_tokens":90,"completion_tokens_details":{"accepted_prediction_tokens":0,"audio_tokens":0,"reasoning_tokens":0,"rejected_prediction_tokens":0},"prompt_tokens":783,"prompt_tokens_details":{"audio_tokens":0,"cached_tokens":0},"total_tokens":873}}</t>
        </is>
      </c>
      <c r="P61" t="inlineStr">
        <is>
          <t>Gorillaz,Hoodies,kakobuy,kakebuy2026,kekobuysheet,kakobuysheet2026,2026kakobuy,kakobuyspreadsheeet,kakobuylink,kakebuylist,Kakobuy MEGA Spreadsheet,kakobuysheetfind,kakobuysheetfind2026,2026kakobuysheetfind,kakobuysheet2026</t>
        </is>
      </c>
      <c r="Q61" t="inlineStr">
        <is>
          <t>Red, Streetwear, Unisex, All Seasons</t>
        </is>
      </c>
      <c r="R61" t="inlineStr">
        <is>
          <t>recvh6xFVjHgpE</t>
        </is>
      </c>
      <c r="S61" t="inlineStr">
        <is>
          <t>red-cartoon-street-art-hoodie-recvh6xFVjHgpE</t>
        </is>
      </c>
      <c r="T61"/>
      <c r="U61"/>
      <c r="V61"/>
      <c r="W61" t="inlineStr">
        <is>
          <t>{"choices":[{"finish_reason":"stop","index":0,"logprobs":null,"message":{"annotations":[],"content":"红色连帽卫衣，柔软棉质面料舒适保暖，正面漫画人物图腾印花彰显街头艺术风格，宽松版型搭配可调节抽绳设计，前袋鼠兜实用便捷，男女皆宜，潮流休闲必备单品。","refusal":null,"role":"assistant"}}],"created":1776655625,"id":"chatcmpl-DWZZpAdEpUoMcjVW8BLIK7wW3102b","model":"gpt-5-chat-latest","object":"chat.completion","service_tier":"default","system_fingerprint":"fp_ad66631dec","usage":{"completion_tokens":73,"completion_tokens_details":{"accepted_prediction_tokens":0,"audio_tokens":0,"reasoning_tokens":0,"rejected_prediction_tokens":0},"prompt_tokens":1318,"prompt_tokens_details":{"audio_tokens":0,"cached_tokens":0},"total_tokens":1391}}</t>
        </is>
      </c>
      <c r="X61" t="inlineStr">
        <is>
          <t>红色连帽卫衣，柔软棉质面料舒适保暖，正面漫画人物图腾印花彰显街头艺术风格，宽松版型搭配可调节抽绳设计，前袋鼠兜实用便捷，男女皆宜，潮流休闲必备单品。</t>
        </is>
      </c>
    </row>
    <row r="62" ht="25.5" customHeight="1">
      <c r="A62">
        <v>1839115443</v>
      </c>
      <c r="B62">
        <v>7636018079</v>
      </c>
      <c r="C62" t="inlineStr">
        <is>
          <t>https://weidian.com/item.html?itemID=7636018079</t>
        </is>
      </c>
      <c r="D62"/>
      <c r="E62" s="2" t="str">
        <f>=HYPERLINK("https://si.geilicdn.com/open1839115443-252808396-54930000019b359100c50aa08245_1340_1785.jpg?w=640&amp;h=640", "https://si.geilicdn.com/open1839115443-252808396-54930000019b359100c50aa08245_1340_1785.jpg?w=640&amp;h=640")</f>
        <v>https://si.geilicdn.com/open1839115443-252808396-54930000019b359100c50aa08245_1340_1785.jpg?w=640&amp;h=640</v>
      </c>
      <c r="F62" t="inlineStr">
        <is>
          <t>Hoodies</t>
        </is>
      </c>
      <c r="G62" t="inlineStr">
        <is>
          <t>Other</t>
        </is>
      </c>
      <c r="H62" t="inlineStr">
        <is>
          <t>91.00</t>
        </is>
      </c>
      <c r="I62">
        <v>13.19</v>
      </c>
      <c r="J62" t="inlineStr">
        <is>
          <t>{"choices":[{"finish_reason":"stop","index":0,"logprobs":null,"message":{"annotations":[],"content":"HoodiesOther Deep Blue Anime Graphic Hoodie Unisex Casual Pullover","refusal":null,"role":"assistant"}}],"created":1776666815,"id":"chatcmpl-DWcUJUIMyMhQ3HC1eI3INzkWsXVlv","model":"gpt-5-chat-latest","object":"chat.completion","service_tier":"default","system_fingerprint":"fp_ad66631dec","usage":{"completion_tokens":15,"completion_tokens_details":{"accepted_prediction_tokens":0,"audio_tokens":0,"reasoning_tokens":0,"rejected_prediction_tokens":0},"prompt_tokens":880,"prompt_tokens_details":{"audio_tokens":0,"cached_tokens":0},"total_tokens":895}}</t>
        </is>
      </c>
      <c r="K62" t="inlineStr">
        <is>
          <t>HoodiesOther Deep Blue Anime Graphic Hoodie Unisex Casual Pullover</t>
        </is>
      </c>
      <c r="L62" t="inlineStr">
        <is>
          <t>{"id":"chatcmpl-DWaW07cPsPv5sZ2zSUw1BpliRuZ4z","object":"chat.completion","created":1776659232,"model":"gpt-5-chat-latest","choices":[{"index":0,"message":{"role":"assistant","content":"HoodiesOther Deep Blue Anime Graphic Hoodie, thick soft cotton fabric, bold comic design on chest, unisex relaxed fit, trendy streetwear style perfect for autumn and winter casual outfits.","refusal":null,"annotations":[]},"logprobs":null,"finish_reason":"stop"}],"usage":{"prompt_tokens":900,"completion_tokens":39,"total_tokens":939,"prompt_tokens_details":{"cached_tokens":0,"audio_tokens":0},"completion_tokens_details":{"reasoning_tokens":0,"audio_tokens":0,"accepted_prediction_tokens":0,"rejected_prediction_tokens":0}},"service_tier":"default","system_fingerprint":"fp_ad66631dec"}</t>
        </is>
      </c>
      <c r="M6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ma=2592000","apim-request-id":"07a3cdc2-914b-438c-905d-b3e96f713293","azureml-model-session":"d20260405234249-f9874baf","cache-control":"no-cache, no-store, must-revalidate","connection":"close","content-length":"992","content-security-policy":"frame-ancestors 'self'","content-type":"application/json","date":"Mon, 20 Apr 2026 04:27:14 GMT","server":"Caddy","skip-error-remapping":"true","strict-transport-security":"max-age=31536000; includeSubDomains; preload","via":"1.1 Caddy","x-api-request-id":"20260420122711958000949xLV7s1tq","x-content-type-options":"nosniff","x-frame-options":"SAMEORIGIN","x-ms-is-spilled-over":"false","x-ms-rai-invoked":"false","x-ms-region":"East US 2","x-new-api-version":"0.4.39","x-oneapi-request-id":"202604200427118852955058268d9d6r6osJKlJ","x-ratelimit-abusepenalty-active":"False","x-ratelimit-limit-requests":"4994","x-ratelimit-limit-tokens":"4994000","x-ratelimit-remaining-requests":"4993","x-ratelimit-remaining-tokens":"4992338","x-ratelimit-renewalperiod-requests":"60","x-ratelimit-renewalperiod-tokens":"60","x-ratelimit-reset-requests":"12","x-ratelimit-reset-tokens":"19","x-request-id":"c039f4bb-1b43-4c8b-b3ea-17d1f27fdb3b"}</t>
        </is>
      </c>
      <c r="N62" t="inlineStr">
        <is>
          <t>HoodiesOther Deep Blue Anime Graphic Hoodie, thick soft cotton fabric, bold comic design on chest, unisex relaxed fit, trendy streetwear style perfect for autumn and winter casual outfits.</t>
        </is>
      </c>
      <c r="O62" t="inlineStr">
        <is>
          <t>{"choices":[{"finish_reason":"stop","index":0,"logprobs":null,"message":{"annotations":[],"content":"One Piece, Hoodies, kakobuy, kakebuy2026, kekobuysheet, kakobuysheet2026, 2026kakobuy, kakobuyspreadsheeet, kakobuylink, kakebuylist, Kakobuy MEGA Spreadsheet, kakobuysheetfind, kakobuysheetfind2026, 2026kakobuysheetfind, kakobuysheet2026","refusal":null,"role":"assistant"}}],"created":1776668308,"id":"chatcmpl-DWcsOSqgN8Hs7dgZpFQ8YfIbbOtaH","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62" t="inlineStr">
        <is>
          <t>One Piece, Hoodies, kakobuy, kakebuy2026, kekobuysheet, kakobuysheet2026, 2026kakobuy, kakobuyspreadsheeet, kakobuylink, kakebuylist, Kakobuy MEGA Spreadsheet, kakobuysheetfind, kakobuysheetfind2026, 2026kakobuysheetfind, kakobuysheet2026</t>
        </is>
      </c>
      <c r="Q62" t="inlineStr">
        <is>
          <t>Anime Style, Streetwear, Autumn And Winter, Unisex</t>
        </is>
      </c>
      <c r="R62" t="inlineStr">
        <is>
          <t>recvh6xFVjDmFh</t>
        </is>
      </c>
      <c r="S62" t="inlineStr">
        <is>
          <t>deep-blue-anime-graphic-hoodie-recvh6xfvjdmfh</t>
        </is>
      </c>
      <c r="T62"/>
      <c r="U62"/>
      <c r="V62"/>
      <c r="W62" t="inlineStr">
        <is>
          <t>{"id":"chatcmpl-DWZQy4PUYCbWCzTj14hJNwGqCtxmG","object":"chat.completion","created":1776655076,"model":"gpt-5-chat-latest","choices":[{"index":0,"message":{"role":"assistant","content":"深蓝色动漫印花连帽卫衣，柔软加厚棉质材质，胸前个性漫画图腾设计，休闲宽松版型，男女皆宜，街头潮流风格，适合秋冬日常穿搭，彰显趣味与个性。","refusal":null,"annotations":[]},"logprobs":null,"finish_reason":"stop"}],"usage":{"prompt_tokens":1310,"completion_tokens":66,"total_tokens":1376,"prompt_tokens_details":{"cached_tokens":0,"audio_tokens":0},"completion_tokens_details":{"reasoning_tokens":0,"audio_tokens":0,"accepted_prediction_tokens":0,"rejected_prediction_tokens":0}},"service_tier":"default","system_fingerprint":"fp_ad66631dec"}</t>
        </is>
      </c>
      <c r="X62" t="inlineStr">
        <is>
          <t>深蓝色动漫印花连帽卫衣，柔软加厚棉质材质，胸前个性漫画图腾设计，休闲宽松版型，男女皆宜，街头潮流风格，适合秋冬日常穿搭，彰显趣味与个性。</t>
        </is>
      </c>
    </row>
    <row r="63" ht="25.5" customHeight="1">
      <c r="A63">
        <v>1839115443</v>
      </c>
      <c r="B63">
        <v>7635965981</v>
      </c>
      <c r="C63" t="inlineStr">
        <is>
          <t>https://weidian.com/item.html?itemID=7635965981</t>
        </is>
      </c>
      <c r="D63"/>
      <c r="E63" s="2" t="str">
        <f>=HYPERLINK("https://si.geilicdn.com/open1839115443-252808396-54330000019b3590dd970aa08245_1340_1785.jpg?w=640&amp;h=640", "https://si.geilicdn.com/open1839115443-252808396-54330000019b3590dd970aa08245_1340_1785.jpg?w=640&amp;h=640")</f>
        <v>https://si.geilicdn.com/open1839115443-252808396-54330000019b3590dd970aa08245_1340_1785.jpg?w=640&amp;h=640</v>
      </c>
      <c r="F63" t="inlineStr">
        <is>
          <t>Hoodies</t>
        </is>
      </c>
      <c r="G63" t="inlineStr">
        <is>
          <t>Other</t>
        </is>
      </c>
      <c r="H63" t="inlineStr">
        <is>
          <t>91.00</t>
        </is>
      </c>
      <c r="I63">
        <v>13.19</v>
      </c>
      <c r="J63" t="inlineStr">
        <is>
          <t>{"choices":[{"finish_reason":"stop","index":0,"logprobs":null,"message":{"annotations":[],"content":"NIXON Navy Blue Unisex Cotton Logo Hoodie","refusal":null,"role":"assistant"}}],"created":1776666164,"id":"chatcmpl-DWcJoFmpjts1sUMkzBFF4aShCNcfu","model":"gpt-5-chat-latest","object":"chat.completion","service_tier":"default","system_fingerprint":"fp_ad66631dec","usage":{"completion_tokens":11,"completion_tokens_details":{"accepted_prediction_tokens":0,"audio_tokens":0,"reasoning_tokens":0,"rejected_prediction_tokens":0},"prompt_tokens":882,"prompt_tokens_details":{"audio_tokens":0,"cached_tokens":0},"total_tokens":893}}</t>
        </is>
      </c>
      <c r="K63" t="inlineStr">
        <is>
          <t>NIXON Navy Blue Unisex Cotton Logo Hoodie</t>
        </is>
      </c>
      <c r="L63" t="inlineStr">
        <is>
          <t>{"choices":[{"finish_reason":"stop","index":0,"logprobs":null,"message":{"annotations":[],"content":"NIXON Navy Blue Hoodie made from soft cotton blend fabric with bold white logo print. Features relaxed fit, drawstring hood, and kangaroo pocket. Unisex street style for daily wear.","refusal":null,"role":"assistant"}}],"created":1776658278,"id":"chatcmpl-DWaGc0FwPibcN5x5mqp4W6OiCteAc","model":"gpt-5-chat-latest","object":"chat.completion","service_tier":"default","system_fingerprint":"fp_ad66631dec","usage":{"completion_tokens":40,"completion_tokens_details":{"accepted_prediction_tokens":0,"audio_tokens":0,"reasoning_tokens":0,"rejected_prediction_tokens":0},"prompt_tokens":935,"prompt_tokens_details":{"audio_tokens":0,"cached_tokens":0},"total_tokens":975}}</t>
        </is>
      </c>
      <c r="M63" t="inlineStr">
        <is>
          <t>{"alt-svc":"h3=\":443\"; ma=2592000","apim-request-id":"4cf33559-09c7-4df0-8778-ddaf07ec1bf0","azureml-model-session":"d20260402074105-51db401e","cache-control":"no-cache","connection":"close","content-length":"769","content-security-policy":"frame-ancestors 'self'","content-type":"application/json","date":"Mon, 20 Apr 2026 04:11:20 GMT","server":"Caddy","skip-error-remapping":"true","strict-transport-security":"max-age=31536000; includeSubDomains; preload","via":"1.1 Caddy","x-api-request-id":"20260420121117390127839CA5CTcM5","x-content-type-options":"nosniff","x-frame-options":"SAMEORIGIN","x-ms-client-request-id":"Not-Set","x-ms-is-spilled-over":"false","x-ms-rai-invoked":"true","x-ms-region":"East US 2","x-new-api-version":"0.4.39","x-oneapi-request-id":"202604200411173003901208268d9d6BYEI57Pm","x-ratelimit-abusepenalty-active":"False","x-ratelimit-limit-requests":"3850","x-ratelimit-limit-tokens":"3850000","x-ratelimit-remaining-requests":"3849","x-ratelimit-remaining-tokens":"3848303","x-ratelimit-renewalperiod-requests":"60","x-ratelimit-renewalperiod-tokens":"60","x-ratelimit-reset-requests":"15","x-ratelimit-reset-tokens":"26","x-request-id":"92bb198f-cb1f-4c5b-95b8-89d771afb10c"}</t>
        </is>
      </c>
      <c r="N63" t="inlineStr">
        <is>
          <t>NIXON Navy Blue Hoodie made from soft cotton blend fabric with bold white logo print. Features relaxed fit, drawstring hood, and kangaroo pocket. Unisex street style for daily wear.</t>
        </is>
      </c>
      <c r="O63" t="inlineStr">
        <is>
          <t>{"choices":[{"finish_reason":"stop","index":0,"logprobs":null,"message":{"annotations":[],"content":"Nixon,Hoodies,kakobuy,kakebuy2026,kekobuysheet,kakobuysheet2026,2026kakobuy,kakobuyspreadsheeet,kakobuylink,kakebuylist,Kakobuy MEGA Spreadsheet,kakobuysheetfind,kakobuysheetfind2026,2026kakobuysheetfind,kakobuysheet2026","refusal":null,"role":"assistant"}}],"created":1776668150,"id":"chatcmpl-DWcpquZRZ45A3uQKrWAaxcSu2igs2","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63" t="inlineStr">
        <is>
          <t>Nixon,Hoodies,kakobuy,kakebuy2026,kekobuysheet,kakobuysheet2026,2026kakobuy,kakobuyspreadsheeet,kakobuylink,kakebuylist,Kakobuy MEGA Spreadsheet,kakobuysheetfind,kakobuysheetfind2026,2026kakobuysheetfind,kakobuysheet2026</t>
        </is>
      </c>
      <c r="Q63" t="inlineStr">
        <is>
          <t>Navy, Streetwear, Unisex</t>
        </is>
      </c>
      <c r="R63" t="inlineStr">
        <is>
          <t>recvh6xFVj7riJ</t>
        </is>
      </c>
      <c r="S63" t="inlineStr">
        <is>
          <t>nixon-navy-blue-cotton-logo-hoodie-recvh6xfvj7rij</t>
        </is>
      </c>
      <c r="T63"/>
      <c r="U63"/>
      <c r="V63"/>
      <c r="W63" t="inlineStr">
        <is>
          <t>{"choices":[{"finish_reason":"stop","index":0,"logprobs":null,"message":{"annotations":[],"content":"NIXON：海军蓝连帽卫衣，柔软棉质混纺面料打造，胸前白色品牌标识印花醒目吸睛。宽松版型设计搭配抽绳帽兜与袋鼠口袋，兼具舒适与实用性。简约街头风格，男女皆宜，彰显休闲时尚态度，适合日常通勤与休闲出行穿搭。","refusal":null,"role":"assistant"}}],"created":1776655110,"id":"chatcmpl-DWZRWXWMwlUypTiyrvAwZnhiFID1E","model":"gpt-5-chat-latest","object":"chat.completion","service_tier":"default","system_fingerprint":"fp_ad66631dec","usage":{"completion_tokens":101,"completion_tokens_details":{"accepted_prediction_tokens":0,"audio_tokens":0,"reasoning_tokens":0,"rejected_prediction_tokens":0},"prompt_tokens":1310,"prompt_tokens_details":{"audio_tokens":0,"cached_tokens":0},"total_tokens":1411}}</t>
        </is>
      </c>
      <c r="X63" t="inlineStr">
        <is>
          <t>NIXON：海军蓝连帽卫衣，柔软棉质混纺面料打造，胸前白色品牌标识印花醒目吸睛。宽松版型设计搭配抽绳帽兜与袋鼠口袋，兼具舒适与实用性。简约街头风格，男女皆宜，彰显休闲时尚态度，适合日常通勤与休闲出行穿搭。</t>
        </is>
      </c>
    </row>
    <row r="64" ht="25.5" customHeight="1">
      <c r="A64">
        <v>1839115443</v>
      </c>
      <c r="B64">
        <v>7635994301</v>
      </c>
      <c r="C64" t="inlineStr">
        <is>
          <t>https://weidian.com/item.html?itemID=7635994301</t>
        </is>
      </c>
      <c r="D64"/>
      <c r="E64" s="2" t="str">
        <f>=HYPERLINK("https://si.geilicdn.com/open1839115443-252808396-1f1f0000019b3590d8a60a23b491_1340_1785.jpg?w=640&amp;h=640", "https://si.geilicdn.com/open1839115443-252808396-1f1f0000019b3590d8a60a23b491_1340_1785.jpg?w=640&amp;h=640")</f>
        <v>https://si.geilicdn.com/open1839115443-252808396-1f1f0000019b3590d8a60a23b491_1340_1785.jpg?w=640&amp;h=640</v>
      </c>
      <c r="F64" t="inlineStr">
        <is>
          <t>Hoodies</t>
        </is>
      </c>
      <c r="G64" t="inlineStr">
        <is>
          <t>Other</t>
        </is>
      </c>
      <c r="H64" t="inlineStr">
        <is>
          <t>91.00</t>
        </is>
      </c>
      <c r="I64">
        <v>13.19</v>
      </c>
      <c r="J64" t="inlineStr">
        <is>
          <t>{"choices":[{"finish_reason":"stop","index":0,"logprobs":null,"message":{"annotations":[],"content":"RH HoodiesOther Deep Blue Unisex Cotton Hoodie","refusal":null,"role":"assistant"}}],"created":1776665816,"id":"chatcmpl-DWcECWuPaXjM7kBWIslktjK75NXkb","model":"gpt-5-chat-latest","object":"chat.completion","service_tier":"default","system_fingerprint":"fp_ad66631dec","usage":{"completion_tokens":11,"completion_tokens_details":{"accepted_prediction_tokens":0,"audio_tokens":0,"reasoning_tokens":0,"rejected_prediction_tokens":0},"prompt_tokens":884,"prompt_tokens_details":{"audio_tokens":0,"cached_tokens":0},"total_tokens":895}}</t>
        </is>
      </c>
      <c r="K64" t="inlineStr">
        <is>
          <t>RH HoodiesOther Deep Blue Unisex Cotton Hoodie</t>
        </is>
      </c>
      <c r="L64" t="inlineStr">
        <is>
          <t>{"id":"chatcmpl-DWaQ51pi1WUmDOTMBUtY2ZwBmJ25i","object":"chat.completion","created":1776658865,"model":"gpt-5-chat-latest","choices":[{"index":0,"message":{"role":"assistant","content":"RH HoodiesOther deep blue cotton hoodie, soft and comfy with white “RH” print, drawstring hood and kangaroo pocket, unisex loose fit for daily street style and urban casual fashion.","refusal":null,"annotations":[]},"logprobs":null,"finish_reason":"stop"}],"usage":{"prompt_tokens":918,"completion_tokens":41,"total_tokens":959,"prompt_tokens_details":{"cached_tokens":0,"audio_tokens":0},"completion_tokens_details":{"reasoning_tokens":0,"audio_tokens":0,"accepted_prediction_tokens":0,"rejected_prediction_tokens":0}},"service_tier":"default","system_fingerprint":"fp_ad66631dec"}</t>
        </is>
      </c>
      <c r="M6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ma=2592000","apim-request-id":"c23e26a3-41ba-414c-a9ff-910c71856307","azureml-model-session":"d20260402075109-1fc5a0ec","cache-control":"no-cache, no-store, must-revalidate","connection":"close","content-length":"989","content-security-policy":"frame-ancestors 'self'","content-type":"application/json","date":"Mon, 20 Apr 2026 04:21:07 GMT","server":"Caddy","skip-error-remapping":"true","strict-transport-security":"max-age=31536000; includeSubDomains; preload","via":"1.1 Caddy","x-api-request-id":"20260420122104609149936AREqUd3c","x-content-type-options":"nosniff","x-frame-options":"SAMEORIGIN","x-ms-is-spilled-over":"false","x-ms-rai-invoked":"false","x-ms-region":"East US 2","x-new-api-version":"0.4.39","x-oneapi-request-id":"202604200421044760635118268d9d6erF3aXmC","x-ratelimit-abusepenalty-active":"False","x-ratelimit-limit-requests":"4994","x-ratelimit-limit-tokens":"4994000","x-ratelimit-remaining-requests":"4993","x-ratelimit-remaining-tokens":"4992320","x-ratelimit-renewalperiod-requests":"60","x-ratelimit-renewalperiod-tokens":"60","x-ratelimit-reset-requests":"12","x-ratelimit-reset-tokens":"20","x-request-id":"c947c2a6-cbf7-49e7-88b7-4a7fbfb2ffa6"}</t>
        </is>
      </c>
      <c r="N64" t="inlineStr">
        <is>
          <t>RH HoodiesOther deep blue cotton hoodie, soft and comfy with white “RH” print, drawstring hood and kangaroo pocket, unisex loose fit for daily street style and urban casual fashion.</t>
        </is>
      </c>
      <c r="O64" t="inlineStr">
        <is>
          <t>{"choices":[{"finish_reason":"stop","index":0,"logprobs":null,"message":{"annotations":[],"content":"RH,Hoodies,kakobuy,kakebuy2026,kekobuysheet,kakobuysheet2026,2026kakobuy,kakobuyspreadsheeet,kakobuylink,kakebuylist,Kakobuy MEGA Spreadsheet,kakobuysheetfind,kakobuysheetfind2026,2026kakobuysheetfind,kakobuysheet2026","refusal":null,"role":"assistant"}}],"created":1776667785,"id":"chatcmpl-DWcjxFer2LNXfHy32q0mDsxr5yUqB","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64" t="inlineStr">
        <is>
          <t>RH,Hoodies,kakobuy,kakebuy2026,kekobuysheet,kakobuysheet2026,2026kakobuy,kakobuyspreadsheeet,kakobuylink,kakebuylist,Kakobuy MEGA Spreadsheet,kakobuysheetfind,kakobuysheetfind2026,2026kakobuysheetfind,kakobuysheet2026</t>
        </is>
      </c>
      <c r="Q64" t="inlineStr">
        <is>
          <t>Blue, Street, Unisex</t>
        </is>
      </c>
      <c r="R64" t="inlineStr">
        <is>
          <t>recvh6xFVjYH3g</t>
        </is>
      </c>
      <c r="S64" t="inlineStr">
        <is>
          <t>rh-hoodiesother-deep-blue-unisex-cotton-hoodie-recvh6xFVjYH3g</t>
        </is>
      </c>
      <c r="T64"/>
      <c r="U64"/>
      <c r="V64"/>
      <c r="W64" t="inlineStr">
        <is>
          <t>{"id":"chatcmpl-DWZWjHzpOcQkx3zVucI0OkVtZ5msG","object":"chat.completion","created":1776655433,"model":"gpt-5-chat-latest","choices":[{"index":0,"message":{"role":"assistant","content":"深蓝色休闲连帽卫衣，柔软棉质面料打造，胸前白色“RH”字母印花点缀简约潮感，宽松版型配抽绳帽和袋鼠兜设计，男女通用，街头休闲风格，百搭舒适，彰显年轻都市个性。","refusal":null,"annotations":[]},"logprobs":null,"finish_reason":"stop"}],"usage":{"prompt_tokens":1322,"completion_tokens":78,"total_tokens":1400,"prompt_tokens_details":{"cached_tokens":0,"audio_tokens":0},"completion_tokens_details":{"reasoning_tokens":0,"audio_tokens":0,"accepted_prediction_tokens":0,"rejected_prediction_tokens":0}},"service_tier":"default","system_fingerprint":"fp_ad66631dec"}</t>
        </is>
      </c>
      <c r="X64" t="inlineStr">
        <is>
          <t>深蓝色休闲连帽卫衣，柔软棉质面料打造，胸前白色“RH”字母印花点缀简约潮感，宽松版型配抽绳帽和袋鼠兜设计，男女通用，街头休闲风格，百搭舒适，彰显年轻都市个性。</t>
        </is>
      </c>
    </row>
    <row r="65" ht="25.5" customHeight="1">
      <c r="A65">
        <v>1839115443</v>
      </c>
      <c r="B65">
        <v>7639063608</v>
      </c>
      <c r="C65" t="inlineStr">
        <is>
          <t>https://weidian.com/item.html?itemID=7639063608</t>
        </is>
      </c>
      <c r="D65"/>
      <c r="E65" s="2" t="str">
        <f>=HYPERLINK("https://si.geilicdn.com/open1839115443-252808396-25610000019b3590faba0a231226_1785_1785.jpg?w=640&amp;h=640", "https://si.geilicdn.com/open1839115443-252808396-25610000019b3590faba0a231226_1785_1785.jpg?w=640&amp;h=640")</f>
        <v>https://si.geilicdn.com/open1839115443-252808396-25610000019b3590faba0a231226_1785_1785.jpg?w=640&amp;h=640</v>
      </c>
      <c r="F65" t="inlineStr">
        <is>
          <t>T-Shirts</t>
        </is>
      </c>
      <c r="G65" t="inlineStr">
        <is>
          <t>Jack Jones</t>
        </is>
      </c>
      <c r="H65" t="inlineStr">
        <is>
          <t>63.00</t>
        </is>
      </c>
      <c r="I65">
        <v>9.13</v>
      </c>
      <c r="J65" t="inlineStr">
        <is>
          <t>{"choices":[{"finish_reason":"stop","index":0,"logprobs":null,"message":{"annotations":[],"content":"Jack &amp; Jones Black Vintage Logo Cotton T-Shirt","refusal":null,"role":"assistant"}}],"created":1776666798,"id":"chatcmpl-DWcU27NqKkWu3JfqgdLfIDoMm0rzl","model":"gpt-5-chat-latest","object":"chat.completion","service_tier":"default","system_fingerprint":"fp_ad66631dec","usage":{"completion_tokens":10,"completion_tokens_details":{"accepted_prediction_tokens":0,"audio_tokens":0,"reasoning_tokens":0,"rejected_prediction_tokens":0},"prompt_tokens":878,"prompt_tokens_details":{"audio_tokens":0,"cached_tokens":0},"total_tokens":888}}</t>
        </is>
      </c>
      <c r="K65" t="inlineStr">
        <is>
          <t>Jack &amp; Jones Black Vintage Logo Cotton T-Shirt</t>
        </is>
      </c>
      <c r="L65" t="inlineStr">
        <is>
          <t>{"choices":[{"finish_reason":"stop","index":0,"logprobs":null,"message":{"annotations":[],"content":"Jack &amp; Jones black vintage print short-sleeve T-shirt in soft pure cotton with red and white logo detail, unisex streetwear style, comfortable and versatile for everyday casual outfits.","refusal":null,"role":"assistant"}}],"created":1776658787,"id":"chatcmpl-DWaOpzA0QtkwCtR63CvlW05OkH4wY","model":"gpt-5-chat-latest","object":"chat.completion","service_tier":"default","system_fingerprint":"fp_ad66631dec","usage":{"completion_tokens":38,"completion_tokens_details":{"accepted_prediction_tokens":0,"audio_tokens":0,"reasoning_tokens":0,"rejected_prediction_tokens":0},"prompt_tokens":896,"prompt_tokens_details":{"audio_tokens":0,"cached_tokens":0},"total_tokens":934}}</t>
        </is>
      </c>
      <c r="M65" t="inlineStr">
        <is>
          <t>{"alt-svc":"h3=\":443\"; ma=2592000","apim-request-id":"f23aeb7e-0cdf-4bd3-ab73-029fff934b3f","azureml-model-session":"d20260405234249-f9874baf","cache-control":"no-cache","connection":"close","content-length":"778","content-security-policy":"frame-ancestors 'self'","content-type":"application/json","date":"Mon, 20 Apr 2026 04:19:48 GMT","server":"nginx","skip-error-remapping":"true","strict-transport-security":"max-age=31536000; includeSubDomains; preload","via":"1.1 Caddy, 1.1 Caddy","x-api-request-id":"20260420121946993329161U2BvYUWt","x-content-type-options":"nosniff","x-frame-options":"SAMEORIGIN","x-ms-client-request-id":"Not-Set","x-ms-is-spilled-over":"false","x-ms-rai-invoked":"true","x-ms-region":"East US 2","x-new-api-version":"0.4.39","x-oneapi-request-id":"202604200419469282165388268d9d6pP7fYXqn","x-ratelimit-abusepenalty-active":"False","x-ratelimit-limit-requests":"3850","x-ratelimit-limit-tokens":"3850000","x-ratelimit-remaining-requests":"3849","x-ratelimit-remaining-tokens":"3848342","x-ratelimit-renewalperiod-requests":"60","x-ratelimit-renewalperiod-tokens":"60","x-ratelimit-reset-requests":"15","x-ratelimit-reset-tokens":"25","x-request-id":"2c260ebe-e30d-4d9b-a1d2-e3a923632709"}</t>
        </is>
      </c>
      <c r="N65" t="inlineStr">
        <is>
          <t>Jack &amp; Jones black vintage print short-sleeve T-shirt in soft pure cotton with red and white logo detail, unisex streetwear style, comfortable and versatile for everyday casual outfits.</t>
        </is>
      </c>
      <c r="O65" t="inlineStr">
        <is>
          <t>{"choices":[{"finish_reason":"stop","index":0,"logprobs":null,"message":{"annotations":[],"content":"Jack Jones,T-Shirts,kakobuy,kakebuy2026,kekobuysheet,kakobuysheet2026,2026kakobuy,kakobuyspreadsheeet,kakobuylink,kakebuylist,Kakobuy MEGA Spreadsheet,kakobuysheetfind,kakobuysheetfind2026,2026kakobuysheetfind,kakobuysheet2026","refusal":null,"role":"assistant"}}],"created":1776667786,"id":"chatcmpl-DWcjyK9pL39XV8gHfgYmHxlfEyz6Q","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65" t="inlineStr">
        <is>
          <t>Jack Jones,T-Shirts,kakobuy,kakebuy2026,kekobuysheet,kakobuysheet2026,2026kakobuy,kakobuyspreadsheeet,kakobuylink,kakebuylist,Kakobuy MEGA Spreadsheet,kakobuysheetfind,kakobuysheetfind2026,2026kakobuysheetfind,kakobuysheet2026</t>
        </is>
      </c>
      <c r="Q65" t="inlineStr">
        <is>
          <t>Black, Vintage, Streetwear, Unisex</t>
        </is>
      </c>
      <c r="R65" t="inlineStr">
        <is>
          <t>recvh6xFVjKm62</t>
        </is>
      </c>
      <c r="S65" t="inlineStr">
        <is>
          <t>jack-jones-black-vintage-logo-cotton-t-shirt-recvh6xfvjkm62</t>
        </is>
      </c>
      <c r="T65"/>
      <c r="U65"/>
      <c r="V65"/>
      <c r="W65" t="inlineStr">
        <is>
          <t>{"choices":[{"finish_reason":"stop","index":0,"logprobs":null,"message":{"annotations":[],"content":"Jack Jones：黑色复古印花短袖T恤，选用柔滑纯棉面料，胸前红白品牌字母徽标设计，展现美式街头休闲风格，男女皆宜，日常穿搭百搭舒适。","refusal":null,"role":"assistant"}}],"created":1776655238,"id":"chatcmpl-DWZTayahlfuWpsvwElzr5UpZWcXXa","model":"gpt-5-chat-latest","object":"chat.completion","service_tier":"default","system_fingerprint":"fp_ad66631dec","usage":{"completion_tokens":61,"completion_tokens_details":{"accepted_prediction_tokens":0,"audio_tokens":0,"reasoning_tokens":0,"rejected_prediction_tokens":0},"prompt_tokens":1314,"prompt_tokens_details":{"audio_tokens":0,"cached_tokens":1280},"total_tokens":1375}}</t>
        </is>
      </c>
      <c r="X65" t="inlineStr">
        <is>
          <t>Jack Jones：黑色复古印花短袖T恤，选用柔滑纯棉面料，胸前红白品牌字母徽标设计，展现美式街头休闲风格，男女皆宜，日常穿搭百搭舒适。</t>
        </is>
      </c>
    </row>
    <row r="66" ht="25.5" customHeight="1">
      <c r="A66">
        <v>1839115443</v>
      </c>
      <c r="B66">
        <v>7636007965</v>
      </c>
      <c r="C66" t="inlineStr">
        <is>
          <t>https://weidian.com/item.html?itemID=7636007965</t>
        </is>
      </c>
      <c r="D66"/>
      <c r="E66" s="2" t="str">
        <f>=HYPERLINK("https://si.geilicdn.com/open1839115443-252808396-230e0000019b359098040a23b4de_1340_1785.jpg?w=640&amp;h=640", "https://si.geilicdn.com/open1839115443-252808396-230e0000019b359098040a23b4de_1340_1785.jpg?w=640&amp;h=640")</f>
        <v>https://si.geilicdn.com/open1839115443-252808396-230e0000019b359098040a23b4de_1340_1785.jpg?w=640&amp;h=640</v>
      </c>
      <c r="F66" t="inlineStr">
        <is>
          <t>Pants</t>
        </is>
      </c>
      <c r="G66" t="inlineStr">
        <is>
          <t>Other</t>
        </is>
      </c>
      <c r="H66" t="inlineStr">
        <is>
          <t>143.00</t>
        </is>
      </c>
      <c r="I66">
        <v>20.72</v>
      </c>
      <c r="J66" t="inlineStr">
        <is>
          <t>{"choices":[{"finish_reason":"stop","index":0,"logprobs":null,"message":{"annotations":[],"content":"PantsOther Light Gray Unisex Cotton Jogger Pants","refusal":null,"role":"assistant"}}],"created":1776665751,"id":"chatcmpl-DWcD9SKCu9fMMcY0r5Y9i2aJXeHfo","model":"gpt-5-chat-latest","object":"chat.completion","service_tier":"default","system_fingerprint":"fp_ad66631dec","usage":{"completion_tokens":12,"completion_tokens_details":{"accepted_prediction_tokens":0,"audio_tokens":0,"reasoning_tokens":0,"rejected_prediction_tokens":0},"prompt_tokens":881,"prompt_tokens_details":{"audio_tokens":0,"cached_tokens":0},"total_tokens":893}}</t>
        </is>
      </c>
      <c r="K66" t="inlineStr">
        <is>
          <t>PantsOther Light Gray Unisex Cotton Jogger Pants</t>
        </is>
      </c>
      <c r="L66" t="inlineStr">
        <is>
          <t>{"id":"chatcmpl-DWab475zTh03zO2g5LD165tte1D5V","object":"chat.completion","created":1776659546,"model":"gpt-5-chat-latest","choices":[{"index":0,"message":{"role":"assistant","content":"PantsOther Casual Series Light Gray Jogger Pants, soft cotton-blend fabric, skin-friendly and breathable. Elastic drawstring waist, straight fit, unisex style for daily commute and leisure.","refusal":null,"annotations":[]},"logprobs":null,"finish_reason":"stop"}],"usage":{"prompt_tokens":912,"completion_tokens":40,"total_tokens":952,"prompt_tokens_details":{"cached_tokens":0,"audio_tokens":0},"completion_tokens_details":{"reasoning_tokens":0,"audio_tokens":0,"accepted_prediction_tokens":0,"rejected_prediction_tokens":0}},"service_tier":"default","system_fingerprint":"fp_ad66631dec"}</t>
        </is>
      </c>
      <c r="M6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ma=2592000","apim-request-id":"42fdc43d-419b-49af-b93b-9c521578ed7e","azureml-model-session":"d20260405234249-f9874baf","cache-control":"no-cache, no-store, must-revalidate","connection":"close","content-length":"993","content-security-policy":"frame-ancestors 'self'","content-type":"application/json","date":"Mon, 20 Apr 2026 04:32:28 GMT","server":"Caddy","skip-error-remapping":"true","strict-transport-security":"max-age=31536000; includeSubDomains; preload","via":"1.1 Caddy","x-api-request-id":"20260420123225675114015rpTmNxmz","x-content-type-options":"nosniff","x-frame-options":"SAMEORIGIN","x-ms-is-spilled-over":"false","x-ms-rai-invoked":"false","x-ms-region":"East US 2","x-new-api-version":"0.4.39","x-oneapi-request-id":"202604200432256080875288268d9d6AdUOWHe4","x-ratelimit-abusepenalty-active":"False","x-ratelimit-limit-requests":"4994","x-ratelimit-limit-tokens":"4994000","x-ratelimit-remaining-requests":"4993","x-ratelimit-remaining-tokens":"4992326","x-ratelimit-renewalperiod-requests":"60","x-ratelimit-renewalperiod-tokens":"60","x-ratelimit-reset-requests":"12","x-ratelimit-reset-tokens":"20","x-request-id":"cab0473c-5acf-4fca-b5c6-87f2e24f0ae0"}</t>
        </is>
      </c>
      <c r="N66" t="inlineStr">
        <is>
          <t>PantsOther Casual Series Light Gray Jogger Pants, soft cotton-blend fabric, skin-friendly and breathable. Elastic drawstring waist, straight fit, unisex style for daily commute and leisure.</t>
        </is>
      </c>
      <c r="O66" t="inlineStr">
        <is>
          <t>{"choices":[{"finish_reason":"stop","index":0,"logprobs":null,"message":{"annotations":[],"content":"PantsOther,kakobuy,kakebuy2026,kekobuysheet,kakobuysheet2026,2026kakobuy,kakobuyspreadsheeet,kakobuylink,kakebuylist,Kakobuy MEGA Spreadsheet,kakobuysheetfind,kakobuysheetfind2026,2026kakobuysheetfind,kakobuysheet2026","refusal":null,"role":"assistant"}}],"created":1776667291,"id":"chatcmpl-DWcbzazW51N5Kk1XCRUEpe2a4pZpk","model":"gpt-5-chat-latest","object":"chat.completion","service_tier":"default","system_fingerprint":"fp_ad66631dec","usage":{"completion_tokens":86,"completion_tokens_details":{"accepted_prediction_tokens":0,"audio_tokens":0,"reasoning_tokens":0,"rejected_prediction_tokens":0},"prompt_tokens":782,"prompt_tokens_details":{"audio_tokens":0,"cached_tokens":0},"total_tokens":868}}</t>
        </is>
      </c>
      <c r="P66" t="inlineStr">
        <is>
          <t>PantsOther,kakobuy,kakebuy2026,kekobuysheet,kakobuysheet2026,2026kakobuy,kakobuyspreadsheeet,kakobuylink,kakebuylist,Kakobuy MEGA Spreadsheet,kakobuysheetfind,kakobuysheetfind2026,2026kakobuysheetfind,kakobuysheet2026</t>
        </is>
      </c>
      <c r="Q66" t="inlineStr">
        <is>
          <t>Joggers, Gray, Unisex, Breathable</t>
        </is>
      </c>
      <c r="R66" t="inlineStr">
        <is>
          <t>recvh6xFVjzfK7</t>
        </is>
      </c>
      <c r="S66" t="inlineStr">
        <is>
          <t>other-light-gray-Unisex-cotton-jogger-recvh6xFVjzfK7</t>
        </is>
      </c>
      <c r="T66"/>
      <c r="U66"/>
      <c r="V66"/>
      <c r="W66" t="inlineStr">
        <is>
          <t>{"choices":[{"finish_reason":"stop","index":0,"logprobs":null,"message":{"annotations":[],"content":"休闲系列浅灰色束脚运动裤，柔软棉质混纺面料，亲肤透气。松紧抽绳腰设计搭配简约直筒版型，男女通用款。极简都市风格，适合日常通勤与休闲穿搭，彰显舒适随性品味。","refusal":null,"role":"assistant"}}],"created":1776655322,"id":"chatcmpl-DWZUwraqsS6KbrbFY3bfeN2UltnBT","model":"gpt-5-chat-latest","object":"chat.completion","service_tier":"default","system_fingerprint":"fp_ad66631dec","usage":{"completion_tokens":77,"completion_tokens_details":{"accepted_prediction_tokens":0,"audio_tokens":0,"reasoning_tokens":0,"rejected_prediction_tokens":0},"prompt_tokens":1313,"prompt_tokens_details":{"audio_tokens":0,"cached_tokens":0},"total_tokens":1390}}</t>
        </is>
      </c>
      <c r="X66" t="inlineStr">
        <is>
          <t>休闲系列浅灰色束脚运动裤，柔软棉质混纺面料，亲肤透气。松紧抽绳腰设计搭配简约直筒版型，男女通用款。极简都市风格，适合日常通勤与休闲穿搭，彰显舒适随性品味。</t>
        </is>
      </c>
    </row>
    <row r="67" ht="25.5" customHeight="1">
      <c r="A67">
        <v>1839115443</v>
      </c>
      <c r="B67">
        <v>7636065787</v>
      </c>
      <c r="C67" t="inlineStr">
        <is>
          <t>https://weidian.com/item.html?itemID=7636065787</t>
        </is>
      </c>
      <c r="D67"/>
      <c r="E67" s="2" t="str">
        <f>=HYPERLINK("https://si.geilicdn.com/open1839115443-252808396-3af00000019b3590fb780aa086a7_1340_1785.jpg?w=640&amp;h=640", "https://si.geilicdn.com/open1839115443-252808396-3af00000019b3590fb780aa086a7_1340_1785.jpg?w=640&amp;h=640")</f>
        <v>https://si.geilicdn.com/open1839115443-252808396-3af00000019b3590fb780aa086a7_1340_1785.jpg?w=640&amp;h=640</v>
      </c>
      <c r="F67" t="inlineStr">
        <is>
          <t>Hoodies</t>
        </is>
      </c>
      <c r="G67" t="inlineStr">
        <is>
          <t>Other</t>
        </is>
      </c>
      <c r="H67" t="inlineStr">
        <is>
          <t>91.00</t>
        </is>
      </c>
      <c r="I67">
        <v>13.19</v>
      </c>
      <c r="J67" t="inlineStr">
        <is>
          <t>{"choices":[{"finish_reason":"stop","index":0,"logprobs":null,"message":{"annotations":[],"content":"HoodiesOther New York USA Gray Unisex Street Hoodie","refusal":null,"role":"assistant"}}],"created":1776666588,"id":"chatcmpl-DWcQeQl1jM8lMi4o0PDHM4GOF0mVc","model":"gpt-5-chat-latest","object":"chat.completion","service_tier":"default","system_fingerprint":"fp_ad66631dec","usage":{"completion_tokens":13,"completion_tokens_details":{"accepted_prediction_tokens":0,"audio_tokens":0,"reasoning_tokens":0,"rejected_prediction_tokens":0},"prompt_tokens":880,"prompt_tokens_details":{"audio_tokens":0,"cached_tokens":0},"total_tokens":893}}</t>
        </is>
      </c>
      <c r="K67" t="inlineStr">
        <is>
          <t>HoodiesOther New York USA Gray Unisex Street Hoodie</t>
        </is>
      </c>
      <c r="L67" t="inlineStr">
        <is>
          <t>{"choices":[{"finish_reason":"stop","index":0,"logprobs":null,"message":{"annotations":[],"content":"HoodiesOther New York USA Series Gray Hoodie – Soft cotton fabric for comfort and warmth, featuring classic street-style lettering. Unisex loose fit, perfect for daily casual wear and travel.","refusal":null,"role":"assistant"}}],"created":1776658887,"id":"chatcmpl-DWaQRizpHAwJRzOldCguXyBi3e57k","model":"gpt-5-chat-latest","object":"chat.completion","service_tier":"default","system_fingerprint":"fp_ad66631dec","usage":{"completion_tokens":39,"completion_tokens_details":{"accepted_prediction_tokens":0,"audio_tokens":0,"reasoning_tokens":0,"rejected_prediction_tokens":0},"prompt_tokens":897,"prompt_tokens_details":{"audio_tokens":0,"cached_tokens":0},"total_tokens":936}}</t>
        </is>
      </c>
      <c r="M67" t="inlineStr">
        <is>
          <t>{"alt-svc":"h3=\":443\"; ma=2592000","apim-request-id":"a497568c-7a20-4625-afe9-2b8f42283cb3","azureml-model-session":"d20260402074105-51db401e","cache-control":"no-cache","connection":"close","content-length":"781","content-security-policy":"frame-ancestors 'self'","content-type":"application/json","date":"Mon, 20 Apr 2026 04:21:29 GMT","server":"nginx","skip-error-remapping":"true","strict-transport-security":"max-age=31536000; includeSubDomains; preload","via":"1.1 Caddy, 1.1 Caddy","x-api-request-id":"20260420122126615690304ZnnezT8c","x-content-type-options":"nosniff","x-frame-options":"SAMEORIGIN","x-ms-client-request-id":"Not-Set","x-ms-is-spilled-over":"false","x-ms-rai-invoked":"true","x-ms-region":"East US 2","x-new-api-version":"0.4.39","x-oneapi-request-id":"202604200421265491054398268d9d6SZIh4mog","x-ratelimit-abusepenalty-active":"False","x-ratelimit-limit-requests":"3850","x-ratelimit-limit-tokens":"3850000","x-ratelimit-remaining-requests":"3849","x-ratelimit-remaining-tokens":"3848341","x-ratelimit-renewalperiod-requests":"60","x-ratelimit-renewalperiod-tokens":"60","x-ratelimit-reset-requests":"15","x-ratelimit-reset-tokens":"25","x-request-id":"d19a28dc-ba44-4837-8b9e-48cb362f3ef5"}</t>
        </is>
      </c>
      <c r="N67" t="inlineStr">
        <is>
          <t>HoodiesOther New York USA Series Gray Hoodie – Soft cotton fabric for comfort and warmth, featuring classic street-style lettering. Unisex loose fit, perfect for daily casual wear and travel.</t>
        </is>
      </c>
      <c r="O67" t="inlineStr">
        <is>
          <t>{"choices":[{"finish_reason":"stop","index":0,"logprobs":null,"message":{"annotations":[],"content":"New York, Hoodies, kakobuy, kakebuy2026, kekobuysheet, kakobuysheet2026, 2026kakobuy, kakobuyspreadsheeet, kakobuylink, kakebuylist, Kakobuy MEGA Spreadsheet, kakobuysheetfind, kakobuysheetfind2026, 2026kakobuysheetfind, kakobuysheet2026","refusal":null,"role":"assistant"}}],"created":1776668554,"id":"chatcmpl-DWcwMT135PnWyyKBAoSlrpnfZ2cxk","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67" t="inlineStr">
        <is>
          <t>New York, Hoodies, kakobuy, kakebuy2026, kekobuysheet, kakobuysheet2026, 2026kakobuy, kakobuyspreadsheeet, kakobuylink, kakebuylist, Kakobuy MEGA Spreadsheet, kakobuysheetfind, kakobuysheetfind2026, 2026kakobuysheetfind, kakobuysheet2026</t>
        </is>
      </c>
      <c r="Q67" t="inlineStr">
        <is>
          <t>Gray, Street, Unisex, Comfort</t>
        </is>
      </c>
      <c r="R67" t="inlineStr">
        <is>
          <t>recvh6xFVjuYQQ</t>
        </is>
      </c>
      <c r="S67" t="inlineStr">
        <is>
          <t>gray-unisex-street-hoodie-recvh6xfvjuyqq</t>
        </is>
      </c>
      <c r="T67"/>
      <c r="U67"/>
      <c r="V67"/>
      <c r="W67" t="inlineStr">
        <is>
          <t>{"choices":[{"finish_reason":"stop","index":0,"logprobs":null,"message":{"annotations":[],"content":"灰色“NEW YORK USA”系列连帽卫衣，柔软棉质面料舒适保暖，简约字母印花设计彰显美式街头休闲风格，宽松版型适合男女穿搭，休闲出行必备。","refusal":null,"role":"assistant"}}],"created":1776655204,"id":"chatcmpl-DWZT2Rw90ByvAd6CRmAdM641gCFkm","model":"gpt-5-chat-latest","object":"chat.completion","service_tier":"default","system_fingerprint":"fp_ad66631dec","usage":{"completion_tokens":61,"completion_tokens_details":{"accepted_prediction_tokens":0,"audio_tokens":0,"reasoning_tokens":0,"rejected_prediction_tokens":0},"prompt_tokens":1314,"prompt_tokens_details":{"audio_tokens":0,"cached_tokens":0},"total_tokens":1375}}</t>
        </is>
      </c>
      <c r="X67" t="inlineStr">
        <is>
          <t>灰色“NEW YORK USA”系列连帽卫衣，柔软棉质面料舒适保暖，简约字母印花设计彰显美式街头休闲风格，宽松版型适合男女穿搭，休闲出行必备。</t>
        </is>
      </c>
    </row>
    <row r="68" ht="25.5" customHeight="1">
      <c r="A68">
        <v>1839115443</v>
      </c>
      <c r="B68">
        <v>7636077705</v>
      </c>
      <c r="C68" t="inlineStr">
        <is>
          <t>https://weidian.com/item.html?itemID=7636077705</t>
        </is>
      </c>
      <c r="D68"/>
      <c r="E68" s="2" t="str">
        <f>=HYPERLINK("https://si.geilicdn.com/open1839115443-252808396-0fab0000019b3590fe810a8115c2_1340_1785.jpg?w=640&amp;h=640", "https://si.geilicdn.com/open1839115443-252808396-0fab0000019b3590fe810a8115c2_1340_1785.jpg?w=640&amp;h=640")</f>
        <v>https://si.geilicdn.com/open1839115443-252808396-0fab0000019b3590fe810a8115c2_1340_1785.jpg?w=640&amp;h=640</v>
      </c>
      <c r="F68" t="inlineStr">
        <is>
          <t>Hoodies</t>
        </is>
      </c>
      <c r="G68" t="inlineStr">
        <is>
          <t>Other</t>
        </is>
      </c>
      <c r="H68" t="inlineStr">
        <is>
          <t>91.00</t>
        </is>
      </c>
      <c r="I68">
        <v>13.19</v>
      </c>
      <c r="J68" t="inlineStr">
        <is>
          <t>{"choices":[{"finish_reason":"stop","index":0,"logprobs":null,"message":{"annotations":[],"content":"Popeye Dark Blue Cartoon Hoodie Unisex Streetwear Pullover","refusal":null,"role":"assistant"}}],"created":1776666505,"id":"chatcmpl-DWcPJ8Fe4AWlkJzSlb0D7fklIy3LR","model":"gpt-5-chat-latest","object":"chat.completion","service_tier":"default","system_fingerprint":"fp_ad66631dec","usage":{"completion_tokens":14,"completion_tokens_details":{"accepted_prediction_tokens":0,"audio_tokens":0,"reasoning_tokens":0,"rejected_prediction_tokens":0},"prompt_tokens":880,"prompt_tokens_details":{"audio_tokens":0,"cached_tokens":0},"total_tokens":894}}</t>
        </is>
      </c>
      <c r="K68" t="inlineStr">
        <is>
          <t>Popeye Dark Blue Cartoon Hoodie Unisex Streetwear Pullover</t>
        </is>
      </c>
      <c r="L68" t="inlineStr">
        <is>
          <t>{"choices":[{"finish_reason":"stop","index":0,"logprobs":null,"message":{"annotations":[],"content":"Popeye Dark Blue Cartoon Hoodie, soft cotton, classic sailor design, loose fit for men and women, comfy street style for autumn and winter, adds fun and personality to daily outfits.","refusal":null,"role":"assistant"}}],"created":1776658707,"id":"chatcmpl-DWaNXnUrpbppMgcc5Z7ob7nn4F5zS","model":"gpt-5-chat-latest","object":"chat.completion","service_tier":"default","system_fingerprint":"fp_ad66631dec","usage":{"completion_tokens":39,"completion_tokens_details":{"accepted_prediction_tokens":0,"audio_tokens":0,"reasoning_tokens":0,"rejected_prediction_tokens":0},"prompt_tokens":906,"prompt_tokens_details":{"audio_tokens":0,"cached_tokens":0},"total_tokens":945}}</t>
        </is>
      </c>
      <c r="M68" t="inlineStr">
        <is>
          <t>{"alt-svc":"h3=\":443\"; ma=2592000","apim-request-id":"0213684b-c7f4-4166-bf2a-3bd7189a2820","azureml-model-session":"d20260405225800-40f19e54","cache-control":"no-cache","connection":"close","content-length":"770","content-security-policy":"frame-ancestors 'self'","content-type":"application/json","date":"Mon, 20 Apr 2026 04:18:29 GMT","server":"Caddy","skip-error-remapping":"true","strict-transport-security":"max-age=31536000; includeSubDomains; preload","via":"1.1 Caddy","x-api-request-id":"2026042012182771376741UC3rj1SD","x-content-type-options":"nosniff","x-frame-options":"SAMEORIGIN","x-ms-client-request-id":"Not-Set","x-ms-is-spilled-over":"false","x-ms-rai-invoked":"true","x-ms-region":"East US 2","x-new-api-version":"0.4.39","x-oneapi-request-id":"2026042004182738062108268d9d6EScGeZlZ","x-ratelimit-abusepenalty-active":"False","x-ratelimit-limit-requests":"3850","x-ratelimit-limit-tokens":"3850000","x-ratelimit-remaining-requests":"3849","x-ratelimit-remaining-tokens":"3848332","x-ratelimit-renewalperiod-requests":"60","x-ratelimit-renewalperiod-tokens":"60","x-ratelimit-reset-requests":"15","x-ratelimit-reset-tokens":"25","x-request-id":"4704b256-4f78-4c41-8ca8-c46ce7b7fe5a"}</t>
        </is>
      </c>
      <c r="N68" t="inlineStr">
        <is>
          <t>Popeye Dark Blue Cartoon Hoodie, soft cotton, classic sailor design, loose fit for men and women, comfy street style for autumn and winter, adds fun and personality to daily outfits.</t>
        </is>
      </c>
      <c r="O68" t="inlineStr">
        <is>
          <t>{"choices":[{"finish_reason":"stop","index":0,"logprobs":null,"message":{"annotations":[],"content":"Popeye,Hoodies,kakobuy,kakebuy2026,kekobuysheet,kakobuysheet2026,2026kakobuy,kakobuyspreadsheeet,kakobuylink,kakebuylist,Kakobuy MEGA Spreadsheet,kakobuysheetfind,kakobuysheetfind2026,2026kakobuysheetfind,kakobuysheet2026","refusal":null,"role":"assistant"}}],"created":1776667986,"id":"chatcmpl-DWcnC6F4vPQPp6v1opBwMPzgohnTI","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68" t="inlineStr">
        <is>
          <t>Popeye,Hoodies,kakobuy,kakebuy2026,kekobuysheet,kakobuysheet2026,2026kakobuy,kakobuyspreadsheeet,kakobuylink,kakebuylist,Kakobuy MEGA Spreadsheet,kakobuysheetfind,kakobuysheetfind2026,2026kakobuysheetfind,kakobuysheet2026</t>
        </is>
      </c>
      <c r="Q68" t="inlineStr">
        <is>
          <t>Dark Blue, Classic, Street, Autumn And Winter, Men's And Women's</t>
        </is>
      </c>
      <c r="R68" t="inlineStr">
        <is>
          <t>recvh6xFVjEKUM</t>
        </is>
      </c>
      <c r="S68" t="inlineStr">
        <is>
          <t>popeye-dark-blue-hoodie-recvh6xFVjEKUM</t>
        </is>
      </c>
      <c r="T68"/>
      <c r="U68"/>
      <c r="V68"/>
      <c r="W68" t="inlineStr">
        <is>
          <t>{"choices":[{"finish_reason":"stop","index":0,"logprobs":null,"message":{"annotations":[],"content":"深蓝色卡通印花连帽卫衣，采用柔软纯棉面料，胸前经典航海人物图案设计，潮流街头风格，宽松版型舒适休闲，男女皆宜，适合秋冬日常穿搭，彰显个性与趣味。","refusal":null,"role":"assistant"}}],"created":1776655211,"id":"chatcmpl-DWZT9luEVDge6jNVE5yTscNyzkYFw","model":"gpt-5-chat-latest","object":"chat.completion","service_tier":"default","system_fingerprint":"fp_ad66631dec","usage":{"completion_tokens":69,"completion_tokens_details":{"accepted_prediction_tokens":0,"audio_tokens":0,"reasoning_tokens":0,"rejected_prediction_tokens":0},"prompt_tokens":1316,"prompt_tokens_details":{"audio_tokens":0,"cached_tokens":1280},"total_tokens":1385}}</t>
        </is>
      </c>
      <c r="X68" t="inlineStr">
        <is>
          <t>深蓝色卡通印花连帽卫衣，采用柔软纯棉面料，胸前经典航海人物图案设计，潮流街头风格，宽松版型舒适休闲，男女皆宜，适合秋冬日常穿搭，彰显个性与趣味。</t>
        </is>
      </c>
    </row>
    <row r="69" ht="25.5" customHeight="1">
      <c r="A69">
        <v>1839115443</v>
      </c>
      <c r="B69">
        <v>7639039810</v>
      </c>
      <c r="C69" t="inlineStr">
        <is>
          <t>https://weidian.com/item.html?itemID=7639039810</t>
        </is>
      </c>
      <c r="D69"/>
      <c r="E69" s="2" t="str">
        <f>=HYPERLINK("https://si.geilicdn.com/open1839115443-252808396-251d0000019b3590e18b0a231226_1340_1785.jpg?w=640&amp;h=640", "https://si.geilicdn.com/open1839115443-252808396-251d0000019b3590e18b0a231226_1340_1785.jpg?w=640&amp;h=640")</f>
        <v>https://si.geilicdn.com/open1839115443-252808396-251d0000019b3590e18b0a231226_1340_1785.jpg?w=640&amp;h=640</v>
      </c>
      <c r="F69" t="inlineStr">
        <is>
          <t>Hoodies</t>
        </is>
      </c>
      <c r="G69" t="inlineStr">
        <is>
          <t>Other</t>
        </is>
      </c>
      <c r="H69" t="inlineStr">
        <is>
          <t>91.00</t>
        </is>
      </c>
      <c r="I69">
        <v>13.19</v>
      </c>
      <c r="J69" t="inlineStr">
        <is>
          <t>{"id":"chatcmpl-DWcWL06I6nOCBVB8DfjStxADxpAev","object":"chat.completion","created":1776666941,"model":"gpt-5-chat-latest","choices":[{"index":0,"message":{"role":"assistant","content":"DAF Green Hoodie Unisex Streetwear Winter Pullover","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ad66631dec"}</t>
        </is>
      </c>
      <c r="K69" t="inlineStr">
        <is>
          <t>DAF Green Hoodie Unisex Streetwear Winter Pullover</t>
        </is>
      </c>
      <c r="L69" t="inlineStr">
        <is>
          <t>{"id":"chatcmpl-DWaTBvPh7c1cQOWZMp2Qznk2YPMbN","object":"chat.completion","created":1776659057,"model":"gpt-5-chat-latest","choices":[{"index":0,"message":{"role":"assistant","content":"HoodiesOther DAF Green Hoodie – Soft thick cotton, bold white logo with red stripe, unisex streetwear design for cozy and stylish autumn winter daily wear.","refusal":null,"annotations":[]},"logprobs":null,"finish_reason":"stop"}],"usage":{"prompt_tokens":906,"completion_tokens":35,"total_tokens":941,"prompt_tokens_details":{"cached_tokens":0,"audio_tokens":0},"completion_tokens_details":{"reasoning_tokens":0,"audio_tokens":0,"accepted_prediction_tokens":0,"rejected_prediction_tokens":0}},"service_tier":"default","system_fingerprint":"fp_ad66631dec"}</t>
        </is>
      </c>
      <c r="M6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ma=2592000","apim-request-id":"eaaa757a-69dc-4c49-91e1-637f24ad1c06","azureml-model-session":"d20260402075109-1fc5a0ec","cache-control":"no-cache, no-store, must-revalidate","connection":"close","content-length":"961","content-security-policy":"frame-ancestors 'self'","content-type":"application/json","date":"Mon, 20 Apr 2026 04:24:18 GMT","server":"Caddy","skip-error-remapping":"true","strict-transport-security":"max-age=31536000; includeSubDomains; preload","via":"1.1 Caddy","x-api-request-id":"2026042012241683355266eKpt9K7Z","x-content-type-options":"nosniff","x-frame-options":"SAMEORIGIN","x-ms-is-spilled-over":"false","x-ms-rai-invoked":"false","x-ms-region":"East US 2","x-new-api-version":"0.4.39","x-oneapi-request-id":"20260420042416162809138268d9d6eD4RmsAc","x-ratelimit-abusepenalty-active":"False","x-ratelimit-limit-requests":"4994","x-ratelimit-limit-tokens":"4994000","x-ratelimit-remaining-requests":"4993","x-ratelimit-remaining-tokens":"4992332","x-ratelimit-renewalperiod-requests":"60","x-ratelimit-renewalperiod-tokens":"60","x-ratelimit-reset-requests":"12","x-ratelimit-reset-tokens":"20","x-request-id":"bbe7a8f9-e2c8-413c-af0c-86e9b5cc480a"}</t>
        </is>
      </c>
      <c r="N69" t="inlineStr">
        <is>
          <t>HoodiesOther DAF Green Hoodie – Soft thick cotton, bold white logo with red stripe, unisex streetwear design for cozy and stylish autumn winter daily wear.</t>
        </is>
      </c>
      <c r="O69" t="inlineStr">
        <is>
          <t>{"choices":[{"finish_reason":"stop","index":0,"logprobs":null,"message":{"annotations":[],"content":"DAF,Hoodies,kakobuy,kakebuy2026,kekobuysheet,kakobuysheet2026,2026kakobuy,kakobuyspreadsheeet,kakobuylink,kakebuylist,Kakobuy MEGA Spreadsheet,kakobuysheetfind,kakobuysheetfind2026,2026kakobuysheetfind,kakobuysheet2026","refusal":null,"role":"assistant"}}],"created":1776668013,"id":"chatcmpl-DWcndvpCY2wE3LAKinQVWByyQil4c","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69" t="inlineStr">
        <is>
          <t>DAF,Hoodies,kakobuy,kakebuy2026,kekobuysheet,kakobuysheet2026,2026kakobuy,kakobuyspreadsheeet,kakobuylink,kakebuylist,Kakobuy MEGA Spreadsheet,kakobuysheetfind,kakobuysheetfind2026,2026kakobuysheetfind,kakobuysheet2026</t>
        </is>
      </c>
      <c r="Q69" t="inlineStr">
        <is>
          <t>Green, Streetwear, Autumn And Winter, Unisex</t>
        </is>
      </c>
      <c r="R69" t="inlineStr">
        <is>
          <t>recvh6xFVjoPzy</t>
        </is>
      </c>
      <c r="S69" t="inlineStr">
        <is>
          <t>daf-green-hoodie-recvh6xfvjopzy</t>
        </is>
      </c>
      <c r="T69"/>
      <c r="U69"/>
      <c r="V69"/>
      <c r="W69" t="inlineStr">
        <is>
          <t>{"choices":[{"finish_reason":"stop","index":0,"logprobs":null,"message":{"annotations":[],"content":"绿色休闲系列连帽卫衣，采用柔软加厚棉质面料，胸前白色“DAF”字母与红色线条设计彰显街头运动风格，男女皆宜，适合秋冬日常穿搭，舒适保暖兼具时尚态度。","refusal":null,"role":"assistant"}}],"created":1776655239,"id":"chatcmpl-DWZTbR4qFfaNMOTv2z6x7Mjduxy41","model":"gpt-5-chat-latest","object":"chat.completion","service_tier":"default","system_fingerprint":"fp_ad66631dec","usage":{"completion_tokens":69,"completion_tokens_details":{"accepted_prediction_tokens":0,"audio_tokens":0,"reasoning_tokens":0,"rejected_prediction_tokens":0},"prompt_tokens":1316,"prompt_tokens_details":{"audio_tokens":0,"cached_tokens":0},"total_tokens":1385}}</t>
        </is>
      </c>
      <c r="X69" t="inlineStr">
        <is>
          <t>绿色休闲系列连帽卫衣，采用柔软加厚棉质面料，胸前白色“DAF”字母与红色线条设计彰显街头运动风格，男女皆宜，适合秋冬日常穿搭，舒适保暖兼具时尚态度。</t>
        </is>
      </c>
    </row>
    <row r="70" ht="25.5" customHeight="1">
      <c r="A70">
        <v>1839115443</v>
      </c>
      <c r="B70">
        <v>7636037993</v>
      </c>
      <c r="C70" t="inlineStr">
        <is>
          <t>https://weidian.com/item.html?itemID=7636037993</t>
        </is>
      </c>
      <c r="D70"/>
      <c r="E70" s="2" t="str">
        <f>=HYPERLINK("https://si.geilicdn.com/open1839115443-252808396-0faf0000019b3590fe9a0a8115c2_1785_1785.jpg?w=640&amp;h=640", "https://si.geilicdn.com/open1839115443-252808396-0faf0000019b3590fe9a0a8115c2_1785_1785.jpg?w=640&amp;h=640")</f>
        <v>https://si.geilicdn.com/open1839115443-252808396-0faf0000019b3590fe9a0a8115c2_1785_1785.jpg?w=640&amp;h=640</v>
      </c>
      <c r="F70" t="inlineStr">
        <is>
          <t>T-Shirts</t>
        </is>
      </c>
      <c r="G70" t="inlineStr">
        <is>
          <t>Jack Jones</t>
        </is>
      </c>
      <c r="H70" t="inlineStr">
        <is>
          <t>63.00</t>
        </is>
      </c>
      <c r="I70">
        <v>9.13</v>
      </c>
      <c r="J70" t="inlineStr">
        <is>
          <t>{"id":"chatcmpl-DWcQHKyJOECS0M1CzGUywOsi0WJC3","object":"chat.completion","created":1776666565,"model":"gpt-5-chat-latest","choices":[{"index":0,"message":{"role":"assistant","content":"Jack &amp; Jones Urban Black Loose Fit T-Shirt","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ad66631dec"}</t>
        </is>
      </c>
      <c r="K70" t="inlineStr">
        <is>
          <t>Jack &amp; Jones Urban Black Loose Fit T-Shirt</t>
        </is>
      </c>
      <c r="L70" t="inlineStr">
        <is>
          <t>{"choices":[{"finish_reason":"stop","index":0,"logprobs":null,"message":{"annotations":[],"content":"Jack &amp; Jones Urban Series black loose-fit cotton T-shirt with metallic logo print, breathable and comfy, perfect for men’s casual street style and modern city fashion.","refusal":null,"role":"assistant"}}],"created":1776659326,"id":"chatcmpl-DWaXWC3n4xWz6BTVGNUPNYjGIVbIG","model":"gpt-5-chat-latest","object":"chat.completion","service_tier":"default","system_fingerprint":"fp_ad66631dec","usage":{"completion_tokens":33,"completion_tokens_details":{"accepted_prediction_tokens":0,"audio_tokens":0,"reasoning_tokens":0,"rejected_prediction_tokens":0},"prompt_tokens":903,"prompt_tokens_details":{"audio_tokens":0,"cached_tokens":0},"total_tokens":936}}</t>
        </is>
      </c>
      <c r="M70" t="inlineStr">
        <is>
          <t>{"alt-svc":"h3=\":443\"; ma=2592000","apim-request-id":"4b4e4fc6-0e69-4544-a8d2-53fa2589e447","azureml-model-session":"d20260405212659-a9daa006","cache-control":"no-cache","connection":"close","content-length":"762","content-security-policy":"frame-ancestors 'self'","content-type":"application/json","date":"Mon, 20 Apr 2026 04:28:47 GMT","server":"nginx","skip-error-remapping":"true","strict-transport-security":"max-age=31536000; includeSubDomains; preload","via":"1.1 Caddy, 1.1 Caddy","x-api-request-id":"202604201228456858592252FrcDrP9","x-content-type-options":"nosniff","x-frame-options":"SAMEORIGIN","x-ms-client-request-id":"Not-Set","x-ms-is-spilled-over":"false","x-ms-rai-invoked":"true","x-ms-region":"East US 2","x-new-api-version":"0.4.39","x-oneapi-request-id":"202604200428456186471548268d9d6wA4wxOVx","x-ratelimit-abusepenalty-active":"False","x-ratelimit-limit-requests":"3850","x-ratelimit-limit-tokens":"3850000","x-ratelimit-remaining-requests":"3849","x-ratelimit-remaining-tokens":"3848335","x-ratelimit-renewalperiod-requests":"60","x-ratelimit-renewalperiod-tokens":"60","x-ratelimit-reset-requests":"15","x-ratelimit-reset-tokens":"25","x-request-id":"618f7505-f713-45de-96b0-b3d75ea7358c"}</t>
        </is>
      </c>
      <c r="N70" t="inlineStr">
        <is>
          <t>Jack &amp; Jones Urban Series black loose-fit cotton T-shirt with metallic logo print, breathable and comfy, perfect for men’s casual street style and modern city fashion.</t>
        </is>
      </c>
      <c r="O70" t="inlineStr">
        <is>
          <t>{"choices":[{"finish_reason":"stop","index":0,"logprobs":null,"message":{"annotations":[],"content":"Jack Jones,T-Shirts,kakobuy,kakebuy2026,kekobuysheet,kakobuysheet2026,2026kakobuy,kakobuyspreadsheeet,kakobuylink,kakebuylist,Kakobuy MEGA Spreadsheet,kakobuysheetfind,kakobuysheetfind2026,2026kakobuysheetfind,kakobuysheet2026","refusal":null,"role":"assistant"}}],"created":1776667572,"id":"chatcmpl-DWcgWScukqDR0ivGbvqbIhTqBsajl","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70" t="inlineStr">
        <is>
          <t>Jack Jones,T-Shirts,kakobuy,kakebuy2026,kekobuysheet,kakobuysheet2026,2026kakobuy,kakobuyspreadsheeet,kakobuylink,kakebuylist,Kakobuy MEGA Spreadsheet,kakobuysheetfind,kakobuysheetfind2026,2026kakobuysheetfind,kakobuysheet2026</t>
        </is>
      </c>
      <c r="Q70" t="inlineStr">
        <is>
          <t>Black, Breathable, Streetwear, Men</t>
        </is>
      </c>
      <c r="R70" t="inlineStr">
        <is>
          <t>recvh6xFVjroY2</t>
        </is>
      </c>
      <c r="S70" t="inlineStr">
        <is>
          <t>jack-jones-urban-black-loose-fit-tshirt-recvh6xfvjroY2</t>
        </is>
      </c>
      <c r="T70"/>
      <c r="U70"/>
      <c r="V70"/>
      <c r="W70" t="inlineStr">
        <is>
          <t>{"choices":[{"finish_reason":"stop","index":0,"logprobs":null,"message":{"annotations":[],"content":"Jack Jones黑色都市系列宽松版纯棉短袖T恤，正面金属质感LOGO印花设计，彰显简约街头风格，男士休闲必备单品，舒适透气，展现当代都市时尚态度。","refusal":null,"role":"assistant"}}],"created":1776655069,"id":"chatcmpl-DWZQrKIFaNcPoWoQGuw9yrqhD5PJW","model":"gpt-5-chat-latest","object":"chat.completion","service_tier":"default","system_fingerprint":"fp_ad66631dec","usage":{"completion_tokens":64,"completion_tokens_details":{"accepted_prediction_tokens":0,"audio_tokens":0,"reasoning_tokens":0,"rejected_prediction_tokens":0},"prompt_tokens":1322,"prompt_tokens_details":{"audio_tokens":0,"cached_tokens":1280},"total_tokens":1386}}</t>
        </is>
      </c>
      <c r="X70" t="inlineStr">
        <is>
          <t>Jack Jones黑色都市系列宽松版纯棉短袖T恤，正面金属质感LOGO印花设计，彰显简约街头风格，男士休闲必备单品，舒适透气，展现当代都市时尚态度。</t>
        </is>
      </c>
    </row>
    <row r="71" ht="25.5" customHeight="1">
      <c r="A71">
        <v>1839115443</v>
      </c>
      <c r="B71">
        <v>7639008126</v>
      </c>
      <c r="C71" t="inlineStr">
        <is>
          <t>https://weidian.com/item.html?itemID=7639008126</t>
        </is>
      </c>
      <c r="D71"/>
      <c r="E71" s="2" t="str">
        <f>=HYPERLINK("https://si.geilicdn.com/open1839115443-252808396-1f510000019b3590e9e50a23b491_1340_1785.jpg?w=640&amp;h=640", "https://si.geilicdn.com/open1839115443-252808396-1f510000019b3590e9e50a23b491_1340_1785.jpg?w=640&amp;h=640")</f>
        <v>https://si.geilicdn.com/open1839115443-252808396-1f510000019b3590e9e50a23b491_1340_1785.jpg?w=640&amp;h=640</v>
      </c>
      <c r="F71" t="inlineStr">
        <is>
          <t>T-Shirts</t>
        </is>
      </c>
      <c r="G71" t="inlineStr">
        <is>
          <t>Jack Jones</t>
        </is>
      </c>
      <c r="H71" t="inlineStr">
        <is>
          <t>63.00</t>
        </is>
      </c>
      <c r="I71">
        <v>9.13</v>
      </c>
      <c r="J71" t="inlineStr">
        <is>
          <t>{"choices":[{"finish_reason":"stop","index":0,"logprobs":null,"message":{"annotations":[],"content":"Jack &amp; Jones Worldwide Black Camo Logo T-Shirt","refusal":null,"role":"assistant"}}],"created":1776666265,"id":"chatcmpl-DWcLR4he2nHBvQ3gNQWebU4LBRvZD","model":"gpt-5-chat-latest","object":"chat.completion","service_tier":"default","system_fingerprint":"fp_ad66631dec","usage":{"completion_tokens":11,"completion_tokens_details":{"accepted_prediction_tokens":0,"audio_tokens":0,"reasoning_tokens":0,"rejected_prediction_tokens":0},"prompt_tokens":876,"prompt_tokens_details":{"audio_tokens":0,"cached_tokens":0},"total_tokens":887}}</t>
        </is>
      </c>
      <c r="K71" t="inlineStr">
        <is>
          <t>Jack &amp; Jones Worldwide Black Camo Logo T-Shirt</t>
        </is>
      </c>
      <c r="L71" t="inlineStr">
        <is>
          <t>{"choices":[{"finish_reason":"stop","index":0,"logprobs":null,"message":{"annotations":[],"content":"Jack &amp; Jones Worldwide black loose-fit T-shirt, soft cotton fabric, bold camo logo print, breathable unisex streetwear style, perfect for urban fashion and youthful everyday comfort.","refusal":null,"role":"assistant"}}],"created":1776658299,"id":"chatcmpl-DWaGxGtbirBIJWMEJHLdCbKbapIhM","model":"gpt-5-chat-latest","object":"chat.completion","service_tier":"default","system_fingerprint":"fp_ad66631dec","usage":{"completion_tokens":37,"completion_tokens_details":{"accepted_prediction_tokens":0,"audio_tokens":0,"reasoning_tokens":0,"rejected_prediction_tokens":0},"prompt_tokens":915,"prompt_tokens_details":{"audio_tokens":0,"cached_tokens":0},"total_tokens":952}}</t>
        </is>
      </c>
      <c r="M71" t="inlineStr">
        <is>
          <t>{"alt-svc":"h3=\":443\"; ma=2592000","apim-request-id":"3188f474-68ac-439b-b88c-9094fde5a480","azureml-model-session":"d20260405212659-a9daa006","cache-control":"no-cache","connection":"close","content-length":"775","content-security-policy":"frame-ancestors 'self'","content-type":"application/json","date":"Mon, 20 Apr 2026 04:11:40 GMT","server":"Caddy","skip-error-remapping":"true","strict-transport-security":"max-age=31536000; includeSubDomains; preload","via":"1.1 Caddy","x-api-request-id":"20260420121138684262088gOAGh2md","x-content-type-options":"nosniff","x-frame-options":"SAMEORIGIN","x-ms-client-request-id":"Not-Set","x-ms-is-spilled-over":"false","x-ms-rai-invoked":"true","x-ms-region":"East US 2","x-new-api-version":"0.4.39","x-oneapi-request-id":"202604200411385540139998268d9d61WO5zciZ","x-ratelimit-abusepenalty-active":"False","x-ratelimit-limit-requests":"50","x-ratelimit-limit-tokens":"50000","x-ratelimit-remaining-requests":"49","x-ratelimit-remaining-tokens":"48323","x-ratelimit-renewalperiod-requests":"60","x-ratelimit-renewalperiod-tokens":"60","x-ratelimit-reset-requests":"1200","x-ratelimit-reset-tokens":"2012","x-request-id":"c56dd122-3936-4a03-8018-e45affcf6440"}</t>
        </is>
      </c>
      <c r="N71" t="inlineStr">
        <is>
          <t>Jack &amp; Jones Worldwide black loose-fit T-shirt, soft cotton fabric, bold camo logo print, breathable unisex streetwear style, perfect for urban fashion and youthful everyday comfort.</t>
        </is>
      </c>
      <c r="O71" t="inlineStr">
        <is>
          <t>{"choices":[{"finish_reason":"stop","index":0,"logprobs":null,"message":{"annotations":[],"content":"Jack Jones,T-Shirts,kakobuy,kakebuy2026,kekobuysheet,kakobuysheet2026,2026kakobuy,kakobuyspreadsheeet,kakobuylink,kakebuylist,Kakobuy MEGA Spreadsheet,kakobuysheetfind,kakobuysheetfind2026,2026kakobuysheetfind,kakobuysheet2026","refusal":null,"role":"assistant"}}],"created":1776667860,"id":"chatcmpl-DWclA5N2oIXnVYbRxREjTNGLiqcDd","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71" t="inlineStr">
        <is>
          <t>Jack Jones,T-Shirts,kakobuy,kakebuy2026,kekobuysheet,kakobuysheet2026,2026kakobuy,kakobuyspreadsheeet,kakobuylink,kakebuylist,Kakobuy MEGA Spreadsheet,kakobuysheetfind,kakobuysheetfind2026,2026kakobuysheetfind,kakobuysheet2026</t>
        </is>
      </c>
      <c r="Q71" t="inlineStr">
        <is>
          <t>Black, Unisex, Streetwear, Breathable</t>
        </is>
      </c>
      <c r="R71" t="inlineStr">
        <is>
          <t>recvh6xFVjLJTu</t>
        </is>
      </c>
      <c r="S71" t="inlineStr">
        <is>
          <t>jack-jones-black-camo-logo-recvh6xFVjLJTu</t>
        </is>
      </c>
      <c r="T71"/>
      <c r="U71"/>
      <c r="V71"/>
      <c r="W71" t="inlineStr">
        <is>
          <t>{"choices":[{"finish_reason":"stop","index":0,"logprobs":null,"message":{"annotations":[],"content":"Jack Jones：黑色宽松版印花T恤，精选柔软纯棉面料，胸前展现品牌标志性“JACK &amp; JONES WORLDWIDE”字样，融合迷彩图腾设计，街头潮流风格，男女皆宜，舒适透气，彰显年轻个性与全球都市感。","refusal":null,"role":"assistant"}}],"created":1776655292,"id":"chatcmpl-DWZUSxf56WmmUS9NVasO9IK0CsgxR","model":"gpt-5-chat-latest","object":"chat.completion","service_tier":"default","system_fingerprint":"fp_ad66631dec","usage":{"completion_tokens":77,"completion_tokens_details":{"accepted_prediction_tokens":0,"audio_tokens":0,"reasoning_tokens":0,"rejected_prediction_tokens":0},"prompt_tokens":1320,"prompt_tokens_details":{"audio_tokens":0,"cached_tokens":0},"total_tokens":1397}}</t>
        </is>
      </c>
      <c r="X71" t="inlineStr">
        <is>
          <t>Jack Jones：黑色宽松版印花T恤，精选柔软纯棉面料，胸前展现品牌标志性“JACK &amp; JONES WORLDWIDE”字样，融合迷彩图腾设计，街头潮流风格，男女皆宜，舒适透气，彰显年轻个性与全球都市感。</t>
        </is>
      </c>
    </row>
    <row r="72" ht="25.5" customHeight="1">
      <c r="A72">
        <v>1839115443</v>
      </c>
      <c r="B72">
        <v>7635988301</v>
      </c>
      <c r="C72" t="inlineStr">
        <is>
          <t>https://weidian.com/item.html?itemID=7635988301</t>
        </is>
      </c>
      <c r="D72"/>
      <c r="E72" s="2" t="str">
        <f>=HYPERLINK("https://si.geilicdn.com/open1839115443-252808396-23ae0000019b3590e5330a23b4de_1340_1785.jpg?w=640&amp;h=640", "https://si.geilicdn.com/open1839115443-252808396-23ae0000019b3590e5330a23b4de_1340_1785.jpg?w=640&amp;h=640")</f>
        <v>https://si.geilicdn.com/open1839115443-252808396-23ae0000019b3590e5330a23b4de_1340_1785.jpg?w=640&amp;h=640</v>
      </c>
      <c r="F72" t="inlineStr">
        <is>
          <t>T-Shirts</t>
        </is>
      </c>
      <c r="G72" t="inlineStr">
        <is>
          <t>Other</t>
        </is>
      </c>
      <c r="H72" t="inlineStr">
        <is>
          <t>97.00</t>
        </is>
      </c>
      <c r="I72">
        <v>14.06</v>
      </c>
      <c r="J72" t="inlineStr">
        <is>
          <t>{"id":"chatcmpl-DWcKywLdC1ogs10Pk8AtAkh0Sp1D5","object":"chat.completion","created":1776666236,"model":"gpt-5-chat-latest","choices":[{"index":0,"message":{"role":"assistant","content":"The Boys Graphic Sweatshirt Unisex Streetwear Cotton Pullover","refusal":null,"annotations":[]},"logprobs":null,"finish_reason":"stop"}],"usage":{"prompt_tokens":869,"completion_tokens":13,"total_tokens":882,"prompt_tokens_details":{"cached_tokens":0,"audio_tokens":0},"completion_tokens_details":{"reasoning_tokens":0,"audio_tokens":0,"accepted_prediction_tokens":0,"rejected_prediction_tokens":0}},"service_tier":"default","system_fingerprint":"fp_ad66631dec"}</t>
        </is>
      </c>
      <c r="K72" t="inlineStr">
        <is>
          <t>The Boys Graphic Sweatshirt Unisex Streetwear Cotton Pullover</t>
        </is>
      </c>
      <c r="L72" t="inlineStr">
        <is>
          <t>{"choices":[{"finish_reason":"stop","index":0,"logprobs":null,"message":{"annotations":[],"content":"T-ShirtsOther The Boys graphic sweatshirt, crafted from soft cotton with vibrant comic-style puzzle print. Unisex loose fit for streetwear lovers seeking bold American casual style.","refusal":null,"role":"assistant"}}],"created":1776659411,"id":"chatcmpl-DWaYtrehaDPdkjedQCcIefDGPgrbF","model":"gpt-5-chat-latest","object":"chat.completion","service_tier":"default","system_fingerprint":"fp_ad66631dec","usage":{"completion_tokens":34,"completion_tokens_details":{"accepted_prediction_tokens":0,"audio_tokens":0,"reasoning_tokens":0,"rejected_prediction_tokens":0},"prompt_tokens":915,"prompt_tokens_details":{"audio_tokens":0,"cached_tokens":0},"total_tokens":949}}</t>
        </is>
      </c>
      <c r="M72" t="inlineStr">
        <is>
          <t>{"alt-svc":"h3=\":443\"; ma=2592000","apim-request-id":"44bf7c3d-0990-40ad-9d64-9ef2a04a561f","azureml-model-session":"d20260402083108-57a85543","cache-control":"no-cache","connection":"close","content-length":"769","content-security-policy":"frame-ancestors 'self'","content-type":"application/json","date":"Mon, 20 Apr 2026 04:30:13 GMT","server":"Caddy","skip-error-remapping":"true","strict-transport-security":"max-age=31536000; includeSubDomains; preload","via":"1.1 Caddy","x-api-request-id":"20260420123010833359510z5NylUeZ","x-content-type-options":"nosniff","x-frame-options":"SAMEORIGIN","x-ms-client-request-id":"Not-Set","x-ms-is-spilled-over":"false","x-ms-rai-invoked":"true","x-ms-region":"East US 2","x-new-api-version":"0.4.39","x-oneapi-request-id":"202604200430107636343308268d9d6gMcfLh0v","x-ratelimit-abusepenalty-active":"False","x-ratelimit-limit-requests":"3850","x-ratelimit-limit-tokens":"3850000","x-ratelimit-remaining-requests":"3849","x-ratelimit-remaining-tokens":"3848323","x-ratelimit-renewalperiod-requests":"60","x-ratelimit-renewalperiod-tokens":"60","x-ratelimit-reset-requests":"15","x-ratelimit-reset-tokens":"26","x-request-id":"ff9e426f-09f2-4a6b-af1c-9c62eb0ecae7"}</t>
        </is>
      </c>
      <c r="N72" t="inlineStr">
        <is>
          <t>T-ShirtsOther The Boys graphic sweatshirt, crafted from soft cotton with vibrant comic-style puzzle print. Unisex loose fit for streetwear lovers seeking bold American casual style.</t>
        </is>
      </c>
      <c r="O72" t="inlineStr">
        <is>
          <t>{"choices":[{"finish_reason":"stop","index":0,"logprobs":null,"message":{"annotations":[],"content":"The Boys,T-Shirts,kakobuy,kakebuy2026,kekobuysheet,kakobuysheet2026,2026kakobuy,kakobuyspreadsheeet,kakobuylink,kakebuylist,Kakobuy MEGA Spreadsheet,kakobuysheetfind,kakobuysheetfind2026,2026kakobuysheetfind,kakobuysheet2026","refusal":null,"role":"assistant"}}],"created":1776667921,"id":"chatcmpl-DWcm9WImUWmLuIdzsKRBZOHeXQ18q","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72" t="inlineStr">
        <is>
          <t>The Boys,T-Shirts,kakobuy,kakebuy2026,kekobuysheet,kakobuysheet2026,2026kakobuy,kakobuyspreadsheeet,kakobuylink,kakebuylist,Kakobuy MEGA Spreadsheet,kakobuysheetfind,kakobuysheetfind2026,2026kakobuysheetfind,kakobuysheet2026</t>
        </is>
      </c>
      <c r="Q72" t="inlineStr">
        <is>
          <t>Unisex, Streetwear</t>
        </is>
      </c>
      <c r="R72" t="inlineStr">
        <is>
          <t>recvh6xFVjjZx1</t>
        </is>
      </c>
      <c r="S72" t="inlineStr">
        <is>
          <t>boys-graphic-sweatshirt-recvh6xfvjjzx1</t>
        </is>
      </c>
      <c r="T72"/>
      <c r="U72"/>
      <c r="V72"/>
      <c r="W72" t="inlineStr">
        <is>
          <t>{"choices":[{"finish_reason":"stop","index":0,"logprobs":null,"message":{"annotations":[],"content":"街头系列黑色圆领卫衣，采用柔软纯棉材质，正面印有“The Boys”漫画风拼图图腾，色彩鲜明凸显个性。宽松版型设计，男女皆宜，彰显美式潮流风格，适合日常休闲穿搭与街头混搭造型。","refusal":null,"role":"assistant"}}],"created":1776656141,"id":"chatcmpl-DWZi96PKejJadapMdMKBthmkvzSyh","model":"gpt-5-chat-latest","object":"chat.completion","service_tier":"default","system_fingerprint":"fp_ad66631dec","usage":{"completion_tokens":78,"completion_tokens_details":{"accepted_prediction_tokens":0,"audio_tokens":0,"reasoning_tokens":0,"rejected_prediction_tokens":0},"prompt_tokens":1317,"prompt_tokens_details":{"audio_tokens":0,"cached_tokens":1280},"total_tokens":1395}}</t>
        </is>
      </c>
      <c r="X72" t="inlineStr">
        <is>
          <t>街头系列黑色圆领卫衣，采用柔软纯棉材质，正面印有“The Boys”漫画风拼图图腾，色彩鲜明凸显个性。宽松版型设计，男女皆宜，彰显美式潮流风格，适合日常休闲穿搭与街头混搭造型。</t>
        </is>
      </c>
    </row>
    <row r="73" ht="25.5" customHeight="1">
      <c r="A73">
        <v>1839115443</v>
      </c>
      <c r="B73">
        <v>7638984160</v>
      </c>
      <c r="C73" t="inlineStr">
        <is>
          <t>https://weidian.com/item.html?itemID=7638984160</t>
        </is>
      </c>
      <c r="D73"/>
      <c r="E73" s="2" t="str">
        <f>=HYPERLINK("https://si.geilicdn.com/open1839115443-252808396-1f850000019b3590fe820a23b491_1340_1785.jpg?w=640&amp;h=640", "https://si.geilicdn.com/open1839115443-252808396-1f850000019b3590fe820a23b491_1340_1785.jpg?w=640&amp;h=640")</f>
        <v>https://si.geilicdn.com/open1839115443-252808396-1f850000019b3590fe820a23b491_1340_1785.jpg?w=640&amp;h=640</v>
      </c>
      <c r="F73" t="inlineStr">
        <is>
          <t>T-Shirts</t>
        </is>
      </c>
      <c r="G73" t="inlineStr">
        <is>
          <t>Other</t>
        </is>
      </c>
      <c r="H73" t="inlineStr">
        <is>
          <t>63.00</t>
        </is>
      </c>
      <c r="I73">
        <v>9.13</v>
      </c>
      <c r="J73" t="inlineStr">
        <is>
          <t>{"id":"chatcmpl-DWcR00PrSyQMJJRSBzFLZMfZbxWZJ","object":"chat.completion","created":1776666610,"model":"gpt-5-chat-latest","choices":[{"index":0,"message":{"role":"assistant","content":"Nuka Cola Retro Cartoon Black T-Shirt Unisex","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73" t="inlineStr">
        <is>
          <t>Nuka Cola Retro Cartoon Black T-Shirt Unisex</t>
        </is>
      </c>
      <c r="L73" t="inlineStr">
        <is>
          <t>{"id":"chatcmpl-DWaLet8ZlJFbyO3l9BStBaNxJLPeV","object":"chat.completion","created":1776658590,"model":"gpt-5-chat-latest","choices":[{"index":0,"message":{"role":"assistant","content":"Nuka Cola Retro Game Series Black T-Shirt, soft cotton fabric with classic cartoon print, bright vintage design for streetwear lovers, unisex loose fit for comfort and bold style.","refusal":null,"annotations":[]},"logprobs":null,"finish_reason":"stop"}],"usage":{"prompt_tokens":914,"completion_tokens":37,"total_tokens":951,"prompt_tokens_details":{"cached_tokens":0,"audio_tokens":0},"completion_tokens_details":{"reasoning_tokens":0,"audio_tokens":0,"accepted_prediction_tokens":0,"rejected_prediction_tokens":0}},"service_tier":"default","system_fingerprint":"fp_ad66631dec"}</t>
        </is>
      </c>
      <c r="M7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ma=2592000","apim-request-id":"8c8b5b0f-1997-4980-8cf6-8b2b6476355e","azureml-model-session":"d20260402075109-1fc5a0ec","cache-control":"no-cache, no-store, must-revalidate","connection":"close","content-length":"983","content-security-policy":"frame-ancestors 'self'","content-type":"application/json","date":"Mon, 20 Apr 2026 04:16:32 GMT","server":"nginx","skip-error-remapping":"true","strict-transport-security":"max-age=31536000; includeSubDomains; preload","via":"1.1 Caddy, 1.1 Caddy","x-api-request-id":"202604201216297440264855mQLMxuX","x-content-type-options":"nosniff","x-frame-options":"SAMEORIGIN","x-ms-is-spilled-over":"false","x-ms-rai-invoked":"false","x-ms-region":"East US 2","x-new-api-version":"0.4.39","x-oneapi-request-id":"202604200416296234025488268d9d6PybIrkl0","x-ratelimit-abusepenalty-active":"False","x-ratelimit-limit-requests":"4994","x-ratelimit-limit-tokens":"4994000","x-ratelimit-remaining-requests":"4993","x-ratelimit-remaining-tokens":"4992324","x-ratelimit-renewalperiod-requests":"60","x-ratelimit-renewalperiod-tokens":"60","x-ratelimit-reset-requests":"12","x-ratelimit-reset-tokens":"20","x-request-id":"ff6afeb3-3485-4685-a81c-aff784277b70"}</t>
        </is>
      </c>
      <c r="N73" t="inlineStr">
        <is>
          <t>Nuka Cola Retro Game Series Black T-Shirt, soft cotton fabric with classic cartoon print, bright vintage design for streetwear lovers, unisex loose fit for comfort and bold style.</t>
        </is>
      </c>
      <c r="O73" t="inlineStr">
        <is>
          <t>{"choices":[{"finish_reason":"stop","index":0,"logprobs":null,"message":{"annotations":[],"content":"Nuka Cola,T-Shirts,kakobuy,kakebuy2026,kekobuysheet,kakobuysheet2026,2026kakobuy,kakobuyspreadsheeet,kakobuylink,kakebuylist,Kakobuy MEGA Spreadsheet,kakobuysheetfind,kakobuysheetfind2026,2026kakobuysheetfind,kakobuysheet2026","refusal":null,"role":"assistant"}}],"created":1776668846,"id":"chatcmpl-DWd14iqUiSin0fVF84fUOeKFx06kZ","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73" t="inlineStr">
        <is>
          <t>Nuka Cola,T-Shirts,kakobuy,kakebuy2026,kekobuysheet,kakobuysheet2026,2026kakobuy,kakobuyspreadsheeet,kakobuylink,kakebuylist,Kakobuy MEGA Spreadsheet,kakobuysheetfind,kakobuysheetfind2026,2026kakobuysheetfind,kakobuysheet2026</t>
        </is>
      </c>
      <c r="Q73" t="inlineStr">
        <is>
          <t>Retro, Streetwear, Unisex, Black, Comfort</t>
        </is>
      </c>
      <c r="R73" t="inlineStr">
        <is>
          <t>recvh6xFVj00KQ</t>
        </is>
      </c>
      <c r="S73" t="inlineStr">
        <is>
          <t>nuka-cola-retro-cartoon-black-tshirt-recvh6xfvj00kq</t>
        </is>
      </c>
      <c r="T73"/>
      <c r="U73"/>
      <c r="V73"/>
      <c r="W73" t="inlineStr">
        <is>
          <t>{"id":"chatcmpl-DWZTjJ2HJZn4ZeRIZc8JbAb5rYElU","object":"chat.completion","created":1776655247,"model":"gpt-5-chat-latest","choices":[{"index":0,"message":{"role":"assistant","content":"复古游戏系列黑色短袖T恤，柔软纯棉面料打造，正面印有经典卡通人物与Nuka Cola复古汽水图腾，色彩鲜明醒目，融合街头与怀旧美式风格，男女同款，宽松剪裁自在舒适，彰显个性与潮流。","refusal":null,"annotations":[]},"logprobs":null,"finish_reason":"stop"}],"usage":{"prompt_tokens":1313,"completion_tokens":79,"total_tokens":1392,"prompt_tokens_details":{"cached_tokens":0,"audio_tokens":0},"completion_tokens_details":{"reasoning_tokens":0,"audio_tokens":0,"accepted_prediction_tokens":0,"rejected_prediction_tokens":0}},"service_tier":"default","system_fingerprint":"fp_ad66631dec"}</t>
        </is>
      </c>
      <c r="X73" t="inlineStr">
        <is>
          <t>复古游戏系列黑色短袖T恤，柔软纯棉面料打造，正面印有经典卡通人物与Nuka Cola复古汽水图腾，色彩鲜明醒目，融合街头与怀旧美式风格，男女同款，宽松剪裁自在舒适，彰显个性与潮流。</t>
        </is>
      </c>
    </row>
    <row r="74" ht="25.5" customHeight="1">
      <c r="A74">
        <v>1839115443</v>
      </c>
      <c r="B74">
        <v>7639041750</v>
      </c>
      <c r="C74" t="inlineStr">
        <is>
          <t>https://weidian.com/item.html?itemID=7639041750</t>
        </is>
      </c>
      <c r="D74"/>
      <c r="E74" s="2" t="str">
        <f>=HYPERLINK("https://si.geilicdn.com/open1839115443-252808396-25410000019b3590ef280a231226_1340_1785.jpg?w=640&amp;h=640", "https://si.geilicdn.com/open1839115443-252808396-25410000019b3590ef280a231226_1340_1785.jpg?w=640&amp;h=640")</f>
        <v>https://si.geilicdn.com/open1839115443-252808396-25410000019b3590ef280a231226_1340_1785.jpg?w=640&amp;h=640</v>
      </c>
      <c r="F74" t="inlineStr">
        <is>
          <t>T-Shirts</t>
        </is>
      </c>
      <c r="G74" t="inlineStr">
        <is>
          <t>Other</t>
        </is>
      </c>
      <c r="H74" t="inlineStr">
        <is>
          <t>97.00</t>
        </is>
      </c>
      <c r="I74">
        <v>14.06</v>
      </c>
      <c r="J74" t="inlineStr">
        <is>
          <t>{"choices":[{"finish_reason":"stop","index":0,"logprobs":null,"message":{"annotations":[],"content":"The Boys Graphic Gray Sweatshirt Unisex Streetwear Top","refusal":null,"role":"assistant"}}],"created":1776666960,"id":"chatcmpl-DWcWeX029GDCu6icxRuj9B12Pmi9Q","model":"gpt-5-chat-latest","object":"chat.completion","service_tier":"default","system_fingerprint":"fp_ad66631dec","usage":{"completion_tokens":12,"completion_tokens_details":{"accepted_prediction_tokens":0,"audio_tokens":0,"reasoning_tokens":0,"rejected_prediction_tokens":0},"prompt_tokens":879,"prompt_tokens_details":{"audio_tokens":0,"cached_tokens":0},"total_tokens":891}}</t>
        </is>
      </c>
      <c r="K74" t="inlineStr">
        <is>
          <t>The Boys Graphic Gray Sweatshirt Unisex Streetwear Top</t>
        </is>
      </c>
      <c r="L74" t="inlineStr">
        <is>
          <t>{"choices":[{"finish_reason":"stop","index":0,"logprobs":null,"message":{"annotations":[],"content":"T-ShirtsOther The Boys gray sweatshirt features bold comic-style prints, soft cotton fabric, and a unisex loose fit for a trendy streetwear look, perfect for daily casual or urban fashion.","refusal":null,"role":"assistant"}}],"created":1776658760,"id":"chatcmpl-DWaOOo4izAogVu3jA4cA48F0QOWfY","model":"gpt-5-chat-latest","object":"chat.completion","service_tier":"default","system_fingerprint":"fp_ad66631dec","usage":{"completion_tokens":39,"completion_tokens_details":{"accepted_prediction_tokens":0,"audio_tokens":0,"reasoning_tokens":0,"rejected_prediction_tokens":0},"prompt_tokens":915,"prompt_tokens_details":{"audio_tokens":0,"cached_tokens":0},"total_tokens":954}}</t>
        </is>
      </c>
      <c r="M74" t="inlineStr">
        <is>
          <t>{"alt-svc":"h3=\":443\"; ma=2592000","apim-request-id":"626ceba9-e995-4cda-b8d6-529ae9677111","azureml-model-session":"d20260402075109-1fc5a0ec","cache-control":"no-cache","connection":"close","content-length":"776","content-security-policy":"frame-ancestors 'self'","content-type":"application/json","date":"Mon, 20 Apr 2026 04:19:21 GMT","server":"Caddy","skip-error-remapping":"true","strict-transport-security":"max-age=31536000; includeSubDomains; preload","via":"1.1 Caddy","x-api-request-id":"202604201219191537216216ChCn3Nv","x-content-type-options":"nosniff","x-frame-options":"SAMEORIGIN","x-ms-client-request-id":"Not-Set","x-ms-is-spilled-over":"false","x-ms-rai-invoked":"true","x-ms-region":"East US 2","x-new-api-version":"0.4.39","x-oneapi-request-id":"20260420041919890036398268d9d6IsrrrWTK","x-ratelimit-abusepenalty-active":"False","x-ratelimit-limit-requests":"3850","x-ratelimit-limit-tokens":"3850000","x-ratelimit-remaining-requests":"3849","x-ratelimit-remaining-tokens":"3848323","x-ratelimit-renewalperiod-requests":"60","x-ratelimit-renewalperiod-tokens":"60","x-ratelimit-reset-requests":"15","x-ratelimit-reset-tokens":"26","x-request-id":"eaefb8dd-e093-4a27-b485-46d0f1ebfdda"}</t>
        </is>
      </c>
      <c r="N74" t="inlineStr">
        <is>
          <t>T-ShirtsOther The Boys gray sweatshirt features bold comic-style prints, soft cotton fabric, and a unisex loose fit for a trendy streetwear look, perfect for daily casual or urban fashion.</t>
        </is>
      </c>
      <c r="O74" t="inlineStr">
        <is>
          <t>{"choices":[{"finish_reason":"stop","index":0,"logprobs":null,"message":{"annotations":[],"content":"The Boys, T-Shirts, kakobuy, kakebuy2026, kekobuysheet, kakobuysheet2026, 2026kakobuy, kakobuyspreadsheeet, kakobuylink, kakebuylist, Kakobuy MEGA Spreadsheet, kakobuysheetfind, kakobuysheetfind2026, 2026kakobuysheetfind, kakobuysheet2026","refusal":null,"role":"assistant"}}],"created":1776667149,"id":"chatcmpl-DWcZhwK5kpJFu8DvGqh3619gG4lBW","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74" t="inlineStr">
        <is>
          <t>The Boys, T-Shirts, kakobuy, kakebuy2026, kekobuysheet, kakobuysheet2026, 2026kakobuy, kakobuyspreadsheeet, kakobuylink, kakebuylist, Kakobuy MEGA Spreadsheet, kakobuysheetfind, kakobuysheetfind2026, 2026kakobuysheetfind, kakobuysheet2026</t>
        </is>
      </c>
      <c r="Q74" t="inlineStr">
        <is>
          <t>Gray, Streetwear, Unisex</t>
        </is>
      </c>
      <c r="R74" t="inlineStr">
        <is>
          <t>recvh6xFVjblqO</t>
        </is>
      </c>
      <c r="S74" t="inlineStr">
        <is>
          <t>boys-graphic-gray-sweatshirt-recvh6xFVjblqO</t>
        </is>
      </c>
      <c r="T74"/>
      <c r="U74"/>
      <c r="V74"/>
      <c r="W74" t="inlineStr">
        <is>
          <t>{"id":"chatcmpl-DWZNHRB5Pv2Gsbv1Yy0TKJPpimjpJ","object":"chat.completion","created":1776654847,"model":"gpt-5-chat-latest","choices":[{"index":0,"message":{"role":"assistant","content":"潮流系列灰色印花卫衣，采用柔软棉质面料，胸前漫画风格人物与“The Boys”字样图腾设计，色彩大胆饱满，展现街头美学与个性态度。宽松版型舒适百搭，男女皆宜，适合日常休闲或潮流出街穿搭。","refusal":null,"annotations":[]},"logprobs":null,"finish_reason":"stop"}],"usage":{"prompt_tokens":1309,"completion_tokens":82,"total_tokens":1391,"prompt_tokens_details":{"cached_tokens":1280,"audio_tokens":0},"completion_tokens_details":{"reasoning_tokens":0,"audio_tokens":0,"accepted_prediction_tokens":0,"rejected_prediction_tokens":0}},"service_tier":"default","system_fingerprint":"fp_ad66631dec"}</t>
        </is>
      </c>
      <c r="X74" t="inlineStr">
        <is>
          <t>潮流系列灰色印花卫衣，采用柔软棉质面料，胸前漫画风格人物与“The Boys”字样图腾设计，色彩大胆饱满，展现街头美学与个性态度。宽松版型舒适百搭，男女皆宜，适合日常休闲或潮流出街穿搭。</t>
        </is>
      </c>
    </row>
    <row r="75" ht="25.5" customHeight="1">
      <c r="A75">
        <v>1839115443</v>
      </c>
      <c r="B75">
        <v>7635939203</v>
      </c>
      <c r="C75" t="inlineStr">
        <is>
          <t>https://weidian.com/item.html?itemID=7635939203</t>
        </is>
      </c>
      <c r="D75"/>
      <c r="E75" s="2" t="str">
        <f>=HYPERLINK("https://si.geilicdn.com/open1839115443-252808396-3ac80000019b3590ecec0aa086a7_1340_1785.jpg?w=640&amp;h=640", "https://si.geilicdn.com/open1839115443-252808396-3ac80000019b3590ecec0aa086a7_1340_1785.jpg?w=640&amp;h=640")</f>
        <v>https://si.geilicdn.com/open1839115443-252808396-3ac80000019b3590ecec0aa086a7_1340_1785.jpg?w=640&amp;h=640</v>
      </c>
      <c r="F75" t="inlineStr">
        <is>
          <t>T-Shirts</t>
        </is>
      </c>
      <c r="G75" t="inlineStr">
        <is>
          <t>Jack Jones</t>
        </is>
      </c>
      <c r="H75" t="inlineStr">
        <is>
          <t>63.00</t>
        </is>
      </c>
      <c r="I75">
        <v>9.13</v>
      </c>
      <c r="J75" t="inlineStr">
        <is>
          <t>{"choices":[{"finish_reason":"stop","index":0,"logprobs":null,"message":{"annotations":[],"content":"Jack &amp; Jones 90s Vintage Logo White Cotton T-Shirt","refusal":null,"role":"assistant"}}],"created":1776666140,"id":"chatcmpl-DWcJQQw5rbf33R26HX9x12AimhTzD","model":"gpt-5-chat-latest","object":"chat.completion","service_tier":"default","system_fingerprint":"fp_ad66631dec","usage":{"completion_tokens":13,"completion_tokens_details":{"accepted_prediction_tokens":0,"audio_tokens":0,"reasoning_tokens":0,"rejected_prediction_tokens":0},"prompt_tokens":876,"prompt_tokens_details":{"audio_tokens":0,"cached_tokens":0},"total_tokens":889}}</t>
        </is>
      </c>
      <c r="K75" t="inlineStr">
        <is>
          <t>Jack &amp; Jones 90s Vintage Logo White Cotton T-Shirt</t>
        </is>
      </c>
      <c r="L75" t="inlineStr">
        <is>
          <t>{"choices":[{"finish_reason":"stop","index":0,"logprobs":null,"message":{"annotations":[],"content":"Jack &amp; Jones white cotton T-shirt with black vintage logo, inspired by 90s street style. Soft, breathable, unisex loose fit for effortless everyday fashion and casual wear.","refusal":null,"role":"assistant"}}],"created":1776658550,"id":"chatcmpl-DWaL0rQcD0duSJ0YczqXqVd9RcVw3","model":"gpt-5-chat-latest","object":"chat.completion","service_tier":"default","system_fingerprint":"fp_ad66631dec","usage":{"completion_tokens":37,"completion_tokens_details":{"accepted_prediction_tokens":0,"audio_tokens":0,"reasoning_tokens":0,"rejected_prediction_tokens":0},"prompt_tokens":910,"prompt_tokens_details":{"audio_tokens":0,"cached_tokens":0},"total_tokens":947}}</t>
        </is>
      </c>
      <c r="M75" t="inlineStr">
        <is>
          <t>{"alt-svc":"h3=\":443\"; ma=2592000","apim-request-id":"6fad010d-de52-42db-9202-75201c25dde1","azureml-model-session":"d20260402075109-1fc5a0ec","cache-control":"no-cache","connection":"close","content-length":"765","content-security-policy":"frame-ancestors 'self'","content-type":"application/json","date":"Mon, 20 Apr 2026 04:15:51 GMT","server":"Caddy","skip-error-remapping":"true","strict-transport-security":"max-age=31536000; includeSubDomains; preload","via":"1.1 Caddy","x-api-request-id":"20260420121549600189182HWW75YPM","x-content-type-options":"nosniff","x-frame-options":"SAMEORIGIN","x-ms-client-request-id":"Not-Set","x-ms-is-spilled-over":"false","x-ms-rai-invoked":"true","x-ms-region":"East US 2","x-new-api-version":"0.4.39","x-oneapi-request-id":"202604200415495345661418268d9d6zmSBoAJs","x-ratelimit-abusepenalty-active":"False","x-ratelimit-limit-requests":"3850","x-ratelimit-limit-tokens":"3850000","x-ratelimit-remaining-requests":"3849","x-ratelimit-remaining-tokens":"3848328","x-ratelimit-renewalperiod-requests":"60","x-ratelimit-renewalperiod-tokens":"60","x-ratelimit-reset-requests":"15","x-ratelimit-reset-tokens":"26","x-request-id":"2c2255c4-d6f7-4273-b0f7-c6b208af410f"}</t>
        </is>
      </c>
      <c r="N75" t="inlineStr">
        <is>
          <t>Jack &amp; Jones white cotton T-shirt with black vintage logo, inspired by 90s street style. Soft, breathable, unisex loose fit for effortless everyday fashion and casual wear.</t>
        </is>
      </c>
      <c r="O75" t="inlineStr">
        <is>
          <t>{"choices":[{"finish_reason":"stop","index":0,"logprobs":null,"message":{"annotations":[],"content":"Jack Jones, T-Shirts, kakobuy, kakebuy2026, kekobuysheet, kakobuysheet2026, 2026kakobuy, kakobuyspreadsheeet, kakobuylink, kakebuylist, Kakobuy MEGA Spreadsheet, kakobuysheetfind, kakobuysheetfind2026, 2026kakobuysheetfind, kakobuysheet2026","refusal":null,"role":"assistant"}}],"created":1776667657,"id":"chatcmpl-DWchtvBJ4x2FbEkM4tgeeEFVxyeeb","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75" t="inlineStr">
        <is>
          <t>Jack Jones, T-Shirts, kakobuy, kakebuy2026, kekobuysheet, kakobuysheet2026, 2026kakobuy, kakobuyspreadsheeet, kakobuylink, kakebuylist, Kakobuy MEGA Spreadsheet, kakobuysheetfind, kakobuysheetfind2026, 2026kakobuysheetfind, kakobuysheet2026</t>
        </is>
      </c>
      <c r="Q75" t="inlineStr">
        <is>
          <t>White, Breathable, Unisex, Retro, Streetwear</t>
        </is>
      </c>
      <c r="R75" t="inlineStr">
        <is>
          <t>recvh6xFVjeJ9a</t>
        </is>
      </c>
      <c r="S75" t="inlineStr">
        <is>
          <t>jack-jones-90s-vintage-logo-white-cotton-t-shirt-recvh6xfvjej9a</t>
        </is>
      </c>
      <c r="T75"/>
      <c r="U75"/>
      <c r="V75"/>
      <c r="W75" t="inlineStr">
        <is>
          <t>{"id":"chatcmpl-DWZRupGhm8PI3BLJdLvh8VzyoYoeX","object":"chat.completion","created":1776655134,"model":"gpt-5-chat-latest","choices":[{"index":0,"message":{"role":"assistant","content":"Jack Jones白色休闲印花T恤，采用优质纯棉面料，舒适透气。胸前黑色复古字母Logo设计，融合90年代街头风格，宽松版型彰显随性态度，男女皆宜，适合日常休闲与潮流穿搭。","refusal":null,"annotations":[]},"logprobs":null,"finish_reason":"stop"}],"usage":{"prompt_tokens":1318,"completion_tokens":73,"total_tokens":1391,"prompt_tokens_details":{"cached_tokens":0,"audio_tokens":0},"completion_tokens_details":{"reasoning_tokens":0,"audio_tokens":0,"accepted_prediction_tokens":0,"rejected_prediction_tokens":0}},"service_tier":"default","system_fingerprint":"fp_ad66631dec"}</t>
        </is>
      </c>
      <c r="X75" t="inlineStr">
        <is>
          <t>Jack Jones白色休闲印花T恤，采用优质纯棉面料，舒适透气。胸前黑色复古字母Logo设计，融合90年代街头风格，宽松版型彰显随性态度，男女皆宜，适合日常休闲与潮流穿搭。</t>
        </is>
      </c>
    </row>
    <row r="76" ht="25.5" customHeight="1">
      <c r="A76">
        <v>1839115443</v>
      </c>
      <c r="B76">
        <v>7639057708</v>
      </c>
      <c r="C76" t="inlineStr">
        <is>
          <t>https://weidian.com/item.html?itemID=7639057708</t>
        </is>
      </c>
      <c r="D76"/>
      <c r="E76" s="2" t="str">
        <f>=HYPERLINK("https://si.geilicdn.com/open1839115443-252808396-12f60000019b3591068c0a8133b0_1340_1785.jpg?w=640&amp;h=640", "https://si.geilicdn.com/open1839115443-252808396-12f60000019b3591068c0a8133b0_1340_1785.jpg?w=640&amp;h=640")</f>
        <v>https://si.geilicdn.com/open1839115443-252808396-12f60000019b3591068c0a8133b0_1340_1785.jpg?w=640&amp;h=640</v>
      </c>
      <c r="F76" t="inlineStr">
        <is>
          <t>T-Shirts</t>
        </is>
      </c>
      <c r="G76" t="inlineStr">
        <is>
          <t>Aeronautica Militare</t>
        </is>
      </c>
      <c r="H76" t="inlineStr">
        <is>
          <t>63.00</t>
        </is>
      </c>
      <c r="I76">
        <v>9.13</v>
      </c>
      <c r="J76" t="inlineStr">
        <is>
          <t>{"choices":[{"finish_reason":"stop","index":0,"logprobs":null,"message":{"annotations":[],"content":"Aeronautica Militare White Gold Eagle T-Shirt","refusal":null,"role":"assistant"}}],"created":1776666735,"id":"chatcmpl-DWcT1V6vDGJivlGbMjswGa3pW369c","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76" t="inlineStr">
        <is>
          <t>Aeronautica Militare White Gold Eagle T-Shirt</t>
        </is>
      </c>
      <c r="L76" t="inlineStr">
        <is>
          <t>{"choices":[{"finish_reason":"stop","index":0,"logprobs":null,"message":{"annotations":[],"content":"Aeronautica Militare White Cotton T-Shirt with Gold Eagle Logo, Italian Air Force inspired design, unisex loose fit, casual luxury style for modern urban fashion lovers.","refusal":null,"role":"assistant"}}],"created":1776658877,"id":"chatcmpl-DWaQHvjUxH4R2656KAG14f5PXl0Oc","model":"gpt-5-chat-latest","object":"chat.completion","service_tier":"default","system_fingerprint":"fp_ad66631dec","usage":{"completion_tokens":35,"completion_tokens_details":{"accepted_prediction_tokens":0,"audio_tokens":0,"reasoning_tokens":0,"rejected_prediction_tokens":0},"prompt_tokens":911,"prompt_tokens_details":{"audio_tokens":0,"cached_tokens":0},"total_tokens":946}}</t>
        </is>
      </c>
      <c r="M76" t="inlineStr">
        <is>
          <t>{"alt-svc":"h3=\":443\"; ma=2592000","apim-request-id":"6640e89d-1212-4195-bc81-05c20048a999","azureml-model-session":"d20260405234249-f9874baf","cache-control":"no-cache","connection":"close","content-length":"757","content-security-policy":"frame-ancestors 'self'","content-type":"application/json","date":"Mon, 20 Apr 2026 04:21:18 GMT","server":"nginx","skip-error-remapping":"true","strict-transport-security":"max-age=31536000; includeSubDomains; preload","via":"1.1 Caddy, 1.1 Caddy","x-api-request-id":"20260420122116704961199RuzDOwUD","x-content-type-options":"nosniff","x-frame-options":"SAMEORIGIN","x-ms-client-request-id":"Not-Set","x-ms-is-spilled-over":"false","x-ms-rai-invoked":"true","x-ms-region":"East US 2","x-new-api-version":"0.4.39","x-oneapi-request-id":"202604200421166396133878268d9d6kmXaxW2R","x-ratelimit-abusepenalty-active":"False","x-ratelimit-limit-requests":"3850","x-ratelimit-limit-tokens":"3850000","x-ratelimit-remaining-requests":"3849","x-ratelimit-remaining-tokens":"3848327","x-ratelimit-renewalperiod-requests":"60","x-ratelimit-renewalperiod-tokens":"60","x-ratelimit-reset-requests":"15","x-ratelimit-reset-tokens":"26","x-request-id":"48ccb83c-3492-4571-868a-17e457f59a55"}</t>
        </is>
      </c>
      <c r="N76" t="inlineStr">
        <is>
          <t>Aeronautica Militare White Cotton T-Shirt with Gold Eagle Logo, Italian Air Force inspired design, unisex loose fit, casual luxury style for modern urban fashion lovers.</t>
        </is>
      </c>
      <c r="O76" t="inlineStr">
        <is>
          <t>{"choices":[{"finish_reason":"stop","index":0,"logprobs":null,"message":{"annotations":[],"content":"Aeronautica Militare, T-Shirts, kakobuy, kakebuy2026, kekobuysheet, kakobuysheet2026, 2026kakobuy, kakobuyspreadsheeet, kakobuylink, kakebuylist, Kakobuy MEGA Spreadsheet, kakobuysheetfind, kakobuysheetfind2026, 2026kakobuysheetfind, kakobuysheet2026","refusal":null,"role":"assistant"}}],"created":1776668601,"id":"chatcmpl-DWcx77VomW9fbWwHCLG1csg69aOuj","model":"gpt-5-chat-latest","object":"chat.completion","service_tier":"default","system_fingerprint":"fp_ad66631dec","usage":{"completion_tokens":95,"completion_tokens_details":{"accepted_prediction_tokens":0,"audio_tokens":0,"reasoning_tokens":0,"rejected_prediction_tokens":0},"prompt_tokens":786,"prompt_tokens_details":{"audio_tokens":0,"cached_tokens":0},"total_tokens":881}}</t>
        </is>
      </c>
      <c r="P76" t="inlineStr">
        <is>
          <t>Aeronautica Militare, T-Shirts, kakobuy, kakebuy2026, kekobuysheet, kakobuysheet2026, 2026kakobuy, kakobuyspreadsheeet, kakobuylink, kakebuylist, Kakobuy MEGA Spreadsheet, kakobuysheetfind, kakobuysheetfind2026, 2026kakobuysheetfind, kakobuysheet2026</t>
        </is>
      </c>
      <c r="Q76" t="inlineStr">
        <is>
          <t>White, Unisex, Gold</t>
        </is>
      </c>
      <c r="R76" t="inlineStr">
        <is>
          <t>recvh6xFVj1Vmk</t>
        </is>
      </c>
      <c r="S76" t="inlineStr">
        <is>
          <t>aeronautica-militare-white-gold-eagle-t-shirt-recvh6xFVj1Vmk</t>
        </is>
      </c>
      <c r="T76"/>
      <c r="U76"/>
      <c r="V76"/>
      <c r="W76" t="inlineStr">
        <is>
          <t>{"choices":[{"finish_reason":"stop","index":0,"logprobs":null,"message":{"annotations":[],"content":"Aeronautica Militare：白色休闲短袖T恤，柔软纯棉材质，胸前印有金色鹰徽与品牌标识，彰显意大利空军力量美学，简约宽松剪裁，男女皆宜，展现现代都市轻奢运动风格。","refusal":null,"role":"assistant"}}],"created":1776655012,"id":"chatcmpl-DWZPwMb3uXr2YhwdXC916dbF8SxMD","model":"gpt-5-chat-latest","object":"chat.completion","service_tier":"default","system_fingerprint":"fp_ad66631dec","usage":{"completion_tokens":70,"completion_tokens_details":{"accepted_prediction_tokens":0,"audio_tokens":0,"reasoning_tokens":0,"rejected_prediction_tokens":0},"prompt_tokens":1329,"prompt_tokens_details":{"audio_tokens":0,"cached_tokens":0},"total_tokens":1399}}</t>
        </is>
      </c>
      <c r="X76" t="inlineStr">
        <is>
          <t>Aeronautica Militare：白色休闲短袖T恤，柔软纯棉材质，胸前印有金色鹰徽与品牌标识，彰显意大利空军力量美学，简约宽松剪裁，男女皆宜，展现现代都市轻奢运动风格。</t>
        </is>
      </c>
    </row>
    <row r="77" ht="25.5" customHeight="1">
      <c r="A77">
        <v>1839115443</v>
      </c>
      <c r="B77">
        <v>7638976202</v>
      </c>
      <c r="C77" t="inlineStr">
        <is>
          <t>https://weidian.com/item.html?itemID=7638976202</t>
        </is>
      </c>
      <c r="D77"/>
      <c r="E77" s="2" t="str">
        <f>=HYPERLINK("https://si.geilicdn.com/open1839115443-252808396-12bc0000019b3590f1550a8133b0_1340_1785.jpg?w=640&amp;h=640", "https://si.geilicdn.com/open1839115443-252808396-12bc0000019b3590f1550a8133b0_1340_1785.jpg?w=640&amp;h=640")</f>
        <v>https://si.geilicdn.com/open1839115443-252808396-12bc0000019b3590f1550a8133b0_1340_1785.jpg?w=640&amp;h=640</v>
      </c>
      <c r="F77" t="inlineStr">
        <is>
          <t>Hoodies</t>
        </is>
      </c>
      <c r="G77" t="inlineStr">
        <is>
          <t>Other</t>
        </is>
      </c>
      <c r="H77" t="inlineStr">
        <is>
          <t>91.00</t>
        </is>
      </c>
      <c r="I77">
        <v>13.19</v>
      </c>
      <c r="J77" t="inlineStr">
        <is>
          <t>{"choices":[{"finish_reason":"stop","index":0,"logprobs":null,"message":{"annotations":[],"content":"POPEYE Blue Cartoon Print Unisex Cotton Hoodie","refusal":null,"role":"assistant"}}],"created":1776666565,"id":"chatcmpl-DWcQHz0Qlfgi0B1MDv7TemPVHwR73","model":"gpt-5-chat-latest","object":"chat.completion","service_tier":"default","system_fingerprint":"fp_ad66631dec","usage":{"completion_tokens":11,"completion_tokens_details":{"accepted_prediction_tokens":0,"audio_tokens":0,"reasoning_tokens":0,"rejected_prediction_tokens":0},"prompt_tokens":874,"prompt_tokens_details":{"audio_tokens":0,"cached_tokens":0},"total_tokens":885}}</t>
        </is>
      </c>
      <c r="K77" t="inlineStr">
        <is>
          <t>POPEYE Blue Cartoon Print Unisex Cotton Hoodie</t>
        </is>
      </c>
      <c r="L77" t="inlineStr">
        <is>
          <t>{"choices":[{"finish_reason":"stop","index":0,"logprobs":null,"message":{"annotations":[],"content":"POPEYE Blue Cartoon Print Hoodie, made from soft cotton fabric for warmth and comfort. Features bold character graphics and lettering, unisex loose fit for casual streetwear style.","refusal":null,"role":"assistant"}}],"created":1776658683,"id":"chatcmpl-DWaN9ya2elnmfrGU0BcqpSvSf0gAo","model":"gpt-5-chat-latest","object":"chat.completion","service_tier":"default","system_fingerprint":"fp_ad66631dec","usage":{"completion_tokens":36,"completion_tokens_details":{"accepted_prediction_tokens":0,"audio_tokens":0,"reasoning_tokens":0,"rejected_prediction_tokens":0},"prompt_tokens":906,"prompt_tokens_details":{"audio_tokens":0,"cached_tokens":0},"total_tokens":942}}</t>
        </is>
      </c>
      <c r="M77" t="inlineStr">
        <is>
          <t>{"alt-svc":"h3=\":443\"; ma=2592000","apim-request-id":"fc696f0f-e6a5-4109-aa97-254e5f67471b","azureml-model-session":"d20260402083108-57a85543","cache-control":"no-cache","connection":"close","content-length":"768","content-security-policy":"frame-ancestors 'self'","content-type":"application/json","date":"Mon, 20 Apr 2026 04:18:04 GMT","server":"nginx","skip-error-remapping":"true","strict-transport-security":"max-age=31536000; includeSubDomains; preload","via":"1.1 Caddy, 1.1 Caddy","x-api-request-id":"20260420121802244170876N9pojBiF","x-content-type-options":"nosniff","x-frame-options":"SAMEORIGIN","x-ms-client-request-id":"Not-Set","x-ms-is-spilled-over":"false","x-ms-rai-invoked":"true","x-ms-region":"East US 2","x-new-api-version":"0.4.39","x-oneapi-request-id":"202604200418021782317868268d9d6rNDfDNZn","x-ratelimit-abusepenalty-active":"False","x-ratelimit-limit-requests":"3850","x-ratelimit-limit-tokens":"3850000","x-ratelimit-remaining-requests":"3849","x-ratelimit-remaining-tokens":"3848332","x-ratelimit-renewalperiod-requests":"60","x-ratelimit-renewalperiod-tokens":"60","x-ratelimit-reset-requests":"15","x-ratelimit-reset-tokens":"25","x-request-id":"b7382a52-0d68-4508-9522-71e2701467fe"}</t>
        </is>
      </c>
      <c r="N77" t="inlineStr">
        <is>
          <t>POPEYE Blue Cartoon Print Hoodie, made from soft cotton fabric for warmth and comfort. Features bold character graphics and lettering, unisex loose fit for casual streetwear style.</t>
        </is>
      </c>
      <c r="O77" t="inlineStr">
        <is>
          <t>{"choices":[{"finish_reason":"stop","index":0,"logprobs":null,"message":{"annotations":[],"content":"Popeye,Hoodies,kakobuy,kakebuy2026,kekobuysheet,kakobuysheet2026,2026kakobuy,kakobuyspreadsheeet,kakobuylink,kakebuylist,Kakobuy MEGA Spreadsheet,kakobuysheetfind,kakobuysheetfind2026,2026kakobuysheetfind,kakobuysheet2026","refusal":null,"role":"assistant"}}],"created":1776667548,"id":"chatcmpl-DWcg8XHVFhvyq7OmLEAOElx6kNFY0","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77" t="inlineStr">
        <is>
          <t>Popeye,Hoodies,kakobuy,kakebuy2026,kekobuysheet,kakobuysheet2026,2026kakobuy,kakobuyspreadsheeet,kakobuylink,kakebuylist,Kakobuy MEGA Spreadsheet,kakobuysheetfind,kakobuysheetfind2026,2026kakobuysheetfind,kakobuysheet2026</t>
        </is>
      </c>
      <c r="Q77" t="inlineStr">
        <is>
          <t>Blue, Streetwear, Unisex</t>
        </is>
      </c>
      <c r="R77" t="inlineStr">
        <is>
          <t>recvh6xFVjcsue</t>
        </is>
      </c>
      <c r="S77" t="inlineStr">
        <is>
          <t>popeye-blue-cartoon-print-hoodie-recvh6xfvjcsue</t>
        </is>
      </c>
      <c r="T77"/>
      <c r="U77"/>
      <c r="V77"/>
      <c r="W77" t="inlineStr">
        <is>
          <t>{"choices":[{"finish_reason":"stop","index":0,"logprobs":null,"message":{"annotations":[],"content":"蓝色卡通印花连帽卫衣，柔软棉质面料舒适保暖，正面趣味人物与醒目字母图腾结合，展现街头潮流风格，宽松版型兼顾男女皆宜，休闲百搭彰显个性活力。","refusal":null,"role":"assistant"}}],"created":1776656256,"id":"chatcmpl-DWZk0Le6cafemjO75VMITPj4jLYFh","model":"gpt-5-chat-latest","object":"chat.completion","service_tier":"default","system_fingerprint":"fp_ad66631dec","usage":{"completion_tokens":68,"completion_tokens_details":{"accepted_prediction_tokens":0,"audio_tokens":0,"reasoning_tokens":0,"rejected_prediction_tokens":0},"prompt_tokens":1318,"prompt_tokens_details":{"audio_tokens":0,"cached_tokens":0},"total_tokens":1386}}</t>
        </is>
      </c>
      <c r="X77" t="inlineStr">
        <is>
          <t>蓝色卡通印花连帽卫衣，柔软棉质面料舒适保暖，正面趣味人物与醒目字母图腾结合，展现街头潮流风格，宽松版型兼顾男女皆宜，休闲百搭彰显个性活力。</t>
        </is>
      </c>
    </row>
    <row r="78" ht="25.5" customHeight="1">
      <c r="A78">
        <v>1839115443</v>
      </c>
      <c r="B78">
        <v>7638980046</v>
      </c>
      <c r="C78" t="inlineStr">
        <is>
          <t>https://weidian.com/item.html?itemID=7638980046</t>
        </is>
      </c>
      <c r="D78"/>
      <c r="E78" s="2" t="str">
        <f>=HYPERLINK("https://si.geilicdn.com/open1839115443-252808396-1f410000019b3590e5d30a23b491_1340_1785.jpg?w=640&amp;h=640", "https://si.geilicdn.com/open1839115443-252808396-1f410000019b3590e5d30a23b491_1340_1785.jpg?w=640&amp;h=640")</f>
        <v>https://si.geilicdn.com/open1839115443-252808396-1f410000019b3590e5d30a23b491_1340_1785.jpg?w=640&amp;h=640</v>
      </c>
      <c r="F78" t="inlineStr">
        <is>
          <t>T-Shirts</t>
        </is>
      </c>
      <c r="G78" t="inlineStr">
        <is>
          <t>Jack Jones</t>
        </is>
      </c>
      <c r="H78" t="inlineStr">
        <is>
          <t>63.00</t>
        </is>
      </c>
      <c r="I78">
        <v>9.13</v>
      </c>
      <c r="J78" t="inlineStr">
        <is>
          <t>{"choices":[{"finish_reason":"stop","index":0,"logprobs":null,"message":{"annotations":[],"content":"Jack &amp; Jones Worldwide Black Logo Unisex T-Shirt","refusal":null,"role":"assistant"}}],"created":1776666902,"id":"chatcmpl-DWcViC8NVunSULRVX9v7ud9RbG8p8","model":"gpt-5-chat-latest","object":"chat.completion","service_tier":"default","system_fingerprint":"fp_ad66631dec","usage":{"completion_tokens":11,"completion_tokens_details":{"accepted_prediction_tokens":0,"audio_tokens":0,"reasoning_tokens":0,"rejected_prediction_tokens":0},"prompt_tokens":880,"prompt_tokens_details":{"audio_tokens":0,"cached_tokens":0},"total_tokens":891}}</t>
        </is>
      </c>
      <c r="K78" t="inlineStr">
        <is>
          <t>Jack &amp; Jones Worldwide Black Logo Unisex T-Shirt</t>
        </is>
      </c>
      <c r="L78" t="inlineStr">
        <is>
          <t>{"choices":[{"finish_reason":"stop","index":0,"logprobs":null,"message":{"annotations":[],"content":"Jack &amp; Jones Worldwide Black Unisex T-Shirt – soft cotton, relaxed fit, bold orange and gray logo for a casual urban style. Versatile, trendy, and comfortable for everyday wear.","refusal":null,"role":"assistant"}}],"created":1776658371,"id":"chatcmpl-DWaI7JFdPGoUySkXmkBYoYrqehSVe","model":"gpt-5-chat-latest","object":"chat.completion","service_tier":"default","system_fingerprint":"fp_ad66631dec","usage":{"completion_tokens":39,"completion_tokens_details":{"accepted_prediction_tokens":0,"audio_tokens":0,"reasoning_tokens":0,"rejected_prediction_tokens":0},"prompt_tokens":894,"prompt_tokens_details":{"audio_tokens":0,"cached_tokens":0},"total_tokens":933}}</t>
        </is>
      </c>
      <c r="M78" t="inlineStr">
        <is>
          <t>{"alt-svc":"h3=\":443\"; ma=2592000","apim-request-id":"8d3c851e-b4ca-4419-88d1-4fc1605e58a3","azureml-model-session":"d20260405234249-f9874baf","cache-control":"no-cache","connection":"close","content-length":"772","content-security-policy":"frame-ancestors 'self'","content-type":"application/json","date":"Mon, 20 Apr 2026 04:12:52 GMT","server":"nginx","skip-error-remapping":"true","strict-transport-security":"max-age=31536000; includeSubDomains; preload","via":"1.1 Caddy, 1.1 Caddy","x-api-request-id":"20260420121250864678469FdzVZSIn","x-content-type-options":"nosniff","x-frame-options":"SAMEORIGIN","x-ms-client-request-id":"Not-Set","x-ms-is-spilled-over":"false","x-ms-rai-invoked":"true","x-ms-region":"East US 2","x-new-api-version":"0.4.39","x-oneapi-request-id":"202604200412507603967388268d9d6LEZbM6Ve","x-ratelimit-abusepenalty-active":"False","x-ratelimit-limit-requests":"3850","x-ratelimit-limit-tokens":"3850000","x-ratelimit-remaining-requests":"3848","x-ratelimit-remaining-tokens":"3835869","x-ratelimit-renewalperiod-requests":"60","x-ratelimit-renewalperiod-tokens":"60","x-ratelimit-reset-requests":"28","x-ratelimit-reset-tokens":"220","x-request-id":"20cb225b-b6ec-426b-92fb-8ae2722ebc9a"}</t>
        </is>
      </c>
      <c r="N78" t="inlineStr">
        <is>
          <t>Jack &amp; Jones Worldwide Black Unisex T-Shirt – soft cotton, relaxed fit, bold orange and gray logo for a casual urban style. Versatile, trendy, and comfortable for everyday wear.</t>
        </is>
      </c>
      <c r="O78" t="inlineStr">
        <is>
          <t>{"choices":[{"finish_reason":"stop","index":0,"logprobs":null,"message":{"annotations":[],"content":"Jack Jones, T-Shirts, kakobuy, kakebuy2026, kekobuysheet, kakobuysheet2026, 2026kakobuy, kakobuyspreadsheeet, kakobuylink, kakebuylist, Kakobuy MEGA Spreadsheet, kakobuysheetfind, kakobuysheetfind2026, 2026kakobuysheetfind, kakobuysheet2026","refusal":null,"role":"assistant"}}],"created":1776667348,"id":"chatcmpl-DWccufGeubmTpjOylqMUEVg2ScUdb","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78" t="inlineStr">
        <is>
          <t>Jack Jones, T-Shirts, kakobuy, kakebuy2026, kekobuysheet, kakobuysheet2026, 2026kakobuy, kakobuyspreadsheeet, kakobuylink, kakebuylist, Kakobuy MEGA Spreadsheet, kakobuysheetfind, kakobuysheetfind2026, 2026kakobuysheetfind, kakobuysheet2026</t>
        </is>
      </c>
      <c r="Q78" t="inlineStr">
        <is>
          <t>Unisex, Black, Orange, Grey</t>
        </is>
      </c>
      <c r="R78" t="inlineStr">
        <is>
          <t>recvh6xFVjF06u</t>
        </is>
      </c>
      <c r="S78" t="inlineStr">
        <is>
          <t>jack-jones-worldwide-black-logo-unisex-t-shirt-recvh6xfvjf06u</t>
        </is>
      </c>
      <c r="T78"/>
      <c r="U78"/>
      <c r="V78"/>
      <c r="W78" t="inlineStr">
        <is>
          <t>{"choices":[{"finish_reason":"stop","index":0,"logprobs":null,"message":{"annotations":[],"content":"Jack Jones：黑色WORLDWIDE系列短袖T恤，柔软纯棉材质，宽松剪裁搭配橙灰撞色LOGO设计，展现都市休闲风格，男女皆宜，时尚百搭。","refusal":null,"role":"assistant"}}],"created":1776655814,"id":"chatcmpl-DWZcsWw5MHYKR3dXjhK33AQ05wOK0","model":"gpt-5-chat-latest","object":"chat.completion","service_tier":"default","system_fingerprint":"fp_ad66631dec","usage":{"completion_tokens":56,"completion_tokens_details":{"accepted_prediction_tokens":0,"audio_tokens":0,"reasoning_tokens":0,"rejected_prediction_tokens":0},"prompt_tokens":1320,"prompt_tokens_details":{"audio_tokens":0,"cached_tokens":0},"total_tokens":1376}}</t>
        </is>
      </c>
      <c r="X78" t="inlineStr">
        <is>
          <t>Jack Jones：黑色WORLDWIDE系列短袖T恤，柔软纯棉材质，宽松剪裁搭配橙灰撞色LOGO设计，展现都市休闲风格，男女皆宜，时尚百搭。</t>
        </is>
      </c>
    </row>
    <row r="79" ht="25.5" customHeight="1">
      <c r="A79">
        <v>1839115443</v>
      </c>
      <c r="B79">
        <v>7635909447</v>
      </c>
      <c r="C79" t="inlineStr">
        <is>
          <t>https://weidian.com/item.html?itemID=7635909447</t>
        </is>
      </c>
      <c r="D79"/>
      <c r="E79" s="2" t="str">
        <f>=HYPERLINK("https://si.geilicdn.com/open1839115443-252808396-78a20000019b35661bca0a8115c2_1000_1000.jpg?w=750&amp;h=750&amp;cp=1", "https://si.geilicdn.com/open1839115443-252808396-78a20000019b35661bca0a8115c2_1000_1000.jpg?w=750&amp;h=750&amp;cp=1")</f>
        <v>https://si.geilicdn.com/open1839115443-252808396-78a20000019b35661bca0a8115c2_1000_1000.jpg?w=750&amp;h=750&amp;cp=1</v>
      </c>
      <c r="F79" t="inlineStr">
        <is>
          <t>T-Shirts</t>
        </is>
      </c>
      <c r="G79" t="inlineStr">
        <is>
          <t xml:space="preserve"> Essentials</t>
        </is>
      </c>
      <c r="H79" t="inlineStr">
        <is>
          <t>201.00</t>
        </is>
      </c>
      <c r="I79">
        <v>29.13</v>
      </c>
      <c r="J79" t="inlineStr">
        <is>
          <t>{"id":"chatcmpl-DWcLsIzYeav88p8iG5WDF1UhaEHio","object":"chat.completion","created":1776666292,"model":"gpt-5-chat-latest","choices":[{"index":0,"message":{"role":"assistant","content":"Essentials Beige Heavy Cotton Unisex T-Shirt","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79" t="inlineStr">
        <is>
          <t>Essentials Beige Heavy Cotton Unisex T-Shirt</t>
        </is>
      </c>
      <c r="L79" t="inlineStr">
        <is>
          <t>{"choices":[{"finish_reason":"stop","index":0,"logprobs":null,"message":{"annotations":[],"content":"Essentials T-Shirt: Beige heavy cotton tee with soft skin-friendly texture, classic logo on chest and back, loose fit unisex design for casual streetwear with California urban style.","refusal":null,"role":"assistant"}}],"created":1776658911,"id":"chatcmpl-DWaQpI1oG7banGG3RS0YeBZ6VYRDG","model":"gpt-5-chat-latest","object":"chat.completion","service_tier":"default","system_fingerprint":"fp_ad66631dec","usage":{"completion_tokens":37,"completion_tokens_details":{"accepted_prediction_tokens":0,"audio_tokens":0,"reasoning_tokens":0,"rejected_prediction_tokens":0},"prompt_tokens":940,"prompt_tokens_details":{"audio_tokens":0,"cached_tokens":0},"total_tokens":977}}</t>
        </is>
      </c>
      <c r="M79" t="inlineStr">
        <is>
          <t>{"alt-svc":"h3=\":443\"; ma=2592000","apim-request-id":"a5c54ac2-db8c-4517-8855-ebc36aba54be","azureml-model-session":"d20260402083108-57a85543","cache-control":"no-cache","connection":"close","content-length":"770","content-security-policy":"frame-ancestors 'self'","content-type":"application/json","date":"Mon, 20 Apr 2026 04:21:53 GMT","server":"nginx","skip-error-remapping":"true","strict-transport-security":"max-age=31536000; includeSubDomains; preload","via":"1.1 Caddy, 1.1 Caddy","x-api-request-id":"2026042012215113221699qF3yFfTh","x-content-type-options":"nosniff","x-frame-options":"SAMEORIGIN","x-ms-client-request-id":"Not-Set","x-ms-is-spilled-over":"false","x-ms-rai-invoked":"true","x-ms-region":"East US 2","x-new-api-version":"0.4.39","x-oneapi-request-id":"202604200421509464013258268d9d6Hf8Kfexv","x-ratelimit-abusepenalty-active":"False","x-ratelimit-limit-requests":"3850","x-ratelimit-limit-tokens":"3850000","x-ratelimit-remaining-requests":"3849","x-ratelimit-remaining-tokens":"3848298","x-ratelimit-renewalperiod-requests":"60","x-ratelimit-renewalperiod-tokens":"60","x-ratelimit-reset-requests":"15","x-ratelimit-reset-tokens":"26","x-request-id":"c5148064-7b11-4d3a-8ef9-4f28ce8c973a"}</t>
        </is>
      </c>
      <c r="N79" t="inlineStr">
        <is>
          <t>Essentials T-Shirt: Beige heavy cotton tee with soft skin-friendly texture, classic logo on chest and back, loose fit unisex design for casual streetwear with California urban style.</t>
        </is>
      </c>
      <c r="O79" t="inlineStr">
        <is>
          <t>{"choices":[{"finish_reason":"stop","index":0,"logprobs":null,"message":{"annotations":[],"content":"Essentials,T-Shirts,kakobuy,kakebuy2026,kekobuysheet,kakobuysheet2026,2026kakobuy,kakobuyspreadsheeet,kakobuylink,kakebuylist,Kakobuy MEGA Spreadsheet,kakobuysheetfind,kakobuysheetfind2026,2026kakobuysheetfind,kakobuysheet2026","refusal":null,"role":"assistant"}}],"created":1776667385,"id":"chatcmpl-DWcdVTkZzXEQW1dv66nFTKStKRH46","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79" t="inlineStr">
        <is>
          <t>Essentials,T-Shirts,kakobuy,kakebuy2026,kekobuysheet,kakobuysheet2026,2026kakobuy,kakobuyspreadsheeet,kakobuylink,kakebuylist,Kakobuy MEGA Spreadsheet,kakobuysheetfind,kakobuysheetfind2026,2026kakobuysheetfind,kakobuysheet2026</t>
        </is>
      </c>
      <c r="Q79" t="inlineStr">
        <is>
          <t>Beige, Unisex, Streetwear, Classic</t>
        </is>
      </c>
      <c r="R79" t="inlineStr">
        <is>
          <t>recvh6xFVjcxTH</t>
        </is>
      </c>
      <c r="S79" t="inlineStr">
        <is>
          <t>essentials-beige-heavy-cotton-unisex-t-shirt-recvh6xfvjcxth</t>
        </is>
      </c>
      <c r="T79"/>
      <c r="U79"/>
      <c r="V79"/>
      <c r="W79" t="inlineStr">
        <is>
          <t>{"id":"chatcmpl-DWZgziJm0a8iRq1ASDw85hV5FrVky","object":"chat.completion","created":1776656069,"model":"gpt-5-chat-latest","choices":[{"index":0,"message":{"role":"assistant","content":"Essentials：浅米色休闲短袖T恤，选用高克重纯棉面料，质地柔软亲肤。胸前与背部印有品牌经典Logo字样，极简设计突出街头潮流感。宽松廓形剪裁兼顾舒适与时尚，男女皆宜，适合日常穿搭或潮流出街造型，展现加州都市休闲风格。","refusal":null,"annotations":[]},"logprobs":null,"finish_reason":"stop"}],"usage":{"prompt_tokens":1325,"completion_tokens":99,"total_tokens":1424,"prompt_tokens_details":{"cached_tokens":0,"audio_tokens":0},"completion_tokens_details":{"reasoning_tokens":0,"audio_tokens":0,"accepted_prediction_tokens":0,"rejected_prediction_tokens":0}},"service_tier":"default","system_fingerprint":"fp_ad66631dec"}</t>
        </is>
      </c>
      <c r="X79" t="inlineStr">
        <is>
          <t>Essentials：浅米色休闲短袖T恤，选用高克重纯棉面料，质地柔软亲肤。胸前与背部印有品牌经典Logo字样，极简设计突出街头潮流感。宽松廓形剪裁兼顾舒适与时尚，男女皆宜，适合日常穿搭或潮流出街造型，展现加州都市休闲风格。</t>
        </is>
      </c>
    </row>
    <row r="80" ht="25.5" customHeight="1">
      <c r="A80">
        <v>1839115443</v>
      </c>
      <c r="B80">
        <v>7638901396</v>
      </c>
      <c r="C80" t="inlineStr">
        <is>
          <t>https://weidian.com/item.html?itemID=7638901396</t>
        </is>
      </c>
      <c r="D80"/>
      <c r="E80" s="2" t="str">
        <f>=HYPERLINK("https://si.geilicdn.com/open1839115443-252808396-77480000019b356290e20a8115c2_800_800.jpg?w=750&amp;h=750&amp;cp=1", "https://si.geilicdn.com/open1839115443-252808396-77480000019b356290e20a8115c2_800_800.jpg?w=750&amp;h=750&amp;cp=1")</f>
        <v>https://si.geilicdn.com/open1839115443-252808396-77480000019b356290e20a8115c2_800_800.jpg?w=750&amp;h=750&amp;cp=1</v>
      </c>
      <c r="F80" t="inlineStr">
        <is>
          <t>Hoodies</t>
        </is>
      </c>
      <c r="G80" t="inlineStr">
        <is>
          <t>Syna World</t>
        </is>
      </c>
      <c r="H80" t="inlineStr">
        <is>
          <t>275.00</t>
        </is>
      </c>
      <c r="I80">
        <v>39.8550724637681</v>
      </c>
      <c r="J80" t="inlineStr">
        <is>
          <t>{"choices":[{"finish_reason":"stop","index":0,"logprobs":null,"message":{"annotations":[],"content":"Syna World Graffiti Hoodie Set Urban Streetwear Outfit","refusal":null,"role":"assistant"}}],"created":1776666841,"id":"chatcmpl-DWcUjyn8Fdo8EcLz1LCjE5fv9I9Jl","model":"gpt-5-chat-latest","object":"chat.completion","service_tier":"default","system_fingerprint":"fp_ad66631dec","usage":{"completion_tokens":12,"completion_tokens_details":{"accepted_prediction_tokens":0,"audio_tokens":0,"reasoning_tokens":0,"rejected_prediction_tokens":0},"prompt_tokens":878,"prompt_tokens_details":{"audio_tokens":0,"cached_tokens":0},"total_tokens":890}}</t>
        </is>
      </c>
      <c r="K80" t="inlineStr">
        <is>
          <t>Syna World Graffiti Hoodie Set Urban Streetwear Outfit</t>
        </is>
      </c>
      <c r="L80" t="inlineStr">
        <is>
          <t>{"choices":[{"finish_reason":"stop","index":0,"logprobs":null,"message":{"annotations":[],"content":"Syna World Graffiti Hoodie Set, soft cotton fabric with bold street art logo, loose fit and kangaroo pocket, unisex urban casual style showing youthful energy and street attitude.","refusal":null,"role":"assistant"}}],"created":1776659417,"id":"chatcmpl-DWaYzx3sZbRXVEQBC8IC4gX2aLFEz","model":"gpt-5-chat-latest","object":"chat.completion","service_tier":"default","system_fingerprint":"fp_ad66631dec","usage":{"completion_tokens":37,"completion_tokens_details":{"accepted_prediction_tokens":0,"audio_tokens":0,"reasoning_tokens":0,"rejected_prediction_tokens":0},"prompt_tokens":913,"prompt_tokens_details":{"audio_tokens":0,"cached_tokens":0},"total_tokens":950}}</t>
        </is>
      </c>
      <c r="M80" t="inlineStr">
        <is>
          <t>{"alt-svc":"h3=\":443\"; ma=2592000","apim-request-id":"df059122-5ef1-4b02-b867-fb06f8fa75f0","azureml-model-session":"d20260402083108-57a85543","cache-control":"no-cache","connection":"close","content-length":"767","content-security-policy":"frame-ancestors 'self'","content-type":"application/json","date":"Mon, 20 Apr 2026 04:30:18 GMT","server":"nginx","skip-error-remapping":"true","strict-transport-security":"max-age=31536000; includeSubDomains; preload","via":"1.1 Caddy, 1.1 Caddy","x-api-request-id":"20260420123016739456603kaCRf7mi","x-content-type-options":"nosniff","x-frame-options":"SAMEORIGIN","x-ms-client-request-id":"Not-Set","x-ms-is-spilled-over":"false","x-ms-rai-invoked":"true","x-ms-region":"East US 2","x-new-api-version":"0.4.39","x-oneapi-request-id":"202604200430166723723308268d9d6R4CfKoa5","x-ratelimit-abusepenalty-active":"False","x-ratelimit-limit-requests":"3850","x-ratelimit-limit-tokens":"3850000","x-ratelimit-remaining-requests":"3849","x-ratelimit-remaining-tokens":"3848325","x-ratelimit-renewalperiod-requests":"60","x-ratelimit-renewalperiod-tokens":"60","x-ratelimit-reset-requests":"15","x-ratelimit-reset-tokens":"26","x-request-id":"c0e9989c-1cf8-431c-8eca-ad4fb008ab9a"}</t>
        </is>
      </c>
      <c r="N80" t="inlineStr">
        <is>
          <t>Syna World Graffiti Hoodie Set, soft cotton fabric with bold street art logo, loose fit and kangaroo pocket, unisex urban casual style showing youthful energy and street attitude.</t>
        </is>
      </c>
      <c r="O80" t="inlineStr">
        <is>
          <t>{"id":"chatcmpl-DWcdph3DKlxXlb9cWXPPD2ppC3uzC","object":"chat.completion","created":1776667405,"model":"gpt-5-chat-latest","choices":[{"index":0,"message":{"role":"assistant","content":"Syna World,Hoodies,kakobuy,kakebuy2026,kekobuysheet,kakobuysheet2026,2026kakobuy,kakobuyspreadsheeet,kakobuylink,kakebuylist,Kakobuy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89,"total_tokens":874,"prompt_tokens_details":{"cached_tokens":0,"audio_tokens":0},"completion_tokens_details":{"reasoning_tokens":0,"audio_tokens":0,"accepted_prediction_tokens":0,"rejected_prediction_tokens":0}},"service_tier":"default","system_fingerprint":"fp_ad66631dec"}</t>
        </is>
      </c>
      <c r="P80" t="inlineStr">
        <is>
          <t>Syna World,Hoodies,kakobuy,kakebuy2026,kekobuysheet,kakobuysheet2026,2026kakobuy,kakobuyspreadsheeet,kakobuylink,kakebuylist,Kakobuy MEGA Spreadsheet,kakobuysheetfind,kakobuysheetfind2026,2026kakobuysheetfind,kakobuysheet2026</t>
        </is>
      </c>
      <c r="Q80" t="inlineStr">
        <is>
          <t>Streetwear, Unisex, Youth</t>
        </is>
      </c>
      <c r="R80" t="inlineStr">
        <is>
          <t>recvh6xFVjvRoJ</t>
        </is>
      </c>
      <c r="S80" t="inlineStr">
        <is>
          <t>syna-world-graffiti-hoodie-recvh6xFVjvRoJ</t>
        </is>
      </c>
      <c r="T80"/>
      <c r="U80"/>
      <c r="V80"/>
      <c r="W80" t="inlineStr">
        <is>
          <t>{"choices":[{"finish_reason":"stop","index":0,"logprobs":null,"message":{"annotations":[],"content":"Syna World 黑色涂鸦连帽卫衣套装，柔软棉质面料，胸前醒目街头艺术标识，宽松剪裁搭配袋鼠兜设计，展现都市潮流风格，男女通用款，彰显年轻活力与个性街头态度。","refusal":null,"role":"assistant"}}],"created":1776655262,"id":"chatcmpl-DWZTyXeBR9XB0rYkCUEsrpvynvqoc","model":"gpt-5-chat-latest","object":"chat.completion","service_tier":"default","system_fingerprint":"fp_ad66631dec","usage":{"completion_tokens":73,"completion_tokens_details":{"accepted_prediction_tokens":0,"audio_tokens":0,"reasoning_tokens":0,"rejected_prediction_tokens":0},"prompt_tokens":1324,"prompt_tokens_details":{"audio_tokens":0,"cached_tokens":1280},"total_tokens":1397}}</t>
        </is>
      </c>
      <c r="X80" t="inlineStr">
        <is>
          <t>Syna World 黑色涂鸦连帽卫衣套装，柔软棉质面料，胸前醒目街头艺术标识，宽松剪裁搭配袋鼠兜设计，展现都市潮流风格，男女通用款，彰显年轻活力与个性街头态度。</t>
        </is>
      </c>
    </row>
    <row r="81" ht="25.5" customHeight="1">
      <c r="A81">
        <v>1839115443</v>
      </c>
      <c r="B81">
        <v>7632185887</v>
      </c>
      <c r="C81" t="inlineStr">
        <is>
          <t>https://weidian.com/item.html?itemID=7632185887</t>
        </is>
      </c>
      <c r="D81"/>
      <c r="E81" s="2" t="str">
        <f>=HYPERLINK("https://si.geilicdn.com/open1839115443-252808396-1fb40000019b1c0a5e140aa086a7_1080_1080.jpg?w=640&amp;h=640", "https://si.geilicdn.com/open1839115443-252808396-1fb40000019b1c0a5e140aa086a7_1080_1080.jpg?w=640&amp;h=640")</f>
        <v>https://si.geilicdn.com/open1839115443-252808396-1fb40000019b1c0a5e140aa086a7_1080_1080.jpg?w=640&amp;h=640</v>
      </c>
      <c r="F81" t="inlineStr">
        <is>
          <t>T-Shirts</t>
        </is>
      </c>
      <c r="G81" t="inlineStr">
        <is>
          <t>Other</t>
        </is>
      </c>
      <c r="H81" t="inlineStr">
        <is>
          <t>548.00</t>
        </is>
      </c>
      <c r="I81">
        <v>79.42</v>
      </c>
      <c r="J81" t="inlineStr">
        <is>
          <t>{"choices":[{"finish_reason":"stop","index":0,"logprobs":null,"message":{"annotations":[],"content":"CCCCI Wine Red Cotton Embroidered Unisex Crewneck Sweatshirt","refusal":null,"role":"assistant"}}],"created":1776666531,"id":"chatcmpl-DWcPjOqfMTRkDcT3voz3gP6Wzusqj","model":"gpt-5-chat-latest","object":"chat.completion","service_tier":"default","system_fingerprint":"fp_ad66631dec","usage":{"completion_tokens":15,"completion_tokens_details":{"accepted_prediction_tokens":0,"audio_tokens":0,"reasoning_tokens":0,"rejected_prediction_tokens":0},"prompt_tokens":879,"prompt_tokens_details":{"audio_tokens":0,"cached_tokens":0},"total_tokens":894}}</t>
        </is>
      </c>
      <c r="K81" t="inlineStr">
        <is>
          <t>CCCCI Wine Red Cotton Embroidered Unisex Crewneck Sweatshirt</t>
        </is>
      </c>
      <c r="L81" t="inlineStr">
        <is>
          <t>{"choices":[{"finish_reason":"stop","index":0,"logprobs":null,"message":{"annotations":[],"content":"CCCCI Wine Red Crewneck Sweatshirt in soft cotton, featuring bold white terry embroidery logo. Loose unisex fit blends street trend and comfort, perfect for casual wear or daily outing.","refusal":null,"role":"assistant"}}],"created":1776658297,"id":"chatcmpl-DWaGvqY2cwkxJPPTeY6LCL5n50NT6","model":"gpt-5-chat-latest","object":"chat.completion","service_tier":"default","system_fingerprint":"fp_ad66631dec","usage":{"completion_tokens":39,"completion_tokens_details":{"accepted_prediction_tokens":0,"audio_tokens":0,"reasoning_tokens":0,"rejected_prediction_tokens":0},"prompt_tokens":929,"prompt_tokens_details":{"audio_tokens":0,"cached_tokens":0},"total_tokens":968}}</t>
        </is>
      </c>
      <c r="M81" t="inlineStr">
        <is>
          <t>{"alt-svc":"h3=\":443\"; ma=2592000","apim-request-id":"5d74e380-451d-44dd-8639-ca1eb6d21779","azureml-model-session":"d20260405221325-2e8d5e76","cache-control":"no-cache","connection":"close","content-length":"773","content-security-policy":"frame-ancestors 'self'","content-type":"application/json","date":"Mon, 20 Apr 2026 04:11:38 GMT","server":"nginx","skip-error-remapping":"true","strict-transport-security":"max-age=31536000; includeSubDomains; preload","via":"1.1 Caddy, 1.1 Caddy","x-api-request-id":"20260420121135921547497Dfk1p0Dp","x-content-type-options":"nosniff","x-frame-options":"SAMEORIGIN","x-ms-client-request-id":"Not-Set","x-ms-is-spilled-over":"false","x-ms-rai-invoked":"true","x-ms-region":"East US 2","x-new-api-version":"0.4.39","x-oneapi-request-id":"202604200411357987751058268d9d6XkG4De9N","x-ratelimit-abusepenalty-active":"False","x-ratelimit-limit-requests":"3850","x-ratelimit-limit-tokens":"3850000","x-ratelimit-remaining-requests":"3849","x-ratelimit-remaining-tokens":"3848309","x-ratelimit-renewalperiod-requests":"60","x-ratelimit-renewalperiod-tokens":"60","x-ratelimit-reset-requests":"15","x-ratelimit-reset-tokens":"26","x-request-id":"5f684898-504c-4594-8719-74437a7a86a5"}</t>
        </is>
      </c>
      <c r="N81" t="inlineStr">
        <is>
          <t>CCCCI Wine Red Crewneck Sweatshirt in soft cotton, featuring bold white terry embroidery logo. Loose unisex fit blends street trend and comfort, perfect for casual wear or daily outing.</t>
        </is>
      </c>
      <c r="O81" t="inlineStr">
        <is>
          <t>{"choices":[{"finish_reason":"stop","index":0,"logprobs":null,"message":{"annotations":[],"content":"CCCCI,T-Shirts,kakobuy,kakebuy2026,kekobuysheet,kakobuysheet2026,2026kakobuy,kakobuyspreadsheeet,kakobuylink,kakebuylist,Kakobuy MEGA Spreadsheet,kakobuysheetfind,kakobuysheetfind2026,2026kakobuysheetfind,kakobuysheet2026","refusal":null,"role":"assistant"}}],"created":1776668845,"id":"chatcmpl-DWd1302qkPMG4hyZ7OPJ0BxFMiFqE","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81" t="inlineStr">
        <is>
          <t>CCCCI,T-Shirts,kakobuy,kakebuy2026,kekobuysheet,kakobuysheet2026,2026kakobuy,kakobuyspreadsheeet,kakobuylink,kakebuylist,Kakobuy MEGA Spreadsheet,kakobuysheetfind,kakobuysheetfind2026,2026kakobuysheetfind,kakobuysheet2026</t>
        </is>
      </c>
      <c r="Q81" t="inlineStr">
        <is>
          <t>Unisex, Street, Comfort</t>
        </is>
      </c>
      <c r="R81" t="inlineStr">
        <is>
          <t>recvh6xFVjI7ib</t>
        </is>
      </c>
      <c r="S81" t="inlineStr">
        <is>
          <t>ccci-wine-red-embroidered-crewneck-sweatshirt-recvh6xfvji7ib</t>
        </is>
      </c>
      <c r="T81"/>
      <c r="U81"/>
      <c r="V81"/>
      <c r="W81" t="inlineStr">
        <is>
          <t>{"choices":[{"finish_reason":"stop","index":0,"logprobs":null,"message":{"annotations":[],"content":"酒红色圆领卫衣，柔软棉质面料带来舒适穿感，胸前立体白色“CCCCI”毛圈刺绣字母设计，简约又富层次感。宽松版型兼顾时尚与休闲，男女皆宜，日常出街或居家皆可轻松驾驭，展现年轻潮流街头风格。","refusal":null,"role":"assistant"}}],"created":1776655066,"id":"chatcmpl-DWZQoydVWuKnqQvScPFdsX819IHKY","model":"gpt-5-chat-latest","object":"chat.completion","service_tier":"default","system_fingerprint":"fp_ad66631dec","usage":{"completion_tokens":91,"completion_tokens_details":{"accepted_prediction_tokens":0,"audio_tokens":0,"reasoning_tokens":0,"rejected_prediction_tokens":0},"prompt_tokens":1319,"prompt_tokens_details":{"audio_tokens":0,"cached_tokens":0},"total_tokens":1410}}</t>
        </is>
      </c>
      <c r="X81" t="inlineStr">
        <is>
          <t>酒红色圆领卫衣，柔软棉质面料带来舒适穿感，胸前立体白色“CCCCI”毛圈刺绣字母设计，简约又富层次感。宽松版型兼顾时尚与休闲，男女皆宜，日常出街或居家皆可轻松驾驭，展现年轻潮流街头风格。</t>
        </is>
      </c>
    </row>
    <row r="82" ht="25.5" customHeight="1">
      <c r="A82">
        <v>1839115443</v>
      </c>
      <c r="B82">
        <v>7635115442</v>
      </c>
      <c r="C82" t="inlineStr">
        <is>
          <t>https://weidian.com/item.html?itemID=7635115442</t>
        </is>
      </c>
      <c r="D82"/>
      <c r="E82" s="2" t="str">
        <f>=HYPERLINK("https://si.geilicdn.com/open1839115443-252808396-1d3a0000019b1c04faeb0aa086a7_1440_1920.jpg?w=640&amp;h=640", "https://si.geilicdn.com/open1839115443-252808396-1d3a0000019b1c04faeb0aa086a7_1440_1920.jpg?w=640&amp;h=640")</f>
        <v>https://si.geilicdn.com/open1839115443-252808396-1d3a0000019b1c04faeb0aa086a7_1440_1920.jpg?w=640&amp;h=640</v>
      </c>
      <c r="F82" t="inlineStr">
        <is>
          <t>Jackets</t>
        </is>
      </c>
      <c r="G82" t="inlineStr">
        <is>
          <t>Moncler</t>
        </is>
      </c>
      <c r="H82" t="inlineStr">
        <is>
          <t>1798.00</t>
        </is>
      </c>
      <c r="I82">
        <v>260.58</v>
      </c>
      <c r="J82" t="inlineStr">
        <is>
          <t>{"choices":[{"finish_reason":"stop","index":0,"logprobs":null,"message":{"annotations":[],"content":"Moncler Lago Light Blue Unisex Winter Down Jacket","refusal":null,"role":"assistant"}}],"created":1776666492,"id":"chatcmpl-DWcP60fr71EpYf1ZnmkXMwa7ZstbP","model":"gpt-5-chat-latest","object":"chat.completion","service_tier":"default","system_fingerprint":"fp_ad66631dec","usage":{"completion_tokens":11,"completion_tokens_details":{"accepted_prediction_tokens":0,"audio_tokens":0,"reasoning_tokens":0,"rejected_prediction_tokens":0},"prompt_tokens":882,"prompt_tokens_details":{"audio_tokens":0,"cached_tokens":0},"total_tokens":893}}</t>
        </is>
      </c>
      <c r="K82" t="inlineStr">
        <is>
          <t>Moncler Lago Light Blue Unisex Winter Down Jacket</t>
        </is>
      </c>
      <c r="L82" t="inlineStr">
        <is>
          <t>{"choices":[{"finish_reason":"stop","index":0,"logprobs":null,"message":{"annotations":[],"content":"Moncler Lago Light Blue Down Jacket combines sherpa fleece and nylon for a warm, lightweight feel. High-neck windproof design with urban minimal style, unisex for winter casual or outdoor wear.","refusal":null,"role":"assistant"}}],"created":1776658837,"id":"chatcmpl-DWaPdTQU1ASWpUUmYL8InIuhaP9ds","model":"gpt-5-chat-latest","object":"chat.completion","service_tier":"default","system_fingerprint":"fp_ad66631dec","usage":{"completion_tokens":40,"completion_tokens_details":{"accepted_prediction_tokens":0,"audio_tokens":0,"reasoning_tokens":0,"rejected_prediction_tokens":0},"prompt_tokens":908,"prompt_tokens_details":{"audio_tokens":0,"cached_tokens":0},"total_tokens":948}}</t>
        </is>
      </c>
      <c r="M82" t="inlineStr">
        <is>
          <t>{"alt-svc":"h3=\":443\"; ma=2592000","apim-request-id":"845f8086-5a34-4099-b734-0c08d4e3e461","azureml-model-session":"d20260405234249-f9874baf","cache-control":"no-cache","connection":"close","content-length":"781","content-security-policy":"frame-ancestors 'self'","content-type":"application/json","date":"Mon, 20 Apr 2026 04:20:38 GMT","server":"nginx","skip-error-remapping":"true","strict-transport-security":"max-age=31536000; includeSubDomains; preload","via":"1.1 Caddy, 1.1 Caddy","x-api-request-id":"20260420122036237152466yfXOwbjb","x-content-type-options":"nosniff","x-frame-options":"SAMEORIGIN","x-ms-client-request-id":"Not-Set","x-ms-is-spilled-over":"false","x-ms-rai-invoked":"true","x-ms-region":"East US 2","x-new-api-version":"0.4.39","x-oneapi-request-id":"202604200420361706968868268d9d6bNyEopIM","x-ratelimit-abusepenalty-active":"False","x-ratelimit-limit-requests":"3850","x-ratelimit-limit-tokens":"3850000","x-ratelimit-remaining-requests":"3849","x-ratelimit-remaining-tokens":"3848330","x-ratelimit-renewalperiod-requests":"60","x-ratelimit-renewalperiod-tokens":"60","x-ratelimit-reset-requests":"15","x-ratelimit-reset-tokens":"26","x-request-id":"1f68f754-d0e6-4315-849d-275881e2c8e0"}</t>
        </is>
      </c>
      <c r="N82" t="inlineStr">
        <is>
          <t>Moncler Lago Light Blue Down Jacket combines sherpa fleece and nylon for a warm, lightweight feel. High-neck windproof design with urban minimal style, unisex for winter casual or outdoor wear.</t>
        </is>
      </c>
      <c r="O82" t="inlineStr">
        <is>
          <t>{"choices":[{"finish_reason":"stop","index":0,"logprobs":null,"message":{"annotations":[],"content":"Moncler, Jacket, kakobuy, kakebuy2026, kekobuysheet, kakobuysheet2026, 2026kakobuy, kakobuyspreadsheeet, kakobuylink, kakebuylist, Kakobuy MEGA Spreadsheet, kakobuysheetfind, kakobuysheetfind2026, 2026kakobuysheetfind, kakobuysheet2026","refusal":null,"role":"assistant"}}],"created":1776668021,"id":"chatcmpl-DWcnlXZUGgauwXwaRqzVwoCXP26Ca","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82" t="inlineStr">
        <is>
          <t>Moncler, Jacket, kakobuy, kakebuy2026, kekobuysheet, kakobuysheet2026, 2026kakobuy, kakobuyspreadsheeet, kakobuylink, kakebuylist, Kakobuy MEGA Spreadsheet, kakobuysheetfind, kakobuysheetfind2026, 2026kakobuysheetfind, kakobuysheet2026</t>
        </is>
      </c>
      <c r="Q82" t="inlineStr">
        <is>
          <t>Lightweight, Windproof, Winter, Unisex, Nylon, Minimalist</t>
        </is>
      </c>
      <c r="R82" t="inlineStr">
        <is>
          <t>recvh6xFVjs7U6</t>
        </is>
      </c>
      <c r="S82" t="inlineStr">
        <is>
          <t>moncler-lago-light-blue-down-jacket-recvh6xFVjs7U6</t>
        </is>
      </c>
      <c r="T82"/>
      <c r="U82"/>
      <c r="V82"/>
      <c r="W82" t="inlineStr">
        <is>
          <t>{"id":"chatcmpl-DWZRZ8f5JDsNitEVl95xb3cvVdQF1","object":"chat.completion","created":1776655113,"model":"gpt-5-chat-latest","choices":[{"index":0,"message":{"role":"assistant","content":"Moncler：Lago系列浅蓝羽绒夹克，融合羊羔绒与尼龙面料拼接设计，保暖轻盈兼具质感，高领防风造型凸显都市简约风格，男女皆宜，冬季休闲与户外穿搭皆可。","refusal":null,"annotations":[]},"logprobs":null,"finish_reason":"stop"}],"usage":{"prompt_tokens":1324,"completion_tokens":68,"total_tokens":1392,"prompt_tokens_details":{"cached_tokens":0,"audio_tokens":0},"completion_tokens_details":{"reasoning_tokens":0,"audio_tokens":0,"accepted_prediction_tokens":0,"rejected_prediction_tokens":0}},"service_tier":"default","system_fingerprint":"fp_ad66631dec"}</t>
        </is>
      </c>
      <c r="X82" t="inlineStr">
        <is>
          <t>Moncler：Lago系列浅蓝羽绒夹克，融合羊羔绒与尼龙面料拼接设计，保暖轻盈兼具质感，高领防风造型凸显都市简约风格，男女皆宜，冬季休闲与户外穿搭皆可。</t>
        </is>
      </c>
    </row>
    <row r="83" ht="25.5" customHeight="1">
      <c r="A83">
        <v>1839115443</v>
      </c>
      <c r="B83">
        <v>7632174953</v>
      </c>
      <c r="C83" t="inlineStr">
        <is>
          <t>https://weidian.com/item.html?itemID=7632174953</t>
        </is>
      </c>
      <c r="D83"/>
      <c r="E83" s="2" t="str">
        <f>=HYPERLINK("https://si.geilicdn.com/open1839115443-252808396-7f060000019b1bedd76d0a231226_763_917.jpg?w=640&amp;h=640", "https://si.geilicdn.com/open1839115443-252808396-7f060000019b1bedd76d0a231226_763_917.jpg?w=640&amp;h=640")</f>
        <v>https://si.geilicdn.com/open1839115443-252808396-7f060000019b1bedd76d0a231226_763_917.jpg?w=640&amp;h=640</v>
      </c>
      <c r="F83" t="inlineStr">
        <is>
          <t>Jackets</t>
        </is>
      </c>
      <c r="G83" t="inlineStr">
        <is>
          <t>Balenciaga</t>
        </is>
      </c>
      <c r="H83" t="inlineStr">
        <is>
          <t>650.00</t>
        </is>
      </c>
      <c r="I83">
        <v>94.2</v>
      </c>
      <c r="J83" t="inlineStr">
        <is>
          <t>{"id":"chatcmpl-DWcIDYLx1fRLjnEw5q8FEYzBnrrSb","object":"chat.completion","created":1776666065,"model":"gpt-5-chat-latest","choices":[{"index":0,"message":{"role":"assistant","content":"Balenciaga Black Heavy Cotton Zip-Up Hoodie","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83" t="inlineStr">
        <is>
          <t>Balenciaga Black Heavy Cotton Zip-Up Hoodie</t>
        </is>
      </c>
      <c r="L83" t="inlineStr">
        <is>
          <t>{"choices":[{"finish_reason":"stop","index":0,"logprobs":null,"message":{"annotations":[],"content":"Balenciaga Black Zip-Up Hoodie made from heavy cotton, soft and durable. Features minimalist chest logo, loose fit, unisex design, perfect for autumn and winter street style.","refusal":null,"role":"assistant"}}],"created":1776659185,"id":"chatcmpl-DWaVFZKKcnVF6yOD7h0GOBpjjzszl","model":"gpt-5-chat-latest","object":"chat.completion","service_tier":"default","system_fingerprint":"fp_ad66631dec","usage":{"completion_tokens":37,"completion_tokens_details":{"accepted_prediction_tokens":0,"audio_tokens":0,"reasoning_tokens":0,"rejected_prediction_tokens":0},"prompt_tokens":926,"prompt_tokens_details":{"audio_tokens":0,"cached_tokens":0},"total_tokens":963}}</t>
        </is>
      </c>
      <c r="M83" t="inlineStr">
        <is>
          <t>{"alt-svc":"h3=\":443\"; ma=2592000","apim-request-id":"5cdf1d5e-9791-4d6c-a0f1-19fb163e087a","azureml-model-session":"d20260405234249-f9874baf","cache-control":"no-cache","connection":"close","content-length":"762","content-security-policy":"frame-ancestors 'self'","content-type":"application/json","date":"Mon, 20 Apr 2026 04:26:26 GMT","server":"nginx","skip-error-remapping":"true","strict-transport-security":"max-age=31536000; includeSubDomains; preload","via":"1.1 Caddy, 1.1 Caddy","x-api-request-id":"20260420122624993931702cA4qeKUG","x-content-type-options":"nosniff","x-frame-options":"SAMEORIGIN","x-ms-client-request-id":"Not-Set","x-ms-is-spilled-over":"false","x-ms-rai-invoked":"true","x-ms-region":"East US 2","x-new-api-version":"0.4.39","x-oneapi-request-id":"202604200426249255581778268d9d6bPbAsR5Y","x-ratelimit-abusepenalty-active":"False","x-ratelimit-limit-requests":"3850","x-ratelimit-limit-tokens":"3850000","x-ratelimit-remaining-requests":"3849","x-ratelimit-remaining-tokens":"3848312","x-ratelimit-renewalperiod-requests":"60","x-ratelimit-renewalperiod-tokens":"60","x-ratelimit-reset-requests":"15","x-ratelimit-reset-tokens":"26","x-request-id":"4295778f-1b50-47e2-93a8-c6f16481c1da"}</t>
        </is>
      </c>
      <c r="N83" t="inlineStr">
        <is>
          <t>Balenciaga Black Zip-Up Hoodie made from heavy cotton, soft and durable. Features minimalist chest logo, loose fit, unisex design, perfect for autumn and winter street style.</t>
        </is>
      </c>
      <c r="O83" t="inlineStr">
        <is>
          <t>{"choices":[{"finish_reason":"stop","index":0,"logprobs":null,"message":{"annotations":[],"content":"Balenciaga, Jacket, kakobuy, kakebuy2026, kekobuysheet, kakobuysheet2026, 2026kakobuy, kakobuyspreadsheeet, kakobuylink, kakebuylist, Kakobuy MEGA Spreadsheet, kakobuysheetfind, kakobuysheetfind2026, 2026kakobuysheetfind, kakobuysheet2026","refusal":null,"role":"assistant"}}],"created":1776667206,"id":"chatcmpl-DWcacAK1ry0IP1CL3NUtKl0QFPEDE","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83" t="inlineStr">
        <is>
          <t>Balenciaga, Jacket, kakobuy, kakebuy2026, kekobuysheet, kakobuysheet2026, 2026kakobuy, kakobuyspreadsheeet, kakobuylink, kakebuylist, Kakobuy MEGA Spreadsheet, kakobuysheetfind, kakobuysheetfind2026, 2026kakobuysheetfind, kakobuysheet2026</t>
        </is>
      </c>
      <c r="Q83" t="inlineStr">
        <is>
          <t>Balenciaga, Black, Minimalist, Autumn And Winter, Streetwear, Unisex</t>
        </is>
      </c>
      <c r="R83" t="inlineStr">
        <is>
          <t>recvh6xFVjJNlU</t>
        </is>
      </c>
      <c r="S83" t="inlineStr">
        <is>
          <t>balenciaga-black-heavy-cotton-zip-hoodie-recvh6xfvjjnl</t>
        </is>
      </c>
      <c r="T83"/>
      <c r="U83"/>
      <c r="V83"/>
      <c r="W83" t="inlineStr">
        <is>
          <t>{"id":"chatcmpl-DWZSUggYXHqqlRFSQZ2s92SnBetpX","object":"chat.completion","created":1776655170,"model":"gpt-5-chat-latest","choices":[{"index":0,"message":{"role":"assistant","content":"Balenciaga 黑色拉链连帽卫衣，采用高克重纯棉面料，质地厚实亲肤。胸前极简字母Logo设计，彰显品牌标志性美学。宽松版型结合现代街头风格，男女皆宜，适合秋冬休闲穿搭，展现低调奢华与实用功能并存的都市格调。","refusal":null,"annotations":[]},"logprobs":null,"finish_reason":"stop"}],"usage":{"prompt_tokens":1317,"completion_tokens":90,"total_tokens":1407,"prompt_tokens_details":{"cached_tokens":0,"audio_tokens":0},"completion_tokens_details":{"reasoning_tokens":0,"audio_tokens":0,"accepted_prediction_tokens":0,"rejected_prediction_tokens":0}},"service_tier":"default","system_fingerprint":"fp_ad66631dec"}</t>
        </is>
      </c>
      <c r="X83" t="inlineStr">
        <is>
          <t>Balenciaga 黑色拉链连帽卫衣，采用高克重纯棉面料，质地厚实亲肤。胸前极简字母Logo设计，彰显品牌标志性美学。宽松版型结合现代街头风格，男女皆宜，适合秋冬休闲穿搭，展现低调奢华与实用功能并存的都市格调。</t>
        </is>
      </c>
    </row>
    <row r="84" ht="25.5" customHeight="1">
      <c r="A84">
        <v>1839115443</v>
      </c>
      <c r="B84">
        <v>7639005752</v>
      </c>
      <c r="C84" t="inlineStr">
        <is>
          <t>https://weidian.com/item.html?itemID=7639005752</t>
        </is>
      </c>
      <c r="D84"/>
      <c r="E84" s="2" t="str">
        <f>=HYPERLINK("https://si.geilicdn.com/open1839115443-252808396-0ddd0000019b35642d3e0a231226_800_800.jpg?w=750&amp;h=750&amp;cp=1", "https://si.geilicdn.com/open1839115443-252808396-0ddd0000019b35642d3e0a231226_800_800.jpg?w=750&amp;h=750&amp;cp=1")</f>
        <v>https://si.geilicdn.com/open1839115443-252808396-0ddd0000019b35642d3e0a231226_800_800.jpg?w=750&amp;h=750&amp;cp=1</v>
      </c>
      <c r="F84" t="inlineStr">
        <is>
          <t>T-Shirts</t>
        </is>
      </c>
      <c r="G84" t="inlineStr">
        <is>
          <t xml:space="preserve"> Essentials</t>
        </is>
      </c>
      <c r="H84" t="inlineStr">
        <is>
          <t>103.00</t>
        </is>
      </c>
      <c r="I84">
        <v>14.93</v>
      </c>
      <c r="J84" t="inlineStr">
        <is>
          <t>{"id":"chatcmpl-DWcNwioIlVoCDMkobuSM1rpomfeON","object":"chat.completion","created":1776666420,"model":"gpt-5-chat-latest","choices":[{"index":0,"message":{"role":"assistant","content":"Essentials Fear of God Khaki Cotton T-Shirt","refusal":null,"annotations":[]},"logprobs":null,"finish_reason":"stop"}],"usage":{"prompt_tokens":883,"completion_tokens":11,"total_tokens":894,"prompt_tokens_details":{"cached_tokens":0,"audio_tokens":0},"completion_tokens_details":{"reasoning_tokens":0,"audio_tokens":0,"accepted_prediction_tokens":0,"rejected_prediction_tokens":0}},"service_tier":"default","system_fingerprint":"fp_ad66631dec"}</t>
        </is>
      </c>
      <c r="K84" t="inlineStr">
        <is>
          <t>Essentials Fear of God Khaki Cotton T-Shirt</t>
        </is>
      </c>
      <c r="L84" t="inlineStr">
        <is>
          <t>{"choices":[{"finish_reason":"stop","index":0,"logprobs":null,"message":{"annotations":[],"content":"ESSENTIALS Fear of God classic short-sleeve T-shirt in light khaki, made from premium soft breathable cotton, features bold logo print, unisex loose fit for modern minimalist street style.","refusal":null,"role":"assistant"}}],"created":1776659345,"id":"chatcmpl-DWaXptQXrDpv9Hr0I5KgcEsUUpPX4","model":"gpt-5-chat-latest","object":"chat.completion","service_tier":"default","system_fingerprint":"fp_ad66631dec","usage":{"completion_tokens":41,"completion_tokens_details":{"accepted_prediction_tokens":0,"audio_tokens":0,"reasoning_tokens":0,"rejected_prediction_tokens":0},"prompt_tokens":916,"prompt_tokens_details":{"audio_tokens":0,"cached_tokens":0},"total_tokens":957}}</t>
        </is>
      </c>
      <c r="M84" t="inlineStr">
        <is>
          <t>{"alt-svc":"h3=\":443\"; ma=2592000","apim-request-id":"3c9dd706-c711-4129-add9-bbb5b428d133","azureml-model-session":"d20260402083108-57a85543","cache-control":"no-cache","connection":"close","content-length":"776","content-security-policy":"frame-ancestors 'self'","content-type":"application/json","date":"Mon, 20 Apr 2026 04:29:06 GMT","server":"nginx","skip-error-remapping":"true","strict-transport-security":"max-age=31536000; includeSubDomains; preload","via":"1.1 Caddy, 1.1 Caddy","x-api-request-id":"202604201229044304295779HCIdYfb","x-content-type-options":"nosniff","x-frame-options":"SAMEORIGIN","x-ms-client-request-id":"Not-Set","x-ms-is-spilled-over":"false","x-ms-rai-invoked":"true","x-ms-region":"East US 2","x-new-api-version":"0.4.39","x-oneapi-request-id":"202604200429043631997358268d9d67nzp8Ev3","x-ratelimit-abusepenalty-active":"False","x-ratelimit-limit-requests":"3850","x-ratelimit-limit-tokens":"3850000","x-ratelimit-remaining-requests":"3849","x-ratelimit-remaining-tokens":"3843765","x-ratelimit-renewalperiod-requests":"60","x-ratelimit-renewalperiod-tokens":"60","x-ratelimit-reset-requests":"15","x-ratelimit-reset-tokens":"97","x-request-id":"27a59872-0c3a-4722-ae82-00ee97494a9c"}</t>
        </is>
      </c>
      <c r="N84" t="inlineStr">
        <is>
          <t>ESSENTIALS Fear of God classic short-sleeve T-shirt in light khaki, made from premium soft breathable cotton, features bold logo print, unisex loose fit for modern minimalist street style.</t>
        </is>
      </c>
      <c r="O84" t="inlineStr">
        <is>
          <t>{"choices":[{"finish_reason":"stop","index":0,"logprobs":null,"message":{"annotations":[],"content":"Essentials, T-Shirts, kakobuy, kakebuy2026, kekobuysheet, kakobuysheet2026, 2026kakobuy, kakobuyspreadsheeet, kakobuylink, kakebuylist, Kakobuy MEGA Spreadsheet, kakobuysheetfind, kakobuysheetfind2026, 2026kakobuysheetfind, kakobuysheet2026","refusal":null,"role":"assistant"}}],"created":1776668593,"id":"chatcmpl-DWcwz9LbIq8lXWDDE3mEoXW7Zm9H8","model":"gpt-5-chat-latest","object":"chat.completion","service_tier":"default","system_fingerprint":"fp_ad66631dec","usage":{"completion_tokens":92,"completion_tokens_details":{"accepted_prediction_tokens":0,"audio_tokens":0,"reasoning_tokens":0,"rejected_prediction_tokens":0},"prompt_tokens":782,"prompt_tokens_details":{"audio_tokens":0,"cached_tokens":0},"total_tokens":874}}</t>
        </is>
      </c>
      <c r="P84" t="inlineStr">
        <is>
          <t>Essentials, T-Shirts, kakobuy, kakebuy2026, kekobuysheet, kakobuysheet2026, 2026kakobuy, kakobuyspreadsheeet, kakobuylink, kakebuylist, Kakobuy MEGA Spreadsheet, kakobuysheetfind, kakobuysheetfind2026, 2026kakobuysheetfind, kakobuysheet2026</t>
        </is>
      </c>
      <c r="Q84" t="inlineStr">
        <is>
          <t>Unisex, Breathable, Minimalist, Streetwear, Modern</t>
        </is>
      </c>
      <c r="R84" t="inlineStr">
        <is>
          <t>recvh6xFVj0q4Q</t>
        </is>
      </c>
      <c r="S84" t="inlineStr">
        <is>
          <t>fear-of-god-khaki-cotton-tshirt-recvh6xfvj0q4q</t>
        </is>
      </c>
      <c r="T84"/>
      <c r="U84"/>
      <c r="V84"/>
      <c r="W84" t="inlineStr">
        <is>
          <t>{"choices":[{"finish_reason":"stop","index":0,"logprobs":null,"message":{"annotations":[],"content":"Essentials：浅卡其色经典系列短袖T恤，采用高品质纯棉面料，柔软舒适透气。胸前印有“ESSENTIALS FEAR OF GOD”醒目标识，彰显极简街头风格。宽松版型设计，男女皆宜，展现现代休闲潮流态度。","refusal":null,"role":"assistant"}}],"created":1776654887,"id":"chatcmpl-DWZNvELJbaVZqiB2ThEkKqBdT8qa9","model":"gpt-5-chat-latest","object":"chat.completion","service_tier":"default","system_fingerprint":"fp_ad66631dec","usage":{"completion_tokens":78,"completion_tokens_details":{"accepted_prediction_tokens":0,"audio_tokens":0,"reasoning_tokens":0,"rejected_prediction_tokens":0},"prompt_tokens":1319,"prompt_tokens_details":{"audio_tokens":0,"cached_tokens":0},"total_tokens":1397}}</t>
        </is>
      </c>
      <c r="X84" t="inlineStr">
        <is>
          <t>Essentials：浅卡其色经典系列短袖T恤，采用高品质纯棉面料，柔软舒适透气。胸前印有“ESSENTIALS FEAR OF GOD”醒目标识，彰显极简街头风格。宽松版型设计，男女皆宜，展现现代休闲潮流态度。</t>
        </is>
      </c>
    </row>
    <row r="85" ht="25.5" customHeight="1">
      <c r="A85">
        <v>1839115443</v>
      </c>
      <c r="B85">
        <v>7639021630</v>
      </c>
      <c r="C85" t="inlineStr">
        <is>
          <t>https://weidian.com/item.html?itemID=7639021630</t>
        </is>
      </c>
      <c r="D85"/>
      <c r="E85" s="2" t="str">
        <f>=HYPERLINK("https://si.geilicdn.com/open1839115443-252808396-782d0000019b35600c800a8133b0_800_800.jpg?w=750&amp;h=750&amp;cp=1", "https://si.geilicdn.com/open1839115443-252808396-782d0000019b35600c800a8133b0_800_800.jpg?w=750&amp;h=750&amp;cp=1")</f>
        <v>https://si.geilicdn.com/open1839115443-252808396-782d0000019b35600c800a8133b0_800_800.jpg?w=750&amp;h=750&amp;cp=1</v>
      </c>
      <c r="F85" t="inlineStr">
        <is>
          <t>Hoodies</t>
        </is>
      </c>
      <c r="G85" t="inlineStr">
        <is>
          <t>Syna World</t>
        </is>
      </c>
      <c r="H85" t="inlineStr">
        <is>
          <t>127.00</t>
        </is>
      </c>
      <c r="I85">
        <v>18.41</v>
      </c>
      <c r="J85" t="inlineStr">
        <is>
          <t>{"id":"chatcmpl-DWcNVTuGa3AVDLAT5iK7pauQM8nRc","object":"chat.completion","created":1776666393,"model":"gpt-5-chat-latest","choices":[{"index":0,"message":{"role":"assistant","content":"Syna World Blue Graffiti Hoodie Set Unisex","refusal":null,"annotations":[]},"logprobs":null,"finish_reason":"stop"}],"usage":{"prompt_tokens":886,"completion_tokens":11,"total_tokens":897,"prompt_tokens_details":{"cached_tokens":0,"audio_tokens":0},"completion_tokens_details":{"reasoning_tokens":0,"audio_tokens":0,"accepted_prediction_tokens":0,"rejected_prediction_tokens":0}},"service_tier":"default","system_fingerprint":"fp_ad66631dec"}</t>
        </is>
      </c>
      <c r="K85" t="inlineStr">
        <is>
          <t>Syna World Blue Graffiti Hoodie Set Unisex</t>
        </is>
      </c>
      <c r="L85" t="inlineStr">
        <is>
          <t>{"choices":[{"finish_reason":"stop","index":0,"logprobs":null,"message":{"annotations":[],"content":"Syna World blue graffiti hoodie set, made of premium soft cotton, features bold street logo print, relaxed fit, drawstring hood &amp; kangaroo pocket. Unisex streetwear for modern casual style.","refusal":null,"role":"assistant"}}],"created":1776658493,"id":"chatcmpl-DWaK5zAM7fsua1hLbt30VDiD39Jn9","model":"gpt-5-chat-latest","object":"chat.completion","service_tier":"default","system_fingerprint":"fp_ad66631dec","usage":{"completion_tokens":41,"completion_tokens_details":{"accepted_prediction_tokens":0,"audio_tokens":0,"reasoning_tokens":0,"rejected_prediction_tokens":0},"prompt_tokens":918,"prompt_tokens_details":{"audio_tokens":0,"cached_tokens":0},"total_tokens":959}}</t>
        </is>
      </c>
      <c r="M85" t="inlineStr">
        <is>
          <t>{"alt-svc":"h3=\":443\"; ma=2592000","apim-request-id":"bc0bac37-769f-40b6-b0a6-51b754f012ae","azureml-model-session":"d20260402083108-57a85543","cache-control":"no-cache","connection":"close","content-length":"782","content-security-policy":"frame-ancestors 'self'","content-type":"application/json","date":"Mon, 20 Apr 2026 04:14:54 GMT","server":"Caddy","skip-error-remapping":"true","strict-transport-security":"max-age=31536000; includeSubDomains; preload","via":"1.1 Caddy","x-api-request-id":"20260420121452383364188PfFkpAo0","x-content-type-options":"nosniff","x-frame-options":"SAMEORIGIN","x-ms-client-request-id":"Not-Set","x-ms-is-spilled-over":"false","x-ms-rai-invoked":"true","x-ms-region":"East US 2","x-new-api-version":"0.4.39","x-oneapi-request-id":"202604200414523036864378268d9d6vtIXvTli","x-ratelimit-abusepenalty-active":"False","x-ratelimit-limit-requests":"3850","x-ratelimit-limit-tokens":"3850000","x-ratelimit-remaining-requests":"3849","x-ratelimit-remaining-tokens":"3848320","x-ratelimit-renewalperiod-requests":"60","x-ratelimit-renewalperiod-tokens":"60","x-ratelimit-reset-requests":"15","x-ratelimit-reset-tokens":"26","x-request-id":"146333d9-ae78-4419-b4b3-95d0f44076f2"}</t>
        </is>
      </c>
      <c r="N85" t="inlineStr">
        <is>
          <t>Syna World blue graffiti hoodie set, made of premium soft cotton, features bold street logo print, relaxed fit, drawstring hood &amp; kangaroo pocket. Unisex streetwear for modern casual style.</t>
        </is>
      </c>
      <c r="O85" t="inlineStr">
        <is>
          <t>{"choices":[{"finish_reason":"stop","index":0,"logprobs":null,"message":{"annotations":[],"content":"Syna World,Hoodies,kakobuy,kakebuy2026,kekobuysheet,kakobuysheet2026,2026kakobuy,kakobuyspreadsheeet,kakobuylink,kakebuylist,Kakobuy MEGA Spreadsheet,kakobuysheetfind,kakobuysheetfind2026,2026kakobuysheetfind,kakobuysheet2026","refusal":null,"role":"assistant"}}],"created":1776667995,"id":"chatcmpl-DWcnLAsQ0Y4lTXNixcDEnfjT88SCJ","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85" t="inlineStr">
        <is>
          <t>Syna World,Hoodies,kakobuy,kakebuy2026,kekobuysheet,kakobuysheet2026,2026kakobuy,kakobuyspreadsheeet,kakobuylink,kakebuylist,Kakobuy MEGA Spreadsheet,kakobuysheetfind,kakobuysheetfind2026,2026kakobuysheetfind,kakobuysheet2026</t>
        </is>
      </c>
      <c r="Q85" t="inlineStr">
        <is>
          <t>Unisex, Streetwear, Blue</t>
        </is>
      </c>
      <c r="R85" t="inlineStr">
        <is>
          <t>recvh6xFVjSxH0</t>
        </is>
      </c>
      <c r="S85" t="inlineStr">
        <is>
          <t>syna-world-blue-graffiti-hoodie-recvh6xFVjSxH0</t>
        </is>
      </c>
      <c r="T85"/>
      <c r="U85"/>
      <c r="V85"/>
      <c r="W85" t="inlineStr">
        <is>
          <t>{"choices":[{"finish_reason":"stop","index":0,"logprobs":null,"message":{"annotations":[],"content":"Syna World 蓝色涂鸦连帽卫衣套装，采用柔软优质棉质面料，胸前醒目街头涂鸦标识设计，宽松剪裁搭配舒适抽绳帽与袋鼠兜，男女通用潮流款，展现现代街头休闲风格。","refusal":null,"role":"assistant"}}],"created":1776655670,"id":"chatcmpl-DWZaYI4Fi9yhvLuTPcE5mQDfGpAIP","model":"gpt-5-chat-latest","object":"chat.completion","service_tier":"default","system_fingerprint":"fp_ad66631dec","usage":{"completion_tokens":77,"completion_tokens_details":{"accepted_prediction_tokens":0,"audio_tokens":0,"reasoning_tokens":0,"rejected_prediction_tokens":0},"prompt_tokens":1326,"prompt_tokens_details":{"audio_tokens":0,"cached_tokens":0},"total_tokens":1403}}</t>
        </is>
      </c>
      <c r="X85" t="inlineStr">
        <is>
          <t>Syna World 蓝色涂鸦连帽卫衣套装，采用柔软优质棉质面料，胸前醒目街头涂鸦标识设计，宽松剪裁搭配舒适抽绳帽与袋鼠兜，男女通用潮流款，展现现代街头休闲风格。</t>
        </is>
      </c>
    </row>
    <row r="86" ht="25.5" customHeight="1">
      <c r="A86">
        <v>1839115443</v>
      </c>
      <c r="B86">
        <v>7632161369</v>
      </c>
      <c r="C86" t="inlineStr">
        <is>
          <t>https://weidian.com/item.html?itemID=7632161369</t>
        </is>
      </c>
      <c r="D86"/>
      <c r="E86" s="2" t="str">
        <f>=HYPERLINK("https://si.geilicdn.com/open1839115443-252808396-04080000019b1c0dd5230a23b491_1080_1080.jpg?w=640&amp;h=640", "https://si.geilicdn.com/open1839115443-252808396-04080000019b1c0dd5230a23b491_1080_1080.jpg?w=640&amp;h=640")</f>
        <v>https://si.geilicdn.com/open1839115443-252808396-04080000019b1c0dd5230a23b491_1080_1080.jpg?w=640&amp;h=640</v>
      </c>
      <c r="F86" t="inlineStr">
        <is>
          <t>Hoodies</t>
        </is>
      </c>
      <c r="G86" t="inlineStr">
        <is>
          <t>Balenciaga</t>
        </is>
      </c>
      <c r="H86" t="inlineStr">
        <is>
          <t>595.00</t>
        </is>
      </c>
      <c r="I86">
        <v>86.23</v>
      </c>
      <c r="J86" t="inlineStr">
        <is>
          <t>{"id":"chatcmpl-DWcDFmSUWlXilmaBQdyLpYHSDctY8","object":"chat.completion","created":1776665757,"model":"gpt-5-chat-latest","choices":[{"index":0,"message":{"role":"assistant","content":"Balenciaga Paris Black Hoodie Statue Liberty Unisex","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86" t="inlineStr">
        <is>
          <t>Balenciaga Paris Black Hoodie Statue Liberty Unisex</t>
        </is>
      </c>
      <c r="L86" t="inlineStr">
        <is>
          <t>{"choices":[{"finish_reason":"stop","index":0,"logprobs":null,"message":{"annotations":[],"content":"Balenciaga Paris Collection black hoodie in soft cotton, featuring Statue of Liberty and moon graphic, unisex street vintage style, loose fit, cozy and trendy urban fashion essential.","refusal":null,"role":"assistant"}}],"created":1776658893,"id":"chatcmpl-DWaQX7x1ljf2TxBsxnyDHwEHO6ZgM","model":"gpt-5-chat-latest","object":"chat.completion","service_tier":"default","system_fingerprint":"fp_ad66631dec","usage":{"completion_tokens":36,"completion_tokens_details":{"accepted_prediction_tokens":0,"audio_tokens":0,"reasoning_tokens":0,"rejected_prediction_tokens":0},"prompt_tokens":905,"prompt_tokens_details":{"audio_tokens":0,"cached_tokens":0},"total_tokens":941}}</t>
        </is>
      </c>
      <c r="M86" t="inlineStr">
        <is>
          <t>{"alt-svc":"h3=\":443\"; ma=2592000","apim-request-id":"d769c786-d29c-4497-966c-aed8ea6d8251","azureml-model-session":"d20260402074105-51db401e","cache-control":"no-cache","connection":"close","content-length":"771","content-security-policy":"frame-ancestors 'self'","content-type":"application/json","date":"Mon, 20 Apr 2026 04:21:34 GMT","server":"nginx","skip-error-remapping":"true","strict-transport-security":"max-age=31536000; includeSubDomains; preload","via":"1.1 Caddy, 1.1 Caddy","x-api-request-id":"20260420122132853224424nIXE9sYL","x-content-type-options":"nosniff","x-frame-options":"SAMEORIGIN","x-ms-client-request-id":"Not-Set","x-ms-is-spilled-over":"false","x-ms-rai-invoked":"true","x-ms-region":"East US 2","x-new-api-version":"0.4.39","x-oneapi-request-id":"202604200421327865961428268d9d6t9rdbm1x","x-ratelimit-abusepenalty-active":"False","x-ratelimit-limit-requests":"3850","x-ratelimit-limit-tokens":"3850000","x-ratelimit-remaining-requests":"3849","x-ratelimit-remaining-tokens":"3848333","x-ratelimit-renewalperiod-requests":"60","x-ratelimit-renewalperiod-tokens":"60","x-ratelimit-reset-requests":"15","x-ratelimit-reset-tokens":"25","x-request-id":"e0a675c3-c5f5-402d-b658-2970bd9e4e0d"}</t>
        </is>
      </c>
      <c r="N86" t="inlineStr">
        <is>
          <t>Balenciaga Paris Collection black hoodie in soft cotton, featuring Statue of Liberty and moon graphic, unisex street vintage style, loose fit, cozy and trendy urban fashion essential.</t>
        </is>
      </c>
      <c r="O86" t="inlineStr">
        <is>
          <t>{"choices":[{"finish_reason":"stop","index":0,"logprobs":null,"message":{"annotations":[],"content":"Balenciaga,Hoodies,kakobuy,kakebuy2026,kekobuysheet,kakobuysheet2026,2026kakobuy,kakobuyspreadsheeet,kakobuylink,kakebuylist,Kakobuy MEGA Spreadsheet,kakobuysheetfind,kakobuysheetfind2026,2026kakobuysheetfind,kakobuysheet2026","refusal":null,"role":"assistant"}}],"created":1776667755,"id":"chatcmpl-DWcjTEVK0PKOE0vYdYwv3CZKn6R7b","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86" t="inlineStr">
        <is>
          <t>Balenciaga,Hoodies,kakobuy,kakebuy2026,kekobuysheet,kakobuysheet2026,2026kakobuy,kakobuyspreadsheeet,kakobuylink,kakebuylist,Kakobuy MEGA Spreadsheet,kakobuysheetfind,kakobuysheetfind2026,2026kakobuysheetfind,kakobuysheet2026</t>
        </is>
      </c>
      <c r="Q86" t="inlineStr">
        <is>
          <t>Balenciaga, Black, Streetwear, Vintage, Unisex</t>
        </is>
      </c>
      <c r="R86" t="inlineStr">
        <is>
          <t>recvh6xFVjGnlo</t>
        </is>
      </c>
      <c r="S86" t="inlineStr">
        <is>
          <t>balenciaga-statue-liberty-hoodie-recvh6xfvjgnlo</t>
        </is>
      </c>
      <c r="T86"/>
      <c r="U86"/>
      <c r="V86"/>
      <c r="W86" t="inlineStr">
        <is>
          <t>{"choices":[{"finish_reason":"stop","index":0,"logprobs":null,"message":{"annotations":[],"content":"Balenciaga：巴黎系列黑色连帽卫衣，柔软纯棉材质，正面自由女神与月亮图腾设计，街头复古风格，宽松剪裁，男女皆宜，兼具时尚与舒适，彰显都市潮流态度。","refusal":null,"role":"assistant"}}],"created":1776655035,"id":"chatcmpl-DWZQJMEk3LVa0BLyxUPMormocSBAm","model":"gpt-5-chat-latest","object":"chat.completion","service_tier":"default","system_fingerprint":"fp_ad66631dec","usage":{"completion_tokens":66,"completion_tokens_details":{"accepted_prediction_tokens":0,"audio_tokens":0,"reasoning_tokens":0,"rejected_prediction_tokens":0},"prompt_tokens":1322,"prompt_tokens_details":{"audio_tokens":0,"cached_tokens":0},"total_tokens":1388}}</t>
        </is>
      </c>
      <c r="X86" t="inlineStr">
        <is>
          <t>Balenciaga：巴黎系列黑色连帽卫衣，柔软纯棉材质，正面自由女神与月亮图腾设计，街头复古风格，宽松剪裁，男女皆宜，兼具时尚与舒适，彰显都市潮流态度。</t>
        </is>
      </c>
    </row>
    <row r="87" ht="25.5" customHeight="1">
      <c r="A87">
        <v>1839115443</v>
      </c>
      <c r="B87">
        <v>7635179774</v>
      </c>
      <c r="C87" t="inlineStr">
        <is>
          <t>https://weidian.com/item.html?itemID=7635179774</t>
        </is>
      </c>
      <c r="D87"/>
      <c r="E87" s="2" t="str">
        <f>=HYPERLINK("https://si.geilicdn.com/open1839115443-252808396-04950000019b1c05a76e0a23b4de_1440_1920.jpg?w=640&amp;h=640", "https://si.geilicdn.com/open1839115443-252808396-04950000019b1c05a76e0a23b4de_1440_1920.jpg?w=640&amp;h=640")</f>
        <v>https://si.geilicdn.com/open1839115443-252808396-04950000019b1c05a76e0a23b4de_1440_1920.jpg?w=640&amp;h=640</v>
      </c>
      <c r="F87" t="inlineStr">
        <is>
          <t>Pants</t>
        </is>
      </c>
      <c r="G87" t="inlineStr">
        <is>
          <t>Acne Studios</t>
        </is>
      </c>
      <c r="H87" t="inlineStr">
        <is>
          <t>642.00</t>
        </is>
      </c>
      <c r="I87">
        <v>93.04</v>
      </c>
      <c r="J87" t="inlineStr">
        <is>
          <t>{"choices":[{"finish_reason":"stop","index":0,"logprobs":null,"message":{"annotations":[],"content":"Acne Studios Grey Paint Splatter Chain Straight Jeans","refusal":null,"role":"assistant"}}],"created":1776665996,"id":"chatcmpl-DWcH67y49wMpJYRFtOX9VKnXMZPIA","model":"gpt-5-chat-latest","object":"chat.completion","service_tier":"default","system_fingerprint":"fp_ad66631dec","usage":{"completion_tokens":11,"completion_tokens_details":{"accepted_prediction_tokens":0,"audio_tokens":0,"reasoning_tokens":0,"rejected_prediction_tokens":0},"prompt_tokens":881,"prompt_tokens_details":{"audio_tokens":0,"cached_tokens":0},"total_tokens":892}}</t>
        </is>
      </c>
      <c r="K87" t="inlineStr">
        <is>
          <t>Acne Studios Grey Paint Splatter Chain Straight Jeans</t>
        </is>
      </c>
      <c r="L87" t="inlineStr">
        <is>
          <t>{"choices":[{"finish_reason":"stop","index":0,"logprobs":null,"message":{"annotations":[],"content":"Acne Studios Grey Washed Paint-Splatter Chain Jeans – crafted from premium cotton denim, featuring artistic street-style streak design, loose straight fit, unisex comfort with modern urban flair.","refusal":null,"role":"assistant"}}],"created":1776658500,"id":"chatcmpl-DWaKCZ5KPjCAK1oHF9Co2TXprE45z","model":"gpt-5-chat-latest","object":"chat.completion","service_tier":"default","system_fingerprint":"fp_ad66631dec","usage":{"completion_tokens":39,"completion_tokens_details":{"accepted_prediction_tokens":0,"audio_tokens":0,"reasoning_tokens":0,"rejected_prediction_tokens":0},"prompt_tokens":911,"prompt_tokens_details":{"audio_tokens":0,"cached_tokens":0},"total_tokens":950}}</t>
        </is>
      </c>
      <c r="M87" t="inlineStr">
        <is>
          <t>{"alt-svc":"h3=\":443\"; ma=2592000","apim-request-id":"138fe052-09bd-4352-bd79-defd189ef3d6","azureml-model-session":"d20260405234249-f9874baf","cache-control":"no-cache","connection":"close","content-length":"785","content-security-policy":"frame-ancestors 'self'","content-type":"application/json","date":"Mon, 20 Apr 2026 04:15:01 GMT","server":"Caddy","skip-error-remapping":"true","strict-transport-security":"max-age=31536000; includeSubDomains; preload","via":"1.1 Caddy","x-api-request-id":"20260420121459516528194gly2MMmy","x-content-type-options":"nosniff","x-frame-options":"SAMEORIGIN","x-ms-client-request-id":"Not-Set","x-ms-is-spilled-over":"false","x-ms-rai-invoked":"true","x-ms-region":"East US 2","x-new-api-version":"0.4.39","x-oneapi-request-id":"202604200414594233211498268d9d6XrajAURw","x-ratelimit-abusepenalty-active":"False","x-ratelimit-limit-requests":"3850","x-ratelimit-limit-tokens":"3850000","x-ratelimit-remaining-requests":"3849","x-ratelimit-remaining-tokens":"3848327","x-ratelimit-renewalperiod-requests":"60","x-ratelimit-renewalperiod-tokens":"60","x-ratelimit-reset-requests":"15","x-ratelimit-reset-tokens":"26","x-request-id":"83579ae9-8eab-4380-95f9-d0e3352a6a06"}</t>
        </is>
      </c>
      <c r="N87" t="inlineStr">
        <is>
          <t>Acne Studios Grey Washed Paint-Splatter Chain Jeans – crafted from premium cotton denim, featuring artistic street-style streak design, loose straight fit, unisex comfort with modern urban flair.</t>
        </is>
      </c>
      <c r="O87" t="inlineStr">
        <is>
          <t>{"choices":[{"finish_reason":"stop","index":0,"logprobs":null,"message":{"annotations":[],"content":"Acne Studios,Pants,kakobuy,kakebuy2026,kekobuysheet,kakobuysheet2026,2026kakobuy,kakobuyspreadsheeet,kakobuylink,kakebuylist,Kakobuy MEGA Spreadsheet,kakobuysheetfind,kakobuysheetfind2026,2026kakobuysheetfind,kakobuysheet2026","refusal":null,"role":"assistant"}}],"created":1776668329,"id":"chatcmpl-DWcsjuj4UrQ6BxbLYRlJPdzB0sxC0","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87" t="inlineStr">
        <is>
          <t>Acne Studios,Pants,kakobuy,kakebuy2026,kekobuysheet,kakobuysheet2026,2026kakobuy,kakobuyspreadsheeet,kakobuylink,kakebuylist,Kakobuy MEGA Spreadsheet,kakobuysheetfind,kakobuysheetfind2026,2026kakobuysheetfind,kakobuysheet2026</t>
        </is>
      </c>
      <c r="Q87" t="inlineStr">
        <is>
          <t>Denim, Unisex, Streetwear, Artistic Style, Modern, Grey</t>
        </is>
      </c>
      <c r="R87" t="inlineStr">
        <is>
          <t>recvh6xFVj1id2</t>
        </is>
      </c>
      <c r="S87" t="inlineStr">
        <is>
          <t>acne-grey-paint-splatter-chain-straight-jeans-recvh6xFVj1id2</t>
        </is>
      </c>
      <c r="T87"/>
      <c r="U87"/>
      <c r="V87"/>
      <c r="W87" t="inlineStr">
        <is>
          <t>{"id":"chatcmpl-DWZNThoZTw4riBIHVjo6zeQ7gSIJP","object":"chat.completion","created":1776654859,"model":"gpt-5-chat-latest","choices":[{"index":0,"message":{"role":"assistant","content":"Acne Studios：灰黑做旧牛仔长裤，采用高品质纯棉牛仔布，泼漆链条彩绘设计彰显个性街头风。宽松直筒剪裁，男女皆宜，兼具艺术感与舒适度，展现现代都市潮流美学。","refusal":null,"annotations":[]},"logprobs":null,"finish_reason":"stop"}],"usage":{"prompt_tokens":1325,"completion_tokens":71,"total_tokens":1396,"prompt_tokens_details":{"cached_tokens":0,"audio_tokens":0},"completion_tokens_details":{"reasoning_tokens":0,"audio_tokens":0,"accepted_prediction_tokens":0,"rejected_prediction_tokens":0}},"service_tier":"default","system_fingerprint":"fp_ad66631dec"}</t>
        </is>
      </c>
      <c r="X87" t="inlineStr">
        <is>
          <t>Acne Studios：灰黑做旧牛仔长裤，采用高品质纯棉牛仔布，泼漆链条彩绘设计彰显个性街头风。宽松直筒剪裁，男女皆宜，兼具艺术感与舒适度，展现现代都市潮流美学。</t>
        </is>
      </c>
    </row>
    <row r="88" ht="25.5" customHeight="1">
      <c r="A88">
        <v>1839115443</v>
      </c>
      <c r="B88">
        <v>7635060844</v>
      </c>
      <c r="C88" t="inlineStr">
        <is>
          <t>https://weidian.com/item.html?itemID=7635060844</t>
        </is>
      </c>
      <c r="D88"/>
      <c r="E88" s="2" t="str">
        <f>=HYPERLINK("https://si.geilicdn.com/open1839115443-252808396-16820000019b1bf2d5540aa086a7_1280_1707.jpg?w=640&amp;h=640", "https://si.geilicdn.com/open1839115443-252808396-16820000019b1bf2d5540aa086a7_1280_1707.jpg?w=640&amp;h=640")</f>
        <v>https://si.geilicdn.com/open1839115443-252808396-16820000019b1bf2d5540aa086a7_1280_1707.jpg?w=640&amp;h=640</v>
      </c>
      <c r="F88" t="inlineStr">
        <is>
          <t>Jackets</t>
        </is>
      </c>
      <c r="G88" t="inlineStr">
        <is>
          <t xml:space="preserve"> Loro Pian</t>
        </is>
      </c>
      <c r="H88" t="inlineStr">
        <is>
          <t>931.00</t>
        </is>
      </c>
      <c r="I88">
        <v>134.93</v>
      </c>
      <c r="J88" t="inlineStr">
        <is>
          <t>{"choices":[{"finish_reason":"stop","index":0,"logprobs":null,"message":{"annotations":[],"content":"Loro Piana Black Wool Leather Half Zip Jacket","refusal":null,"role":"assistant"}}],"created":1776666029,"id":"chatcmpl-DWcHd0Ewuw94Aw1sed4M51jQ3WhOw","model":"gpt-5-chat-latest","object":"chat.completion","service_tier":"default","system_fingerprint":"fp_ad66631dec","usage":{"completion_tokens":11,"completion_tokens_details":{"accepted_prediction_tokens":0,"audio_tokens":0,"reasoning_tokens":0,"rejected_prediction_tokens":0},"prompt_tokens":871,"prompt_tokens_details":{"audio_tokens":0,"cached_tokens":0},"total_tokens":882}}</t>
        </is>
      </c>
      <c r="K88" t="inlineStr">
        <is>
          <t>Loro Piana Black Wool Leather Half Zip Jacket</t>
        </is>
      </c>
      <c r="L88" t="inlineStr">
        <is>
          <t>{"choices":[{"finish_reason":"stop","index":0,"logprobs":null,"message":{"annotations":[],"content":"Loro Piana black wool-blend half-zip jacket with soft leather shoulder panels, showcasing Italian craftsmanship and timeless luxury for modern men’s business and casual wear.","refusal":null,"role":"assistant"}}],"created":1776658545,"id":"chatcmpl-DWaKvPUhPHziMfWW4VNaskU587mgZ","model":"gpt-5-chat-latest","object":"chat.completion","service_tier":"default","system_fingerprint":"fp_ad66631dec","usage":{"completion_tokens":34,"completion_tokens_details":{"accepted_prediction_tokens":0,"audio_tokens":0,"reasoning_tokens":0,"rejected_prediction_tokens":0},"prompt_tokens":909,"prompt_tokens_details":{"audio_tokens":0,"cached_tokens":0},"total_tokens":943}}</t>
        </is>
      </c>
      <c r="M88" t="inlineStr">
        <is>
          <t>{"alt-svc":"h3=\":443\"; ma=2592000","apim-request-id":"73dbd525-ec52-4393-bbbb-783dd4e5f3f3","azureml-model-session":"d20260405234249-f9874baf","cache-control":"no-cache","connection":"close","content-length":"764","content-security-policy":"frame-ancestors 'self'","content-type":"application/json","date":"Mon, 20 Apr 2026 04:15:46 GMT","server":"Caddy","skip-error-remapping":"true","strict-transport-security":"max-age=31536000; includeSubDomains; preload","via":"1.1 Caddy","x-api-request-id":"202604201215444020171286ECLo1Jq","x-content-type-options":"nosniff","x-frame-options":"SAMEORIGIN","x-ms-client-request-id":"Not-Set","x-ms-is-spilled-over":"false","x-ms-rai-invoked":"true","x-ms-region":"East US 2","x-new-api-version":"0.4.39","x-oneapi-request-id":"202604200415443350258458268d9d6UQcLfWm2","x-ratelimit-abusepenalty-active":"False","x-ratelimit-limit-requests":"3850","x-ratelimit-limit-tokens":"3850000","x-ratelimit-remaining-requests":"3849","x-ratelimit-remaining-tokens":"3848329","x-ratelimit-renewalperiod-requests":"60","x-ratelimit-renewalperiod-tokens":"60","x-ratelimit-reset-requests":"15","x-ratelimit-reset-tokens":"26","x-request-id":"0eb79432-6a8c-4192-8f43-dee020604042"}</t>
        </is>
      </c>
      <c r="N88" t="inlineStr">
        <is>
          <t>Loro Piana black wool-blend half-zip jacket with soft leather shoulder panels, showcasing Italian craftsmanship and timeless luxury for modern men’s business and casual wear.</t>
        </is>
      </c>
      <c r="O88" t="inlineStr">
        <is>
          <t>{"choices":[{"finish_reason":"stop","index":0,"logprobs":null,"message":{"annotations":[],"content":"Loro Piana, Jackets, kakobuy, kakebuy2026, kekobuysheet, kakobuysheet2026, 2026kakobuy, kakobuyspreadsheeet, kakobuylink, kakebuylist, Kakobuy MEGA Spreadsheet, kakobuysheetfind, kakobuysheetfind2026, 2026kakobuysheetfind, kakobuysheet2026","refusal":null,"role":"assistant"}}],"created":1776667343,"id":"chatcmpl-DWccpOTYpkEWYmiXT9on8Z0kiRFrR","model":"gpt-5-chat-latest","object":"chat.completion","service_tier":"default","system_fingerprint":"fp_ad66631dec","usage":{"completion_tokens":93,"completion_tokens_details":{"accepted_prediction_tokens":0,"audio_tokens":0,"reasoning_tokens":0,"rejected_prediction_tokens":0},"prompt_tokens":784,"prompt_tokens_details":{"audio_tokens":0,"cached_tokens":0},"total_tokens":877}}</t>
        </is>
      </c>
      <c r="P88" t="inlineStr">
        <is>
          <t>Loro Piana, Jackets, kakobuy, kakebuy2026, kekobuysheet, kakobuysheet2026, 2026kakobuy, kakobuyspreadsheeet, kakobuylink, kakebuylist, Kakobuy MEGA Spreadsheet, kakobuysheetfind, kakobuysheetfind2026, 2026kakobuysheetfind, kakobuysheet2026</t>
        </is>
      </c>
      <c r="Q88" t="inlineStr">
        <is>
          <t>Black, Wool, Leather, Business, Men</t>
        </is>
      </c>
      <c r="R88" t="inlineStr">
        <is>
          <t>recvh6xFVj5hTb</t>
        </is>
      </c>
      <c r="S88" t="inlineStr">
        <is>
          <t>loro-piana-black-wool-leather-half-zip-jacket-recvh6xFVj5hTb</t>
        </is>
      </c>
      <c r="T88"/>
      <c r="U88"/>
      <c r="V88"/>
      <c r="W88" t="inlineStr">
        <is>
          <t>{"id":"chatcmpl-DWZf5jdlarLzTCfIg4jzL0OZz8wdd","object":"chat.completion","created":1776655951,"model":"gpt-5-chat-latest","choices":[{"index":0,"message":{"role":"assistant","content":"Loro Piana 黑色皮拼织纹半拉链夹克，以高级羊毛混纺与柔软皮革肩部设计打造，简约剪裁展现意式精工质感，男士休闲商务皆宜，低调奢华风格诠释现代绅士品味。","refusal":null,"annotations":[]},"logprobs":null,"finish_reason":"stop"}],"usage":{"prompt_tokens":1321,"completion_tokens":71,"total_tokens":1392,"prompt_tokens_details":{"cached_tokens":0,"audio_tokens":0},"completion_tokens_details":{"reasoning_tokens":0,"audio_tokens":0,"accepted_prediction_tokens":0,"rejected_prediction_tokens":0}},"service_tier":"default","system_fingerprint":"fp_ad66631dec"}</t>
        </is>
      </c>
      <c r="X88" t="inlineStr">
        <is>
          <t>Loro Piana 黑色皮拼织纹半拉链夹克，以高级羊毛混纺与柔软皮革肩部设计打造，简约剪裁展现意式精工质感，男士休闲商务皆宜，低调奢华风格诠释现代绅士品味。</t>
        </is>
      </c>
    </row>
    <row r="89" ht="25.5" customHeight="1">
      <c r="A89">
        <v>1839115443</v>
      </c>
      <c r="B89">
        <v>7635909419</v>
      </c>
      <c r="C89" t="inlineStr">
        <is>
          <t>https://weidian.com/item.html?itemID=7635909419</t>
        </is>
      </c>
      <c r="D89"/>
      <c r="E89" s="2" t="str">
        <f>=HYPERLINK("https://si.geilicdn.com/open1839115443-252808396-3c0d0000019b35620f750aa08245_800_800.jpg?w=750&amp;h=750&amp;cp=1", "https://si.geilicdn.com/open1839115443-252808396-3c0d0000019b35620f750aa08245_800_800.jpg?w=750&amp;h=750&amp;cp=1")</f>
        <v>https://si.geilicdn.com/open1839115443-252808396-3c0d0000019b35620f750aa08245_800_800.jpg?w=750&amp;h=750&amp;cp=1</v>
      </c>
      <c r="F89" t="inlineStr">
        <is>
          <t>T-Shirts</t>
        </is>
      </c>
      <c r="G89" t="inlineStr">
        <is>
          <t xml:space="preserve"> Essentials</t>
        </is>
      </c>
      <c r="H89" t="inlineStr">
        <is>
          <t>95.00</t>
        </is>
      </c>
      <c r="I89">
        <v>13.77</v>
      </c>
      <c r="J89" t="inlineStr">
        <is>
          <t>{"choices":[{"finish_reason":"stop","index":0,"logprobs":null,"message":{"annotations":[],"content":"ESSENTIALS Fear of God Gray Cotton T-Shirt","refusal":null,"role":"assistant"}}],"created":1776666638,"id":"chatcmpl-DWcRSdGkKM12gVzYVnsl6fVncdVKu","model":"gpt-5-chat-latest","object":"chat.completion","service_tier":"default","system_fingerprint":"fp_ad66631dec","usage":{"completion_tokens":11,"completion_tokens_details":{"accepted_prediction_tokens":0,"audio_tokens":0,"reasoning_tokens":0,"rejected_prediction_tokens":0},"prompt_tokens":887,"prompt_tokens_details":{"audio_tokens":0,"cached_tokens":0},"total_tokens":898}}</t>
        </is>
      </c>
      <c r="K89" t="inlineStr">
        <is>
          <t>ESSENTIALS Fear of God Gray Cotton T-Shirt</t>
        </is>
      </c>
      <c r="L89" t="inlineStr">
        <is>
          <t>{"choices":[{"finish_reason":"stop","index":0,"logprobs":null,"message":{"annotations":[],"content":"ESSENTIALS Fear of God gray T-shirt made of premium cotton, soft and breathable. Features bold logo, loose drop-shoulder fit, unisex streetwear style, minimalist design for modern urban fashion.","refusal":null,"role":"assistant"}}],"created":1776658559,"id":"chatcmpl-DWaL9WLI0z24djROCnB31cvaiXgNT","model":"gpt-5-chat-latest","object":"chat.completion","service_tier":"default","system_fingerprint":"fp_ad66631dec","usage":{"completion_tokens":43,"completion_tokens_details":{"accepted_prediction_tokens":0,"audio_tokens":0,"reasoning_tokens":0,"rejected_prediction_tokens":0},"prompt_tokens":922,"prompt_tokens_details":{"audio_tokens":0,"cached_tokens":0},"total_tokens":965}}</t>
        </is>
      </c>
      <c r="M89" t="inlineStr">
        <is>
          <t>{"alt-svc":"h3=\":443\"; ma=2592000","apim-request-id":"71859f54-5f30-4956-a4f4-db930764e32e","azureml-model-session":"d20260405234249-f9874baf","cache-control":"no-cache","connection":"close","content-length":"782","content-security-policy":"frame-ancestors 'self'","content-type":"application/json","date":"Mon, 20 Apr 2026 04:16:01 GMT","server":"Caddy","skip-error-remapping":"true","strict-transport-security":"max-age=31536000; includeSubDomains; preload","via":"1.1 Caddy","x-api-request-id":"20260420121559125717168X1AQ7Fui","x-content-type-options":"nosniff","x-frame-options":"SAMEORIGIN","x-ms-client-request-id":"Not-Set","x-ms-is-spilled-over":"false","x-ms-rai-invoked":"true","x-ms-region":"East US 2","x-new-api-version":"0.4.39","x-oneapi-request-id":"202604200415589881845028268d9d6K4PzD9gs","x-ratelimit-abusepenalty-active":"False","x-ratelimit-limit-requests":"3850","x-ratelimit-limit-tokens":"3850000","x-ratelimit-remaining-requests":"3849","x-ratelimit-remaining-tokens":"3848316","x-ratelimit-renewalperiod-requests":"60","x-ratelimit-renewalperiod-tokens":"60","x-ratelimit-reset-requests":"15","x-ratelimit-reset-tokens":"26","x-request-id":"676bcbfd-6209-4321-8af9-70e071d7c609"}</t>
        </is>
      </c>
      <c r="N89" t="inlineStr">
        <is>
          <t>ESSENTIALS Fear of God gray T-shirt made of premium cotton, soft and breathable. Features bold logo, loose drop-shoulder fit, unisex streetwear style, minimalist design for modern urban fashion.</t>
        </is>
      </c>
      <c r="O89" t="inlineStr">
        <is>
          <t>{"choices":[{"finish_reason":"stop","index":0,"logprobs":null,"message":{"annotations":[],"content":"Fear of God Essentials, T-Shirts, kakobuy, kakebuy2026, kekobuysheet, kakobuysheet2026, 2026kakobuy, kakobuyspreadsheeet, kakobuylink, kakebuylist, Kakobuy MEGA Spreadsheet, kakobuysheetfind, kakobuysheetfind2026, 2026kakobuysheetfind, kakobuysheet2026","refusal":null,"role":"assistant"}}],"created":1776668034,"id":"chatcmpl-DWcnyG5HMeGAs5fBnNYiaa6H8gT6a","model":"gpt-5-chat-latest","object":"chat.completion","service_tier":"default","system_fingerprint":"fp_ad66631dec","usage":{"completion_tokens":94,"completion_tokens_details":{"accepted_prediction_tokens":0,"audio_tokens":0,"reasoning_tokens":0,"rejected_prediction_tokens":0},"prompt_tokens":782,"prompt_tokens_details":{"audio_tokens":0,"cached_tokens":0},"total_tokens":876}}</t>
        </is>
      </c>
      <c r="P89" t="inlineStr">
        <is>
          <t>Fear of God Essentials, T-Shirts, kakobuy, kakebuy2026, kekobuysheet, kakobuysheet2026, 2026kakobuy, kakobuyspreadsheeet, kakobuylink, kakebuylist, Kakobuy MEGA Spreadsheet, kakobuysheetfind, kakobuysheetfind2026, 2026kakobuysheetfind, kakobuysheet2026</t>
        </is>
      </c>
      <c r="Q89" t="inlineStr">
        <is>
          <t>Gray, Unisex, Streetwear, Minimalist</t>
        </is>
      </c>
      <c r="R89" t="inlineStr">
        <is>
          <t>recvh6xFVj891W</t>
        </is>
      </c>
      <c r="S89" t="inlineStr">
        <is>
          <t>fear-of-god-gray-cotton-tshirt-recvh6xFVj891W</t>
        </is>
      </c>
      <c r="T89"/>
      <c r="U89"/>
      <c r="V89"/>
      <c r="W89" t="inlineStr">
        <is>
          <t>{"choices":[{"finish_reason":"stop","index":0,"logprobs":null,"message":{"annotations":[],"content":"Essentials：灰色简约系列T恤，精选优质纯棉面料，柔软透气舒适。胸前醒目“ESSENTIALS FEAR OF GOD”字样彰显潮流标识，宽松落肩剪裁带来随性街头风格，男女皆宜，打造极简美学与现代都市休闲完美融合。","refusal":null,"role":"assistant"}}],"created":1776655016,"id":"chatcmpl-DWZQ0g82OyaYXqMxVkDbIwe1xWzfX","model":"gpt-5-chat-latest","object":"chat.completion","service_tier":"default","system_fingerprint":"fp_ad66631dec","usage":{"completion_tokens":84,"completion_tokens_details":{"accepted_prediction_tokens":0,"audio_tokens":0,"reasoning_tokens":0,"rejected_prediction_tokens":0},"prompt_tokens":1319,"prompt_tokens_details":{"audio_tokens":0,"cached_tokens":0},"total_tokens":1403}}</t>
        </is>
      </c>
      <c r="X89" t="inlineStr">
        <is>
          <t>Essentials：灰色简约系列T恤，精选优质纯棉面料，柔软透气舒适。胸前醒目“ESSENTIALS FEAR OF GOD”字样彰显潮流标识，宽松落肩剪裁带来随性街头风格，男女皆宜，打造极简美学与现代都市休闲完美融合。</t>
        </is>
      </c>
    </row>
    <row r="90" ht="25.5" customHeight="1">
      <c r="A90">
        <v>1839115443</v>
      </c>
      <c r="B90">
        <v>7635185710</v>
      </c>
      <c r="C90" t="inlineStr">
        <is>
          <t>https://weidian.com/item.html?itemID=7635185710</t>
        </is>
      </c>
      <c r="D90"/>
      <c r="E90" s="2" t="str">
        <f>=HYPERLINK("https://si.geilicdn.com/open1839115443-252808396-3ac10000019b1c0f500b0aa08245_1440_1440.jpg?w=640&amp;h=640", "https://si.geilicdn.com/open1839115443-252808396-3ac10000019b1c0f500b0aa08245_1440_1440.jpg?w=640&amp;h=640")</f>
        <v>https://si.geilicdn.com/open1839115443-252808396-3ac10000019b1c0f500b0aa08245_1440_1440.jpg?w=640&amp;h=640</v>
      </c>
      <c r="F90" t="inlineStr">
        <is>
          <t>Hoodies</t>
        </is>
      </c>
      <c r="G90" t="inlineStr">
        <is>
          <t>Balenciaga</t>
        </is>
      </c>
      <c r="H90" t="inlineStr">
        <is>
          <t>410.00</t>
        </is>
      </c>
      <c r="I90">
        <v>59.42</v>
      </c>
      <c r="J90" t="inlineStr">
        <is>
          <t>{"id":"chatcmpl-DWcWWM96wt1xGHcU9lVVQM362lg1b","object":"chat.completion","created":1776666952,"model":"gpt-5-chat-latest","choices":[{"index":0,"message":{"role":"assistant","content":"Balenciaga Grey Laurel Logo Unisex Cotton Hoodie","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90" t="inlineStr">
        <is>
          <t>Balenciaga Grey Laurel Logo Unisex Cotton Hoodie</t>
        </is>
      </c>
      <c r="L90" t="inlineStr">
        <is>
          <t>{"choices":[{"finish_reason":"stop","index":0,"logprobs":null,"message":{"annotations":[],"content":"Balenciaga Grey Logo Print Hoodie, crafted from soft cotton with a relaxed fit, featuring a laurel wreath emblem. Unisex streetwear style showcasing modern high-fashion attitude.","refusal":null,"role":"assistant"}}],"created":1776658791,"id":"chatcmpl-DWaOtsGksWyzE04V9Tu1DFoBDg9fk","model":"gpt-5-chat-latest","object":"chat.completion","service_tier":"default","system_fingerprint":"fp_ad66631dec","usage":{"completion_tokens":36,"completion_tokens_details":{"accepted_prediction_tokens":0,"audio_tokens":0,"reasoning_tokens":0,"rejected_prediction_tokens":0},"prompt_tokens":898,"prompt_tokens_details":{"audio_tokens":0,"cached_tokens":0},"total_tokens":934}}</t>
        </is>
      </c>
      <c r="M90" t="inlineStr">
        <is>
          <t>{"alt-svc":"h3=\":443\"; ma=2592000","apim-request-id":"a5d9e5be-b8f8-4841-b153-32c5d076b5fd","azureml-model-session":"d20260402083108-57a85543","cache-control":"no-cache","connection":"close","content-length":"766","content-security-policy":"frame-ancestors 'self'","content-type":"application/json","date":"Mon, 20 Apr 2026 04:19:53 GMT","server":"Caddy","skip-error-remapping":"true","strict-transport-security":"max-age=31536000; includeSubDomains; preload","via":"1.1 Caddy","x-api-request-id":"20260420121951127002950KcfQdjie","x-content-type-options":"nosniff","x-frame-options":"SAMEORIGIN","x-ms-client-request-id":"Not-Set","x-ms-is-spilled-over":"false","x-ms-rai-invoked":"true","x-ms-region":"East US 2","x-new-api-version":"0.4.39","x-oneapi-request-id":"20260420041951603223608268d9d6fcQ6fsVY","x-ratelimit-abusepenalty-active":"False","x-ratelimit-limit-requests":"3850","x-ratelimit-limit-tokens":"3850000","x-ratelimit-remaining-requests":"3849","x-ratelimit-remaining-tokens":"3848340","x-ratelimit-renewalperiod-requests":"60","x-ratelimit-renewalperiod-tokens":"60","x-ratelimit-reset-requests":"15","x-ratelimit-reset-tokens":"25","x-request-id":"c46c93dd-9d64-9a3a-b82f-5bba7ccdcfac"}</t>
        </is>
      </c>
      <c r="N90" t="inlineStr">
        <is>
          <t>Balenciaga Grey Logo Print Hoodie, crafted from soft cotton with a relaxed fit, featuring a laurel wreath emblem. Unisex streetwear style showcasing modern high-fashion attitude.</t>
        </is>
      </c>
      <c r="O90" t="inlineStr">
        <is>
          <t>{"choices":[{"finish_reason":"stop","index":0,"logprobs":null,"message":{"annotations":[],"content":"Balenciaga,Hoodies,kakobuy,kakebuy2026,kekobuysheet,kakobuysheet2026,2026kakobuy,kakobuyspreadsheeet,kakobuylink,kakebuylist,Kakobuy MEGA Spreadsheet,kakobuysheetfind,kakobuysheetfind2026,2026kakobuysheetfind,kakobuysheet2026","refusal":null,"role":"assistant"}}],"created":1776668888,"id":"chatcmpl-DWd1kPAqnACyqwtdT2QtTXlgnd90b","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90" t="inlineStr">
        <is>
          <t>Balenciaga,Hoodies,kakobuy,kakebuy2026,kekobuysheet,kakobuysheet2026,2026kakobuy,kakobuyspreadsheeet,kakobuylink,kakebuylist,Kakobuy MEGA Spreadsheet,kakobuysheetfind,kakobuysheetfind2026,2026kakobuysheetfind,kakobuysheet2026</t>
        </is>
      </c>
      <c r="Q90" t="inlineStr">
        <is>
          <t>Balenciaga, Grey, Streetwear, Unisex</t>
        </is>
      </c>
      <c r="R90" t="inlineStr">
        <is>
          <t>recvh6xFVjOkM0</t>
        </is>
      </c>
      <c r="S90" t="inlineStr">
        <is>
          <t>balenciaga-grey-laurel-logo-hoodie-recvh6xfvjokm0</t>
        </is>
      </c>
      <c r="T90"/>
      <c r="U90"/>
      <c r="V90"/>
      <c r="W90" t="inlineStr">
        <is>
          <t>{"id":"chatcmpl-DWZegpaHkJUC6Rlff2xcJnpLMeXkM","object":"chat.completion","created":1776655926,"model":"gpt-5-chat-latest","choices":[{"index":0,"message":{"role":"assistant","content":"Balenciaga：灰色Logo印花连帽卫衣，柔软棉质材质，宽松版型与精致月桂花环徽章设计，男女皆宜的都市街头风格，展现现代高街时尚态度。","refusal":null,"annotations":[]},"logprobs":null,"finish_reason":"stop"}],"usage":{"prompt_tokens":1324,"completion_tokens":58,"total_tokens":1382,"prompt_tokens_details":{"cached_tokens":0,"audio_tokens":0},"completion_tokens_details":{"reasoning_tokens":0,"audio_tokens":0,"accepted_prediction_tokens":0,"rejected_prediction_tokens":0}},"service_tier":"default","system_fingerprint":"fp_ad66631dec"}</t>
        </is>
      </c>
      <c r="X90" t="inlineStr">
        <is>
          <t>Balenciaga：灰色Logo印花连帽卫衣，柔软棉质材质，宽松版型与精致月桂花环徽章设计，男女皆宜的都市街头风格，展现现代高街时尚态度。</t>
        </is>
      </c>
    </row>
    <row r="91" ht="25.5" customHeight="1">
      <c r="A91">
        <v>1839115443</v>
      </c>
      <c r="B91">
        <v>7632209671</v>
      </c>
      <c r="C91" t="inlineStr">
        <is>
          <t>https://weidian.com/item.html?itemID=7632209671</t>
        </is>
      </c>
      <c r="D91"/>
      <c r="E91" s="2" t="str">
        <f>=HYPERLINK("https://si.geilicdn.com/open1839115443-252808396-04850000019b1bfeb99e0a231226_1440_1920.jpg?w=640&amp;h=640", "https://si.geilicdn.com/open1839115443-252808396-04850000019b1bfeb99e0a231226_1440_1920.jpg?w=640&amp;h=640")</f>
        <v>https://si.geilicdn.com/open1839115443-252808396-04850000019b1bfeb99e0a231226_1440_1920.jpg?w=640&amp;h=640</v>
      </c>
      <c r="F91" t="inlineStr">
        <is>
          <t>T-Shirts</t>
        </is>
      </c>
      <c r="G91" t="inlineStr">
        <is>
          <t>Chrome Hearts</t>
        </is>
      </c>
      <c r="H91" t="inlineStr">
        <is>
          <t>598.00</t>
        </is>
      </c>
      <c r="I91">
        <v>86.67</v>
      </c>
      <c r="J91" t="inlineStr">
        <is>
          <t>{"id":"chatcmpl-DWcNs77u0y9ZzCZsEJYzcfrZErAkv","object":"chat.completion","created":1776666416,"model":"gpt-5-chat-latest","choices":[{"index":0,"message":{"role":"assistant","content":"Chrome Hearts Black Gothic Half Zip Sweatshirt Unisex","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91" t="inlineStr">
        <is>
          <t>Chrome Hearts Black Gothic Half Zip Sweatshirt Unisex</t>
        </is>
      </c>
      <c r="L91" t="inlineStr">
        <is>
          <t>{"id":"chatcmpl-DWabQ4rT2gN7ZVaVAqJrcQwrQCtrj","object":"chat.completion","created":1776659568,"model":"gpt-5-chat-latest","choices":[{"index":0,"message":{"role":"assistant","content":"Chrome Hearts Black Half-Zip Sweatshirt crafted from heavy cotton, featuring Gothic logo sleeves, cross emblem, loose unisex fit, and front pocket, reflecting bold American street style.","refusal":null,"annotations":[]},"logprobs":null,"finish_reason":"stop"}],"usage":{"prompt_tokens":925,"completion_tokens":37,"total_tokens":962,"prompt_tokens_details":{"cached_tokens":0,"audio_tokens":0},"completion_tokens_details":{"reasoning_tokens":0,"audio_tokens":0,"accepted_prediction_tokens":0,"rejected_prediction_tokens":0}},"service_tier":"default","system_fingerprint":"fp_ad66631dec"}</t>
        </is>
      </c>
      <c r="M9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ma=2592000","apim-request-id":"08c0d47e-8ac0-40f6-8b83-f9c93baab58c","azureml-model-session":"d20260402075109-1fc5a0ec","cache-control":"no-cache, no-store, must-revalidate","connection":"close","content-length":"990","content-security-policy":"frame-ancestors 'self'","content-type":"application/json","date":"Mon, 20 Apr 2026 04:32:50 GMT","server":"nginx","skip-error-remapping":"true","strict-transport-security":"max-age=31536000; includeSubDomains; preload","via":"1.1 Caddy, 1.1 Caddy","x-api-request-id":"20260420123247436261316GKcdkr8f","x-content-type-options":"nosniff","x-frame-options":"SAMEORIGIN","x-ms-is-spilled-over":"false","x-ms-rai-invoked":"false","x-ms-region":"Sweden Central","x-new-api-version":"0.4.39","x-oneapi-request-id":"202604200432473687915758268d9d69fZFbz8J","x-ratelimit-abusepenalty-active":"False","x-ratelimit-limit-requests":"4993","x-ratelimit-limit-tokens":"4993000","x-ratelimit-remaining-requests":"4992","x-ratelimit-remaining-tokens":"4991313","x-ratelimit-renewalperiod-requests":"60","x-ratelimit-renewalperiod-tokens":"60","x-ratelimit-reset-requests":"12","x-ratelimit-reset-tokens":"20","x-request-id":"c06d9b03-bef7-4bd5-ad61-6452b3895ba8"}</t>
        </is>
      </c>
      <c r="N91" t="inlineStr">
        <is>
          <t>Chrome Hearts Black Half-Zip Sweatshirt crafted from heavy cotton, featuring Gothic logo sleeves, cross emblem, loose unisex fit, and front pocket, reflecting bold American street style.</t>
        </is>
      </c>
      <c r="O91" t="inlineStr">
        <is>
          <t>{"choices":[{"finish_reason":"stop","index":0,"logprobs":null,"message":{"annotations":[],"content":"Chrome Hearts,T-Shirts,kakobuy,kakebuy2026,kekobuysheet,kakobuysheet2026,2026kakobuy,kakobuyspreadsheeet,kakobuylink,kakebuylist,Kakobuy MEGA Spreadsheet,kakobuysheetfind,kakobuysheetfind2026,2026kakobuysheetfind,kakobuysheet2026","refusal":null,"role":"assistant"}}],"created":1776667914,"id":"chatcmpl-DWcm2GBY43rMikHTW71e2IF8jk5E5","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91" t="inlineStr">
        <is>
          <t>Chrome Hearts,T-Shirts,kakobuy,kakebuy2026,kekobuysheet,kakobuysheet2026,2026kakobuy,kakobuyspreadsheeet,kakobuylink,kakebuylist,Kakobuy MEGA Spreadsheet,kakobuysheetfind,kakobuysheetfind2026,2026kakobuysheetfind,kakobuysheet2026</t>
        </is>
      </c>
      <c r="Q91" t="inlineStr">
        <is>
          <t>Black, Gothic, Streetwear, Unisex</t>
        </is>
      </c>
      <c r="R91" t="inlineStr">
        <is>
          <t>recvh6xFVjT8fR</t>
        </is>
      </c>
      <c r="S91" t="inlineStr">
        <is>
          <t>chrome-hearts-black-gothic-half-zip-recvh6xFVjT8fR</t>
        </is>
      </c>
      <c r="T91"/>
      <c r="U91"/>
      <c r="V91"/>
      <c r="W91" t="inlineStr">
        <is>
          <t>{"choices":[{"finish_reason":"stop","index":0,"logprobs":null,"message":{"annotations":[],"content":"Chrome Hearts：黑色半拉链卫衣，甄选高克重纯棉材质，袖侧点缀标志性哥特字体印花与精致十字徽标，宽松版型兼具舒适与街头感，前袋设计实用便捷，适合男女皆宜，展现独立不羁的美式硬核潮流风格。","refusal":null,"role":"assistant"}}],"created":1776655129,"id":"chatcmpl-DWZRpJqkHkXdI55KQ3SFRYYz5ayzA","model":"gpt-5-chat-latest","object":"chat.completion","service_tier":"default","system_fingerprint":"fp_ad66631dec","usage":{"completion_tokens":89,"completion_tokens_details":{"accepted_prediction_tokens":0,"audio_tokens":0,"reasoning_tokens":0,"rejected_prediction_tokens":0},"prompt_tokens":1316,"prompt_tokens_details":{"audio_tokens":0,"cached_tokens":0},"total_tokens":1405}}</t>
        </is>
      </c>
      <c r="X91" t="inlineStr">
        <is>
          <t>Chrome Hearts：黑色半拉链卫衣，甄选高克重纯棉材质，袖侧点缀标志性哥特字体印花与精致十字徽标，宽松版型兼具舒适与街头感，前袋设计实用便捷，适合男女皆宜，展现独立不羁的美式硬核潮流风格。</t>
        </is>
      </c>
    </row>
    <row r="92" ht="25.5" customHeight="1">
      <c r="A92">
        <v>1839115443</v>
      </c>
      <c r="B92">
        <v>7632137405</v>
      </c>
      <c r="C92" t="inlineStr">
        <is>
          <t>https://weidian.com/item.html?itemID=7632137405</t>
        </is>
      </c>
      <c r="D92"/>
      <c r="E92" s="2" t="str">
        <f>=HYPERLINK("https://si.geilicdn.com/open1839115443-252808396-7f6a0000019b1bf7cc660a23b4de_1074_1074.jpg?w=640&amp;h=640", "https://si.geilicdn.com/open1839115443-252808396-7f6a0000019b1bf7cc660a23b4de_1074_1074.jpg?w=640&amp;h=640")</f>
        <v>https://si.geilicdn.com/open1839115443-252808396-7f6a0000019b1bf7cc660a23b4de_1074_1074.jpg?w=640&amp;h=640</v>
      </c>
      <c r="F92" t="inlineStr">
        <is>
          <t>Jackets</t>
        </is>
      </c>
      <c r="G92" t="inlineStr">
        <is>
          <t>Moncler</t>
        </is>
      </c>
      <c r="H92" t="inlineStr">
        <is>
          <t>424.00</t>
        </is>
      </c>
      <c r="I92">
        <v>61.45</v>
      </c>
      <c r="J92" t="inlineStr">
        <is>
          <t>{"choices":[{"finish_reason":"stop","index":0,"logprobs":null,"message":{"annotations":[],"content":"Moncler Lago Black Glossy Down Jacket","refusal":null,"role":"assistant"}}],"created":1776666592,"id":"chatcmpl-DWcQigpOUcbhySQjxfyVpK9Nca1Rv","model":"gpt-5-chat-latest","object":"chat.completion","service_tier":"default","system_fingerprint":"fp_ad66631dec","usage":{"completion_tokens":9,"completion_tokens_details":{"accepted_prediction_tokens":0,"audio_tokens":0,"reasoning_tokens":0,"rejected_prediction_tokens":0},"prompt_tokens":878,"prompt_tokens_details":{"audio_tokens":0,"cached_tokens":0},"total_tokens":887}}</t>
        </is>
      </c>
      <c r="K92" t="inlineStr">
        <is>
          <t>Moncler Lago Black Glossy Down Jacket</t>
        </is>
      </c>
      <c r="L92" t="inlineStr">
        <is>
          <t>{"choices":[{"finish_reason":"stop","index":0,"logprobs":null,"message":{"annotations":[],"content":"Moncler Lago Black Glossy Down Jacket with waterproof nylon, high-fill goose down, adjustable hood, and tailored fit for lightweight warmth and sleek urban style, unisex Italian winter luxury.","refusal":null,"role":"assistant"}}],"created":1776658372,"id":"chatcmpl-DWaI8JXEWAtCs8w7Zw5fd8B2o1fBi","model":"gpt-5-chat-latest","object":"chat.completion","service_tier":"default","system_fingerprint":"fp_ad66631dec","usage":{"completion_tokens":38,"completion_tokens_details":{"accepted_prediction_tokens":0,"audio_tokens":0,"reasoning_tokens":0,"rejected_prediction_tokens":0},"prompt_tokens":916,"prompt_tokens_details":{"audio_tokens":0,"cached_tokens":0},"total_tokens":954}}</t>
        </is>
      </c>
      <c r="M92" t="inlineStr">
        <is>
          <t>{"alt-svc":"h3=\":443\"; ma=2592000","apim-request-id":"2ace1845-3d3c-49bb-a800-428f4c37c015","azureml-model-session":"d20260405234249-f9874baf","cache-control":"no-cache","connection":"close","content-length":"780","content-security-policy":"frame-ancestors 'self'","content-type":"application/json","date":"Mon, 20 Apr 2026 04:12:54 GMT","server":"nginx","skip-error-remapping":"true","strict-transport-security":"max-age=31536000; includeSubDomains; preload","via":"1.1 Caddy, 1.1 Caddy","x-api-request-id":"20260420121252145024204b6UZYjk7","x-content-type-options":"nosniff","x-frame-options":"SAMEORIGIN","x-ms-client-request-id":"Not-Set","x-ms-is-spilled-over":"false","x-ms-rai-invoked":"true","x-ms-region":"East US 2","x-new-api-version":"0.4.39","x-oneapi-request-id":"20260420041252788830228268d9d6yE7CgxGV","x-ratelimit-abusepenalty-active":"False","x-ratelimit-limit-requests":"3850","x-ratelimit-limit-tokens":"3850000","x-ratelimit-remaining-requests":"3849","x-ratelimit-remaining-tokens":"3847467","x-ratelimit-renewalperiod-requests":"60","x-ratelimit-renewalperiod-tokens":"60","x-ratelimit-reset-requests":"15","x-ratelimit-reset-tokens":"39","x-request-id":"c78a78fa-f19e-4608-b917-e9e1053b28ee"}</t>
        </is>
      </c>
      <c r="N92" t="inlineStr">
        <is>
          <t>Moncler Lago Black Glossy Down Jacket with waterproof nylon, high-fill goose down, adjustable hood, and tailored fit for lightweight warmth and sleek urban style, unisex Italian winter luxury.</t>
        </is>
      </c>
      <c r="O92" t="inlineStr">
        <is>
          <t>{"choices":[{"finish_reason":"stop","index":0,"logprobs":null,"message":{"annotations":[],"content":"Moncler, Jacket, kakobuy, kakebuy2026, kekobuysheet, kakobuysheet2026, 2026kakobuy, kakobuyspreadsheeet, kakobuylink, kakebuylist, Kakobuy MEGA Spreadsheet, kakobuysheetfind, kakobuysheetfind2026, 2026kakobuysheetfind, kakobuysheet2026","refusal":null,"role":"assistant"}}],"created":1776668846,"id":"chatcmpl-DWd14t1Cu1pIhZcKY0XBcHtbzyTb6","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92" t="inlineStr">
        <is>
          <t>Moncler, Jacket, kakobuy, kakebuy2026, kekobuysheet, kakobuysheet2026, 2026kakobuy, kakobuyspreadsheeet, kakobuylink, kakebuylist, Kakobuy MEGA Spreadsheet, kakobuysheetfind, kakobuysheetfind2026, 2026kakobuysheetfind, kakobuysheet2026</t>
        </is>
      </c>
      <c r="Q92" t="inlineStr">
        <is>
          <t>Waterproof, Nylon, Winter, Unisex, Sleek</t>
        </is>
      </c>
      <c r="R92" t="inlineStr">
        <is>
          <t>recvh6xFVjdutR</t>
        </is>
      </c>
      <c r="S92" t="inlineStr">
        <is>
          <t>moncler-lago-black-glossy-down-jacket-recvh6xfvjdutr</t>
        </is>
      </c>
      <c r="T92"/>
      <c r="U92"/>
      <c r="V92"/>
      <c r="W92" t="inlineStr">
        <is>
          <t>{"id":"chatcmpl-DWZMLfoyOMkKCmGCObXJGQRB5vYdM","object":"chat.completion","created":1776654789,"model":"gpt-5-chat-2025-10-03","choices":[{"index":0,"message":{"role":"assistant","content":"Moncler：Lago系列黑色光泽羽绒服，采用防水锦纶面料与高蓬松鹅绒填充，立体剪裁配合可调节连帽设计，保暖轻盈兼具都市简约风格，男女通用，彰显意式奢华冬季美学。","refusal":null,"annotations":[]},"logprobs":null,"finish_reason":"stop"}],"usage":{"prompt_tokens":1324,"completion_tokens":76,"total_tokens":1400,"prompt_tokens_details":{"cached_tokens":0,"audio_tokens":0},"completion_tokens_details":{"reasoning_tokens":0,"audio_tokens":0,"accepted_prediction_tokens":0,"rejected_prediction_tokens":0}},"service_tier":"default","system_fingerprint":"fp_ad66631dec"}</t>
        </is>
      </c>
      <c r="X92" t="inlineStr">
        <is>
          <t>Moncler：Lago系列黑色光泽羽绒服，采用防水锦纶面料与高蓬松鹅绒填充，立体剪裁配合可调节连帽设计，保暖轻盈兼具都市简约风格，男女通用，彰显意式奢华冬季美学。</t>
        </is>
      </c>
    </row>
    <row r="93" ht="25.5" customHeight="1">
      <c r="A93">
        <v>1839115443</v>
      </c>
      <c r="B93">
        <v>7635158038</v>
      </c>
      <c r="C93" t="inlineStr">
        <is>
          <t>https://weidian.com/item.html?itemID=7635158038</t>
        </is>
      </c>
      <c r="D93"/>
      <c r="E93" s="2" t="str">
        <f>=HYPERLINK("https://si.geilicdn.com/open1839115443-252808396-2e9b0000019b1beebf210aa08245_1441_1920.jpg?w=640&amp;h=640", "https://si.geilicdn.com/open1839115443-252808396-2e9b0000019b1beebf210aa08245_1441_1920.jpg?w=640&amp;h=640")</f>
        <v>https://si.geilicdn.com/open1839115443-252808396-2e9b0000019b1beebf210aa08245_1441_1920.jpg?w=640&amp;h=640</v>
      </c>
      <c r="F93" t="inlineStr">
        <is>
          <t>Hoodies</t>
        </is>
      </c>
      <c r="G93" t="inlineStr">
        <is>
          <t>Balenciaga</t>
        </is>
      </c>
      <c r="H93" t="inlineStr">
        <is>
          <t>470.00</t>
        </is>
      </c>
      <c r="I93">
        <v>68.12</v>
      </c>
      <c r="J93" t="inlineStr">
        <is>
          <t>{"id":"chatcmpl-DWcTXZch7bnoK2YU0jX25O81r2w61","object":"chat.completion","created":1776666767,"model":"gpt-5-chat-latest","choices":[{"index":0,"message":{"role":"assistant","content":"Balenciaga White Heart Graphic Unisex Cotton Hoodie","refusal":null,"annotations":[]},"logprobs":null,"finish_reason":"stop"}],"usage":{"prompt_tokens":886,"completion_tokens":11,"total_tokens":897,"prompt_tokens_details":{"cached_tokens":0,"audio_tokens":0},"completion_tokens_details":{"reasoning_tokens":0,"audio_tokens":0,"accepted_prediction_tokens":0,"rejected_prediction_tokens":0}},"service_tier":"default","system_fingerprint":"fp_ad66631dec"}</t>
        </is>
      </c>
      <c r="K93" t="inlineStr">
        <is>
          <t>Balenciaga White Heart Graphic Unisex Cotton Hoodie</t>
        </is>
      </c>
      <c r="L93" t="inlineStr">
        <is>
          <t>{"choices":[{"finish_reason":"stop","index":0,"logprobs":null,"message":{"annotations":[],"content":"Balenciaga White Cotton Hoodie with “Heart” Graphic, featuring loose unisex fit, drawstring hood, and kangaroo pocket. A perfect blend of street art vibe and modern urban fashion style.","refusal":null,"role":"assistant"}}],"created":1776658712,"id":"chatcmpl-DWaNcLx2yFGJ0T76CfRBuNuJsTH77","model":"gpt-5-chat-latest","object":"chat.completion","service_tier":"default","system_fingerprint":"fp_ad66631dec","usage":{"completion_tokens":41,"completion_tokens_details":{"accepted_prediction_tokens":0,"audio_tokens":0,"reasoning_tokens":0,"rejected_prediction_tokens":0},"prompt_tokens":920,"prompt_tokens_details":{"audio_tokens":0,"cached_tokens":0},"total_tokens":961}}</t>
        </is>
      </c>
      <c r="M93" t="inlineStr">
        <is>
          <t>{"alt-svc":"h3=\":443\"; ma=2592000","apim-request-id":"683b7659-98e0-4c3a-a1b0-5fb15c978dac","azureml-model-session":"d20260405234249-f9874baf","cache-control":"no-cache","connection":"close","content-length":"777","content-security-policy":"frame-ancestors 'self'","content-type":"application/json","date":"Mon, 20 Apr 2026 04:18:34 GMT","server":"Caddy","skip-error-remapping":"true","strict-transport-security":"max-age=31536000; includeSubDomains; preload","via":"1.1 Caddy","x-api-request-id":"20260420121831922325501cOcdUzHU","x-content-type-options":"nosniff","x-frame-options":"SAMEORIGIN","x-ms-client-request-id":"Not-Set","x-ms-is-spilled-over":"false","x-ms-rai-invoked":"true","x-ms-region":"East US 2","x-new-api-version":"0.4.39","x-oneapi-request-id":"202604200418318549686078268d9d6OXdaPlFp","x-ratelimit-abusepenalty-active":"False","x-ratelimit-limit-requests":"3850","x-ratelimit-limit-tokens":"3850000","x-ratelimit-remaining-requests":"3849","x-ratelimit-remaining-tokens":"3848318","x-ratelimit-renewalperiod-requests":"60","x-ratelimit-renewalperiod-tokens":"60","x-ratelimit-reset-requests":"15","x-ratelimit-reset-tokens":"26","x-request-id":"d74812dd-8440-4432-8717-cca2305897a7"}</t>
        </is>
      </c>
      <c r="N93" t="inlineStr">
        <is>
          <t>Balenciaga White Cotton Hoodie with “Heart” Graphic, featuring loose unisex fit, drawstring hood, and kangaroo pocket. A perfect blend of street art vibe and modern urban fashion style.</t>
        </is>
      </c>
      <c r="O93" t="inlineStr">
        <is>
          <t>{"choices":[{"finish_reason":"stop","index":0,"logprobs":null,"message":{"annotations":[],"content":"Balenciaga,Hoodies,kakobuy,kakebuy2026,kekobuysheet,kakobuysheet2026,2026kakobuy,kakobuyspreadsheeet,kakobuylink,kakebuylist,Kakobuy MEGA Spreadsheet,kakobuysheetfind,kakobuysheetfind2026,2026kakobuysheetfind,kakobuysheet2026","refusal":null,"role":"assistant"}}],"created":1776667444,"id":"chatcmpl-DWceSLxoTLK3Ygj6wRoa0KfNc7Mw1","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93" t="inlineStr">
        <is>
          <t>Balenciaga,Hoodies,kakobuy,kakebuy2026,kekobuysheet,kakobuysheet2026,2026kakobuy,kakobuyspreadsheeet,kakobuylink,kakebuylist,Kakobuy MEGA Spreadsheet,kakobuysheetfind,kakobuysheetfind2026,2026kakobuysheetfind,kakobuysheet2026</t>
        </is>
      </c>
      <c r="Q93" t="inlineStr">
        <is>
          <t>Balenciaga, White, Streetwear, Unisex</t>
        </is>
      </c>
      <c r="R93" t="inlineStr">
        <is>
          <t>recvh6xFVjLSSV</t>
        </is>
      </c>
      <c r="S93" t="inlineStr">
        <is>
          <t>balenciaga-white-heart-graphic-hoodie-recvh6xFVjLSSV</t>
        </is>
      </c>
      <c r="T93"/>
      <c r="U93"/>
      <c r="V93"/>
      <c r="W93" t="inlineStr">
        <is>
          <t>{"choices":[{"finish_reason":"stop","index":0,"logprobs":null,"message":{"annotations":[],"content":"Balenciaga白色印花连帽卫衣，柔软纯棉面料打造，胸前“爱心”字母图腾彰显街头艺术风格。宽松中性剪裁，搭配抽绳帽和袋鼠兜设计，舒适休闲与高级时尚并存，展现现代都市潮流态度。","refusal":null,"role":"assistant"}}],"created":1776655121,"id":"chatcmpl-DWZRhgW9JkoxG9JcYS37G0G3mlXBd","model":"gpt-5-chat-latest","object":"chat.completion","service_tier":"default","system_fingerprint":"fp_ad66631dec","usage":{"completion_tokens":80,"completion_tokens_details":{"accepted_prediction_tokens":0,"audio_tokens":0,"reasoning_tokens":0,"rejected_prediction_tokens":0},"prompt_tokens":1324,"prompt_tokens_details":{"audio_tokens":0,"cached_tokens":1280},"total_tokens":1404}}</t>
        </is>
      </c>
      <c r="X93" t="inlineStr">
        <is>
          <t>Balenciaga白色印花连帽卫衣，柔软纯棉面料打造，胸前“爱心”字母图腾彰显街头艺术风格。宽松中性剪裁，搭配抽绳帽和袋鼠兜设计，舒适休闲与高级时尚并存，展现现代都市潮流态度。</t>
        </is>
      </c>
    </row>
    <row r="94" ht="25.5" customHeight="1">
      <c r="A94">
        <v>1839115443</v>
      </c>
      <c r="B94">
        <v>7632203675</v>
      </c>
      <c r="C94" t="inlineStr">
        <is>
          <t>https://weidian.com/item.html?itemID=7632203675</t>
        </is>
      </c>
      <c r="D94"/>
      <c r="E94" s="2" t="str">
        <f>=HYPERLINK("https://si.geilicdn.com/open1839115443-252808396-773f0000019b1bec21f50a23b491_1080_1080.jpg?w=640&amp;h=640", "https://si.geilicdn.com/open1839115443-252808396-773f0000019b1bec21f50a23b491_1080_1080.jpg?w=640&amp;h=640")</f>
        <v>https://si.geilicdn.com/open1839115443-252808396-773f0000019b1bec21f50a23b491_1080_1080.jpg?w=640&amp;h=640</v>
      </c>
      <c r="F94" t="inlineStr">
        <is>
          <t>Jackets</t>
        </is>
      </c>
      <c r="G94" t="inlineStr">
        <is>
          <t>Moncler</t>
        </is>
      </c>
      <c r="H94" t="inlineStr">
        <is>
          <t>1100.00</t>
        </is>
      </c>
      <c r="I94">
        <v>159.42</v>
      </c>
      <c r="J94" t="inlineStr">
        <is>
          <t>{"id":"chatcmpl-DWcRVnSyABHjtT1a2Peqgd3V0R0jh","object":"chat.completion","created":1776666641,"model":"gpt-5-chat-latest","choices":[{"index":0,"message":{"role":"assistant","content":"Moncler White Hooded Lightweight Goose Down Jacket","refusal":null,"annotations":[]},"logprobs":null,"finish_reason":"stop"}],"usage":{"prompt_tokens":872,"completion_tokens":10,"total_tokens":882,"prompt_tokens_details":{"cached_tokens":0,"audio_tokens":0},"completion_tokens_details":{"reasoning_tokens":0,"audio_tokens":0,"accepted_prediction_tokens":0,"rejected_prediction_tokens":0}},"service_tier":"default","system_fingerprint":"fp_ad66631dec"}</t>
        </is>
      </c>
      <c r="K94" t="inlineStr">
        <is>
          <t>Moncler White Hooded Lightweight Goose Down Jacket</t>
        </is>
      </c>
      <c r="L94" t="inlineStr">
        <is>
          <t>{"choices":[{"finish_reason":"stop","index":0,"logprobs":null,"message":{"annotations":[],"content":"Moncler White Lightweight Down Hooded Jacket with premium goose down, slim fit tailoring, signature logo detail, windproof warmth, French luxury style for urban and outdoor wear.","refusal":null,"role":"assistant"}}],"created":1776659073,"id":"chatcmpl-DWaTRLL6MGvUWWyVuQi8cnAwpW6x3","model":"gpt-5-chat-latest","object":"chat.completion","service_tier":"default","system_fingerprint":"fp_ad66631dec","usage":{"completion_tokens":35,"completion_tokens_details":{"accepted_prediction_tokens":0,"audio_tokens":0,"reasoning_tokens":0,"rejected_prediction_tokens":0},"prompt_tokens":929,"prompt_tokens_details":{"audio_tokens":0,"cached_tokens":0},"total_tokens":964}}</t>
        </is>
      </c>
      <c r="M94" t="inlineStr">
        <is>
          <t>{"alt-svc":"h3=\":443\"; ma=2592000","apim-request-id":"d2ece2f0-a047-496e-99b4-9da2bd91e044","azureml-model-session":"d20260405234249-f9874baf","cache-control":"no-cache","connection":"close","content-length":"766","content-security-policy":"frame-ancestors 'self'","content-type":"application/json","date":"Mon, 20 Apr 2026 04:24:34 GMT","server":"Caddy","skip-error-remapping":"true","strict-transport-security":"max-age=31536000; includeSubDomains; preload","via":"1.1 Caddy","x-api-request-id":"20260420122432861429252ByUrV3NR","x-content-type-options":"nosniff","x-frame-options":"SAMEORIGIN","x-ms-client-request-id":"Not-Set","x-ms-is-spilled-over":"false","x-ms-rai-invoked":"true","x-ms-region":"East US 2","x-new-api-version":"0.4.39","x-oneapi-request-id":"202604200424327958207138268d9d67rLpF6gs","x-ratelimit-abusepenalty-active":"False","x-ratelimit-limit-requests":"3850","x-ratelimit-limit-tokens":"3850000","x-ratelimit-remaining-requests":"3849","x-ratelimit-remaining-tokens":"3848309","x-ratelimit-renewalperiod-requests":"60","x-ratelimit-renewalperiod-tokens":"60","x-ratelimit-reset-requests":"15","x-ratelimit-reset-tokens":"26","x-request-id":"7c5b4815-47ab-454b-aea9-3d14efd511e7"}</t>
        </is>
      </c>
      <c r="N94" t="inlineStr">
        <is>
          <t>Moncler White Lightweight Down Hooded Jacket with premium goose down, slim fit tailoring, signature logo detail, windproof warmth, French luxury style for urban and outdoor wear.</t>
        </is>
      </c>
      <c r="O94" t="inlineStr">
        <is>
          <t>{"choices":[{"finish_reason":"stop","index":0,"logprobs":null,"message":{"annotations":[],"content":"Moncler, Jackets, kakobuy, kakebuy2026, kekobuysheet, kakobuysheet2026, 2026kakobuy, kakobuyspreadsheeet, kakobuylink, kakebuylist, Kakobuy MEGA Spreadsheet, kakobuysheetfind, kakobuysheetfind2026, 2026kakobuysheetfind, kakobuysheet2026","refusal":null,"role":"assistant"}}],"created":1776667637,"id":"chatcmpl-DWchZo6vZ5uJTOCRDOutpVUWG1v5K","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94" t="inlineStr">
        <is>
          <t>Moncler, Jackets, kakobuy, kakebuy2026, kekobuysheet, kakobuysheet2026, 2026kakobuy, kakobuyspreadsheeet, kakobuylink, kakebuylist, Kakobuy MEGA Spreadsheet, kakobuysheetfind, kakobuysheetfind2026, 2026kakobuysheetfind, kakobuysheet2026</t>
        </is>
      </c>
      <c r="Q94" t="inlineStr">
        <is>
          <t>White, Lightweight, Windproof, Outdoor, Unisex</t>
        </is>
      </c>
      <c r="R94" t="inlineStr">
        <is>
          <t>recvh6xFVjHu5H</t>
        </is>
      </c>
      <c r="S94" t="inlineStr">
        <is>
          <t>moncler-white-hooded-lightweight-goose-down-jacket-recvh6xFVjHu5H</t>
        </is>
      </c>
      <c r="T94"/>
      <c r="U94"/>
      <c r="V94"/>
      <c r="W94" t="inlineStr">
        <is>
          <t>{"choices":[{"finish_reason":"stop","index":0,"logprobs":null,"message":{"annotations":[],"content":"Moncler：白色轻量羽绒连帽夹克，高品质鹅绒填充，立体剪裁展现修身版型，兼具保暖与时尚。简约拉链设计搭配标志性徽标细节，彰显法式奢华格调。适合秋冬季男女休闲穿搭，轻便防风，满足都市与户外双重需求。","refusal":null,"role":"assistant"}}],"created":1776655671,"id":"chatcmpl-DWZaZ7qXIu9F2CcYJIRT3wvP6tNSf","model":"gpt-5-chat-latest","object":"chat.completion","service_tier":"default","system_fingerprint":"fp_ad66631dec","usage":{"completion_tokens":93,"completion_tokens_details":{"accepted_prediction_tokens":0,"audio_tokens":0,"reasoning_tokens":0,"rejected_prediction_tokens":0},"prompt_tokens":1318,"prompt_tokens_details":{"audio_tokens":0,"cached_tokens":0},"total_tokens":1411}}</t>
        </is>
      </c>
      <c r="X94" t="inlineStr">
        <is>
          <t>Moncler：白色轻量羽绒连帽夹克，高品质鹅绒填充，立体剪裁展现修身版型，兼具保暖与时尚。简约拉链设计搭配标志性徽标细节，彰显法式奢华格调。适合秋冬季男女休闲穿搭，轻便防风，满足都市与户外双重需求。</t>
        </is>
      </c>
    </row>
    <row r="95" ht="25.5" customHeight="1">
      <c r="A95">
        <v>1839115443</v>
      </c>
      <c r="B95">
        <v>7623127769</v>
      </c>
      <c r="C95" t="inlineStr">
        <is>
          <t>https://weidian.com/item.html?itemID=7623127769</t>
        </is>
      </c>
      <c r="D95"/>
      <c r="E95" s="2" t="str">
        <f>=HYPERLINK("https://si.geilicdn.com/open1839115443-252808396-4d1e0000019ade08516c0aa086a7_790_700.jpg?w=640&amp;h=640", "https://si.geilicdn.com/open1839115443-252808396-4d1e0000019ade08516c0aa086a7_790_700.jpg?w=640&amp;h=640")</f>
        <v>https://si.geilicdn.com/open1839115443-252808396-4d1e0000019ade08516c0aa086a7_790_700.jpg?w=640&amp;h=640</v>
      </c>
      <c r="F95" t="inlineStr">
        <is>
          <t>Hats</t>
        </is>
      </c>
      <c r="G95" t="inlineStr">
        <is>
          <t>Other</t>
        </is>
      </c>
      <c r="H95" t="inlineStr">
        <is>
          <t>42.00</t>
        </is>
      </c>
      <c r="I95">
        <v>6.09</v>
      </c>
      <c r="J95" t="inlineStr">
        <is>
          <t>{"choices":[{"finish_reason":"stop","index":0,"logprobs":null,"message":{"annotations":[],"content":"HatsOther Vintage Black Sailfish Cotton Baseball Cap","refusal":null,"role":"assistant"}}],"created":1776666439,"id":"chatcmpl-DWcOFepRykDnulEvXITAmQgLsqoAq","model":"gpt-5-chat-latest","object":"chat.completion","service_tier":"default","system_fingerprint":"fp_ad66631dec","usage":{"completion_tokens":11,"completion_tokens_details":{"accepted_prediction_tokens":0,"audio_tokens":0,"reasoning_tokens":0,"rejected_prediction_tokens":0},"prompt_tokens":877,"prompt_tokens_details":{"audio_tokens":0,"cached_tokens":0},"total_tokens":888}}</t>
        </is>
      </c>
      <c r="K95" t="inlineStr">
        <is>
          <t>HatsOther Vintage Black Sailfish Cotton Baseball Cap</t>
        </is>
      </c>
      <c r="L95" t="inlineStr">
        <is>
          <t>{"choices":[{"finish_reason":"stop","index":0,"logprobs":null,"message":{"annotations":[],"content":"HatsOther Vintage Black Embroidered Baseball Cap, washed cotton, blue sailfish and logo front, US flag side patch, breathable unisex design for casual outings and outdoor sports.","refusal":null,"role":"assistant"}}],"created":1776658650,"id":"chatcmpl-DWaMcwJEmvmFu9dRgC2T8DSv1K0cP","model":"gpt-5-chat-latest","object":"chat.completion","service_tier":"default","system_fingerprint":"fp_ad66631dec","usage":{"completion_tokens":38,"completion_tokens_details":{"accepted_prediction_tokens":0,"audio_tokens":0,"reasoning_tokens":0,"rejected_prediction_tokens":0},"prompt_tokens":915,"prompt_tokens_details":{"audio_tokens":0,"cached_tokens":0},"total_tokens":953}}</t>
        </is>
      </c>
      <c r="M95" t="inlineStr">
        <is>
          <t>{"alt-svc":"h3=\":443\"; ma=2592000","apim-request-id":"b79d040f-590a-4c72-80d7-42b285b3e9a6","azureml-model-session":"d20260405234249-f9874baf","cache-control":"no-cache","connection":"close","content-length":"766","content-security-policy":"frame-ancestors 'self'","content-type":"application/json","date":"Mon, 20 Apr 2026 04:17:31 GMT","server":"nginx","skip-error-remapping":"true","strict-transport-security":"max-age=31536000; includeSubDomains; preload","via":"1.1 Caddy, 1.1 Caddy","x-api-request-id":"20260420121729597250305yH5yWqdh","x-content-type-options":"nosniff","x-frame-options":"SAMEORIGIN","x-ms-client-request-id":"Not-Set","x-ms-is-spilled-over":"false","x-ms-rai-invoked":"true","x-ms-region":"East US 2","x-new-api-version":"0.4.39","x-oneapi-request-id":"202604200417294837184598268d9d696raH8Zr","x-ratelimit-abusepenalty-active":"False","x-ratelimit-limit-requests":"3850","x-ratelimit-limit-tokens":"3850000","x-ratelimit-remaining-requests":"3849","x-ratelimit-remaining-tokens":"3848323","x-ratelimit-renewalperiod-requests":"60","x-ratelimit-renewalperiod-tokens":"60","x-ratelimit-reset-requests":"15","x-ratelimit-reset-tokens":"26","x-request-id":"87d07175-1a31-4aed-81ce-9937ec4c03d7"}</t>
        </is>
      </c>
      <c r="N95" t="inlineStr">
        <is>
          <t>HatsOther Vintage Black Embroidered Baseball Cap, washed cotton, blue sailfish and logo front, US flag side patch, breathable unisex design for casual outings and outdoor sports.</t>
        </is>
      </c>
      <c r="O95" t="inlineStr">
        <is>
          <t>{"choices":[{"finish_reason":"stop","index":0,"logprobs":null,"message":{"annotations":[],"content":"Original FL,Hat,kakobuy,kakebuy2026,kekobuysheet,kakobuysheet2026,2026kakobuy,kakobuyspreadsheeet,kakobuylink,kakebuylist,Kakobuy MEGA Spreadsheet,kakobuysheetfind,kakobuysheetfind2026,2026kakobuysheetfind,kakobuysheet2026","refusal":null,"role":"assistant"}}],"created":1776668570,"id":"chatcmpl-DWcwcBXUEtiZ6UoPRtEuIlnkLO2it","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95" t="inlineStr">
        <is>
          <t>Original FL,Hat,kakobuy,kakebuy2026,kekobuysheet,kakobuysheet2026,2026kakobuy,kakobuyspreadsheeet,kakobuylink,kakebuylist,Kakobuy MEGA Spreadsheet,kakobuysheetfind,kakobuysheetfind2026,2026kakobuysheetfind,kakobuysheet2026</t>
        </is>
      </c>
      <c r="Q95" t="inlineStr">
        <is>
          <t>Black, Breathable, Unisex, Outdoor</t>
        </is>
      </c>
      <c r="R95" t="inlineStr">
        <is>
          <t>recvh6xFVjkewM</t>
        </is>
      </c>
      <c r="S95" t="inlineStr">
        <is>
          <t>vintage-black-sailfish-cotton-baseball-cap-recvh6xfvjkewm</t>
        </is>
      </c>
      <c r="T95"/>
      <c r="U95"/>
      <c r="V95"/>
      <c r="W95" t="inlineStr">
        <is>
          <t>{"choices":[{"finish_reason":"stop","index":0,"logprobs":null,"message":{"annotations":[],"content":"复古黑色刺绣棒球帽，采用水洗纯棉材质，正面蓝色旗鱼图腾与英文标识设计，侧面美式国旗刺绣增添自由街头气息，男女通用款，休闲简约风格，透气舒适，适合日常出行与户外运动。","refusal":null,"role":"assistant"}}],"created":1776655091,"id":"chatcmpl-DWZRDH3pGhUQWbXUMdn1mPhVE5pWe","model":"gpt-5-chat-latest","object":"chat.completion","service_tier":"default","system_fingerprint":"fp_ad66631dec","usage":{"completion_tokens":80,"completion_tokens_details":{"accepted_prediction_tokens":0,"audio_tokens":0,"reasoning_tokens":0,"rejected_prediction_tokens":0},"prompt_tokens":1313,"prompt_tokens_details":{"audio_tokens":0,"cached_tokens":0},"total_tokens":1393}}</t>
        </is>
      </c>
      <c r="X95" t="inlineStr">
        <is>
          <t>复古黑色刺绣棒球帽，采用水洗纯棉材质，正面蓝色旗鱼图腾与英文标识设计，侧面美式国旗刺绣增添自由街头气息，男女通用款，休闲简约风格，透气舒适，适合日常出行与户外运动。</t>
        </is>
      </c>
    </row>
    <row r="96" ht="25.5" customHeight="1">
      <c r="A96">
        <v>1839115443</v>
      </c>
      <c r="B96">
        <v>7636011809</v>
      </c>
      <c r="C96" t="inlineStr">
        <is>
          <t>https://weidian.com/item.html?itemID=7636011809</t>
        </is>
      </c>
      <c r="D96"/>
      <c r="E96" s="2" t="str">
        <f>=HYPERLINK("https://si.geilicdn.com/open1839115443-252808396-0daf0000019b35636c500a231226_800_800.jpg?w=640&amp;h=640", "https://si.geilicdn.com/open1839115443-252808396-0daf0000019b35636c500a231226_800_800.jpg?w=640&amp;h=640")</f>
        <v>https://si.geilicdn.com/open1839115443-252808396-0daf0000019b35636c500a231226_800_800.jpg?w=640&amp;h=640</v>
      </c>
      <c r="F96" t="inlineStr">
        <is>
          <t>Hoodies</t>
        </is>
      </c>
      <c r="G96" t="inlineStr">
        <is>
          <t xml:space="preserve"> Essentials</t>
        </is>
      </c>
      <c r="H96" t="inlineStr">
        <is>
          <t>291.00</t>
        </is>
      </c>
      <c r="I96">
        <v>42.17</v>
      </c>
      <c r="J96" t="inlineStr">
        <is>
          <t>{"choices":[{"finish_reason":"stop","index":0,"logprobs":null,"message":{"annotations":[],"content":"Fear of God Essentials Black Cotton Hoodie","refusal":null,"role":"assistant"}}],"created":1776666671,"id":"chatcmpl-DWcRzbeFosyVjveeP1cutLnTjXDnL","model":"gpt-5-chat-latest","object":"chat.completion","service_tier":"default","system_fingerprint":"fp_ad66631dec","usage":{"completion_tokens":8,"completion_tokens_details":{"accepted_prediction_tokens":0,"audio_tokens":0,"reasoning_tokens":0,"rejected_prediction_tokens":0},"prompt_tokens":866,"prompt_tokens_details":{"audio_tokens":0,"cached_tokens":0},"total_tokens":874}}</t>
        </is>
      </c>
      <c r="K96" t="inlineStr">
        <is>
          <t>Fear of God Essentials Black Cotton Hoodie</t>
        </is>
      </c>
      <c r="L96" t="inlineStr">
        <is>
          <t>{"id":"chatcmpl-DWaN0IHli4vt0U8DHE6HJzAjtE35W","object":"chat.completion","created":1776658674,"model":"gpt-5-chat-latest","choices":[{"index":0,"message":{"role":"assistant","content":"Fear of God Essentials black hoodie, crafted from thick soft cotton with beige logo print, unisex loose fit for modern streetwear style and everyday urban fashion.","refusal":null,"annotations":[]},"logprobs":null,"finish_reason":"stop"}],"usage":{"prompt_tokens":896,"completion_tokens":32,"total_tokens":928,"prompt_tokens_details":{"cached_tokens":0,"audio_tokens":0},"completion_tokens_details":{"reasoning_tokens":0,"audio_tokens":0,"accepted_prediction_tokens":0,"rejected_prediction_tokens":0}},"service_tier":"default","system_fingerprint":"fp_ad66631dec"}</t>
        </is>
      </c>
      <c r="M96"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ma=2592000","apim-request-id":"9dfb43fe-609f-4612-8557-91c5b8735cd7","azureml-model-session":"d20260405234249-f9874baf","cache-control":"no-cache, no-store, must-revalidate","connection":"close","content-length":"967","content-security-policy":"frame-ancestors 'self'","content-type":"application/json","date":"Mon, 20 Apr 2026 04:17:55 GMT","server":"nginx","skip-error-remapping":"true","strict-transport-security":"max-age=31536000; includeSubDomains; preload","via":"1.1 Caddy, 1.1 Caddy","x-api-request-id":"2026042012175411731631605j6j10S","x-content-type-options":"nosniff","x-frame-options":"SAMEORIGIN","x-ms-is-spilled-over":"false","x-ms-rai-invoked":"false","x-ms-region":"East US 2","x-new-api-version":"0.4.39","x-oneapi-request-id":"20260420041754522829918268d9d6QQtbz6s5","x-ratelimit-abusepenalty-active":"False","x-ratelimit-limit-requests":"4994","x-ratelimit-limit-tokens":"4994000","x-ratelimit-remaining-requests":"4993","x-ratelimit-remaining-tokens":"4992342","x-ratelimit-renewalperiod-requests":"60","x-ratelimit-renewalperiod-tokens":"60","x-ratelimit-reset-requests":"12","x-ratelimit-reset-tokens":"19","x-request-id":"b0db5e68-6c77-4f63-92d0-6bc9cf82ae0f"}</t>
        </is>
      </c>
      <c r="N96" t="inlineStr">
        <is>
          <t>Fear of God Essentials black hoodie, crafted from thick soft cotton with beige logo print, unisex loose fit for modern streetwear style and everyday urban fashion.</t>
        </is>
      </c>
      <c r="O96" t="inlineStr">
        <is>
          <t>{"choices":[{"finish_reason":"stop","index":0,"logprobs":null,"message":{"annotations":[],"content":"Fear of God Essentials,Hoodie,kakobuy,kakebuy2026,kekobuysheet,kakobuysheet2026,2026kakobuy,kakobuyspreadsheeet,kakobuylink,kakebuylist,Kakobuy MEGA Spreadsheet,kakobuysheetfind,kakobuysheetfind2026,2026kakobuysheetfind,kakobuysheet2026","refusal":null,"role":"assistant"}}],"created":1776668888,"id":"chatcmpl-DWd1ksv0Hs6DcW6LKDRG4stE3dlDI","model":"gpt-5-chat-latest","object":"chat.completion","service_tier":"default","system_fingerprint":"fp_ad66631dec","usage":{"completion_tokens":90,"completion_tokens_details":{"accepted_prediction_tokens":0,"audio_tokens":0,"reasoning_tokens":0,"rejected_prediction_tokens":0},"prompt_tokens":783,"prompt_tokens_details":{"audio_tokens":0,"cached_tokens":0},"total_tokens":873}}</t>
        </is>
      </c>
      <c r="P96" t="inlineStr">
        <is>
          <t>Fear of God Essentials,Hoodie,kakobuy,kakebuy2026,kekobuysheet,kakobuysheet2026,2026kakobuy,kakobuyspreadsheeet,kakobuylink,kakebuylist,Kakobuy MEGA Spreadsheet,kakobuysheetfind,kakobuysheetfind2026,2026kakobuysheetfind,kakobuysheet2026</t>
        </is>
      </c>
      <c r="Q96" t="inlineStr">
        <is>
          <t>Black, Unisex, Streetwear, Modern</t>
        </is>
      </c>
      <c r="R96" t="inlineStr">
        <is>
          <t>recvh6xFVj8bbP</t>
        </is>
      </c>
      <c r="S96" t="inlineStr">
        <is>
          <t>fear-of-god-essentials-black-cotton-hoodie-recvh6xfvj8bbp</t>
        </is>
      </c>
      <c r="T96"/>
      <c r="U96"/>
      <c r="V96"/>
      <c r="W96" t="inlineStr">
        <is>
          <t>{"id":"chatcmpl-DWZgwRfufpiPXs76oMt2GEzfiYRIR","object":"chat.completion","created":1776656066,"model":"gpt-5-chat-latest","choices":[{"index":0,"message":{"role":"assistant","content":"Essentials：黑色连帽卫衣，采用柔软厚实棉质面料，胸前米黄色品牌字样设计简约有型，中性休闲款，宽松剪裁诠释现代街头风格，适合都市潮流日常穿搭。","refusal":null,"annotations":[]},"logprobs":null,"finish_reason":"stop"}],"usage":{"prompt_tokens":1308,"completion_tokens":64,"total_tokens":1372,"prompt_tokens_details":{"cached_tokens":1280,"audio_tokens":0},"completion_tokens_details":{"reasoning_tokens":0,"audio_tokens":0,"accepted_prediction_tokens":0,"rejected_prediction_tokens":0}},"service_tier":"default","system_fingerprint":"fp_ad66631dec"}</t>
        </is>
      </c>
      <c r="X96" t="inlineStr">
        <is>
          <t>Essentials：黑色连帽卫衣，采用柔软厚实棉质面料，胸前米黄色品牌字样设计简约有型，中性休闲款，宽松剪裁诠释现代街头风格，适合都市潮流日常穿搭。</t>
        </is>
      </c>
    </row>
    <row r="97" ht="25.5" customHeight="1">
      <c r="A97">
        <v>1839115443</v>
      </c>
      <c r="B97">
        <v>7635171802</v>
      </c>
      <c r="C97" t="inlineStr">
        <is>
          <t>https://weidian.com/item.html?itemID=7635171802</t>
        </is>
      </c>
      <c r="D97"/>
      <c r="E97" s="2" t="str">
        <f>=HYPERLINK("https://si.geilicdn.com/open1839115443-252808396-72410000019b1bfc3a420a8115c2_900_1200.jpg?w=640&amp;h=640", "https://si.geilicdn.com/open1839115443-252808396-72410000019b1bfc3a420a8115c2_900_1200.jpg?w=640&amp;h=640")</f>
        <v>https://si.geilicdn.com/open1839115443-252808396-72410000019b1bfc3a420a8115c2_900_1200.jpg?w=640&amp;h=640</v>
      </c>
      <c r="F97" t="inlineStr">
        <is>
          <t>Jackets</t>
        </is>
      </c>
      <c r="G97" t="inlineStr">
        <is>
          <t>Canada Goose</t>
        </is>
      </c>
      <c r="H97" t="inlineStr">
        <is>
          <t>1080.00</t>
        </is>
      </c>
      <c r="I97">
        <v>156.52</v>
      </c>
      <c r="J97" t="inlineStr">
        <is>
          <t>{"id":"chatcmpl-DWcCCATiyCsNwr0xbohXpUtOmegi5","object":"chat.completion","created":1776665692,"model":"gpt-5-chat-latest","choices":[{"index":0,"message":{"role":"assistant","content":"Canada Goose Black Long Down Jacket Waterproof","refusal":null,"annotations":[]},"logprobs":null,"finish_reason":"stop"}],"usage":{"prompt_tokens":876,"completion_tokens":8,"total_tokens":884,"prompt_tokens_details":{"cached_tokens":0,"audio_tokens":0},"completion_tokens_details":{"reasoning_tokens":0,"audio_tokens":0,"accepted_prediction_tokens":0,"rejected_prediction_tokens":0}},"service_tier":"default","system_fingerprint":"fp_ad66631dec"}</t>
        </is>
      </c>
      <c r="K97" t="inlineStr">
        <is>
          <t>Canada Goose Black Long Down Jacket Waterproof</t>
        </is>
      </c>
      <c r="L97" t="inlineStr">
        <is>
          <t>{"id":"chatcmpl-DWaJYbAh6do8ODasg4yoJ5DfDpKKq","object":"chat.completion","created":1776658460,"model":"gpt-5-chat-latest","choices":[{"index":0,"message":{"role":"assistant","content":"Canada Goose black long down jacket, high-performance insulation for extreme cold, lightweight and warm, waterproof and windproof, straight fit with hood, unisex urban design, functional elegance.","refusal":null,"annotations":[]},"logprobs":null,"finish_reason":"stop"}],"usage":{"prompt_tokens":919,"completion_tokens":37,"total_tokens":956,"prompt_tokens_details":{"cached_tokens":0,"audio_tokens":0},"completion_tokens_details":{"reasoning_tokens":0,"audio_tokens":0,"accepted_prediction_tokens":0,"rejected_prediction_tokens":0}},"service_tier":"default","system_fingerprint":"fp_ad66631dec"}</t>
        </is>
      </c>
      <c r="M9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ma=2592000","apim-request-id":"bf01d396-e39f-4534-abd6-3679c48c2731","azureml-model-session":"d20260405234249-f9874baf","cache-control":"no-cache, no-store, must-revalidate","connection":"close","content-length":"1000","content-security-policy":"frame-ancestors 'self'","content-type":"application/json","date":"Mon, 20 Apr 2026 04:14:22 GMT","server":"nginx","skip-error-remapping":"true","strict-transport-security":"max-age=31536000; includeSubDomains; preload","via":"1.1 Caddy, 1.1 Caddy","x-api-request-id":"20260420121418366504543lMewarTJ","x-content-type-options":"nosniff","x-frame-options":"SAMEORIGIN","x-ms-is-spilled-over":"false","x-ms-rai-invoked":"false","x-ms-region":"Sweden Central","x-new-api-version":"0.4.39","x-oneapi-request-id":"202604200414183006487248268d9d6aHW9zjk2","x-ratelimit-abusepenalty-active":"False","x-ratelimit-limit-requests":"4993","x-ratelimit-limit-tokens":"4993000","x-ratelimit-remaining-requests":"4992","x-ratelimit-remaining-tokens":"4991319","x-ratelimit-renewalperiod-requests":"60","x-ratelimit-renewalperiod-tokens":"60","x-ratelimit-reset-requests":"12","x-ratelimit-reset-tokens":"20","x-request-id":"4eb2b56d-b1bb-4d8e-bd8e-ad28208ac864"}</t>
        </is>
      </c>
      <c r="N97" t="inlineStr">
        <is>
          <t>Canada Goose black long down jacket, high-performance insulation for extreme cold, lightweight and warm, waterproof and windproof, straight fit with hood, unisex urban design, functional elegance.</t>
        </is>
      </c>
      <c r="O97" t="inlineStr">
        <is>
          <t>{"id":"chatcmpl-DWce384fRZVr3p7tu21U75wTiIHxj","object":"chat.completion","created":1776667419,"model":"gpt-5-chat-latest","choices":[{"index":0,"message":{"role":"assistant","content":"Canada Goose, Jackets,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is>
      </c>
      <c r="P97" t="inlineStr">
        <is>
          <t>Canada Goose, Jackets, kakobuy, kakebuy2026, kekobuysheet, kakobuysheet2026, 2026kakobuy, kakobuyspreadsheeet, kakobuylink, kakebuylist, Kakobuy MEGA Spreadsheet, kakobuysheetfind, kakobuysheetfind2026, 2026kakobuysheetfind, kakobuysheet2026</t>
        </is>
      </c>
      <c r="Q97" t="inlineStr">
        <is>
          <t>Black, Waterproof, Windproof, Unisex, Winter, Insulated</t>
        </is>
      </c>
      <c r="R97" t="inlineStr">
        <is>
          <t>recvh6xFVjAXtE</t>
        </is>
      </c>
      <c r="S97" t="inlineStr">
        <is>
          <t>canada-goose-black-long-down-jacket-waterproof-recvh6xFVjAXtE</t>
        </is>
      </c>
      <c r="T97"/>
      <c r="U97"/>
      <c r="V97"/>
      <c r="W97" t="inlineStr">
        <is>
          <t>{"choices":[{"finish_reason":"stop","index":0,"logprobs":null,"message":{"annotations":[],"content":"Canada Goose 黑色长款羽绒外套，高性能防寒羽绒填充，轻盈保暖。简约直筒剪裁搭配连帽设计，展现现代都市风格，防风防水面料适合极寒气候。男女同款，兼具实用与时尚，诠释加拿大北境功能美学。","refusal":null,"role":"assistant"}}],"created":1776655186,"id":"chatcmpl-DWZSkM2ALSc3Ab5m7MyuFi1PSzCFO","model":"gpt-5-chat-latest","object":"chat.completion","service_tier":"default","system_fingerprint":"fp_ad66631dec","usage":{"completion_tokens":83,"completion_tokens_details":{"accepted_prediction_tokens":0,"audio_tokens":0,"reasoning_tokens":0,"rejected_prediction_tokens":0},"prompt_tokens":1318,"prompt_tokens_details":{"audio_tokens":0,"cached_tokens":1280},"total_tokens":1401}}</t>
        </is>
      </c>
      <c r="X97" t="inlineStr">
        <is>
          <t>Canada Goose 黑色长款羽绒外套，高性能防寒羽绒填充，轻盈保暖。简约直筒剪裁搭配连帽设计，展现现代都市风格，防风防水面料适合极寒气候。男女同款，兼具实用与时尚，诠释加拿大北境功能美学。</t>
        </is>
      </c>
    </row>
    <row r="98" ht="25.5" customHeight="1">
      <c r="A98">
        <v>1839115443</v>
      </c>
      <c r="B98">
        <v>7638926660</v>
      </c>
      <c r="C98" t="inlineStr">
        <is>
          <t>https://weidian.com/item.html?itemID=7638926660</t>
        </is>
      </c>
      <c r="D98"/>
      <c r="E98" s="2" t="str">
        <f>=HYPERLINK("https://si.geilicdn.com/open1839115443-252808396-0b5d0000019b355a67470a22d249_800_800.jpg?w=750&amp;h=750&amp;cp=1", "https://si.geilicdn.com/open1839115443-252808396-0b5d0000019b355a67470a22d249_800_800.jpg?w=750&amp;h=750&amp;cp=1")</f>
        <v>https://si.geilicdn.com/open1839115443-252808396-0b5d0000019b355a67470a22d249_800_800.jpg?w=750&amp;h=750&amp;cp=1</v>
      </c>
      <c r="F98" t="inlineStr">
        <is>
          <t>Hoodies</t>
        </is>
      </c>
      <c r="G98" t="inlineStr">
        <is>
          <t>Denim Tears</t>
        </is>
      </c>
      <c r="H98" t="inlineStr">
        <is>
          <t>117.00</t>
        </is>
      </c>
      <c r="I98">
        <v>16.96</v>
      </c>
      <c r="J98" t="inlineStr">
        <is>
          <t>{"choices":[{"finish_reason":"stop","index":0,"logprobs":null,"message":{"annotations":[],"content":"Denim Tears Pink Daisy Cotton Hoodie Set","refusal":null,"role":"assistant"}}],"created":1776666187,"id":"chatcmpl-DWcKB5Q9DEXE8DAMMxegPCsz4sM9x","model":"gpt-5-chat-latest","object":"chat.completion","service_tier":"default","system_fingerprint":"fp_ad66631dec","usage":{"completion_tokens":9,"completion_tokens_details":{"accepted_prediction_tokens":0,"audio_tokens":0,"reasoning_tokens":0,"rejected_prediction_tokens":0},"prompt_tokens":882,"prompt_tokens_details":{"audio_tokens":0,"cached_tokens":0},"total_tokens":891}}</t>
        </is>
      </c>
      <c r="K98" t="inlineStr">
        <is>
          <t>Denim Tears Pink Daisy Cotton Hoodie Set</t>
        </is>
      </c>
      <c r="L98" t="inlineStr">
        <is>
          <t>{"choices":[{"finish_reason":"stop","index":0,"logprobs":null,"message":{"annotations":[],"content":"Denim Tears Pink Cotton Hoodie Set features soft fabric, relaxed fit, daisy cotton print, drawstring hood, kangaroo pocket, elastic cuffs, unisex streetwear with vintage flair.","refusal":null,"role":"assistant"}}],"created":1776658584,"id":"chatcmpl-DWaLY06mWHVV938LmiS6M06ja5fJh","model":"gpt-5-chat-latest","object":"chat.completion","service_tier":"default","system_fingerprint":"fp_ad66631dec","usage":{"completion_tokens":39,"completion_tokens_details":{"accepted_prediction_tokens":0,"audio_tokens":0,"reasoning_tokens":0,"rejected_prediction_tokens":0},"prompt_tokens":942,"prompt_tokens_details":{"audio_tokens":0,"cached_tokens":0},"total_tokens":981}}</t>
        </is>
      </c>
      <c r="M98" t="inlineStr">
        <is>
          <t>{"alt-svc":"h3=\":443\"; ma=2592000","apim-request-id":"e89c0850-b85e-4670-89fb-ec4c91989611","azureml-model-session":"d20260402083108-57a85543","cache-control":"no-cache","connection":"close","content-length":"764","content-security-policy":"frame-ancestors 'self'","content-type":"application/json","date":"Mon, 20 Apr 2026 04:16:25 GMT","server":"Caddy","skip-error-remapping":"true","strict-transport-security":"max-age=31536000; includeSubDomains; preload","via":"1.1 Caddy","x-api-request-id":"20260420121623464219579KwqK1oqU","x-content-type-options":"nosniff","x-frame-options":"SAMEORIGIN","x-ms-client-request-id":"Not-Set","x-ms-is-spilled-over":"false","x-ms-rai-invoked":"true","x-ms-region":"East US 2","x-new-api-version":"0.4.39","x-oneapi-request-id":"202604200416233983495298268d9d6wosigd0Y","x-ratelimit-abusepenalty-active":"False","x-ratelimit-limit-requests":"3850","x-ratelimit-limit-tokens":"3850000","x-ratelimit-remaining-requests":"3849","x-ratelimit-remaining-tokens":"3848296","x-ratelimit-renewalperiod-requests":"60","x-ratelimit-renewalperiod-tokens":"60","x-ratelimit-reset-requests":"15","x-ratelimit-reset-tokens":"26","x-request-id":"f9521d47-cca6-47ce-bae6-6760fb8555e3"}</t>
        </is>
      </c>
      <c r="N98" t="inlineStr">
        <is>
          <t>Denim Tears Pink Cotton Hoodie Set features soft fabric, relaxed fit, daisy cotton print, drawstring hood, kangaroo pocket, elastic cuffs, unisex streetwear with vintage flair.</t>
        </is>
      </c>
      <c r="O98" t="inlineStr">
        <is>
          <t>{"choices":[{"finish_reason":"stop","index":0,"logprobs":null,"message":{"annotations":[],"content":"Denim Tears,Hoodies,kakobuy,kakebuy2026,kekobuysheet,kakobuysheet2026,2026kakobuy,kakobuyspreadsheeet,kakobuylink,kakebuylist,Kakobuy MEGA Spreadsheet,kakobuysheetfind,kakobuysheetfind2026,2026kakobuysheetfind,kakobuysheet2026","refusal":null,"role":"assistant"}}],"created":1776667203,"id":"chatcmpl-DWcaZwiX4FVnpbrMA2ybhzx51jizs","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98" t="inlineStr">
        <is>
          <t>Denim Tears,Hoodies,kakobuy,kakebuy2026,kekobuysheet,kakobuysheet2026,2026kakobuy,kakobuyspreadsheeet,kakobuylink,kakebuylist,Kakobuy MEGA Spreadsheet,kakobuysheetfind,kakobuysheetfind2026,2026kakobuysheetfind,kakobuysheet2026</t>
        </is>
      </c>
      <c r="Q98" t="inlineStr">
        <is>
          <t>Unisex, Streetwear, Vintage, Pink</t>
        </is>
      </c>
      <c r="R98" t="inlineStr">
        <is>
          <t>recvh6xFVjFoxX</t>
        </is>
      </c>
      <c r="S98" t="inlineStr">
        <is>
          <t>denim-tears-pink-daisy-hoodie-recvh6xfvjfoxx</t>
        </is>
      </c>
      <c r="T98"/>
      <c r="U98"/>
      <c r="V98"/>
      <c r="W98" t="inlineStr">
        <is>
          <t>{"id":"chatcmpl-DWZNrrYUvUaaKhsgbDMfcw6AISynq","object":"chat.completion","created":1776654883,"model":"gpt-5-chat-latest","choices":[{"index":0,"message":{"role":"assistant","content":"Denim Tears：粉色棉质连帽卫衣套装，采用柔软纯棉面料与宽松剪裁，满印经典雏菊棉花图腾，展现品牌标志性设计语言。连帽抽绳设计搭配袋鼠兜与松紧裤脚，舒适自在，男女皆宜。融合美式街头与复古潮流风格，打造随性个性穿搭。","refusal":null,"annotations":[]},"logprobs":null,"finish_reason":"stop"}],"usage":{"prompt_tokens":1328,"completion_tokens":100,"total_tokens":1428,"prompt_tokens_details":{"cached_tokens":1280,"audio_tokens":0},"completion_tokens_details":{"reasoning_tokens":0,"audio_tokens":0,"accepted_prediction_tokens":0,"rejected_prediction_tokens":0}},"service_tier":"default","system_fingerprint":"fp_ad66631dec"}</t>
        </is>
      </c>
      <c r="X98" t="inlineStr">
        <is>
          <t>Denim Tears：粉色棉质连帽卫衣套装，采用柔软纯棉面料与宽松剪裁，满印经典雏菊棉花图腾，展现品牌标志性设计语言。连帽抽绳设计搭配袋鼠兜与松紧裤脚，舒适自在，男女皆宜。融合美式街头与复古潮流风格，打造随性个性穿搭。</t>
        </is>
      </c>
    </row>
    <row r="99" ht="25.5" customHeight="1">
      <c r="A99">
        <v>1839115443</v>
      </c>
      <c r="B99">
        <v>7632193851</v>
      </c>
      <c r="C99" t="inlineStr">
        <is>
          <t>https://weidian.com/item.html?itemID=7632193851</t>
        </is>
      </c>
      <c r="D99"/>
      <c r="E99" s="2" t="str">
        <f>=HYPERLINK("https://si.geilicdn.com/open1839115443-252808396-7c180000019b1c1238190a8115c2_1080_1080.jpg?w=640&amp;h=640", "https://si.geilicdn.com/open1839115443-252808396-7c180000019b1c1238190a8115c2_1080_1080.jpg?w=640&amp;h=640")</f>
        <v>https://si.geilicdn.com/open1839115443-252808396-7c180000019b1c1238190a8115c2_1080_1080.jpg?w=640&amp;h=640</v>
      </c>
      <c r="F99" t="inlineStr">
        <is>
          <t>T-Shirts</t>
        </is>
      </c>
      <c r="G99" t="inlineStr">
        <is>
          <t>Chrome Hearts</t>
        </is>
      </c>
      <c r="H99" t="inlineStr">
        <is>
          <t>256.00</t>
        </is>
      </c>
      <c r="I99">
        <v>37.1</v>
      </c>
      <c r="J99" t="inlineStr">
        <is>
          <t>{"choices":[{"finish_reason":"stop","index":0,"logprobs":null,"message":{"annotations":[],"content":"Chrome Hearts White Gothic Cross Long Sleeve Shirt","refusal":null,"role":"assistant"}}],"created":1776666080,"id":"chatcmpl-DWcISCHnfUqUJGyUzRWrKElTaVzMi","model":"gpt-5-chat-latest","object":"chat.completion","service_tier":"default","system_fingerprint":"fp_ad66631dec","usage":{"completion_tokens":9,"completion_tokens_details":{"accepted_prediction_tokens":0,"audio_tokens":0,"reasoning_tokens":0,"rejected_prediction_tokens":0},"prompt_tokens":882,"prompt_tokens_details":{"audio_tokens":0,"cached_tokens":0},"total_tokens":891}}</t>
        </is>
      </c>
      <c r="K99" t="inlineStr">
        <is>
          <t>Chrome Hearts White Gothic Cross Long Sleeve Shirt</t>
        </is>
      </c>
      <c r="L99" t="inlineStr">
        <is>
          <t>{"choices":[{"finish_reason":"stop","index":0,"logprobs":null,"message":{"annotations":[],"content":"Chrome Hearts white long sleeve T-shirt crafted from soft cotton, featuring a bold Gothic cross and logo print on the back, classic sleeve detail, unisex design, blending LA rock style with luxury.","refusal":null,"role":"assistant"}}],"created":1776658853,"id":"chatcmpl-DWaPtm5QUk3yQ53YhBdkJpVaf7XYM","model":"gpt-5-chat-latest","object":"chat.completion","service_tier":"default","system_fingerprint":"fp_ad66631dec","usage":{"completion_tokens":40,"completion_tokens_details":{"accepted_prediction_tokens":0,"audio_tokens":0,"reasoning_tokens":0,"rejected_prediction_tokens":0},"prompt_tokens":926,"prompt_tokens_details":{"audio_tokens":0,"cached_tokens":0},"total_tokens":966}}</t>
        </is>
      </c>
      <c r="M99" t="inlineStr">
        <is>
          <t>{"alt-svc":"h3=\":443\"; ma=2592000","apim-request-id":"83740401-179c-4d9a-a445-57c105862ade","azureml-model-session":"d20260402083108-57a85543","cache-control":"no-cache","connection":"close","content-length":"785","content-security-policy":"frame-ancestors 'self'","content-type":"application/json","date":"Mon, 20 Apr 2026 04:20:54 GMT","server":"nginx","skip-error-remapping":"true","strict-transport-security":"max-age=31536000; includeSubDomains; preload","via":"1.1 Caddy, 1.1 Caddy","x-api-request-id":"20260420122053221619652EsoSZRcJ","x-content-type-options":"nosniff","x-frame-options":"SAMEORIGIN","x-ms-client-request-id":"Not-Set","x-ms-is-spilled-over":"false","x-ms-rai-invoked":"true","x-ms-region":"East US 2","x-new-api-version":"0.4.39","x-oneapi-request-id":"202604200420531559051518268d9d6aFUOcTs0","x-ratelimit-abusepenalty-active":"False","x-ratelimit-limit-requests":"3850","x-ratelimit-limit-tokens":"3850000","x-ratelimit-remaining-requests":"3848","x-ratelimit-remaining-tokens":"3846700","x-ratelimit-renewalperiod-requests":"60","x-ratelimit-renewalperiod-tokens":"60","x-ratelimit-reset-requests":"31","x-ratelimit-reset-tokens":"51","x-request-id":"31c5ddd2-c2c6-4d2b-8f8d-428d022fa9e4"}</t>
        </is>
      </c>
      <c r="N99" t="inlineStr">
        <is>
          <t>Chrome Hearts white long sleeve T-shirt crafted from soft cotton, featuring a bold Gothic cross and logo print on the back, classic sleeve detail, unisex design, blending LA rock style with luxury.</t>
        </is>
      </c>
      <c r="O99" t="inlineStr">
        <is>
          <t>{"choices":[{"finish_reason":"stop","index":0,"logprobs":null,"message":{"annotations":[],"content":"Chrome Hearts, T-Shirts, kakobuy, kakebuy2026, kekobuysheet, kakobuysheet2026, 2026kakobuy, kakobuyspreadsheeet, kakobuylink, kakebuylist, Kakobuy MEGA Spreadsheet, kakobuysheetfind, kakobuysheetfind2026, 2026kakobuysheetfind, kakobuysheet2026","refusal":null,"role":"assistant"}}],"created":1776668144,"id":"chatcmpl-DWcpk9al5Wr3ybovhfvLNWXxfltAj","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99" t="inlineStr">
        <is>
          <t>Chrome Hearts, T-Shirts, kakobuy, kakebuy2026, kekobuysheet, kakobuysheet2026, 2026kakobuy, kakobuyspreadsheeet, kakobuylink, kakebuylist, Kakobuy MEGA Spreadsheet, kakobuysheetfind, kakobuysheetfind2026, 2026kakobuysheetfind, kakobuysheet2026</t>
        </is>
      </c>
      <c r="Q99" t="inlineStr">
        <is>
          <t>White, Unisex, Gothic</t>
        </is>
      </c>
      <c r="R99" t="inlineStr">
        <is>
          <t>recvh6xFVjJxbp</t>
        </is>
      </c>
      <c r="S99" t="inlineStr">
        <is>
          <t>chrome-hearts-white-gothic-cross-long-sleeve-shirt-recvh6xFVjJxbp</t>
        </is>
      </c>
      <c r="T99"/>
      <c r="U99"/>
      <c r="V99"/>
      <c r="W99" t="inlineStr">
        <is>
          <t>{"choices":[{"finish_reason":"stop","index":0,"logprobs":null,"message":{"annotations":[],"content":"Chrome Hearts：白色长袖T恤，甄选柔软纯棉材质，背部大型哥特十字与品牌字母印花，手臂侧印经典标识，延续洛杉矶街头摇滚风格，男女皆宜，展现不羁个性与高端质感，是潮流与工艺的完美融合之作。","refusal":null,"role":"assistant"}}],"created":1776655855,"id":"chatcmpl-DWZdXQzU6PnV4FPRFTpZ2gl3Qx5JX","model":"gpt-5-chat-latest","object":"chat.completion","service_tier":"default","system_fingerprint":"fp_ad66631dec","usage":{"completion_tokens":88,"completion_tokens_details":{"accepted_prediction_tokens":0,"audio_tokens":0,"reasoning_tokens":0,"rejected_prediction_tokens":0},"prompt_tokens":1320,"prompt_tokens_details":{"audio_tokens":0,"cached_tokens":0},"total_tokens":1408}}</t>
        </is>
      </c>
      <c r="X99" t="inlineStr">
        <is>
          <t>Chrome Hearts：白色长袖T恤，甄选柔软纯棉材质，背部大型哥特十字与品牌字母印花，手臂侧印经典标识，延续洛杉矶街头摇滚风格，男女皆宜，展现不羁个性与高端质感，是潮流与工艺的完美融合之作。</t>
        </is>
      </c>
    </row>
    <row r="100" ht="25.5" customHeight="1">
      <c r="A100">
        <v>1839115443</v>
      </c>
      <c r="B100">
        <v>7632121455</v>
      </c>
      <c r="C100" t="inlineStr">
        <is>
          <t>https://weidian.com/item.html?itemID=7632121455</t>
        </is>
      </c>
      <c r="D100"/>
      <c r="E100" s="2" t="str">
        <f>=HYPERLINK("https://si.geilicdn.com/open1839115443-252808396-1b240000019b1c00c9af0aa086a7_1080_1440.jpg?w=640&amp;h=640", "https://si.geilicdn.com/open1839115443-252808396-1b240000019b1c00c9af0aa086a7_1080_1440.jpg?w=640&amp;h=640")</f>
        <v>https://si.geilicdn.com/open1839115443-252808396-1b240000019b1c00c9af0aa086a7_1080_1440.jpg?w=640&amp;h=640</v>
      </c>
      <c r="F100" t="inlineStr">
        <is>
          <t>T-Shirts</t>
        </is>
      </c>
      <c r="G100" t="inlineStr">
        <is>
          <t>Ralph Lauren</t>
        </is>
      </c>
      <c r="H100" t="inlineStr">
        <is>
          <t>442.00</t>
        </is>
      </c>
      <c r="I100">
        <v>64.06</v>
      </c>
      <c r="J100" t="inlineStr">
        <is>
          <t>{"choices":[{"finish_reason":"stop","index":0,"logprobs":null,"message":{"annotations":[],"content":"Ralph Lauren Classic Black Cotton Crewneck T-Shirt","refusal":null,"role":"assistant"}}],"created":1776666244,"id":"chatcmpl-DWcL63S5AbTgoi9nU5agghb78Vf1u","model":"gpt-5-chat-latest","object":"chat.completion","service_tier":"default","system_fingerprint":"fp_ad66631dec","usage":{"completion_tokens":11,"completion_tokens_details":{"accepted_prediction_tokens":0,"audio_tokens":0,"reasoning_tokens":0,"rejected_prediction_tokens":0},"prompt_tokens":879,"prompt_tokens_details":{"audio_tokens":0,"cached_tokens":0},"total_tokens":890}}</t>
        </is>
      </c>
      <c r="K100" t="inlineStr">
        <is>
          <t>Ralph Lauren Classic Black Cotton Crewneck T-Shirt</t>
        </is>
      </c>
      <c r="L100" t="inlineStr">
        <is>
          <t>{"id":"chatcmpl-DWaRu091hfttCAfENIhtVMSNGnENc","object":"chat.completion","created":1776658978,"model":"gpt-5-chat-latest","choices":[{"index":0,"message":{"role":"assistant","content":"Ralph Lauren Classic Black Crewneck Knit T-Shirt made from high-density cotton, featuring iconic embroidered pony logo, minimalist design, unisex fit, versatile casual style for modern city wear.","refusal":null,"annotations":[]},"logprobs":null,"finish_reason":"stop"}],"usage":{"prompt_tokens":909,"completion_tokens":38,"total_tokens":947,"prompt_tokens_details":{"cached_tokens":0,"audio_tokens":0},"completion_tokens_details":{"reasoning_tokens":0,"audio_tokens":0,"accepted_prediction_tokens":0,"rejected_prediction_tokens":0}},"service_tier":"default","system_fingerprint":"fp_ad66631dec"}</t>
        </is>
      </c>
      <c r="M10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ma=2592000","apim-request-id":"37c91232-111d-4140-9c6b-9dcfa825e800","azureml-model-session":"d20260405234249-f9874baf","cache-control":"no-cache, no-store, must-revalidate","connection":"close","content-length":"999","content-security-policy":"frame-ancestors 'self'","content-type":"application/json","date":"Mon, 20 Apr 2026 04:23:00 GMT","server":"nginx","skip-error-remapping":"true","strict-transport-security":"max-age=31536000; includeSubDomains; preload","via":"1.1 Caddy, 1.1 Caddy","x-api-request-id":"20260420122256306937372oz9L7tWq","x-content-type-options":"nosniff","x-frame-options":"SAMEORIGIN","x-ms-is-spilled-over":"false","x-ms-rai-invoked":"false","x-ms-region":"Sweden Central","x-new-api-version":"0.4.39","x-oneapi-request-id":"202604200422562388918498268d9d6VSe1QW0p","x-ratelimit-abusepenalty-active":"False","x-ratelimit-limit-requests":"4993","x-ratelimit-limit-tokens":"4993000","x-ratelimit-remaining-requests":"4992","x-ratelimit-remaining-tokens":"4991329","x-ratelimit-renewalperiod-requests":"60","x-ratelimit-renewalperiod-tokens":"60","x-ratelimit-reset-requests":"12","x-ratelimit-reset-tokens":"20","x-request-id":"9bfd4c40-d686-488d-8497-deb0d7c3b698"}</t>
        </is>
      </c>
      <c r="N100" t="inlineStr">
        <is>
          <t>Ralph Lauren Classic Black Crewneck Knit T-Shirt made from high-density cotton, featuring iconic embroidered pony logo, minimalist design, unisex fit, versatile casual style for modern city wear.</t>
        </is>
      </c>
      <c r="O100" t="inlineStr">
        <is>
          <t>{"choices":[{"finish_reason":"stop","index":0,"logprobs":null,"message":{"annotations":[],"content":"Ralph Lauren,T-Shirts,kakobuy,kakebuy2026,kekobuysheet,kakobuysheet2026,2026kakobuy,kakobuyspreadsheeet,kakobuylink,kakebuylist,Kakobuy MEGA Spreadsheet,kakobuysheetfind,kakobuysheetfind2026,2026kakobuysheetfind,kakobuysheet2026","refusal":null,"role":"assistant"}}],"created":1776668668,"id":"chatcmpl-DWcyC1i5Jp6BZbOwvBuIpEvtbhce6","model":"gpt-5-chat-latest","object":"chat.completion","service_tier":"default","system_fingerprint":"fp_ad66631dec","usage":{"completion_tokens":90,"completion_tokens_details":{"accepted_prediction_tokens":0,"audio_tokens":0,"reasoning_tokens":0,"rejected_prediction_tokens":0},"prompt_tokens":784,"prompt_tokens_details":{"audio_tokens":0,"cached_tokens":0},"total_tokens":874}}</t>
        </is>
      </c>
      <c r="P100" t="inlineStr">
        <is>
          <t>Ralph Lauren,T-Shirts,kakobuy,kakebuy2026,kekobuysheet,kakobuysheet2026,2026kakobuy,kakobuyspreadsheeet,kakobuylink,kakebuylist,Kakobuy MEGA Spreadsheet,kakobuysheetfind,kakobuysheetfind2026,2026kakobuysheetfind,kakobuysheet2026</t>
        </is>
      </c>
      <c r="Q100" t="inlineStr">
        <is>
          <t>Black, Knit, Minimalist, Unisex, Versatile</t>
        </is>
      </c>
      <c r="R100" t="inlineStr">
        <is>
          <t>recvh6xFVj2Nfj</t>
        </is>
      </c>
      <c r="S100" t="inlineStr">
        <is>
          <t>ralph-lauren-black-cotton-crewneck-t-shirt-recvh6xfvj2nfj</t>
        </is>
      </c>
      <c r="T100"/>
      <c r="U100"/>
      <c r="V100"/>
      <c r="W100" t="inlineStr">
        <is>
          <t>{"choices":[{"finish_reason":"stop","index":0,"logprobs":null,"message":{"annotations":[],"content":"Ralph Lauren：黑色经典圆领针织T恤，甄选高密度棉质面料，胸前标志性刺绣马标点缀，剪裁简约利落，男女皆宜，休闲百搭风格，适合现代都市日常穿搭。","refusal":null,"role":"assistant"}}],"created":1776655358,"id":"chatcmpl-DWZVWlm9c3x45DbJiCj5ioH0bvF4v","model":"gpt-5-chat-latest","object":"chat.completion","service_tier":"default","system_fingerprint":"fp_ad66631dec","usage":{"completion_tokens":69,"completion_tokens_details":{"accepted_prediction_tokens":0,"audio_tokens":0,"reasoning_tokens":0,"rejected_prediction_tokens":0},"prompt_tokens":1325,"prompt_tokens_details":{"audio_tokens":0,"cached_tokens":0},"total_tokens":1394}}</t>
        </is>
      </c>
      <c r="X100" t="inlineStr">
        <is>
          <t>Ralph Lauren：黑色经典圆领针织T恤，甄选高密度棉质面料，胸前标志性刺绣马标点缀，剪裁简约利落，男女皆宜，休闲百搭风格，适合现代都市日常穿搭。</t>
        </is>
      </c>
    </row>
    <row r="101" ht="25.5" customHeight="1">
      <c r="A101">
        <v>1839115443</v>
      </c>
      <c r="B101">
        <v>7635027234</v>
      </c>
      <c r="C101" t="inlineStr">
        <is>
          <t>https://weidian.com/item.html?itemID=7635027234</t>
        </is>
      </c>
      <c r="D101"/>
      <c r="E101" s="2" t="str">
        <f>=HYPERLINK("https://si.geilicdn.com/open1839115443-252808396-6b9e0000019b1be8d86f0a8133b0_800_800.jpg?w=640&amp;h=640", "https://si.geilicdn.com/open1839115443-252808396-6b9e0000019b1be8d86f0a8133b0_800_800.jpg?w=640&amp;h=640")</f>
        <v>https://si.geilicdn.com/open1839115443-252808396-6b9e0000019b1be8d86f0a8133b0_800_800.jpg?w=640&amp;h=640</v>
      </c>
      <c r="F101" t="inlineStr">
        <is>
          <t>T-Shirts</t>
        </is>
      </c>
      <c r="G101" t="inlineStr">
        <is>
          <t>Chrome Hearts</t>
        </is>
      </c>
      <c r="H101" t="inlineStr">
        <is>
          <t>87.00</t>
        </is>
      </c>
      <c r="I101">
        <v>12.61</v>
      </c>
      <c r="J101" t="inlineStr">
        <is>
          <t>{"choices":[{"finish_reason":"stop","index":0,"logprobs":null,"message":{"annotations":[],"content":"Chrome Hearts 3D Cross White Long Sleeve Shirt","refusal":null,"role":"assistant"}}],"created":1776666512,"id":"chatcmpl-DWcPQaH5EOjR5WoQbjhbY7vCLwtNi","model":"gpt-5-chat-latest","object":"chat.completion","service_tier":"default","system_fingerprint":"fp_ad66631dec","usage":{"completion_tokens":11,"completion_tokens_details":{"accepted_prediction_tokens":0,"audio_tokens":0,"reasoning_tokens":0,"rejected_prediction_tokens":0},"prompt_tokens":896,"prompt_tokens_details":{"audio_tokens":0,"cached_tokens":0},"total_tokens":907}}</t>
        </is>
      </c>
      <c r="K101" t="inlineStr">
        <is>
          <t>Chrome Hearts 3D Cross White Long Sleeve Shirt</t>
        </is>
      </c>
      <c r="L101" t="inlineStr">
        <is>
          <t>{"id":"chatcmpl-DWaQ8p2wzpXah6UDuWpkA0XiUMirV","object":"chat.completion","created":1776658868,"model":"gpt-5-chat-latest","choices":[{"index":0,"message":{"role":"assistant","content":"Chrome Hearts white long-sleeve T-shirt, premium cotton, soft feel, colorful 3D cross prints on chest and sleeves, multicolor cross motif on back, unisex loose fit, LA craftsmanship, modern street style.","refusal":null,"annotations":[]},"logprobs":null,"finish_reason":"stop"}],"usage":{"prompt_tokens":957,"completion_tokens":47,"total_tokens":1004,"prompt_tokens_details":{"cached_tokens":0,"audio_tokens":0},"completion_tokens_details":{"reasoning_tokens":0,"audio_tokens":0,"accepted_prediction_tokens":0,"rejected_prediction_tokens":0}},"service_tier":"default","system_fingerprint":"fp_ad66631dec"}</t>
        </is>
      </c>
      <c r="M10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ma=2592000","apim-request-id":"8aec0360-6939-48ba-afcd-d27d9c39b2db","azureml-model-session":"d20260405234249-f9874baf","cache-control":"no-cache, no-store, must-revalidate","connection":"close","content-length":"1008","content-security-policy":"frame-ancestors 'self'","content-type":"application/json","date":"Mon, 20 Apr 2026 04:21:10 GMT","server":"nginx","skip-error-remapping":"true","strict-transport-security":"max-age=31536000; includeSubDomains; preload","via":"1.1 Caddy, 1.1 Caddy","x-api-request-id":"2026042012210742781677BdV5r0Jn","x-content-type-options":"nosniff","x-frame-options":"SAMEORIGIN","x-ms-is-spilled-over":"false","x-ms-rai-invoked":"false","x-ms-region":"Sweden Central","x-new-api-version":"0.4.39","x-oneapi-request-id":"202604200421069268560188268d9d6NWpySenQ","x-ratelimit-abusepenalty-active":"False","x-ratelimit-limit-requests":"4993","x-ratelimit-limit-tokens":"4993000","x-ratelimit-remaining-requests":"4992","x-ratelimit-remaining-tokens":"4991281","x-ratelimit-renewalperiod-requests":"60","x-ratelimit-renewalperiod-tokens":"60","x-ratelimit-reset-requests":"12","x-ratelimit-reset-tokens":"20","x-request-id":"73d94da0-6423-4895-9c33-129caf5ac55f"}</t>
        </is>
      </c>
      <c r="N101" t="inlineStr">
        <is>
          <t>Chrome Hearts white long-sleeve T-shirt, premium cotton, soft feel, colorful 3D cross prints on chest and sleeves, multicolor cross motif on back, unisex loose fit, LA craftsmanship, modern street style.</t>
        </is>
      </c>
      <c r="O101" t="inlineStr">
        <is>
          <t>{"choices":[{"finish_reason":"stop","index":0,"logprobs":null,"message":{"annotations":[],"content":"Chrome Hearts,T-Shirts,kakobuy,kakebuy2026,kekobuysheet,kakobuysheet2026,2026kakobuy,kakobuyspreadsheeet,kakobuylink,kakebuylist,Kakobuy MEGA Spreadsheet,kakobuysheetfind,kakobuysheetfind2026,2026kakobuysheetfind,kakobuysheet2026","refusal":null,"role":"assistant"}}],"created":1776667421,"id":"chatcmpl-DWce5kpLAn9tkFDq7QFkK9tIvvLMN","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01" t="inlineStr">
        <is>
          <t>Chrome Hearts,T-Shirts,kakobuy,kakebuy2026,kekobuysheet,kakobuysheet2026,2026kakobuy,kakobuyspreadsheeet,kakobuylink,kakebuylist,Kakobuy MEGA Spreadsheet,kakobuysheetfind,kakobuysheetfind2026,2026kakobuysheetfind,kakobuysheet2026</t>
        </is>
      </c>
      <c r="Q101" t="inlineStr">
        <is>
          <t>Unisex, Streetwear, White, Modern</t>
        </is>
      </c>
      <c r="R101" t="inlineStr">
        <is>
          <t>recvh6xFVj6iDz</t>
        </is>
      </c>
      <c r="S101" t="inlineStr">
        <is>
          <t>chrome-hearts-3d-cross-white-long-sleeve-shirt-recvh6xFVj6iDz</t>
        </is>
      </c>
      <c r="T101"/>
      <c r="U101"/>
      <c r="V101"/>
      <c r="W101" t="inlineStr">
        <is>
          <t>{"choices":[{"finish_reason":"stop","index":0,"logprobs":null,"message":{"annotations":[],"content":"Chrome Hearts 白色长袖T恤，甄选高品质纯棉材质，柔软亲肤。胸前与袖口饰以彩色立体十字花印花，背面呈现标志性多色十字图腾设计，展现大胆艺术感与街头风格。中性款版型宽松舒适，适合日常休闲或潮流搭配，融合洛杉矶手工工艺与现代设计美学，彰显不羁个性魅力。","refusal":null,"role":"assistant"}}],"created":1776655230,"id":"chatcmpl-DWZTS9N16Jptg5YsDt8S3ZbVIjbtQ","model":"gpt-5-chat-latest","object":"chat.completion","service_tier":"default","system_fingerprint":"fp_ad66631dec","usage":{"completion_tokens":117,"completion_tokens_details":{"accepted_prediction_tokens":0,"audio_tokens":0,"reasoning_tokens":0,"rejected_prediction_tokens":0},"prompt_tokens":1324,"prompt_tokens_details":{"audio_tokens":0,"cached_tokens":0},"total_tokens":1441}}</t>
        </is>
      </c>
      <c r="X101" t="inlineStr">
        <is>
          <t>Chrome Hearts 白色长袖T恤，甄选高品质纯棉材质，柔软亲肤。胸前与袖口饰以彩色立体十字花印花，背面呈现标志性多色十字图腾设计，展现大胆艺术感与街头风格。中性款版型宽松舒适，适合日常休闲或潮流搭配，融合洛杉矶手工工艺与现代设计美学，彰显不羁个性魅力。</t>
        </is>
      </c>
    </row>
    <row r="102" ht="25.5" customHeight="1">
      <c r="A102">
        <v>1839115443</v>
      </c>
      <c r="B102">
        <v>7638995802</v>
      </c>
      <c r="C102" t="inlineStr">
        <is>
          <t>https://weidian.com/item.html?itemID=7638995802</t>
        </is>
      </c>
      <c r="D102"/>
      <c r="E102" s="2" t="str">
        <f>=HYPERLINK("https://si.geilicdn.com/open1839115443-252808396-7c110000019b3566b2f20a8133b0_800_800.jpg?w=640&amp;h=640", "https://si.geilicdn.com/open1839115443-252808396-7c110000019b3566b2f20a8133b0_800_800.jpg?w=640&amp;h=640")</f>
        <v>https://si.geilicdn.com/open1839115443-252808396-7c110000019b3566b2f20a8133b0_800_800.jpg?w=640&amp;h=640</v>
      </c>
      <c r="F102" t="inlineStr">
        <is>
          <t>Hoodies</t>
        </is>
      </c>
      <c r="G102" t="inlineStr">
        <is>
          <t>Denim Tears</t>
        </is>
      </c>
      <c r="H102" t="inlineStr">
        <is>
          <t>155.00</t>
        </is>
      </c>
      <c r="I102">
        <v>22.46</v>
      </c>
      <c r="J102" t="inlineStr">
        <is>
          <t>{"choices":[{"finish_reason":"stop","index":0,"logprobs":null,"message":{"annotations":[],"content":"Denim Tears Ready Made Floral Print Unisex Hoodie","refusal":null,"role":"assistant"}}],"created":1776666402,"id":"chatcmpl-DWcNeVKSJQCADnhQIIwNPfcNeiB9c","model":"gpt-5-chat-latest","object":"chat.completion","service_tier":"default","system_fingerprint":"fp_ad66631dec","usage":{"completion_tokens":11,"completion_tokens_details":{"accepted_prediction_tokens":0,"audio_tokens":0,"reasoning_tokens":0,"rejected_prediction_tokens":0},"prompt_tokens":880,"prompt_tokens_details":{"audio_tokens":0,"cached_tokens":0},"total_tokens":891}}</t>
        </is>
      </c>
      <c r="K102" t="inlineStr">
        <is>
          <t>Denim Tears Ready Made Floral Print Unisex Hoodie</t>
        </is>
      </c>
      <c r="L102" t="inlineStr">
        <is>
          <t>{"id":"chatcmpl-DWaP5yvGikNJ89xmSu6HY109fO4dX","object":"chat.completion","created":1776658803,"model":"gpt-5-chat-latest","choices":[{"index":0,"message":{"role":"assistant","content":"Denim Tears Ready Made Tears Hoodie—black cotton with white floral wreath print, soft thick fabric, cozy street retro style, unisex loose fit, trendy and comfortable for everyday wear.","refusal":null,"annotations":[]},"logprobs":null,"finish_reason":"stop"}],"usage":{"prompt_tokens":923,"completion_tokens":38,"total_tokens":961,"prompt_tokens_details":{"cached_tokens":0,"audio_tokens":0},"completion_tokens_details":{"reasoning_tokens":0,"audio_tokens":0,"accepted_prediction_tokens":0,"rejected_prediction_tokens":0}},"service_tier":"default","system_fingerprint":"fp_ad66631dec"}</t>
        </is>
      </c>
      <c r="M10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ma=2592000","apim-request-id":"5c2a4982-96fd-46f9-80aa-67c837fbd611","azureml-model-session":"d20260405234249-f9874baf","cache-control":"no-cache, no-store, must-revalidate","connection":"close","content-length":"990","content-security-policy":"frame-ancestors 'self'","content-type":"application/json","date":"Mon, 20 Apr 2026 04:20:05 GMT","server":"Caddy","skip-error-remapping":"true","strict-transport-security":"max-age=31536000; includeSubDomains; preload","via":"1.1 Caddy","x-api-request-id":"2026042012200264356082snb2X4zW","x-content-type-options":"nosniff","x-frame-options":"SAMEORIGIN","x-ms-is-spilled-over":"false","x-ms-rai-invoked":"false","x-ms-region":"Sweden Central","x-new-api-version":"0.4.39","x-oneapi-request-id":"202604200420019261075248268d9d618RUctBL","x-ratelimit-abusepenalty-active":"False","x-ratelimit-limit-requests":"4993","x-ratelimit-limit-tokens":"4993000","x-ratelimit-remaining-requests":"4992","x-ratelimit-remaining-tokens":"4991315","x-ratelimit-renewalperiod-requests":"60","x-ratelimit-renewalperiod-tokens":"60","x-ratelimit-reset-requests":"12","x-ratelimit-reset-tokens":"20","x-request-id":"9894d8a2-6666-4d14-963e-23ebad4d1614"}</t>
        </is>
      </c>
      <c r="N102" t="inlineStr">
        <is>
          <t>Denim Tears Ready Made Tears Hoodie—black cotton with white floral wreath print, soft thick fabric, cozy street retro style, unisex loose fit, trendy and comfortable for everyday wear.</t>
        </is>
      </c>
      <c r="O102" t="inlineStr">
        <is>
          <t>{"choices":[{"finish_reason":"stop","index":0,"logprobs":null,"message":{"annotations":[],"content":"Denim Tears,Hoodies,kakobuy,kakebuy2026,kekobuysheet,kakobuysheet2026,2026kakobuy,kakobuyspreadsheeet,kakobuylink,kakebuylist,Kakobuy MEGA Spreadsheet,kakobuysheetfind,kakobuysheetfind2026,2026kakobuysheetfind,kakobuysheet2026","refusal":null,"role":"assistant"}}],"created":1776667143,"id":"chatcmpl-DWcZb4JyUdzPm6HMwdA1gRtmSRmfY","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102" t="inlineStr">
        <is>
          <t>Denim Tears,Hoodies,kakobuy,kakebuy2026,kekobuysheet,kakobuysheet2026,2026kakobuy,kakobuyspreadsheeet,kakobuylink,kakebuylist,Kakobuy MEGA Spreadsheet,kakobuysheetfind,kakobuysheetfind2026,2026kakobuysheetfind,kakobuysheet2026</t>
        </is>
      </c>
      <c r="Q102" t="inlineStr">
        <is>
          <t>Black, Floral, Streetwear, Retro, Unisex</t>
        </is>
      </c>
      <c r="R102" t="inlineStr">
        <is>
          <t>recvh6xFVjrUwK</t>
        </is>
      </c>
      <c r="S102" t="inlineStr">
        <is>
          <t>denim-tears-floral-print-hoodie-recvh6xfvjruwk</t>
        </is>
      </c>
      <c r="T102"/>
      <c r="U102"/>
      <c r="V102"/>
      <c r="W102" t="inlineStr">
        <is>
          <t>{"choices":[{"finish_reason":"stop","index":0,"logprobs":null,"message":{"annotations":[],"content":"Denim Tears：黑色棉质连帽卫衣，正面印有“Ready Made Tears”字样，搭配白色花环图腾，柔软厚棉面料提供舒适保暖，街头复古风格，男女皆宜，宽松版型展现自由随性态度，兼具潮流设计与日常实穿性。","refusal":null,"role":"assistant"}}],"created":1776655429,"id":"chatcmpl-DWZWfvNW8r01wgjwKum3GnELES8ZD","model":"gpt-5-chat-latest","object":"chat.completion","service_tier":"default","system_fingerprint":"fp_ad66631dec","usage":{"completion_tokens":84,"completion_tokens_details":{"accepted_prediction_tokens":0,"audio_tokens":0,"reasoning_tokens":0,"rejected_prediction_tokens":0},"prompt_tokens":1322,"prompt_tokens_details":{"audio_tokens":0,"cached_tokens":0},"total_tokens":1406}}</t>
        </is>
      </c>
      <c r="X102" t="inlineStr">
        <is>
          <t>Denim Tears：黑色棉质连帽卫衣，正面印有“Ready Made Tears”字样，搭配白色花环图腾，柔软厚棉面料提供舒适保暖，街头复古风格，男女皆宜，宽松版型展现自由随性态度，兼具潮流设计与日常实穿性。</t>
        </is>
      </c>
    </row>
    <row r="103" ht="25.5" customHeight="1">
      <c r="A103">
        <v>1839115443</v>
      </c>
      <c r="B103">
        <v>7635929291</v>
      </c>
      <c r="C103" t="inlineStr">
        <is>
          <t>https://weidian.com/item.html?itemID=7635929291</t>
        </is>
      </c>
      <c r="D103"/>
      <c r="E103" s="2" t="str">
        <f>=HYPERLINK("https://si.geilicdn.com/open1839115443-252808396-0bc20000019b356302330a23b4de_800_800.jpg?w=640&amp;h=640", "https://si.geilicdn.com/open1839115443-252808396-0bc20000019b356302330a23b4de_800_800.jpg?w=640&amp;h=640")</f>
        <v>https://si.geilicdn.com/open1839115443-252808396-0bc20000019b356302330a23b4de_800_800.jpg?w=640&amp;h=640</v>
      </c>
      <c r="F103" t="inlineStr">
        <is>
          <t>Hoodies</t>
        </is>
      </c>
      <c r="G103" t="inlineStr">
        <is>
          <t xml:space="preserve"> Essentials</t>
        </is>
      </c>
      <c r="H103" t="inlineStr">
        <is>
          <t>161.00</t>
        </is>
      </c>
      <c r="I103">
        <v>23.33</v>
      </c>
      <c r="J103" t="inlineStr">
        <is>
          <t>{"choices":[{"finish_reason":"stop","index":0,"logprobs":null,"message":{"annotations":[],"content":"ESSENTIALS Fear of God Sand Unisex Hoodie","refusal":null,"role":"assistant"}}],"created":1776666709,"id":"chatcmpl-DWcSbnfCHsf8VE87CeC8Jzy3zsgNo","model":"gpt-5-chat-latest","object":"chat.completion","service_tier":"default","system_fingerprint":"fp_ad66631dec","usage":{"completion_tokens":11,"completion_tokens_details":{"accepted_prediction_tokens":0,"audio_tokens":0,"reasoning_tokens":0,"rejected_prediction_tokens":0},"prompt_tokens":876,"prompt_tokens_details":{"audio_tokens":0,"cached_tokens":0},"total_tokens":887}}</t>
        </is>
      </c>
      <c r="K103" t="inlineStr">
        <is>
          <t>ESSENTIALS Fear of God Sand Unisex Hoodie</t>
        </is>
      </c>
      <c r="L103" t="inlineStr">
        <is>
          <t>{"choices":[{"finish_reason":"stop","index":0,"logprobs":null,"message":{"annotations":[],"content":"ESSENTIALS Fear of God Sand Hoodie, crafted from soft cotton blend, features bold logo print, relaxed unisex fit, minimalist urban style for premium comfort and timeless casual wear.","refusal":null,"role":"assistant"}}],"created":1776659437,"id":"chatcmpl-DWaZJ4k5PuS7rZNL71yNS1Cbd13k6","model":"gpt-5-chat-latest","object":"chat.completion","service_tier":"default","system_fingerprint":"fp_ad66631dec","usage":{"completion_tokens":37,"completion_tokens_details":{"accepted_prediction_tokens":0,"audio_tokens":0,"reasoning_tokens":0,"rejected_prediction_tokens":0},"prompt_tokens":898,"prompt_tokens_details":{"audio_tokens":0,"cached_tokens":0},"total_tokens":935}}</t>
        </is>
      </c>
      <c r="M103" t="inlineStr">
        <is>
          <t>{"alt-svc":"h3=\":443\"; ma=2592000","apim-request-id":"7d25f137-6bb7-47fc-ad5a-df5442eab40b","azureml-model-session":"d20260405234249-f9874baf","cache-control":"no-cache","connection":"close","content-length":"770","content-security-policy":"frame-ancestors 'self'","content-type":"application/json","date":"Mon, 20 Apr 2026 04:30:38 GMT","server":"nginx","skip-error-remapping":"true","strict-transport-security":"max-age=31536000; includeSubDomains; preload","via":"1.1 Caddy, 1.1 Caddy","x-api-request-id":"20260420123036817433671mkrGBOM1","x-content-type-options":"nosniff","x-frame-options":"SAMEORIGIN","x-ms-client-request-id":"Not-Set","x-ms-is-spilled-over":"false","x-ms-rai-invoked":"true","x-ms-region":"East US 2","x-new-api-version":"0.4.39","x-oneapi-request-id":"202604200430367489137748268d9d6hItNRMnC","x-ratelimit-abusepenalty-active":"False","x-ratelimit-limit-requests":"3850","x-ratelimit-limit-tokens":"3850000","x-ratelimit-remaining-requests":"3849","x-ratelimit-remaining-tokens":"3848340","x-ratelimit-renewalperiod-requests":"60","x-ratelimit-renewalperiod-tokens":"60","x-ratelimit-reset-requests":"15","x-ratelimit-reset-tokens":"25","x-request-id":"911843f5-4001-418c-87ef-511bc8d1212d"}</t>
        </is>
      </c>
      <c r="N103" t="inlineStr">
        <is>
          <t>ESSENTIALS Fear of God Sand Hoodie, crafted from soft cotton blend, features bold logo print, relaxed unisex fit, minimalist urban style for premium comfort and timeless casual wear.</t>
        </is>
      </c>
      <c r="O103" t="inlineStr">
        <is>
          <t>{"choices":[{"finish_reason":"stop","index":0,"logprobs":null,"message":{"annotations":[],"content":"Essentials, Hoodie, kakobuy, kakebuy2026, kekobuysheet, kakobuysheet2026, 2026kakobuy, kakobuyspreadsheeet, kakobuylink, kakebuylist, Kakobuy MEGA Spreadsheet, kakobuysheetfind, kakobuysheetfind2026, 2026kakobuysheetfind, kakobuysheet2026","refusal":null,"role":"assistant"}}],"created":1776668619,"id":"chatcmpl-DWcxPExEW1Iv12W9a1bjORSlm21Pp","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is>
      </c>
      <c r="P103" t="inlineStr">
        <is>
          <t>Essentials, Hoodie, kakobuy, kakebuy2026, kekobuysheet, kakobuysheet2026, 2026kakobuy, kakobuyspreadsheeet, kakobuylink, kakebuylist, Kakobuy MEGA Spreadsheet, kakobuysheetfind, kakobuysheetfind2026, 2026kakobuysheetfind, kakobuysheet2026</t>
        </is>
      </c>
      <c r="Q103" t="inlineStr">
        <is>
          <t>Unisex, Minimalist, Comfort</t>
        </is>
      </c>
      <c r="R103" t="inlineStr">
        <is>
          <t>recvh6xFVj53Bz</t>
        </is>
      </c>
      <c r="S103" t="inlineStr">
        <is>
          <t>fear-of-god-sand-hoodie-recvh6xfvj53bz</t>
        </is>
      </c>
      <c r="T103"/>
      <c r="U103"/>
      <c r="V103"/>
      <c r="W103" t="inlineStr">
        <is>
          <t>{"id":"chatcmpl-DWZTRyfl6TZsmTo4txg4ORsAN141p","object":"chat.completion","created":1776655229,"model":"gpt-5-chat-latest","choices":[{"index":0,"message":{"role":"assistant","content":"Essentials：沙色连帽卫衣，简约休闲系列，精选柔软棉质混纺面料，胸前醒目品牌字样印花，宽松版型设计，男女皆宜，展现都市极简风格与舒适穿搭质感。","refusal":null,"annotations":[]},"logprobs":null,"finish_reason":"stop"}],"usage":{"prompt_tokens":1310,"completion_tokens":64,"total_tokens":1374,"prompt_tokens_details":{"cached_tokens":1280,"audio_tokens":0},"completion_tokens_details":{"reasoning_tokens":0,"audio_tokens":0,"accepted_prediction_tokens":0,"rejected_prediction_tokens":0}},"service_tier":"default","system_fingerprint":"fp_ad66631dec"}</t>
        </is>
      </c>
      <c r="X103" t="inlineStr">
        <is>
          <t>Essentials：沙色连帽卫衣，简约休闲系列，精选柔软棉质混纺面料，胸前醒目品牌字样印花，宽松版型设计，男女皆宜，展现都市极简风格与舒适穿搭质感。</t>
        </is>
      </c>
    </row>
    <row r="104" ht="25.5" customHeight="1">
      <c r="A104">
        <v>1839115443</v>
      </c>
      <c r="B104">
        <v>7638953964</v>
      </c>
      <c r="C104" t="inlineStr">
        <is>
          <t>https://weidian.com/item.html?itemID=7638953964</t>
        </is>
      </c>
      <c r="D104"/>
      <c r="E104" s="2" t="str">
        <f>=HYPERLINK("https://si.geilicdn.com/open1839115443-252808396-0a730000019b3557f0740a22d249_800_800.jpg?w=750&amp;h=750&amp;cp=1", "https://si.geilicdn.com/open1839115443-252808396-0a730000019b3557f0740a22d249_800_800.jpg?w=750&amp;h=750&amp;cp=1")</f>
        <v>https://si.geilicdn.com/open1839115443-252808396-0a730000019b3557f0740a22d249_800_800.jpg?w=750&amp;h=750&amp;cp=1</v>
      </c>
      <c r="F104" t="inlineStr">
        <is>
          <t>Hoodies</t>
        </is>
      </c>
      <c r="G104" t="inlineStr">
        <is>
          <t xml:space="preserve">Trapstar </t>
        </is>
      </c>
      <c r="H104" t="inlineStr">
        <is>
          <t>307.00</t>
        </is>
      </c>
      <c r="I104">
        <v>44.49</v>
      </c>
      <c r="J104" t="inlineStr">
        <is>
          <t>{"id":"chatcmpl-DWcKMIHRjfZB5JL8W7AYIsG5pYBn4","object":"chat.completion","created":1776666198,"model":"gpt-5-chat-latest","choices":[{"index":0,"message":{"role":"assistant","content":"Trapstar Panther Print Black Hoodie Unisex","refusal":null,"annotations":[]},"logprobs":null,"finish_reason":"stop"}],"usage":{"prompt_tokens":887,"completion_tokens":9,"total_tokens":896,"prompt_tokens_details":{"cached_tokens":0,"audio_tokens":0},"completion_tokens_details":{"reasoning_tokens":0,"audio_tokens":0,"accepted_prediction_tokens":0,"rejected_prediction_tokens":0}},"service_tier":"default","system_fingerprint":"fp_ad66631dec"}</t>
        </is>
      </c>
      <c r="K104" t="inlineStr">
        <is>
          <t>Trapstar Panther Print Black Hoodie Unisex</t>
        </is>
      </c>
      <c r="L104" t="inlineStr">
        <is>
          <t>{"choices":[{"finish_reason":"stop","index":0,"logprobs":null,"message":{"annotations":[],"content":"Trapstar Hoodie: Black cotton sweatshirt featuring bold lettering and panther print. Soft thick fabric with relaxed fit, kangaroo pocket, and drawstring hood. Unisex streetwear style, UK urban fashion.","refusal":null,"role":"assistant"}}],"created":1776658363,"id":"chatcmpl-DWaHzDzb9IsKlA6wIkIVu9kfJS4rd","model":"gpt-5-chat-latest","object":"chat.completion","service_tier":"default","system_fingerprint":"fp_ad66631dec","usage":{"completion_tokens":42,"completion_tokens_details":{"accepted_prediction_tokens":0,"audio_tokens":0,"reasoning_tokens":0,"rejected_prediction_tokens":0},"prompt_tokens":924,"prompt_tokens_details":{"audio_tokens":0,"cached_tokens":0},"total_tokens":966}}</t>
        </is>
      </c>
      <c r="M104" t="inlineStr">
        <is>
          <t>{"alt-svc":"h3=\":443\"; ma=2592000","apim-request-id":"296dd2e4-7a47-40eb-bd83-35bc22de7bbc","azureml-model-session":"d20260405234249-f9874baf","cache-control":"no-cache","connection":"close","content-length":"789","content-security-policy":"frame-ancestors 'self'","content-type":"application/json","date":"Mon, 20 Apr 2026 04:12:44 GMT","server":"Caddy","skip-error-remapping":"true","strict-transport-security":"max-age=31536000; includeSubDomains; preload","via":"1.1 Caddy","x-api-request-id":"202604201212424654536997T3tERDy","x-content-type-options":"nosniff","x-frame-options":"SAMEORIGIN","x-ms-client-request-id":"Not-Set","x-ms-is-spilled-over":"false","x-ms-rai-invoked":"true","x-ms-region":"East US 2","x-new-api-version":"0.4.39","x-oneapi-request-id":"202604200412424006301468268d9d6cZvIEMa6","x-ratelimit-abusepenalty-active":"False","x-ratelimit-limit-requests":"3850","x-ratelimit-limit-tokens":"3850000","x-ratelimit-remaining-requests":"3849","x-ratelimit-remaining-tokens":"3848314","x-ratelimit-renewalperiod-requests":"60","x-ratelimit-renewalperiod-tokens":"60","x-ratelimit-reset-requests":"15","x-ratelimit-reset-tokens":"26","x-request-id":"c62a03df-94b3-4f05-92a7-1c341be82aef"}</t>
        </is>
      </c>
      <c r="N104" t="inlineStr">
        <is>
          <t>Trapstar Hoodie: Black cotton sweatshirt featuring bold lettering and panther print. Soft thick fabric with relaxed fit, kangaroo pocket, and drawstring hood. Unisex streetwear style, UK urban fashion.</t>
        </is>
      </c>
      <c r="O104" t="inlineStr">
        <is>
          <t>{"choices":[{"finish_reason":"stop","index":0,"logprobs":null,"message":{"annotations":[],"content":"Trapstar,Hoodies,kakobuy,kakebuy2026,kekobuysheet,kakobuysheet2026,2026kakobuy,kakobuyspreadsheeet,kakobuylink,kakebuylist,Kakobuy MEGA Spreadsheet,kakobuysheetfind,kakobuysheetfind2026,2026kakobuysheetfind,kakobuysheet2026","refusal":null,"role":"assistant"}}],"created":1776667277,"id":"chatcmpl-DWcblDxq7fUAnX0uDYRqq6gjNkhbI","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04" t="inlineStr">
        <is>
          <t>Trapstar,Hoodies,kakobuy,kakebuy2026,kekobuysheet,kakobuysheet2026,2026kakobuy,kakobuyspreadsheeet,kakobuylink,kakebuylist,Kakobuy MEGA Spreadsheet,kakobuysheetfind,kakobuysheetfind2026,2026kakobuysheetfind,kakobuysheet2026</t>
        </is>
      </c>
      <c r="Q104" t="inlineStr">
        <is>
          <t>Black, Streetwear, Unisex</t>
        </is>
      </c>
      <c r="R104" t="inlineStr">
        <is>
          <t>recvh6xFVjLo8p</t>
        </is>
      </c>
      <c r="S104" t="inlineStr">
        <is>
          <t>trapstar-panther-print-black-hoodie-recvh6xfvjlo8p</t>
        </is>
      </c>
      <c r="T104"/>
      <c r="U104"/>
      <c r="V104"/>
      <c r="W104" t="inlineStr">
        <is>
          <t>{"id":"chatcmpl-DWZioB6BuOpRHoutGOLig9WyyAU2s","object":"chat.completion","created":1776656182,"model":"gpt-5-chat-latest","choices":[{"index":0,"message":{"role":"assistant","content":"Trapstar：黑色连帽卫衣，柔软厚棉材质打造，胸前醒目字母与黑豹图腾印花设计，展现街头机能风格。宽松剪裁搭配袋鼠口袋与抽绳帽设计，舒适保暖，男女皆宜，轻松演绎英伦潮流休闲态度。","refusal":null,"annotations":[]},"logprobs":null,"finish_reason":"stop"}],"usage":{"prompt_tokens":1323,"completion_tokens":84,"total_tokens":1407,"prompt_tokens_details":{"cached_tokens":0,"audio_tokens":0},"completion_tokens_details":{"reasoning_tokens":0,"audio_tokens":0,"accepted_prediction_tokens":0,"rejected_prediction_tokens":0}},"service_tier":"default","system_fingerprint":"fp_ad66631dec"}</t>
        </is>
      </c>
      <c r="X104" t="inlineStr">
        <is>
          <t>Trapstar：黑色连帽卫衣，柔软厚棉材质打造，胸前醒目字母与黑豹图腾印花设计，展现街头机能风格。宽松剪裁搭配袋鼠口袋与抽绳帽设计，舒适保暖，男女皆宜，轻松演绎英伦潮流休闲态度。</t>
        </is>
      </c>
    </row>
    <row r="105" ht="25.5" customHeight="1">
      <c r="A105">
        <v>1839115443</v>
      </c>
      <c r="B105">
        <v>7632193841</v>
      </c>
      <c r="C105" t="inlineStr">
        <is>
          <t>https://weidian.com/item.html?itemID=7632193841</t>
        </is>
      </c>
      <c r="D105"/>
      <c r="E105" s="2" t="str">
        <f>=HYPERLINK("https://si.geilicdn.com/open1839115443-252808396-05280000019b1c10224f0a23b491_800_800.jpg?w=640&amp;h=640", "https://si.geilicdn.com/open1839115443-252808396-05280000019b1c10224f0a23b491_800_800.jpg?w=640&amp;h=640")</f>
        <v>https://si.geilicdn.com/open1839115443-252808396-05280000019b1c10224f0a23b491_800_800.jpg?w=640&amp;h=640</v>
      </c>
      <c r="F105" t="inlineStr">
        <is>
          <t>T-Shirts</t>
        </is>
      </c>
      <c r="G105" t="inlineStr">
        <is>
          <t>Chrome Hearts</t>
        </is>
      </c>
      <c r="H105" t="inlineStr">
        <is>
          <t>163.00</t>
        </is>
      </c>
      <c r="I105">
        <v>23.62</v>
      </c>
      <c r="J105" t="inlineStr">
        <is>
          <t>{"choices":[{"finish_reason":"stop","index":0,"logprobs":null,"message":{"annotations":[],"content":"Chrome Hearts White Gothic Long Sleeve Cotton T-Shirt","refusal":null,"role":"assistant"}}],"created":1776666266,"id":"chatcmpl-DWcLSvgyzmaMGb6b4w6ZwVL0cQfzJ","model":"gpt-5-chat-latest","object":"chat.completion","service_tier":"default","system_fingerprint":"fp_ad66631dec","usage":{"completion_tokens":10,"completion_tokens_details":{"accepted_prediction_tokens":0,"audio_tokens":0,"reasoning_tokens":0,"rejected_prediction_tokens":0},"prompt_tokens":880,"prompt_tokens_details":{"audio_tokens":0,"cached_tokens":0},"total_tokens":890}}</t>
        </is>
      </c>
      <c r="K105" t="inlineStr">
        <is>
          <t>Chrome Hearts White Gothic Long Sleeve Cotton T-Shirt</t>
        </is>
      </c>
      <c r="L105" t="inlineStr">
        <is>
          <t>{"choices":[{"finish_reason":"stop","index":0,"logprobs":null,"message":{"annotations":[],"content":"Chrome Hearts White Long Sleeve T-Shirt made of premium cotton, featuring iconic Gothic “Chrome Hearts U.S.A.” print and cross motifs on sleeves. Unisex loose fit for street rock style.","refusal":null,"role":"assistant"}}],"created":1776659490,"id":"chatcmpl-DWaaA1nLmWm6ADpFTprJ6oYMdO1UM","model":"gpt-5-chat-latest","object":"chat.completion","service_tier":"default","system_fingerprint":"fp_ad66631dec","usage":{"completion_tokens":39,"completion_tokens_details":{"accepted_prediction_tokens":0,"audio_tokens":0,"reasoning_tokens":0,"rejected_prediction_tokens":0},"prompt_tokens":929,"prompt_tokens_details":{"audio_tokens":0,"cached_tokens":0},"total_tokens":968}}</t>
        </is>
      </c>
      <c r="M105" t="inlineStr">
        <is>
          <t>{"alt-svc":"h3=\":443\"; ma=2592000","apim-request-id":"7285810e-ab54-4aa6-81f2-67f466eb1c0c","azureml-model-session":"d20260405234249-f9874baf","cache-control":"no-cache","connection":"close","content-length":"777","content-security-policy":"frame-ancestors 'self'","content-type":"application/json","date":"Mon, 20 Apr 2026 04:31:31 GMT","server":"nginx","skip-error-remapping":"true","strict-transport-security":"max-age=31536000; includeSubDomains; preload","via":"1.1 Caddy, 1.1 Caddy","x-api-request-id":"20260420123129820964057Zwtl2v3q","x-content-type-options":"nosniff","x-frame-options":"SAMEORIGIN","x-ms-client-request-id":"Not-Set","x-ms-is-spilled-over":"false","x-ms-rai-invoked":"true","x-ms-region":"East US 2","x-new-api-version":"0.4.39","x-oneapi-request-id":"202604200431297525789728268d9d6xq04IV52","x-ratelimit-abusepenalty-active":"False","x-ratelimit-limit-requests":"3850","x-ratelimit-limit-tokens":"3850000","x-ratelimit-remaining-requests":"3849","x-ratelimit-remaining-tokens":"3848309","x-ratelimit-renewalperiod-requests":"60","x-ratelimit-renewalperiod-tokens":"60","x-ratelimit-reset-requests":"15","x-ratelimit-reset-tokens":"26","x-request-id":"3fc57e52-954b-4f1c-b8b5-d82873fa1ad5"}</t>
        </is>
      </c>
      <c r="N105" t="inlineStr">
        <is>
          <t>Chrome Hearts White Long Sleeve T-Shirt made of premium cotton, featuring iconic Gothic “Chrome Hearts U.S.A.” print and cross motifs on sleeves. Unisex loose fit for street rock style.</t>
        </is>
      </c>
      <c r="O105" t="inlineStr">
        <is>
          <t>{"choices":[{"finish_reason":"stop","index":0,"logprobs":null,"message":{"annotations":[],"content":"Chrome Hearts, T-Shirts, kakobuy, kakebuy2026, kekobuysheet, kakobuysheet2026, 2026kakobuy, kakobuyspreadsheeet, kakobuylink, kakebuylist, Kakobuy MEGA Spreadsheet, kakobuysheetfind, kakobuysheetfind2026, 2026kakobuysheetfind, kakobuysheet2026","refusal":null,"role":"assistant"}}],"created":1776668069,"id":"chatcmpl-DWcoXyVPMUvQb7uByeKj6Ce3NC8XM","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105" t="inlineStr">
        <is>
          <t>Chrome Hearts, T-Shirts, kakobuy, kakebuy2026, kekobuysheet, kakobuysheet2026, 2026kakobuy, kakobuyspreadsheeet, kakobuylink, kakebuylist, Kakobuy MEGA Spreadsheet, kakobuysheetfind, kakobuysheetfind2026, 2026kakobuysheetfind, kakobuysheet2026</t>
        </is>
      </c>
      <c r="Q105" t="inlineStr">
        <is>
          <t>White, Unisex, Street, Gothic</t>
        </is>
      </c>
      <c r="R105" t="inlineStr">
        <is>
          <t>recvh6xFVjPv92</t>
        </is>
      </c>
      <c r="S105" t="inlineStr">
        <is>
          <t>chrome-hearts-white-gothic-long-sleeve-cotton-t-shirt-recvh6xFVjPv92</t>
        </is>
      </c>
      <c r="T105"/>
      <c r="U105"/>
      <c r="V105"/>
      <c r="W105" t="inlineStr">
        <is>
          <t>{"choices":[{"finish_reason":"stop","index":0,"logprobs":null,"message":{"annotations":[],"content":"Chrome Hearts：白色长袖T恤，甄选纯棉材质打造，质感柔软舒适。背部印有经典哥特字体“Chrome Hearts U.S.A.”标识，袖身饰以标志性十字花图腾，彰显街头摇滚精神。宽松剪裁男女皆宜，兼具潮流与休闲属性，尽显美式高街风格。","refusal":null,"role":"assistant"}}],"created":1776655369,"id":"chatcmpl-DWZVh7mtn2C72RJEmQ6V7gPcG8FC6","model":"gpt-5-chat-latest","object":"chat.completion","service_tier":"default","system_fingerprint":"fp_ad66631dec","usage":{"completion_tokens":94,"completion_tokens_details":{"accepted_prediction_tokens":0,"audio_tokens":0,"reasoning_tokens":0,"rejected_prediction_tokens":0},"prompt_tokens":1314,"prompt_tokens_details":{"audio_tokens":0,"cached_tokens":0},"total_tokens":1408}}</t>
        </is>
      </c>
      <c r="X105" t="inlineStr">
        <is>
          <t>Chrome Hearts：白色长袖T恤，甄选纯棉材质打造，质感柔软舒适。背部印有经典哥特字体“Chrome Hearts U.S.A.”标识，袖身饰以标志性十字花图腾，彰显街头摇滚精神。宽松剪裁男女皆宜，兼具潮流与休闲属性，尽显美式高街风格。</t>
        </is>
      </c>
    </row>
    <row r="106" ht="25.5" customHeight="1">
      <c r="A106">
        <v>1839115443</v>
      </c>
      <c r="B106">
        <v>7635123400</v>
      </c>
      <c r="C106" t="inlineStr">
        <is>
          <t>https://weidian.com/item.html?itemID=7635123400</t>
        </is>
      </c>
      <c r="D106"/>
      <c r="E106" s="2" t="str">
        <f>=HYPERLINK("https://si.geilicdn.com/open1839115443-252808396-01e60000019b1c088a790a23b491_1080_1080.jpg?w=640&amp;h=640", "https://si.geilicdn.com/open1839115443-252808396-01e60000019b1c088a790a23b491_1080_1080.jpg?w=640&amp;h=640")</f>
        <v>https://si.geilicdn.com/open1839115443-252808396-01e60000019b1c088a790a23b491_1080_1080.jpg?w=640&amp;h=640</v>
      </c>
      <c r="F106" t="inlineStr">
        <is>
          <t>T-Shirts</t>
        </is>
      </c>
      <c r="G106" t="inlineStr">
        <is>
          <t>Balenciaga</t>
        </is>
      </c>
      <c r="H106" t="inlineStr">
        <is>
          <t>602.00</t>
        </is>
      </c>
      <c r="I106">
        <v>87.25</v>
      </c>
      <c r="J106" t="inlineStr">
        <is>
          <t>{"choices":[{"finish_reason":"stop","index":0,"logprobs":null,"message":{"annotations":[],"content":"Balenciaga Black Oversized Metal Ring Sweatshirt","refusal":null,"role":"assistant"}}],"created":1776666544,"id":"chatcmpl-DWcPwGd0QkH84bC3Mnsk61qPTcqnP","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is>
      </c>
      <c r="K106" t="inlineStr">
        <is>
          <t>Balenciaga Black Oversized Metal Ring Sweatshirt</t>
        </is>
      </c>
      <c r="L106" t="inlineStr">
        <is>
          <t>{"choices":[{"finish_reason":"stop","index":0,"logprobs":null,"message":{"annotations":[],"content":"Balenciaga black oversized crewneck sweatshirt in heavy cotton, featuring metal ring and raw edge collar details. Unisex streetwear style with minimalist silhouette and avant-garde urban attitude.","refusal":null,"role":"assistant"}}],"created":1776658984,"id":"chatcmpl-DWaS0gqs5xUOiWaWn2yPDqOn46Pir","model":"gpt-5-chat-latest","object":"chat.completion","service_tier":"default","system_fingerprint":"fp_ad66631dec","usage":{"completion_tokens":36,"completion_tokens_details":{"accepted_prediction_tokens":0,"audio_tokens":0,"reasoning_tokens":0,"rejected_prediction_tokens":0},"prompt_tokens":930,"prompt_tokens_details":{"audio_tokens":0,"cached_tokens":0},"total_tokens":966}}</t>
        </is>
      </c>
      <c r="M106" t="inlineStr">
        <is>
          <t>{"alt-svc":"h3=\":443\"; ma=2592000","apim-request-id":"83a8c1a3-a9d9-4d6e-baea-ce1456364695","azureml-model-session":"d20260405234249-f9874baf","cache-control":"no-cache","connection":"close","content-length":"784","content-security-policy":"frame-ancestors 'self'","content-type":"application/json","date":"Mon, 20 Apr 2026 04:23:05 GMT","server":"nginx","skip-error-remapping":"true","strict-transport-security":"max-age=31536000; includeSubDomains; preload","via":"1.1 Caddy, 1.1 Caddy","x-api-request-id":"20260420122303815417262XZQFjF2U","x-content-type-options":"nosniff","x-frame-options":"SAMEORIGIN","x-ms-client-request-id":"Not-Set","x-ms-is-spilled-over":"false","x-ms-rai-invoked":"true","x-ms-region":"East US 2","x-new-api-version":"0.4.39","x-oneapi-request-id":"202604200423037497647078268d9d6hbxKrlRf","x-ratelimit-abusepenalty-active":"False","x-ratelimit-limit-requests":"3850","x-ratelimit-limit-tokens":"3850000","x-ratelimit-remaining-requests":"3849","x-ratelimit-remaining-tokens":"3848308","x-ratelimit-renewalperiod-requests":"60","x-ratelimit-renewalperiod-tokens":"60","x-ratelimit-reset-requests":"15","x-ratelimit-reset-tokens":"26","x-request-id":"c4544437-8fbc-41f6-9240-7ccca1527348"}</t>
        </is>
      </c>
      <c r="N106" t="inlineStr">
        <is>
          <t>Balenciaga black oversized crewneck sweatshirt in heavy cotton, featuring metal ring and raw edge collar details. Unisex streetwear style with minimalist silhouette and avant-garde urban attitude.</t>
        </is>
      </c>
      <c r="O106" t="inlineStr">
        <is>
          <t>{"choices":[{"finish_reason":"stop","index":0,"logprobs":null,"message":{"annotations":[],"content":"Balenciaga,T-Shirts,kakobuy,kakebuy2026,kekobuysheet,kakobuysheet2026,2026kakobuy,kakobuyspreadsheeet,kakobuylink,kakebuylist,Kakobuy MEGA Spreadsheet,kakobuysheetfind,kakobuysheetfind2026,2026kakobuysheetfind,kakobuysheet2026","refusal":null,"role":"assistant"}}],"created":1776667257,"id":"chatcmpl-DWcbRfyW6WsHxdF31U0BGt1sUftOh","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06" t="inlineStr">
        <is>
          <t>Balenciaga,T-Shirts,kakobuy,kakebuy2026,kekobuysheet,kakobuysheet2026,2026kakobuy,kakobuyspreadsheeet,kakobuylink,kakebuylist,Kakobuy MEGA Spreadsheet,kakobuysheetfind,kakobuysheetfind2026,2026kakobuysheetfind,kakobuysheet2026</t>
        </is>
      </c>
      <c r="Q106" t="inlineStr">
        <is>
          <t>Balenciaga, Black, Streetwear, Minimalist, Unisex</t>
        </is>
      </c>
      <c r="R106" t="inlineStr">
        <is>
          <t>recvh6xFVjoUbs</t>
        </is>
      </c>
      <c r="S106" t="inlineStr">
        <is>
          <t>balenciaga-black-oversized-metal-ring-sweatshirt-recvh6xFVjoUbs</t>
        </is>
      </c>
      <c r="T106"/>
      <c r="U106"/>
      <c r="V106"/>
      <c r="W106" t="inlineStr">
        <is>
          <t>{"choices":[{"finish_reason":"stop","index":0,"logprobs":null,"message":{"annotations":[],"content":"Balenciaga：黑色宽松圆领卫衣，选用高克重纯棉面料，质地柔软挺括，领口饰以金属环与毛边细节，展现先锋解构设计美学。极简廓形融合街头时尚风格，男女皆宜，轻松演绎现代都市态度，彰显品牌标志性前卫审美。","refusal":null,"role":"assistant"}}],"created":1776655523,"id":"chatcmpl-DWZYBgfOLWKa8nz9InGdEfiqwL9HV","model":"gpt-5-chat-latest","object":"chat.completion","service_tier":"default","system_fingerprint":"fp_ad66631dec","usage":{"completion_tokens":92,"completion_tokens_details":{"accepted_prediction_tokens":0,"audio_tokens":0,"reasoning_tokens":0,"rejected_prediction_tokens":0},"prompt_tokens":1321,"prompt_tokens_details":{"audio_tokens":0,"cached_tokens":1280},"total_tokens":1413}}</t>
        </is>
      </c>
      <c r="X106" t="inlineStr">
        <is>
          <t>Balenciaga：黑色宽松圆领卫衣，选用高克重纯棉面料，质地柔软挺括，领口饰以金属环与毛边细节，展现先锋解构设计美学。极简廓形融合街头时尚风格，男女皆宜，轻松演绎现代都市态度，彰显品牌标志性前卫审美。</t>
        </is>
      </c>
    </row>
    <row r="107" ht="25.5" customHeight="1">
      <c r="A107">
        <v>1839115443</v>
      </c>
      <c r="B107">
        <v>7635103578</v>
      </c>
      <c r="C107" t="inlineStr">
        <is>
          <t>https://weidian.com/item.html?itemID=7635103578</t>
        </is>
      </c>
      <c r="D107"/>
      <c r="E107" s="2" t="str">
        <f>=HYPERLINK("https://si.geilicdn.com/open1839115443-252808396-7bb50000019b1bfa5e550a23b491_1371_1920.jpg?w=640&amp;h=640", "https://si.geilicdn.com/open1839115443-252808396-7bb50000019b1bfa5e550a23b491_1371_1920.jpg?w=640&amp;h=640")</f>
        <v>https://si.geilicdn.com/open1839115443-252808396-7bb50000019b1bfa5e550a23b491_1371_1920.jpg?w=640&amp;h=640</v>
      </c>
      <c r="F107" t="inlineStr">
        <is>
          <t>Hoodies</t>
        </is>
      </c>
      <c r="G107" t="inlineStr">
        <is>
          <t>Givenchy</t>
        </is>
      </c>
      <c r="H107" t="inlineStr">
        <is>
          <t>375.00</t>
        </is>
      </c>
      <c r="I107">
        <v>54.35</v>
      </c>
      <c r="J107" t="inlineStr">
        <is>
          <t>{"choices":[{"finish_reason":"stop","index":0,"logprobs":null,"message":{"annotations":[],"content":"Givenchy White Cotton Oversized Hoodie Unisex Streetwear","refusal":null,"role":"assistant"}}],"created":1776666482,"id":"chatcmpl-DWcOwk6JxtGyePEnMBpCIt3ULrBiE","model":"gpt-5-chat-latest","object":"chat.completion","service_tier":"default","system_fingerprint":"fp_ad66631dec","usage":{"completion_tokens":12,"completion_tokens_details":{"accepted_prediction_tokens":0,"audio_tokens":0,"reasoning_tokens":0,"rejected_prediction_tokens":0},"prompt_tokens":873,"prompt_tokens_details":{"audio_tokens":0,"cached_tokens":0},"total_tokens":885}}</t>
        </is>
      </c>
      <c r="K107" t="inlineStr">
        <is>
          <t>Givenchy White Cotton Oversized Hoodie Unisex Streetwear</t>
        </is>
      </c>
      <c r="L107" t="inlineStr">
        <is>
          <t>{"choices":[{"finish_reason":"stop","index":0,"logprobs":null,"message":{"annotations":[],"content":"Givenchy white cotton hoodie with black offset logo lettering. Unisex oversized fit, soft and breathable for urban casual style. Minimalist design perfect for modern streetwear fashion.","refusal":null,"role":"assistant"}}],"created":1776659325,"id":"chatcmpl-DWaXVb4q7X8qhOw1EVGnqEyEyUPmK","model":"gpt-5-chat-latest","object":"chat.completion","service_tier":"default","system_fingerprint":"fp_ad66631dec","usage":{"completion_tokens":35,"completion_tokens_details":{"accepted_prediction_tokens":0,"audio_tokens":0,"reasoning_tokens":0,"rejected_prediction_tokens":0},"prompt_tokens":903,"prompt_tokens_details":{"audio_tokens":0,"cached_tokens":0},"total_tokens":938}}</t>
        </is>
      </c>
      <c r="M107" t="inlineStr">
        <is>
          <t>{"alt-svc":"h3=\":443\"; ma=2592000","apim-request-id":"b2b01d2f-d874-4634-adaa-f1579a4c4940","azureml-model-session":"d20260402074105-51db401e","cache-control":"no-cache","connection":"close","content-length":"773","content-security-policy":"frame-ancestors 'self'","content-type":"application/json","date":"Mon, 20 Apr 2026 04:28:47 GMT","server":"nginx","skip-error-remapping":"true","strict-transport-security":"max-age=31536000; includeSubDomains; preload","via":"1.1 Caddy, 1.1 Caddy","x-api-request-id":"20260420122844223628557L3GGF9m3","x-content-type-options":"nosniff","x-frame-options":"SAMEORIGIN","x-ms-client-request-id":"Not-Set","x-ms-is-spilled-over":"false","x-ms-rai-invoked":"true","x-ms-region":"East US 2","x-new-api-version":"0.4.39","x-oneapi-request-id":"202604200428441563429508268d9d6ydLR8h4R","x-ratelimit-abusepenalty-active":"False","x-ratelimit-limit-requests":"3850","x-ratelimit-limit-tokens":"3850000","x-ratelimit-remaining-requests":"3849","x-ratelimit-remaining-tokens":"3847219","x-ratelimit-renewalperiod-requests":"60","x-ratelimit-renewalperiod-tokens":"60","x-ratelimit-reset-requests":"15","x-ratelimit-reset-tokens":"43","x-request-id":"02b62a51-51d2-462c-9f24-fef219507c55"}</t>
        </is>
      </c>
      <c r="N107" t="inlineStr">
        <is>
          <t>Givenchy white cotton hoodie with black offset logo lettering. Unisex oversized fit, soft and breathable for urban casual style. Minimalist design perfect for modern streetwear fashion.</t>
        </is>
      </c>
      <c r="O107" t="inlineStr">
        <is>
          <t>{"choices":[{"finish_reason":"stop","index":0,"logprobs":null,"message":{"annotations":[],"content":"Givenchy,Hoodies,kakobuy,kakebuy2026,kekobuysheet,kakobuysheet2026,2026kakobuy,kakobuyspreadsheeet,kakobuylink,kakebuylist,Kakobuy MEGA Spreadsheet,kakobuysheetfind,kakobuysheetfind2026,2026kakobuysheetfind,kakobuysheet2026","refusal":null,"role":"assistant"}}],"created":1776668380,"id":"chatcmpl-DWctYAtBAKPgDu7HDIpaaTUMjyOCl","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07" t="inlineStr">
        <is>
          <t>Givenchy,Hoodies,kakobuy,kakebuy2026,kekobuysheet,kakobuysheet2026,2026kakobuy,kakobuyspreadsheeet,kakobuylink,kakebuylist,Kakobuy MEGA Spreadsheet,kakobuysheetfind,kakobuysheetfind2026,2026kakobuysheetfind,kakobuysheet2026</t>
        </is>
      </c>
      <c r="Q107" t="inlineStr">
        <is>
          <t>White, Unisex, Minimalist, Streetwear</t>
        </is>
      </c>
      <c r="R107" t="inlineStr">
        <is>
          <t>recvh6xFVjQXvF</t>
        </is>
      </c>
      <c r="S107" t="inlineStr">
        <is>
          <t>givenchy-white-cotton-oversized-hoodie-recvh6xfvjqxvf</t>
        </is>
      </c>
      <c r="T107"/>
      <c r="U107"/>
      <c r="V107"/>
      <c r="W107" t="inlineStr">
        <is>
          <t>{"id":"chatcmpl-DWZcqB2CmsDLnhUhbgmKPFwUf3LTx","object":"chat.completion","created":1776655812,"model":"gpt-5-chat-latest","choices":[{"index":0,"message":{"role":"assistant","content":"Givenchy：白色简约Logo连帽卫衣，采用柔软纯棉材质，前胸黑色品牌字母错位设计，休闲街头风格，男女通用款，宽松剪裁舒适百搭，展现现代都市极简美学。","refusal":null,"annotations":[]},"logprobs":null,"finish_reason":"stop"}],"usage":{"prompt_tokens":1321,"completion_tokens":64,"total_tokens":1385,"prompt_tokens_details":{"cached_tokens":0,"audio_tokens":0},"completion_tokens_details":{"reasoning_tokens":0,"audio_tokens":0,"accepted_prediction_tokens":0,"rejected_prediction_tokens":0}},"service_tier":"default","system_fingerprint":"fp_ad66631dec"}</t>
        </is>
      </c>
      <c r="X107" t="inlineStr">
        <is>
          <t>Givenchy：白色简约Logo连帽卫衣，采用柔软纯棉材质，前胸黑色品牌字母错位设计，休闲街头风格，男女通用款，宽松剪裁舒适百搭，展现现代都市极简美学。</t>
        </is>
      </c>
    </row>
    <row r="108" ht="25.5" customHeight="1">
      <c r="A108">
        <v>1839115443</v>
      </c>
      <c r="B108">
        <v>7635042902</v>
      </c>
      <c r="C108" t="inlineStr">
        <is>
          <t>https://weidian.com/item.html?itemID=7635042902</t>
        </is>
      </c>
      <c r="D108"/>
      <c r="E108" s="2" t="str">
        <f>=HYPERLINK("https://si.geilicdn.com/open1839115443-252808396-7ad70000019b1bf66bef0a23b491_1440_1440.jpg?w=640&amp;h=640", "https://si.geilicdn.com/open1839115443-252808396-7ad70000019b1bf66bef0a23b491_1440_1440.jpg?w=640&amp;h=640")</f>
        <v>https://si.geilicdn.com/open1839115443-252808396-7ad70000019b1bf66bef0a23b491_1440_1440.jpg?w=640&amp;h=640</v>
      </c>
      <c r="F108" t="inlineStr">
        <is>
          <t>Hoodies</t>
        </is>
      </c>
      <c r="G108" t="inlineStr">
        <is>
          <t xml:space="preserve">Balenciaga </t>
        </is>
      </c>
      <c r="H108" t="inlineStr">
        <is>
          <t>615.00</t>
        </is>
      </c>
      <c r="I108">
        <v>89.13</v>
      </c>
      <c r="J108" t="inlineStr">
        <is>
          <t>{"id":"chatcmpl-DWcIaJpdlQcNpYw06wm6iJq1DOLOl","object":"chat.completion","created":1776666088,"model":"gpt-5-chat-latest","choices":[{"index":0,"message":{"role":"assistant","content":"Balenciaga Black Distressed Cotton Logo Hoodie Unisex","refusal":null,"annotations":[]},"logprobs":null,"finish_reason":"stop"}],"usage":{"prompt_tokens":878,"completion_tokens":12,"total_tokens":890,"prompt_tokens_details":{"cached_tokens":0,"audio_tokens":0},"completion_tokens_details":{"reasoning_tokens":0,"audio_tokens":0,"accepted_prediction_tokens":0,"rejected_prediction_tokens":0}},"service_tier":"default","system_fingerprint":"fp_ad66631dec"}</t>
        </is>
      </c>
      <c r="K108" t="inlineStr">
        <is>
          <t>Balenciaga Black Distressed Cotton Logo Hoodie Unisex</t>
        </is>
      </c>
      <c r="L108" t="inlineStr">
        <is>
          <t>{"choices":[{"finish_reason":"stop","index":0,"logprobs":null,"message":{"annotations":[],"content":"Balenciaga Black Distressed Hoodie crafted from thick cotton, features minimalist chest logo, relaxed unisex street fit, blending retro-cool vibe with functional comfort and avant-garde style.","refusal":null,"role":"assistant"}}],"created":1776659393,"id":"chatcmpl-DWaYb2IroRB3EA1qlOwVgb0iNzTuF","model":"gpt-5-chat-latest","object":"chat.completion","service_tier":"default","system_fingerprint":"fp_ad66631dec","usage":{"completion_tokens":37,"completion_tokens_details":{"accepted_prediction_tokens":0,"audio_tokens":0,"reasoning_tokens":0,"rejected_prediction_tokens":0},"prompt_tokens":909,"prompt_tokens_details":{"audio_tokens":0,"cached_tokens":0},"total_tokens":946}}</t>
        </is>
      </c>
      <c r="M108" t="inlineStr">
        <is>
          <t>{"alt-svc":"h3=\":443\"; ma=2592000","apim-request-id":"6383f50e-b582-434f-96b9-4e516bfade47","azureml-model-session":"d20260402083108-57a85543","cache-control":"no-cache","connection":"close","content-length":"780","content-security-policy":"frame-ancestors 'self'","content-type":"application/json","date":"Mon, 20 Apr 2026 04:29:54 GMT","server":"Caddy","skip-error-remapping":"true","strict-transport-security":"max-age=31536000; includeSubDomains; preload","via":"1.1 Caddy","x-api-request-id":"20260420122953248021152ik9J9x8T","x-content-type-options":"nosniff","x-frame-options":"SAMEORIGIN","x-ms-client-request-id":"Not-Set","x-ms-is-spilled-over":"false","x-ms-rai-invoked":"true","x-ms-region":"East US 2","x-new-api-version":"0.4.39","x-oneapi-request-id":"202604200429531795390078268d9d607a09c5x","x-ratelimit-abusepenalty-active":"False","x-ratelimit-limit-requests":"3850","x-ratelimit-limit-tokens":"3850000","x-ratelimit-remaining-requests":"3849","x-ratelimit-remaining-tokens":"3848329","x-ratelimit-renewalperiod-requests":"60","x-ratelimit-renewalperiod-tokens":"60","x-ratelimit-reset-requests":"15","x-ratelimit-reset-tokens":"26","x-request-id":"a0ca8be3-cfe9-4ad0-a1f1-cccdcdc3b4ef"}</t>
        </is>
      </c>
      <c r="N108" t="inlineStr">
        <is>
          <t>Balenciaga Black Distressed Hoodie crafted from thick cotton, features minimalist chest logo, relaxed unisex street fit, blending retro-cool vibe with functional comfort and avant-garde style.</t>
        </is>
      </c>
      <c r="O108" t="inlineStr">
        <is>
          <t>{"choices":[{"finish_reason":"stop","index":0,"logprobs":null,"message":{"annotations":[],"content":"Balenciaga,Hoodies,kakobuy,kakebuy2026,kekobuysheet,kakobuysheet2026,2026kakobuy,kakobuyspreadsheeet,kakobuylink,kakebuylist,Kakobuy MEGA Spreadsheet,kakobuysheetfind,kakobuysheetfind2026,2026kakobuysheetfind,kakobuysheet2026","refusal":null,"role":"assistant"}}],"created":1776667628,"id":"chatcmpl-DWchQkEpY3mRdc2ajduQyQmDakqCJ","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108" t="inlineStr">
        <is>
          <t>Balenciaga,Hoodies,kakobuy,kakebuy2026,kekobuysheet,kakobuysheet2026,2026kakobuy,kakobuyspreadsheeet,kakobuylink,kakebuylist,Kakobuy MEGA Spreadsheet,kakobuysheetfind,kakobuysheetfind2026,2026kakobuysheetfind,kakobuysheet2026</t>
        </is>
      </c>
      <c r="Q108" t="inlineStr">
        <is>
          <t>Balenciaga, Black, Distressed, Minimalist, Streetwear, Unisex</t>
        </is>
      </c>
      <c r="R108" t="inlineStr">
        <is>
          <t>recvh6xFVjEFqJ</t>
        </is>
      </c>
      <c r="S108" t="inlineStr">
        <is>
          <t>balenciaga-black-distressed-cotton-logo-hoodie-recvh6xFVjEFqJ</t>
        </is>
      </c>
      <c r="T108"/>
      <c r="U108"/>
      <c r="V108"/>
      <c r="W108" t="inlineStr">
        <is>
          <t>{"choices":[{"finish_reason":"stop","index":0,"logprobs":null,"message":{"annotations":[],"content":"Balenciaga：黑色做旧连帽卫衣，甄选厚实棉质材质，胸前极简标识印花设计，宽松街头廓形男女通用。结合潮酷复古风格与实穿功能，展现品牌先锋美学与个性态度。","refusal":null,"role":"assistant"}}],"created":1776655347,"id":"chatcmpl-DWZVLnlHBL1vIKZSF7OYVffIAjJuQ","model":"gpt-5-chat-latest","object":"chat.completion","service_tier":"default","system_fingerprint":"fp_ad66631dec","usage":{"completion_tokens":70,"completion_tokens_details":{"accepted_prediction_tokens":0,"audio_tokens":0,"reasoning_tokens":0,"rejected_prediction_tokens":0},"prompt_tokens":1322,"prompt_tokens_details":{"audio_tokens":0,"cached_tokens":1280},"total_tokens":1392}}</t>
        </is>
      </c>
      <c r="X108" t="inlineStr">
        <is>
          <t>Balenciaga：黑色做旧连帽卫衣，甄选厚实棉质材质，胸前极简标识印花设计，宽松街头廓形男女通用。结合潮酷复古风格与实穿功能，展现品牌先锋美学与个性态度。</t>
        </is>
      </c>
    </row>
    <row r="109" ht="25.5" customHeight="1">
      <c r="A109">
        <v>1839115443</v>
      </c>
      <c r="B109">
        <v>7638926700</v>
      </c>
      <c r="C109" t="inlineStr">
        <is>
          <t>https://weidian.com/item.html?itemID=7638926700</t>
        </is>
      </c>
      <c r="D109"/>
      <c r="E109" s="2" t="str">
        <f>=HYPERLINK("https://si.geilicdn.com/open1839115443-252808396-12150000019b356479ff0a22d249_800_800.jpg?w=750&amp;h=750&amp;cp=1", "https://si.geilicdn.com/open1839115443-252808396-12150000019b356479ff0a22d249_800_800.jpg?w=750&amp;h=750&amp;cp=1")</f>
        <v>https://si.geilicdn.com/open1839115443-252808396-12150000019b356479ff0a22d249_800_800.jpg?w=750&amp;h=750&amp;cp=1</v>
      </c>
      <c r="F109" t="inlineStr">
        <is>
          <t>T-Shirts</t>
        </is>
      </c>
      <c r="G109" t="inlineStr">
        <is>
          <t>Trapstar</t>
        </is>
      </c>
      <c r="H109" t="inlineStr">
        <is>
          <t>209.00</t>
        </is>
      </c>
      <c r="I109">
        <v>30.29</v>
      </c>
      <c r="J109" t="inlineStr">
        <is>
          <t>{"choices":[{"finish_reason":"stop","index":0,"logprobs":null,"message":{"annotations":[],"content":"Trapstar Black Cotton Logo Streetwear T-Shirt","refusal":null,"role":"assistant"}}],"created":1776666272,"id":"chatcmpl-DWcLYPPwwHwVi7X1BQ1OmtdXnxdqt","model":"gpt-5-chat-latest","object":"chat.completion","service_tier":"default","system_fingerprint":"fp_ad66631dec","usage":{"completion_tokens":10,"completion_tokens_details":{"accepted_prediction_tokens":0,"audio_tokens":0,"reasoning_tokens":0,"rejected_prediction_tokens":0},"prompt_tokens":874,"prompt_tokens_details":{"audio_tokens":0,"cached_tokens":0},"total_tokens":884}}</t>
        </is>
      </c>
      <c r="K109" t="inlineStr">
        <is>
          <t>Trapstar Black Cotton Logo Streetwear T-Shirt</t>
        </is>
      </c>
      <c r="L109" t="inlineStr">
        <is>
          <t>{"id":"chatcmpl-DWaWAiU6lhvejkpIF3TE56VAIdurC","object":"chat.completion","created":1776659242,"model":"gpt-5-chat-latest","choices":[{"index":0,"message":{"role":"assistant","content":"Trapstar black streetwear T-shirt, made from premium cotton with bold contrast logo print, soft and breathable texture, relaxed unisex fit for urban casual style and everyday fashion.","refusal":null,"annotations":[]},"logprobs":null,"finish_reason":"stop"}],"usage":{"prompt_tokens":918,"completion_tokens":36,"total_tokens":954,"prompt_tokens_details":{"cached_tokens":0,"audio_tokens":0},"completion_tokens_details":{"reasoning_tokens":0,"audio_tokens":0,"accepted_prediction_tokens":0,"rejected_prediction_tokens":0}},"service_tier":"default","system_fingerprint":"fp_ad66631dec"}</t>
        </is>
      </c>
      <c r="M10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ma=2592000","apim-request-id":"ab9a3055-9a7f-49ce-a62b-621ae35c77dc","azureml-model-session":"d20260402075109-1fc5a0ec","cache-control":"no-cache, no-store, must-revalidate","connection":"close","content-length":"987","content-security-policy":"frame-ancestors 'self'","content-type":"application/json","date":"Mon, 20 Apr 2026 04:27:23 GMT","server":"nginx","skip-error-remapping":"true","strict-transport-security":"max-age=31536000; includeSubDomains; preload","via":"1.1 Caddy, 1.1 Caddy","x-api-request-id":"20260420122721487676001jfe8GyZg","x-content-type-options":"nosniff","x-frame-options":"SAMEORIGIN","x-ms-is-spilled-over":"false","x-ms-rai-invoked":"false","x-ms-region":"East US 2","x-new-api-version":"0.4.39","x-oneapi-request-id":"202604200427214065183888268d9d6UJUF4fqP","x-ratelimit-abusepenalty-active":"False","x-ratelimit-limit-requests":"4994","x-ratelimit-limit-tokens":"4994000","x-ratelimit-remaining-requests":"4993","x-ratelimit-remaining-tokens":"4992320","x-ratelimit-renewalperiod-requests":"60","x-ratelimit-renewalperiod-tokens":"60","x-ratelimit-reset-requests":"12","x-ratelimit-reset-tokens":"20","x-request-id":"f9f89e74-48fa-461d-8c4f-159f347a91dc"}</t>
        </is>
      </c>
      <c r="N109" t="inlineStr">
        <is>
          <t>Trapstar black streetwear T-shirt, made from premium cotton with bold contrast logo print, soft and breathable texture, relaxed unisex fit for urban casual style and everyday fashion.</t>
        </is>
      </c>
      <c r="O109" t="inlineStr">
        <is>
          <t>{"choices":[{"finish_reason":"stop","index":0,"logprobs":null,"message":{"annotations":[],"content":"Trapstar,T-Shirts,kakobuy,kakebuy2026,kekobuysheet,kakobuysheet2026,2026kakobuy,kakobuyspreadsheeet,kakobuylink,kakebuylist,Kakobuy MEGA Spreadsheet,kakobuysheetfind,kakobuysheetfind2026,2026kakobuysheetfind,kakobuysheet2026","refusal":null,"role":"assistant"}}],"created":1776668238,"id":"chatcmpl-DWcrGV85r8oJaGoNobjbkLZLOThCe","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09" t="inlineStr">
        <is>
          <t>Trapstar,T-Shirts,kakobuy,kakebuy2026,kekobuysheet,kakobuysheet2026,2026kakobuy,kakobuyspreadsheeet,kakobuylink,kakebuylist,Kakobuy MEGA Spreadsheet,kakobuysheetfind,kakobuysheetfind2026,2026kakobuysheetfind,kakobuysheet2026</t>
        </is>
      </c>
      <c r="Q109" t="inlineStr">
        <is>
          <t>Black, Unisex, Streetwear, Fashion</t>
        </is>
      </c>
      <c r="R109" t="inlineStr">
        <is>
          <t>recvh6xFVjLVBO</t>
        </is>
      </c>
      <c r="S109" t="inlineStr">
        <is>
          <t>trapstar-black-cotton-logo-streetwear-t-shirt-recvh6xfvjlvbo</t>
        </is>
      </c>
      <c r="T109"/>
      <c r="U109"/>
      <c r="V109"/>
      <c r="W109" t="inlineStr">
        <is>
          <t>{"choices":[{"finish_reason":"stop","index":0,"logprobs":null,"message":{"annotations":[],"content":"Trapstar：黑色街头潮流短袖T恤，采用优质纯棉材质，正面醒目撞色标志印花设计，质感柔软透气，宽松剪裁凸显休闲时尚，男女皆宜，演绎英伦街头风格，适合日常休闲与潮流穿搭。","refusal":null,"role":"assistant"}}],"created":1776654986,"id":"chatcmpl-DWZPW85AmhwJM9PhI9W8ZsyoatJkJ","model":"gpt-5-chat-latest","object":"chat.completion","service_tier":"default","system_fingerprint":"fp_ad66631dec","usage":{"completion_tokens":81,"completion_tokens_details":{"accepted_prediction_tokens":0,"audio_tokens":0,"reasoning_tokens":0,"rejected_prediction_tokens":0},"prompt_tokens":1318,"prompt_tokens_details":{"audio_tokens":0,"cached_tokens":1280},"total_tokens":1399}}</t>
        </is>
      </c>
      <c r="X109" t="inlineStr">
        <is>
          <t>Trapstar：黑色街头潮流短袖T恤，采用优质纯棉材质，正面醒目撞色标志印花设计，质感柔软透气，宽松剪裁凸显休闲时尚，男女皆宜，演绎英伦街头风格，适合日常休闲与潮流穿搭。</t>
        </is>
      </c>
    </row>
    <row r="110" ht="25.5" customHeight="1">
      <c r="A110">
        <v>1839115443</v>
      </c>
      <c r="B110">
        <v>7639019672</v>
      </c>
      <c r="C110" t="inlineStr">
        <is>
          <t>https://weidian.com/item.html?itemID=7639019672</t>
        </is>
      </c>
      <c r="D110"/>
      <c r="E110" s="2" t="str">
        <f>=HYPERLINK("https://si.geilicdn.com/open1839115443-252808396-78500000019b35651fab0a8115c2_800_800.jpg?w=640&amp;h=640", "https://si.geilicdn.com/open1839115443-252808396-78500000019b35651fab0a8115c2_800_800.jpg?w=640&amp;h=640")</f>
        <v>https://si.geilicdn.com/open1839115443-252808396-78500000019b35651fab0a8115c2_800_800.jpg?w=640&amp;h=640</v>
      </c>
      <c r="F110" t="inlineStr">
        <is>
          <t>Hoodies</t>
        </is>
      </c>
      <c r="G110" t="inlineStr">
        <is>
          <t>Cactus Jack</t>
        </is>
      </c>
      <c r="H110" t="inlineStr">
        <is>
          <t>213.00</t>
        </is>
      </c>
      <c r="I110">
        <v>30.87</v>
      </c>
      <c r="J110" t="inlineStr">
        <is>
          <t>{"choices":[{"finish_reason":"stop","index":0,"logprobs":null,"message":{"annotations":[],"content":"Cactus Jack Black Patchwork Utility Hoodie Streetwear","refusal":null,"role":"assistant"}}],"created":1776666310,"id":"chatcmpl-DWcMA8jl5G73RpJvlUvYK97mHGl2K","model":"gpt-5-chat-latest","object":"chat.completion","service_tier":"default","system_fingerprint":"fp_ad66631dec","usage":{"completion_tokens":11,"completion_tokens_details":{"accepted_prediction_tokens":0,"audio_tokens":0,"reasoning_tokens":0,"rejected_prediction_tokens":0},"prompt_tokens":882,"prompt_tokens_details":{"audio_tokens":0,"cached_tokens":0},"total_tokens":893}}</t>
        </is>
      </c>
      <c r="K110" t="inlineStr">
        <is>
          <t>Cactus Jack Black Patchwork Utility Hoodie Streetwear</t>
        </is>
      </c>
      <c r="L110" t="inlineStr">
        <is>
          <t>{"choices":[{"finish_reason":"stop","index":0,"logprobs":null,"message":{"annotations":[],"content":"Cactus Jack black patchwork utility hoodie, heavy cotton with multi-pocket contrast design, khaki pocket accents, embroidered logo, unisex loose fit, perfect for streetwear and outdoor style.","refusal":null,"role":"assistant"}}],"created":1776659365,"id":"chatcmpl-DWaY9kJ3pMNyMeNk5ctRt3kIt2m4s","model":"gpt-5-chat-latest","object":"chat.completion","service_tier":"default","system_fingerprint":"fp_ad66631dec","usage":{"completion_tokens":39,"completion_tokens_details":{"accepted_prediction_tokens":0,"audio_tokens":0,"reasoning_tokens":0,"rejected_prediction_tokens":0},"prompt_tokens":922,"prompt_tokens_details":{"audio_tokens":0,"cached_tokens":0},"total_tokens":961}}</t>
        </is>
      </c>
      <c r="M110" t="inlineStr">
        <is>
          <t>{"alt-svc":"h3=\":443\"; ma=2592000","apim-request-id":"1274ad2f-cff4-4dab-90b2-c1e049a42ad9","azureml-model-session":"d20260402083108-57a85543","cache-control":"no-cache","connection":"close","content-length":"779","content-security-policy":"frame-ancestors 'self'","content-type":"application/json","date":"Mon, 20 Apr 2026 04:29:27 GMT","server":"nginx","skip-error-remapping":"true","strict-transport-security":"max-age=31536000; includeSubDomains; preload","via":"1.1 Caddy, 1.1 Caddy","x-api-request-id":"20260420122924444677397bi0yqbFI","x-content-type-options":"nosniff","x-frame-options":"SAMEORIGIN","x-ms-client-request-id":"Not-Set","x-ms-is-spilled-over":"false","x-ms-rai-invoked":"true","x-ms-region":"East US 2","x-new-api-version":"0.4.39","x-oneapi-request-id":"202604200429243763338838268d9d6etAQSk4p","x-ratelimit-abusepenalty-active":"False","x-ratelimit-limit-requests":"3850","x-ratelimit-limit-tokens":"3850000","x-ratelimit-remaining-requests":"3849","x-ratelimit-remaining-tokens":"3848316","x-ratelimit-renewalperiod-requests":"60","x-ratelimit-renewalperiod-tokens":"60","x-ratelimit-reset-requests":"15","x-ratelimit-reset-tokens":"26","x-request-id":"c46c4b55-ea01-46e6-8a67-99ec926d0fe9"}</t>
        </is>
      </c>
      <c r="N110" t="inlineStr">
        <is>
          <t>Cactus Jack black patchwork utility hoodie, heavy cotton with multi-pocket contrast design, khaki pocket accents, embroidered logo, unisex loose fit, perfect for streetwear and outdoor style.</t>
        </is>
      </c>
      <c r="O110" t="inlineStr">
        <is>
          <t>{"choices":[{"finish_reason":"stop","index":0,"logprobs":null,"message":{"annotations":[],"content":"Cactus Jack,Hoodies,kakobuy,kakebuy2026,kekobuysheet,kakobuysheet2026,2026kakobuy,kakobuyspreadsheeet,kakobuylink,kakebuylist,Kakobuy MEGA Spreadsheet,kakobuysheetfind,kakobuysheetfind2026,2026kakobuysheetfind,kakobuysheet2026","refusal":null,"role":"assistant"}}],"created":1776668747,"id":"chatcmpl-DWczTFpO8AbSUprbCjSOG7Yff1T2I","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110" t="inlineStr">
        <is>
          <t>Cactus Jack,Hoodies,kakobuy,kakebuy2026,kekobuysheet,kakobuysheet2026,2026kakobuy,kakobuyspreadsheeet,kakobuylink,kakebuylist,Kakobuy MEGA Spreadsheet,kakobuysheetfind,kakobuysheetfind2026,2026kakobuysheetfind,kakobuysheet2026</t>
        </is>
      </c>
      <c r="Q110" t="inlineStr">
        <is>
          <t>Streetwear, Unisex, Black, Outdoor</t>
        </is>
      </c>
      <c r="R110" t="inlineStr">
        <is>
          <t>recvh6xFVj6Lpy</t>
        </is>
      </c>
      <c r="S110" t="inlineStr">
        <is>
          <t>cactus-jack-black-patchwork-utility-hoodie-recvh6xfvj6lpy</t>
        </is>
      </c>
      <c r="T110"/>
      <c r="U110"/>
      <c r="V110"/>
      <c r="W110" t="inlineStr">
        <is>
          <t>{"id":"chatcmpl-DWZdtBcCfP6IpMRHxCSXxLUOD9twX","object":"chat.completion","created":1776655877,"model":"gpt-5-chat-latest","choices":[{"index":0,"message":{"role":"assistant","content":"Cactus Jack：黑色拼接工装连帽卫衣，采用厚实纯棉面料，前后多口袋拼色设计，肩袖拼接卡其色口袋装饰，潮流机能风格，胸前刺绣品牌标识细节，男女通用宽松版型，街头休闲与户外混搭灵感兼具。","refusal":null,"annotations":[]},"logprobs":null,"finish_reason":"stop"}],"usage":{"prompt_tokens":1316,"completion_tokens":86,"total_tokens":1402,"prompt_tokens_details":{"cached_tokens":0,"audio_tokens":0},"completion_tokens_details":{"reasoning_tokens":0,"audio_tokens":0,"accepted_prediction_tokens":0,"rejected_prediction_tokens":0}},"service_tier":"default","system_fingerprint":"fp_ad66631dec"}</t>
        </is>
      </c>
      <c r="X110" t="inlineStr">
        <is>
          <t>Cactus Jack：黑色拼接工装连帽卫衣，采用厚实纯棉面料，前后多口袋拼色设计，肩袖拼接卡其色口袋装饰，潮流机能风格，胸前刺绣品牌标识细节，男女通用宽松版型，街头休闲与户外混搭灵感兼具。</t>
        </is>
      </c>
    </row>
    <row r="111" ht="25.5" customHeight="1">
      <c r="A111">
        <v>1839115443</v>
      </c>
      <c r="B111">
        <v>7632119581</v>
      </c>
      <c r="C111" t="inlineStr">
        <is>
          <t>https://weidian.com/item.html?itemID=7632119581</t>
        </is>
      </c>
      <c r="D111"/>
      <c r="E111" s="2" t="str">
        <f>=HYPERLINK("https://si.geilicdn.com/open1839115443-252808396-01380000019b1c075be50a23b491_960_1280.jpg?w=640&amp;h=640", "https://si.geilicdn.com/open1839115443-252808396-01380000019b1c075be50a23b491_960_1280.jpg?w=640&amp;h=640")</f>
        <v>https://si.geilicdn.com/open1839115443-252808396-01380000019b1c075be50a23b491_960_1280.jpg?w=640&amp;h=640</v>
      </c>
      <c r="F111" t="inlineStr">
        <is>
          <t>Pants</t>
        </is>
      </c>
      <c r="G111" t="inlineStr">
        <is>
          <t>Acne Studios</t>
        </is>
      </c>
      <c r="H111" t="inlineStr">
        <is>
          <t>712.00</t>
        </is>
      </c>
      <c r="I111">
        <v>103.19</v>
      </c>
      <c r="J111" t="inlineStr">
        <is>
          <t>{"choices":[{"finish_reason":"stop","index":0,"logprobs":null,"message":{"annotations":[],"content":"Acne Studios Blue Vintage Loose Fit Unisex Jeans","refusal":null,"role":"assistant"}}],"created":1776666223,"id":"chatcmpl-DWcKlQYHZJuzziTU7kMBNmsmPgZsk","model":"gpt-5-chat-latest","object":"chat.completion","service_tier":"default","system_fingerprint":"fp_ad66631dec","usage":{"completion_tokens":11,"completion_tokens_details":{"accepted_prediction_tokens":0,"audio_tokens":0,"reasoning_tokens":0,"rejected_prediction_tokens":0},"prompt_tokens":873,"prompt_tokens_details":{"audio_tokens":0,"cached_tokens":0},"total_tokens":884}}</t>
        </is>
      </c>
      <c r="K111" t="inlineStr">
        <is>
          <t>Acne Studios Blue Vintage Loose Fit Unisex Jeans</t>
        </is>
      </c>
      <c r="L111" t="inlineStr">
        <is>
          <t>{"choices":[{"finish_reason":"stop","index":0,"logprobs":null,"message":{"annotations":[],"content":"Acne Studios Blue Vintage Loose Jeans crafted from heavy denim with washed texture, deconstructed seams, straight-leg fit, unisex design blending Nordic minimalism and street style.","refusal":null,"role":"assistant"}}],"created":1776659101,"id":"chatcmpl-DWaTt9X8Lu4uGMgw12mt9imzhY2cf","model":"gpt-5-chat-latest","object":"chat.completion","service_tier":"default","system_fingerprint":"fp_ad66631dec","usage":{"completion_tokens":35,"completion_tokens_details":{"accepted_prediction_tokens":0,"audio_tokens":0,"reasoning_tokens":0,"rejected_prediction_tokens":0},"prompt_tokens":931,"prompt_tokens_details":{"audio_tokens":0,"cached_tokens":0},"total_tokens":966}}</t>
        </is>
      </c>
      <c r="M111" t="inlineStr">
        <is>
          <t>{"alt-svc":"h3=\":443\"; ma=2592000","apim-request-id":"e45bf43d-a774-4ea8-b036-96a0adc44a3c","azureml-model-session":"d20260402083108-57a85543","cache-control":"no-cache","connection":"close","content-length":"769","content-security-policy":"frame-ancestors 'self'","content-type":"application/json","date":"Mon, 20 Apr 2026 04:25:04 GMT","server":"Caddy","skip-error-remapping":"true","strict-transport-security":"max-age=31536000; includeSubDomains; preload","via":"1.1 Caddy","x-api-request-id":"20260420122500952353871bSRpvdNH","x-content-type-options":"nosniff","x-frame-options":"SAMEORIGIN","x-ms-client-request-id":"Not-Set","x-ms-is-spilled-over":"false","x-ms-rai-invoked":"true","x-ms-region":"East US 2","x-new-api-version":"0.4.39","x-oneapi-request-id":"202604200425008868199078268d9d64BtmrisZ","x-ratelimit-abusepenalty-active":"False","x-ratelimit-limit-requests":"3850","x-ratelimit-limit-tokens":"3850000","x-ratelimit-remaining-requests":"3849","x-ratelimit-remaining-tokens":"3848307","x-ratelimit-renewalperiod-requests":"60","x-ratelimit-renewalperiod-tokens":"60","x-ratelimit-reset-requests":"15","x-ratelimit-reset-tokens":"26","x-request-id":"88303bda-ef73-4f9a-8d28-ddd711b2b182"}</t>
        </is>
      </c>
      <c r="N111" t="inlineStr">
        <is>
          <t>Acne Studios Blue Vintage Loose Jeans crafted from heavy denim with washed texture, deconstructed seams, straight-leg fit, unisex design blending Nordic minimalism and street style.</t>
        </is>
      </c>
      <c r="O111" t="inlineStr">
        <is>
          <t>{"choices":[{"finish_reason":"stop","index":0,"logprobs":null,"message":{"annotations":[],"content":"Acne Studios,Pants,kakobuy,kakebuy2026,kekobuysheet,kakobuysheet2026,2026kakobuy,kakobuyspreadsheeet,kakobuylink,kakebuylist,Kakobuy MEGA Spreadsheet,kakobuysheetfind,kakobuysheetfind2026,2026kakobuysheetfind,kakobuysheet2026","refusal":null,"role":"assistant"}}],"created":1776668164,"id":"chatcmpl-DWcq4NytD1vBkbWq6k9nkgcAdod4A","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11" t="inlineStr">
        <is>
          <t>Acne Studios,Pants,kakobuy,kakebuy2026,kekobuysheet,kakobuysheet2026,2026kakobuy,kakobuyspreadsheeet,kakobuylink,kakebuylist,Kakobuy MEGA Spreadsheet,kakobuysheetfind,kakobuysheetfind2026,2026kakobuysheetfind,kakobuysheet2026</t>
        </is>
      </c>
      <c r="Q111" t="inlineStr">
        <is>
          <t>Denim, Deconstructed, Minimalist, Streetwear, Unisex, Blue</t>
        </is>
      </c>
      <c r="R111" t="inlineStr">
        <is>
          <t>recvh6xFVj0seJ</t>
        </is>
      </c>
      <c r="S111" t="inlineStr">
        <is>
          <t>acne-blue-vintage-loose-jeans-recvh6xFVj0seJ</t>
        </is>
      </c>
      <c r="T111"/>
      <c r="U111"/>
      <c r="V111"/>
      <c r="W111" t="inlineStr">
        <is>
          <t>{"choices":[{"finish_reason":"stop","index":0,"logprobs":null,"message":{"annotations":[],"content":"Acne Studios 蓝色复古宽松牛仔裤，选用重磅丹宁面料，水洗做旧工艺凸显层次质感。立体拼接线条展现解构设计魅力，直筒剪裁修饰腿型，男女皆宜。融合北欧极简与街头潮流风格，兼具舒适与个性，适合休闲日常穿搭。","refusal":null,"role":"assistant"}}],"created":1776656112,"id":"chatcmpl-DWZhg90px3D0XV5eSCU73OGq4AsS2","model":"gpt-5-chat-latest","object":"chat.completion","service_tier":"default","system_fingerprint":"fp_ad66631dec","usage":{"completion_tokens":95,"completion_tokens_details":{"accepted_prediction_tokens":0,"audio_tokens":0,"reasoning_tokens":0,"rejected_prediction_tokens":0},"prompt_tokens":1317,"prompt_tokens_details":{"audio_tokens":0,"cached_tokens":1280},"total_tokens":1412}}</t>
        </is>
      </c>
      <c r="X111" t="inlineStr">
        <is>
          <t>Acne Studios 蓝色复古宽松牛仔裤，选用重磅丹宁面料，水洗做旧工艺凸显层次质感。立体拼接线条展现解构设计魅力，直筒剪裁修饰腿型，男女皆宜。融合北欧极简与街头潮流风格，兼具舒适与个性，适合休闲日常穿搭。</t>
        </is>
      </c>
    </row>
    <row r="112" ht="25.5" customHeight="1">
      <c r="A112">
        <v>1839115443</v>
      </c>
      <c r="B112">
        <v>7635037162</v>
      </c>
      <c r="C112" t="inlineStr">
        <is>
          <t>https://weidian.com/item.html?itemID=7635037162</t>
        </is>
      </c>
      <c r="D112"/>
      <c r="E112" s="2" t="str">
        <f>=HYPERLINK("https://si.geilicdn.com/open1839115443-252808396-702b0000019b1bf4b82d0a8115c2_750_999.jpg?w=640&amp;h=640", "https://si.geilicdn.com/open1839115443-252808396-702b0000019b1bf4b82d0a8115c2_750_999.jpg?w=640&amp;h=640")</f>
        <v>https://si.geilicdn.com/open1839115443-252808396-702b0000019b1bf4b82d0a8115c2_750_999.jpg?w=640&amp;h=640</v>
      </c>
      <c r="F112" t="inlineStr">
        <is>
          <t>T-Shirts</t>
        </is>
      </c>
      <c r="G112" t="inlineStr">
        <is>
          <t>Nautical</t>
        </is>
      </c>
      <c r="H112" t="inlineStr">
        <is>
          <t>281.00</t>
        </is>
      </c>
      <c r="I112">
        <v>40.72</v>
      </c>
      <c r="J112" t="inlineStr">
        <is>
          <t>{"id":"chatcmpl-DWcI6o5XU0o1AohuciRKnr5ZOrcSZ","object":"chat.completion","created":1776666058,"model":"gpt-5-chat-latest","choices":[{"index":0,"message":{"role":"assistant","content":"T-ShirtsNautical Sherpa Half Zip Fleece Pullover Unisex","refusal":null,"annotations":[]},"logprobs":null,"finish_reason":"stop"}],"usage":{"prompt_tokens":891,"completion_tokens":16,"total_tokens":907,"prompt_tokens_details":{"cached_tokens":0,"audio_tokens":0},"completion_tokens_details":{"reasoning_tokens":0,"audio_tokens":0,"accepted_prediction_tokens":0,"rejected_prediction_tokens":0}},"service_tier":"default","system_fingerprint":"fp_ad66631dec"}</t>
        </is>
      </c>
      <c r="K112" t="inlineStr">
        <is>
          <t>T-ShirtsNautical Sherpa Half Zip Fleece Pullover Unisex</t>
        </is>
      </c>
      <c r="L112" t="inlineStr">
        <is>
          <t>{"choices":[{"finish_reason":"stop","index":0,"logprobs":null,"message":{"annotations":[],"content":"T-ShirtsNautical Nautical classic off-white and khaki fleece pullover with soft warm sherpa, chest pocket with sailing logo, half-zip design, unisex casual style for modern ocean outdoor looks.","refusal":null,"role":"assistant"}}],"created":1776658352,"id":"chatcmpl-DWaHoyTPBWG6XvN7uduC2uXVFwgsU","model":"gpt-5-chat-latest","object":"chat.completion","service_tier":"default","system_fingerprint":"fp_ad66631dec","usage":{"completion_tokens":44,"completion_tokens_details":{"accepted_prediction_tokens":0,"audio_tokens":0,"reasoning_tokens":0,"rejected_prediction_tokens":0},"prompt_tokens":913,"prompt_tokens_details":{"audio_tokens":0,"cached_tokens":0},"total_tokens":957}}</t>
        </is>
      </c>
      <c r="M112" t="inlineStr">
        <is>
          <t>{"alt-svc":"h3=\":443\"; ma=2592000","apim-request-id":"95b0559f-4a37-4830-bff7-6a1a811b5b06","azureml-model-session":"d20260402083108-57a85543","cache-control":"no-cache","connection":"close","content-length":"781","content-security-policy":"frame-ancestors 'self'","content-type":"application/json","date":"Mon, 20 Apr 2026 04:12:34 GMT","server":"Caddy","skip-error-remapping":"true","strict-transport-security":"max-age=31536000; includeSubDomains; preload","via":"1.1 Caddy","x-api-request-id":"20260420121231543040670iOeiubEk","x-content-type-options":"nosniff","x-frame-options":"SAMEORIGIN","x-ms-client-request-id":"Not-Set","x-ms-is-spilled-over":"false","x-ms-rai-invoked":"true","x-ms-region":"East US 2","x-new-api-version":"0.4.39","x-oneapi-request-id":"202604200412314650091048268d9d6EVTDOvCv","x-ratelimit-abusepenalty-active":"False","x-ratelimit-limit-requests":"3850","x-ratelimit-limit-tokens":"3850000","x-ratelimit-remaining-requests":"3849","x-ratelimit-remaining-tokens":"3836212","x-ratelimit-renewalperiod-requests":"60","x-ratelimit-renewalperiod-tokens":"60","x-ratelimit-reset-requests":"15","x-ratelimit-reset-tokens":"214","x-request-id":"66fc08fa-88ec-49f2-a8c8-2bc18581fc21"}</t>
        </is>
      </c>
      <c r="N112" t="inlineStr">
        <is>
          <t>T-ShirtsNautical Nautical classic off-white and khaki fleece pullover with soft warm sherpa, chest pocket with sailing logo, half-zip design, unisex casual style for modern ocean outdoor looks.</t>
        </is>
      </c>
      <c r="O112" t="inlineStr">
        <is>
          <t>{"choices":[{"finish_reason":"stop","index":0,"logprobs":null,"message":{"annotations":[],"content":"T-ShirtsNautical,kakobuy,kakebuy2026,kekobuysheet,kakobuysheet2026,2026kakobuy,kakobuyspreadsheeet,kakobuylink,kakebuylist,Kakobuy MEGA Spreadsheet,kakobuysheetfind,kakobuysheetfind2026,2026kakobuysheetfind,kakobuysheet2026","refusal":null,"role":"assistant"}}],"created":1776668753,"id":"chatcmpl-DWczZgPPEtRt9BCAj0y86XNIPyPHd","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12" t="inlineStr">
        <is>
          <t>T-ShirtsNautical,kakobuy,kakebuy2026,kekobuysheet,kakobuysheet2026,2026kakobuy,kakobuyspreadsheeet,kakobuylink,kakebuylist,Kakobuy MEGA Spreadsheet,kakobuysheetfind,kakobuysheetfind2026,2026kakobuysheetfind,kakobuysheet2026</t>
        </is>
      </c>
      <c r="Q112" t="inlineStr">
        <is>
          <t>Nautical, Unisex, Fleece-Lined, Off-White</t>
        </is>
      </c>
      <c r="R112" t="inlineStr">
        <is>
          <t>recvh6xFVj02Ln</t>
        </is>
      </c>
      <c r="S112" t="inlineStr">
        <is>
          <t>nautical-sherpa-half-zip-fleece-pullover-recvh6xFVj02Ln</t>
        </is>
      </c>
      <c r="T112"/>
      <c r="U112"/>
      <c r="V112"/>
      <c r="W112" t="inlineStr">
        <is>
          <t>{"choices":[{"finish_reason":"stop","index":0,"logprobs":null,"message":{"annotations":[],"content":"Nautical：经典米白拼接卡其羊羔绒套头卫衣，柔软保暖摇粒绒材质，胸前立体口袋点缀航海徽标，半开襟设计便捷时尚，男女通用休闲款，展现现代海洋户外风格。","refusal":null,"role":"assistant"}}],"created":1776656063,"id":"chatcmpl-DWZgtns003eCzhiYKlZdcnRGmQH0h","model":"gpt-5-chat-latest","object":"chat.completion","service_tier":"default","system_fingerprint":"fp_ad66631dec","usage":{"completion_tokens":74,"completion_tokens_details":{"accepted_prediction_tokens":0,"audio_tokens":0,"reasoning_tokens":0,"rejected_prediction_tokens":0},"prompt_tokens":1323,"prompt_tokens_details":{"audio_tokens":0,"cached_tokens":0},"total_tokens":1397}}</t>
        </is>
      </c>
      <c r="X112" t="inlineStr">
        <is>
          <t>Nautical：经典米白拼接卡其羊羔绒套头卫衣，柔软保暖摇粒绒材质，胸前立体口袋点缀航海徽标，半开襟设计便捷时尚，男女通用休闲款，展现现代海洋户外风格。</t>
        </is>
      </c>
    </row>
    <row r="113" ht="25.5" customHeight="1">
      <c r="A113">
        <v>1839115443</v>
      </c>
      <c r="B113">
        <v>7626097838</v>
      </c>
      <c r="C113" t="inlineStr">
        <is>
          <t>https://weidian.com/item.html?itemID=7626097838</t>
        </is>
      </c>
      <c r="D113"/>
      <c r="E113" s="2" t="str">
        <f>=HYPERLINK("https://si.geilicdn.com/open1839115443-252808396-2cf70000019ade0dabed0a8133b0_800_800.jpg?w=750&amp;h=750&amp;cp=1", "https://si.geilicdn.com/open1839115443-252808396-2cf70000019ade0dabed0a8133b0_800_800.jpg?w=750&amp;h=750&amp;cp=1")</f>
        <v>https://si.geilicdn.com/open1839115443-252808396-2cf70000019ade0dabed0a8133b0_800_800.jpg?w=750&amp;h=750&amp;cp=1</v>
      </c>
      <c r="F113" t="inlineStr">
        <is>
          <t>Hats</t>
        </is>
      </c>
      <c r="G113" t="inlineStr">
        <is>
          <t>Other</t>
        </is>
      </c>
      <c r="H113" t="inlineStr">
        <is>
          <t>43.00</t>
        </is>
      </c>
      <c r="I113">
        <v>6.23</v>
      </c>
      <c r="J113" t="inlineStr">
        <is>
          <t>{"id":"chatcmpl-DWcEcrr2aPN24gmNKlPseOheJI94V","object":"chat.completion","created":1776665842,"model":"gpt-5-chat-latest","choices":[{"index":0,"message":{"role":"assistant","content":"HatsOther Colorado Denim Mountain Embroidered Baseball Cap","refusal":null,"annotations":[]},"logprobs":null,"finish_reason":"stop"}],"usage":{"prompt_tokens":871,"completion_tokens":12,"total_tokens":883,"prompt_tokens_details":{"cached_tokens":0,"audio_tokens":0},"completion_tokens_details":{"reasoning_tokens":0,"audio_tokens":0,"accepted_prediction_tokens":0,"rejected_prediction_tokens":0}},"service_tier":"default","system_fingerprint":"fp_ad66631dec"}</t>
        </is>
      </c>
      <c r="K113" t="inlineStr">
        <is>
          <t>HatsOther Colorado Denim Mountain Embroidered Baseball Cap</t>
        </is>
      </c>
      <c r="L113" t="inlineStr">
        <is>
          <t>{"choices":[{"finish_reason":"stop","index":0,"logprobs":null,"message":{"annotations":[],"content":"HatsOther Colorado Series Light Blue Denim Baseball Cap made of soft breathable washed cotton, mountain embroidery, curved brim for sun protection, perfect for casual unisex outdoor wear.","refusal":null,"role":"assistant"}}],"created":1776659224,"id":"chatcmpl-DWaVs40tGzcXFwtKvlKN1Sv4l0UEu","model":"gpt-5-chat-latest","object":"chat.completion","service_tier":"default","system_fingerprint":"fp_ad66631dec","usage":{"completion_tokens":35,"completion_tokens_details":{"accepted_prediction_tokens":0,"audio_tokens":0,"reasoning_tokens":0,"rejected_prediction_tokens":0},"prompt_tokens":921,"prompt_tokens_details":{"audio_tokens":0,"cached_tokens":0},"total_tokens":956}}</t>
        </is>
      </c>
      <c r="M113" t="inlineStr">
        <is>
          <t>{"alt-svc":"h3=\":443\"; ma=2592000","apim-request-id":"491137df-281c-4578-8be2-e0cd4fa67e8c","azureml-model-session":"d20260405234249-f9874baf","cache-control":"no-cache","connection":"close","content-length":"775","content-security-policy":"frame-ancestors 'self'","content-type":"application/json","date":"Mon, 20 Apr 2026 04:27:06 GMT","server":"nginx","skip-error-remapping":"true","strict-transport-security":"max-age=31536000; includeSubDomains; preload","via":"1.1 Caddy, 1.1 Caddy","x-api-request-id":"20260420122704130113332gdUur4s4","x-content-type-options":"nosniff","x-frame-options":"SAMEORIGIN","x-ms-client-request-id":"Not-Set","x-ms-is-spilled-over":"false","x-ms-rai-invoked":"true","x-ms-region":"East US 2","x-new-api-version":"0.4.39","x-oneapi-request-id":"20260420042704639814558268d9d6AcsKF8ns","x-ratelimit-abusepenalty-active":"False","x-ratelimit-limit-requests":"3850","x-ratelimit-limit-tokens":"3850000","x-ratelimit-remaining-requests":"3849","x-ratelimit-remaining-tokens":"3848317","x-ratelimit-renewalperiod-requests":"60","x-ratelimit-renewalperiod-tokens":"60","x-ratelimit-reset-requests":"15","x-ratelimit-reset-tokens":"26","x-request-id":"1c3602e4-ce79-4bae-929e-0748b2beff44"}</t>
        </is>
      </c>
      <c r="N113" t="inlineStr">
        <is>
          <t>HatsOther Colorado Series Light Blue Denim Baseball Cap made of soft breathable washed cotton, mountain embroidery, curved brim for sun protection, perfect for casual unisex outdoor wear.</t>
        </is>
      </c>
      <c r="O113" t="inlineStr">
        <is>
          <t>{"choices":[{"finish_reason":"stop","index":0,"logprobs":null,"message":{"annotations":[],"content":"COLORADO,Hat,kakobuy,kakebuy2026,kekobuysheet,kakobuysheet2026,2026kakobuy,kakobuyspreadsheeet,kakobuylink,kakebuylist,Kakobuy MEGA Spreadsheet,kakobuysheetfind,kakobuysheetfind2026,2026kakobuysheetfind,kakobuysheet2026","refusal":null,"role":"assistant"}}],"created":1776667056,"id":"chatcmpl-DWcYC2zttSxSY2vGDeHE9Zcw4i5g6","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13" t="inlineStr">
        <is>
          <t>COLORADO,Hat,kakobuy,kakebuy2026,kekobuysheet,kakobuysheet2026,2026kakobuy,kakobuyspreadsheeet,kakobuylink,kakebuylist,Kakobuy MEGA Spreadsheet,kakobuysheetfind,kakobuysheetfind2026,2026kakobuysheetfind,kakobuysheet2026</t>
        </is>
      </c>
      <c r="Q113" t="inlineStr">
        <is>
          <t>Blue, Denim, Outdoor, Unisex, Sun Protection</t>
        </is>
      </c>
      <c r="R113" t="inlineStr">
        <is>
          <t>recvh6xFVjYFi1</t>
        </is>
      </c>
      <c r="S113" t="inlineStr">
        <is>
          <t>colorado-denim-mountain-embroidered-baseball-cap-recvh6xfvjyfi1</t>
        </is>
      </c>
      <c r="T113"/>
      <c r="U113"/>
      <c r="V113"/>
      <c r="W113" t="inlineStr">
        <is>
          <t>{"choices":[{"finish_reason":"stop","index":0,"logprobs":null,"message":{"annotations":[],"content":"科罗拉多系列浅蓝色休闲棒球帽，选用高品质水洗牛仔棉面料，触感柔软透气，正面山脉刺绣图腾彰显美式复古风格，弧形帽檐设计可遮阳防晒，男女皆宜，适合日常出行与街头穿搭。","refusal":null,"role":"assistant"}}],"created":1776654943,"id":"chatcmpl-DWZOptGJEOvjvY05HgiewVQ4Uw4ki","model":"gpt-5-chat-latest","object":"chat.completion","service_tier":"default","system_fingerprint":"fp_ad66631dec","usage":{"completion_tokens":83,"completion_tokens_details":{"accepted_prediction_tokens":0,"audio_tokens":0,"reasoning_tokens":0,"rejected_prediction_tokens":0},"prompt_tokens":1319,"prompt_tokens_details":{"audio_tokens":0,"cached_tokens":1280},"total_tokens":1402}}</t>
        </is>
      </c>
      <c r="X113" t="inlineStr">
        <is>
          <t>科罗拉多系列浅蓝色休闲棒球帽，选用高品质水洗牛仔棉面料，触感柔软透气，正面山脉刺绣图腾彰显美式复古风格，弧形帽檐设计可遮阳防晒，男女皆宜，适合日常出行与街头穿搭。</t>
        </is>
      </c>
    </row>
    <row r="114" ht="25.5" customHeight="1">
      <c r="A114">
        <v>1839115443</v>
      </c>
      <c r="B114">
        <v>7614136441</v>
      </c>
      <c r="C114" t="inlineStr">
        <is>
          <t>https://weidian.com/item.html?itemID=7614136441</t>
        </is>
      </c>
      <c r="D114"/>
      <c r="E114" s="2" t="str">
        <f>=HYPERLINK("https://si.geilicdn.com/open1839115443-252808396-682b0000019aaf7f920f0aa081c2_800_994.jpg?w=640&amp;h=640", "https://si.geilicdn.com/open1839115443-252808396-682b0000019aaf7f920f0aa081c2_800_994.jpg?w=640&amp;h=640")</f>
        <v>https://si.geilicdn.com/open1839115443-252808396-682b0000019aaf7f920f0aa081c2_800_994.jpg?w=640&amp;h=640</v>
      </c>
      <c r="F114" t="inlineStr">
        <is>
          <t>T-Shirts</t>
        </is>
      </c>
      <c r="G114" t="inlineStr">
        <is>
          <t>Other</t>
        </is>
      </c>
      <c r="H114" t="inlineStr">
        <is>
          <t>120.00</t>
        </is>
      </c>
      <c r="I114">
        <v>17.39</v>
      </c>
      <c r="J114" t="inlineStr">
        <is>
          <t>{"choices":[{"finish_reason":"stop","index":0,"logprobs":null,"message":{"annotations":[],"content":"RECOVER Retro Black NBA Style Basketball T-Shirt  ","refusal":null,"role":"assistant"}}],"created":1776665963,"id":"chatcmpl-DWcGZQaEosA9ViYoC6WhYR0CA09Fm","model":"gpt-5-chat-latest","object":"chat.completion","service_tier":"default","system_fingerprint":"fp_ad66631dec","usage":{"completion_tokens":11,"completion_tokens_details":{"accepted_prediction_tokens":0,"audio_tokens":0,"reasoning_tokens":0,"rejected_prediction_tokens":0},"prompt_tokens":885,"prompt_tokens_details":{"audio_tokens":0,"cached_tokens":0},"total_tokens":896}}</t>
        </is>
      </c>
      <c r="K114" t="inlineStr">
        <is>
          <t xml:space="preserve">RECOVER Retro Black NBA Style Basketball T-Shirt  </t>
        </is>
      </c>
      <c r="L114" t="inlineStr">
        <is>
          <t>{"choices":[{"finish_reason":"stop","index":0,"logprobs":null,"message":{"annotations":[],"content":"RECOVER Retro Black Basketball T-Shirt, made from premium cotton for comfort and breathability. Features bold NBA-style player graphic and signature design, unisex loose fit, perfect 90s streetwear vibe.","refusal":null,"role":"assistant"}}],"created":1776658396,"id":"chatcmpl-DWaIWQPqGISS9UBX3HYsnu9ooBy6u","model":"gpt-5-chat-latest","object":"chat.completion","service_tier":"default","system_fingerprint":"fp_ad66631dec","usage":{"completion_tokens":42,"completion_tokens_details":{"accepted_prediction_tokens":0,"audio_tokens":0,"reasoning_tokens":0,"rejected_prediction_tokens":0},"prompt_tokens":921,"prompt_tokens_details":{"audio_tokens":0,"cached_tokens":0},"total_tokens":963}}</t>
        </is>
      </c>
      <c r="M114" t="inlineStr">
        <is>
          <t>{"alt-svc":"h3=\":443\"; ma=2592000","apim-request-id":"93aa7a7c-3024-4d74-9d55-f5d0450f3164","azureml-model-session":"d20260402074105-51db401e","cache-control":"no-cache","connection":"close","content-length":"791","content-security-policy":"frame-ancestors 'self'","content-type":"application/json","date":"Mon, 20 Apr 2026 04:13:17 GMT","server":"Caddy","skip-error-remapping":"true","strict-transport-security":"max-age=31536000; includeSubDomains; preload","via":"1.1 Caddy","x-api-request-id":"2026042012131544588655923Eh6bWb","x-content-type-options":"nosniff","x-frame-options":"SAMEORIGIN","x-ms-client-request-id":"Not-Set","x-ms-is-spilled-over":"false","x-ms-rai-invoked":"true","x-ms-region":"East US 2","x-new-api-version":"0.4.39","x-oneapi-request-id":"202604200413153821763748268d9d6Roezac2v","x-ratelimit-abusepenalty-active":"False","x-ratelimit-limit-requests":"3850","x-ratelimit-limit-tokens":"3850000","x-ratelimit-remaining-requests":"3849","x-ratelimit-remaining-tokens":"3844461","x-ratelimit-renewalperiod-requests":"60","x-ratelimit-renewalperiod-tokens":"60","x-ratelimit-reset-requests":"15","x-ratelimit-reset-tokens":"86","x-request-id":"c74916ef-beb2-418f-99b3-15f536c5ffb5"}</t>
        </is>
      </c>
      <c r="N114" t="inlineStr">
        <is>
          <t>RECOVER Retro Black Basketball T-Shirt, made from premium cotton for comfort and breathability. Features bold NBA-style player graphic and signature design, unisex loose fit, perfect 90s streetwear vibe.</t>
        </is>
      </c>
      <c r="O114" t="inlineStr">
        <is>
          <t>{"choices":[{"finish_reason":"stop","index":0,"logprobs":null,"message":{"annotations":[],"content":"Recover, T-Shirts, kakobuy, kakebuy2026, kekobuysheet, kakobuysheet2026, 2026kakobuy, kakobuyspreadsheeet, kakobuylink, kakebuylist, Kakobuy MEGA Spreadsheet, kakobuysheetfind, kakobuysheetfind2026, 2026kakobuysheetfind, kakobuysheet2026","refusal":null,"role":"assistant"}}],"created":1776668232,"id":"chatcmpl-DWcrAJbxHXKNxRL4nZxcXlGEPVdZx","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14" t="inlineStr">
        <is>
          <t>Recover, T-Shirts, kakobuy, kakebuy2026, kekobuysheet, kakobuysheet2026, 2026kakobuy, kakobuyspreadsheeet, kakobuylink, kakebuylist, Kakobuy MEGA Spreadsheet, kakobuysheetfind, kakobuysheetfind2026, 2026kakobuysheetfind, kakobuysheet2026</t>
        </is>
      </c>
      <c r="Q114" t="inlineStr">
        <is>
          <t>Retro, Streetwear, Unisex, Black, Breathable, Comfort</t>
        </is>
      </c>
      <c r="R114" t="inlineStr">
        <is>
          <t>recvh6xFVjsl5W</t>
        </is>
      </c>
      <c r="S114" t="inlineStr">
        <is>
          <t>recover-retro-black-nba-basketball-tshirt-recvh6xFVjsl5W</t>
        </is>
      </c>
      <c r="T114"/>
      <c r="U114"/>
      <c r="V114"/>
      <c r="W114" t="inlineStr">
        <is>
          <t>{"id":"chatcmpl-DWZPTVDMSVlYCTPj2KnqyRMJ0RoFz","object":"chat.completion","created":1776654983,"model":"gpt-5-chat-latest","choices":[{"index":0,"message":{"role":"assistant","content":"复古黑色篮球系列短袖T恤，采用优质纯棉面料，舒适透气。正面印有醒目NBA球员形象与签名图腾，彰显经典美式街头风格。宽松版型设计适合男女穿搭，兼具休闲与个性，完美演绎90年代复古运动潮流。","refusal":null,"annotations":[]},"logprobs":null,"finish_reason":"stop"}],"usage":{"prompt_tokens":1313,"completion_tokens":86,"total_tokens":1399,"prompt_tokens_details":{"cached_tokens":0,"audio_tokens":0},"completion_tokens_details":{"reasoning_tokens":0,"audio_tokens":0,"accepted_prediction_tokens":0,"rejected_prediction_tokens":0}},"service_tier":"default","system_fingerprint":"fp_ad66631dec"}</t>
        </is>
      </c>
      <c r="X114" t="inlineStr">
        <is>
          <t>复古黑色篮球系列短袖T恤，采用优质纯棉面料，舒适透气。正面印有醒目NBA球员形象与签名图腾，彰显经典美式街头风格。宽松版型设计适合男女穿搭，兼具休闲与个性，完美演绎90年代复古运动潮流。</t>
        </is>
      </c>
    </row>
    <row r="115" ht="25.5" customHeight="1">
      <c r="A115">
        <v>1839115443</v>
      </c>
      <c r="B115">
        <v>7617028670</v>
      </c>
      <c r="C115" t="inlineStr">
        <is>
          <t>https://weidian.com/item.html?itemID=7617028670</t>
        </is>
      </c>
      <c r="D115"/>
      <c r="E115" s="2" t="str">
        <f>=HYPERLINK("https://si.geilicdn.com/open1839115443-252808396-51030000019aaf7aa5200a23b4de_1000_1000.jpg?w=750&amp;h=750&amp;cp=1", "https://si.geilicdn.com/open1839115443-252808396-51030000019aaf7aa5200a23b4de_1000_1000.jpg?w=750&amp;h=750&amp;cp=1")</f>
        <v>https://si.geilicdn.com/open1839115443-252808396-51030000019aaf7aa5200a23b4de_1000_1000.jpg?w=750&amp;h=750&amp;cp=1</v>
      </c>
      <c r="F115" t="inlineStr">
        <is>
          <t>T-Shirts</t>
        </is>
      </c>
      <c r="G115" t="inlineStr">
        <is>
          <t>Other</t>
        </is>
      </c>
      <c r="H115" t="inlineStr">
        <is>
          <t>120.00</t>
        </is>
      </c>
      <c r="I115">
        <v>17.39</v>
      </c>
      <c r="J115" t="inlineStr">
        <is>
          <t>{"id":"chatcmpl-DWcVnu84qs1RQV6KB4zI8yEahpQmg","object":"chat.completion","created":1776666907,"model":"gpt-5-chat-latest","choices":[{"index":0,"message":{"role":"assistant","content":"BC Street Wear Vintage Barcelona YAMAL Cotton Sweatshirt","refusal":null,"annotations":[]},"logprobs":null,"finish_reason":"stop"}],"usage":{"prompt_tokens":885,"completion_tokens":12,"total_tokens":897,"prompt_tokens_details":{"cached_tokens":0,"audio_tokens":0},"completion_tokens_details":{"reasoning_tokens":0,"audio_tokens":0,"accepted_prediction_tokens":0,"rejected_prediction_tokens":0}},"service_tier":"default","system_fingerprint":"fp_ad66631dec"}</t>
        </is>
      </c>
      <c r="K115" t="inlineStr">
        <is>
          <t>BC Street Wear Vintage Barcelona YAMAL Cotton Sweatshirt</t>
        </is>
      </c>
      <c r="L115" t="inlineStr">
        <is>
          <t>{"choices":[{"finish_reason":"stop","index":0,"logprobs":null,"message":{"annotations":[],"content":"BC Street Wear Vintage Barcelona YAMAL Sweatshirt—Soft cotton fabric, bold collage print, loose drop-shoulder fit for men and women. Perfect for street style, sports, and casual looks.","refusal":null,"role":"assistant"}}],"created":1776659031,"id":"chatcmpl-DWaSl7xUM10d2SBjwD8vIFvqOsDFs","model":"gpt-5-chat-latest","object":"chat.completion","service_tier":"default","system_fingerprint":"fp_ad66631dec","usage":{"completion_tokens":42,"completion_tokens_details":{"accepted_prediction_tokens":0,"audio_tokens":0,"reasoning_tokens":0,"rejected_prediction_tokens":0},"prompt_tokens":959,"prompt_tokens_details":{"audio_tokens":0,"cached_tokens":0},"total_tokens":1001}}</t>
        </is>
      </c>
      <c r="M115" t="inlineStr">
        <is>
          <t>{"alt-svc":"h3=\":443\"; ma=2592000","apim-request-id":"a1048425-3d87-4df1-bed4-ca9eddc3e432","azureml-model-session":"d20260405234249-f9874baf","cache-control":"no-cache","connection":"close","content-length":"775","content-security-policy":"frame-ancestors 'self'","content-type":"application/json","date":"Mon, 20 Apr 2026 04:23:52 GMT","server":"Caddy","skip-error-remapping":"true","strict-transport-security":"max-age=31536000; includeSubDomains; preload","via":"1.1 Caddy","x-api-request-id":"2026042012235041466637IFznWj1d","x-content-type-options":"nosniff","x-frame-options":"SAMEORIGIN","x-ms-client-request-id":"Not-Set","x-ms-is-spilled-over":"false","x-ms-rai-invoked":"true","x-ms-region":"East US 2","x-new-api-version":"0.4.39","x-oneapi-request-id":"202604200423499759312358268d9d6o0ZX0ugZ","x-ratelimit-abusepenalty-active":"False","x-ratelimit-limit-requests":"3850","x-ratelimit-limit-tokens":"3850000","x-ratelimit-remaining-requests":"3849","x-ratelimit-remaining-tokens":"3848279","x-ratelimit-renewalperiod-requests":"60","x-ratelimit-renewalperiod-tokens":"60","x-ratelimit-reset-requests":"15","x-ratelimit-reset-tokens":"26","x-request-id":"92c95f93-4025-48e3-8823-5e192040fe5a"}</t>
        </is>
      </c>
      <c r="N115" t="inlineStr">
        <is>
          <t>BC Street Wear Vintage Barcelona YAMAL Sweatshirt—Soft cotton fabric, bold collage print, loose drop-shoulder fit for men and women. Perfect for street style, sports, and casual looks.</t>
        </is>
      </c>
      <c r="O115" t="inlineStr">
        <is>
          <t>{"choices":[{"finish_reason":"stop","index":0,"logprobs":null,"message":{"annotations":[],"content":"BC, Sweatshirt, kakobuy, kakebuy2026, kekobuysheet, kakobuysheet2026, 2026kakobuy, kakobuyspreadsheeet, kakobuylink, kakebuylist, Kakobuy MEGA Spreadsheet, kakobuysheetfind, kakobuysheetfind2026, 2026kakobuysheetfind, kakobuysheet2026","refusal":null,"role":"assistant"}}],"created":1776667263,"id":"chatcmpl-DWcbXixjs3st8vTvK0NHXDBaYMxZi","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15" t="inlineStr">
        <is>
          <t>BC, Sweatshirt, kakobuy, kakebuy2026, kekobuysheet, kakobuysheet2026, 2026kakobuy, kakobuyspreadsheeet, kakobuylink, kakebuylist, Kakobuy MEGA Spreadsheet, kakobuysheetfind, kakobuysheetfind2026, 2026kakobuysheetfind, kakobuysheet2026</t>
        </is>
      </c>
      <c r="Q115" t="inlineStr">
        <is>
          <t>Streetwear, Retro, Unisex, Men's And Women's</t>
        </is>
      </c>
      <c r="R115" t="inlineStr">
        <is>
          <t>recvh6xFVjeCWc</t>
        </is>
      </c>
      <c r="S115" t="inlineStr">
        <is>
          <t>bc-street-wear-vintage-barcelona-yamal-cotton-sweatshirt-recvh6xfvjecwc</t>
        </is>
      </c>
      <c r="T115"/>
      <c r="U115"/>
      <c r="V115"/>
      <c r="W115" t="inlineStr">
        <is>
          <t>{"choices":[{"finish_reason":"stop","index":0,"logprobs":null,"message":{"annotations":[],"content":"复古街头系列黑色印花圆领卫衣，选用柔软纯棉面料打造，前幅以巴塞罗那球员与YAMAL艺术字拼贴图腾为设计亮点，色彩鲜明层次感强，展现热血运动氛围与街头活力风格。宽松落肩剪裁提升穿着舒适度，男女皆可轻松驾驭，适合休闲穿搭或街拍造型，彰显个性与时尚态度。","refusal":null,"role":"assistant"}}],"created":1776656095,"id":"chatcmpl-DWZhP3S4JTkTwvHSawL1oAkLYYMLU","model":"gpt-5-chat-latest","object":"chat.completion","service_tier":"default","system_fingerprint":"fp_ad66631dec","usage":{"completion_tokens":119,"completion_tokens_details":{"accepted_prediction_tokens":0,"audio_tokens":0,"reasoning_tokens":0,"rejected_prediction_tokens":0},"prompt_tokens":1323,"prompt_tokens_details":{"audio_tokens":0,"cached_tokens":0},"total_tokens":1442}}</t>
        </is>
      </c>
      <c r="X115" t="inlineStr">
        <is>
          <t>复古街头系列黑色印花圆领卫衣，选用柔软纯棉面料打造，前幅以巴塞罗那球员与YAMAL艺术字拼贴图腾为设计亮点，色彩鲜明层次感强，展现热血运动氛围与街头活力风格。宽松落肩剪裁提升穿着舒适度，男女皆可轻松驾驭，适合休闲穿搭或街拍造型，彰显个性与时尚态度。</t>
        </is>
      </c>
    </row>
    <row r="116" ht="25.5" customHeight="1">
      <c r="A116">
        <v>1839115443</v>
      </c>
      <c r="B116">
        <v>7614049067</v>
      </c>
      <c r="C116" t="inlineStr">
        <is>
          <t>https://weidian.com/item.html?itemID=7614049067</t>
        </is>
      </c>
      <c r="D116"/>
      <c r="E116" s="2" t="str">
        <f>=HYPERLINK("https://si.geilicdn.com/open1839115443-252808396-64870000019aaf798bac0aa081c2_800_1200.jpg?w=640&amp;h=640", "https://si.geilicdn.com/open1839115443-252808396-64870000019aaf798bac0aa081c2_800_1200.jpg?w=640&amp;h=640")</f>
        <v>https://si.geilicdn.com/open1839115443-252808396-64870000019aaf798bac0aa081c2_800_1200.jpg?w=640&amp;h=640</v>
      </c>
      <c r="F116" t="inlineStr">
        <is>
          <t>T-Shirts</t>
        </is>
      </c>
      <c r="G116" t="inlineStr">
        <is>
          <t>Other</t>
        </is>
      </c>
      <c r="H116" t="inlineStr">
        <is>
          <t>120.00</t>
        </is>
      </c>
      <c r="I116">
        <v>17.39</v>
      </c>
      <c r="J116" t="inlineStr">
        <is>
          <t>{"choices":[{"finish_reason":"stop","index":0,"logprobs":null,"message":{"annotations":[],"content":"Miaoxuehua 90s Neon Totem Black Cotton Graphic T-Shirt","refusal":null,"role":"assistant"}}],"created":1776666281,"id":"chatcmpl-DWcLhquTGuHLsKpGBKMVPGfLDwCfk","model":"gpt-5-chat-latest","object":"chat.completion","service_tier":"default","system_fingerprint":"fp_ad66631dec","usage":{"completion_tokens":17,"completion_tokens_details":{"accepted_prediction_tokens":0,"audio_tokens":0,"reasoning_tokens":0,"rejected_prediction_tokens":0},"prompt_tokens":889,"prompt_tokens_details":{"audio_tokens":0,"cached_tokens":0},"total_tokens":906}}</t>
        </is>
      </c>
      <c r="K116" t="inlineStr">
        <is>
          <t>Miaoxuehua 90s Neon Totem Black Cotton Graphic T-Shirt</t>
        </is>
      </c>
      <c r="L116" t="inlineStr">
        <is>
          <t>{"choices":[{"finish_reason":"stop","index":0,"logprobs":null,"message":{"annotations":[],"content":"Miaoxuehua Street Series Black Graphic T-Shirt, crafted from premium cotton for softness and breathability. Neon totem and retro poster print highlight a 90s street vibe with a relaxed unisex fit.","refusal":null,"role":"assistant"}}],"created":1776659106,"id":"chatcmpl-DWaTyA2DBo2XAJhZ33wrhh2zTfJif","model":"gpt-5-chat-latest","object":"chat.completion","service_tier":"default","system_fingerprint":"fp_ad66631dec","usage":{"completion_tokens":44,"completion_tokens_details":{"accepted_prediction_tokens":0,"audio_tokens":0,"reasoning_tokens":0,"rejected_prediction_tokens":0},"prompt_tokens":928,"prompt_tokens_details":{"audio_tokens":0,"cached_tokens":0},"total_tokens":972}}</t>
        </is>
      </c>
      <c r="M116" t="inlineStr">
        <is>
          <t>{"alt-svc":"h3=\":443\"; ma=2592000","apim-request-id":"b430de65-fde5-4557-8f5c-e49ad5aa227c","azureml-model-session":"d20260402083108-57a85543","cache-control":"no-cache","connection":"close","content-length":"784","content-security-policy":"frame-ancestors 'self'","content-type":"application/json","date":"Mon, 20 Apr 2026 04:25:08 GMT","server":"nginx","skip-error-remapping":"true","strict-transport-security":"max-age=31536000; includeSubDomains; preload","via":"1.1 Caddy, 1.1 Caddy","x-api-request-id":"2026042012250566861551zFYOyqn5","x-content-type-options":"nosniff","x-frame-options":"SAMEORIGIN","x-ms-client-request-id":"Not-Set","x-ms-is-spilled-over":"false","x-ms-rai-invoked":"true","x-ms-region":"East US 2","x-new-api-version":"0.4.39","x-oneapi-request-id":"202604200425058383588268d9d6URvp1zgH","x-ratelimit-abusepenalty-active":"False","x-ratelimit-limit-requests":"3850","x-ratelimit-limit-tokens":"3850000","x-ratelimit-remaining-requests":"3849","x-ratelimit-remaining-tokens":"3848310","x-ratelimit-renewalperiod-requests":"60","x-ratelimit-renewalperiod-tokens":"60","x-ratelimit-reset-requests":"15","x-ratelimit-reset-tokens":"26","x-request-id":"ae6fb51d-433b-4713-9c2c-6d4225fa5edf"}</t>
        </is>
      </c>
      <c r="N116" t="inlineStr">
        <is>
          <t>Miaoxuehua Street Series Black Graphic T-Shirt, crafted from premium cotton for softness and breathability. Neon totem and retro poster print highlight a 90s street vibe with a relaxed unisex fit.</t>
        </is>
      </c>
      <c r="O116" t="inlineStr">
        <is>
          <t>{"choices":[{"finish_reason":"stop","index":0,"logprobs":null,"message":{"annotations":[],"content":"Miaoxuehua,T-Shirts,kakobuy,kakebuy2026,kekobuysheet,kakobuysheet2026,2026kakobuy,kakobuyspreadsheeet,kakobuylink,kakebuylist,Kakobuy MEGA Spreadsheet,kakobuysheetfind,kakobuysheetfind2026,2026kakobuysheetfind,kakobuysheet2026","refusal":null,"role":"assistant"}}],"created":1776668310,"id":"chatcmpl-DWcsQymgzA5ObV1YokuWmdC9yNwBA","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is>
      </c>
      <c r="P116" t="inlineStr">
        <is>
          <t>Miaoxuehua,T-Shirts,kakobuy,kakebuy2026,kekobuysheet,kakobuysheet2026,2026kakobuy,kakobuyspreadsheeet,kakobuylink,kakebuylist,Kakobuy MEGA Spreadsheet,kakobuysheetfind,kakobuysheetfind2026,2026kakobuysheetfind,kakobuysheet2026</t>
        </is>
      </c>
      <c r="Q116" t="inlineStr">
        <is>
          <t>Black, Retro, Unisex, Streetwear</t>
        </is>
      </c>
      <c r="R116" t="inlineStr">
        <is>
          <t>recvh6xFVj9ZBe</t>
        </is>
      </c>
      <c r="S116" t="inlineStr">
        <is>
          <t>miaoxuehua-90s-neon-totem-black-cotton-graphic-tshirt-recvh6xfvj9zbe</t>
        </is>
      </c>
      <c r="T116"/>
      <c r="U116"/>
      <c r="V116"/>
      <c r="W116" t="inlineStr">
        <is>
          <t>{"choices":[{"finish_reason":"stop","index":0,"logprobs":null,"message":{"annotations":[],"content":"街头系列黑色印花短袖T恤，采用高品质纯棉材质，柔软透气不易变形。正面融合鲜明霓虹图腾与复古海报设计，展现独立个性与潮流态度。宽松落肩版型兼顾舒适与时尚，适合男女通穿，彰显90年代街头文化灵感与年轻张力。","refusal":null,"role":"assistant"}}],"created":1776655933,"id":"chatcmpl-DWZenKQ8hkRqkJQAJ7WaUioyVIozr","model":"gpt-5-chat-latest","object":"chat.completion","service_tier":"default","system_fingerprint":"fp_ad66631dec","usage":{"completion_tokens":95,"completion_tokens_details":{"accepted_prediction_tokens":0,"audio_tokens":0,"reasoning_tokens":0,"rejected_prediction_tokens":0},"prompt_tokens":1309,"prompt_tokens_details":{"audio_tokens":0,"cached_tokens":0},"total_tokens":1404}}</t>
        </is>
      </c>
      <c r="X116" t="inlineStr">
        <is>
          <t>街头系列黑色印花短袖T恤，采用高品质纯棉材质，柔软透气不易变形。正面融合鲜明霓虹图腾与复古海报设计，展现独立个性与潮流态度。宽松落肩版型兼顾舒适与时尚，适合男女通穿，彰显90年代街头文化灵感与年轻张力。</t>
        </is>
      </c>
    </row>
    <row r="117" ht="25.5" customHeight="1">
      <c r="A117">
        <v>1839115443</v>
      </c>
      <c r="B117">
        <v>7617048900</v>
      </c>
      <c r="C117" t="inlineStr">
        <is>
          <t>https://weidian.com/item.html?itemID=7617048900</t>
        </is>
      </c>
      <c r="D117"/>
      <c r="E117" s="2" t="str">
        <f>=HYPERLINK("https://si.geilicdn.com/open1839115443-252808396-6a290000019aaf799a020aa086a7_800_1200.jpg?w=640&amp;h=640", "https://si.geilicdn.com/open1839115443-252808396-6a290000019aaf799a020aa086a7_800_1200.jpg?w=640&amp;h=640")</f>
        <v>https://si.geilicdn.com/open1839115443-252808396-6a290000019aaf799a020aa086a7_800_1200.jpg?w=640&amp;h=640</v>
      </c>
      <c r="F117" t="inlineStr">
        <is>
          <t>Hoodies</t>
        </is>
      </c>
      <c r="G117" t="inlineStr">
        <is>
          <t>Other</t>
        </is>
      </c>
      <c r="H117" t="inlineStr">
        <is>
          <t>120.00</t>
        </is>
      </c>
      <c r="I117">
        <v>17.39</v>
      </c>
      <c r="J117" t="inlineStr">
        <is>
          <t>{"choices":[{"finish_reason":"stop","index":0,"logprobs":null,"message":{"annotations":[],"content":"Vintage Beige Collage Sports Graphic Cotton Hoodie","refusal":null,"role":"assistant"}}],"created":1776666473,"id":"chatcmpl-DWcOnbXp2N0jJLBa9X4WpAqxLKFvO","model":"gpt-5-chat-latest","object":"chat.completion","service_tier":"default","system_fingerprint":"fp_ad66631dec","usage":{"completion_tokens":9,"completion_tokens_details":{"accepted_prediction_tokens":0,"audio_tokens":0,"reasoning_tokens":0,"rejected_prediction_tokens":0},"prompt_tokens":886,"prompt_tokens_details":{"audio_tokens":0,"cached_tokens":0},"total_tokens":895}}</t>
        </is>
      </c>
      <c r="K117" t="inlineStr">
        <is>
          <t>Vintage Beige Collage Sports Graphic Cotton Hoodie</t>
        </is>
      </c>
      <c r="L117" t="inlineStr">
        <is>
          <t>{"choices":[{"finish_reason":"stop","index":0,"logprobs":null,"message":{"annotations":[],"content":"HoodiesOther vintage beige hoodie made from soft cotton, featuring a collage sports graphic and team logo. Loose fit with drawstring hood, unisex style, ideal for casual streetwear and trendy layering.","refusal":null,"role":"assistant"}}],"created":1776658484,"id":"chatcmpl-DWaJwgBbBV7bozSYnvbeREbV6jiCL","model":"gpt-5-chat-latest","object":"chat.completion","service_tier":"default","system_fingerprint":"fp_ad66631dec","usage":{"completion_tokens":42,"completion_tokens_details":{"accepted_prediction_tokens":0,"audio_tokens":0,"reasoning_tokens":0,"rejected_prediction_tokens":0},"prompt_tokens":921,"prompt_tokens_details":{"audio_tokens":0,"cached_tokens":0},"total_tokens":963}}</t>
        </is>
      </c>
      <c r="M117" t="inlineStr">
        <is>
          <t>{"alt-svc":"h3=\":443\"; ma=2592000","apim-request-id":"ac0f3cbb-6d27-4e3e-b3a2-e6f28c7cd9a7","azureml-model-session":"d20260402084046-4209e968","cache-control":"no-cache","connection":"close","content-length":"789","content-security-policy":"frame-ancestors 'self'","content-type":"application/json","date":"Mon, 20 Apr 2026 04:14:45 GMT","server":"nginx","skip-error-remapping":"true","strict-transport-security":"max-age=31536000; includeSubDomains; preload","via":"1.1 Caddy, 1.1 Caddy","x-api-request-id":"20260420121442771169652nyAlTWLH","x-content-type-options":"nosniff","x-frame-options":"SAMEORIGIN","x-ms-client-request-id":"Not-Set","x-ms-is-spilled-over":"false","x-ms-rai-invoked":"true","x-ms-region":"East US 2","x-new-api-version":"0.4.39","x-oneapi-request-id":"202604200414427055366388268d9d6KW8gm3M6","x-ratelimit-abusepenalty-active":"False","x-ratelimit-limit-requests":"3850","x-ratelimit-limit-tokens":"3850000","x-ratelimit-remaining-requests":"3849","x-ratelimit-remaining-tokens":"3848317","x-ratelimit-renewalperiod-requests":"60","x-ratelimit-renewalperiod-tokens":"60","x-ratelimit-reset-requests":"15","x-ratelimit-reset-tokens":"26","x-request-id":"6749cb3f-3605-4676-abc5-bd43a9c505e2"}</t>
        </is>
      </c>
      <c r="N117" t="inlineStr">
        <is>
          <t>HoodiesOther vintage beige hoodie made from soft cotton, featuring a collage sports graphic and team logo. Loose fit with drawstring hood, unisex style, ideal for casual streetwear and trendy layering.</t>
        </is>
      </c>
      <c r="O117" t="inlineStr">
        <is>
          <t>{"choices":[{"finish_reason":"stop","index":0,"logprobs":null,"message":{"annotations":[],"content":"Ronaldo,Hoodies,kakobuy,kakebuy2026,kekobuysheet,kakobuysheet2026,2026kakobuy,kakobuyspreadsheeet,kakobuylink,kakebuylist,Kakobuy MEGA Spreadsheet,kakobuysheetfind,kakobuysheetfind2026,2026kakobuysheetfind,kakobuysheet2026","refusal":null,"role":"assistant"}}],"created":1776668514,"id":"chatcmpl-DWcviVCYjV8qXGWJOrUsSSwgsHI46","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117" t="inlineStr">
        <is>
          <t>Ronaldo,Hoodies,kakobuy,kakebuy2026,kekobuysheet,kakobuysheet2026,2026kakobuy,kakobuyspreadsheeet,kakobuylink,kakebuylist,Kakobuy MEGA Spreadsheet,kakobuysheetfind,kakobuysheetfind2026,2026kakobuysheetfind,kakobuysheet2026</t>
        </is>
      </c>
      <c r="Q117" t="inlineStr">
        <is>
          <t>Beige, Unisex, Streetwear, Vintage</t>
        </is>
      </c>
      <c r="R117" t="inlineStr">
        <is>
          <t>recvh6xFVj2l1i</t>
        </is>
      </c>
      <c r="S117" t="inlineStr">
        <is>
          <t>vintage-beige-collage-sports-graphic-hoodie-recvh6xFVj2l1i</t>
        </is>
      </c>
      <c r="T117"/>
      <c r="U117"/>
      <c r="V117"/>
      <c r="W117" t="inlineStr">
        <is>
          <t>{"choices":[{"finish_reason":"stop","index":0,"logprobs":null,"message":{"annotations":[],"content":"复古英伦风米色连帽卫衣，柔软棉质面料打造，正面印有球星拼贴图腾与球队标识，彰显街头运动精神。宽松版型配以经典抽绳帽设计，男女皆宜，时尚休闲兼具个性态度，适合日常穿搭与潮流混搭场景。","refusal":null,"role":"assistant"}}],"created":1776655892,"id":"chatcmpl-DWZe8PzV70FD3gvrduZJOdNiSHTZD","model":"gpt-5-chat-latest","object":"chat.completion","service_tier":"default","system_fingerprint":"fp_ad66631dec","usage":{"completion_tokens":86,"completion_tokens_details":{"accepted_prediction_tokens":0,"audio_tokens":0,"reasoning_tokens":0,"rejected_prediction_tokens":0},"prompt_tokens":1312,"prompt_tokens_details":{"audio_tokens":0,"cached_tokens":0},"total_tokens":1398}}</t>
        </is>
      </c>
      <c r="X117" t="inlineStr">
        <is>
          <t>复古英伦风米色连帽卫衣，柔软棉质面料打造，正面印有球星拼贴图腾与球队标识，彰显街头运动精神。宽松版型配以经典抽绳帽设计，男女皆宜，时尚休闲兼具个性态度，适合日常穿搭与潮流混搭场景。</t>
        </is>
      </c>
    </row>
    <row r="118" ht="25.5" customHeight="1">
      <c r="A118">
        <v>1839115443</v>
      </c>
      <c r="B118">
        <v>7617082722</v>
      </c>
      <c r="C118" t="inlineStr">
        <is>
          <t>https://weidian.com/item.html?itemID=7617082722</t>
        </is>
      </c>
      <c r="D118"/>
      <c r="E118" s="2" t="str">
        <f>=HYPERLINK("https://si.geilicdn.com/open1839115443-252808396-6a3f0000019aaf79a03f0aa086a7_800_1065.jpg?w=640&amp;h=640", "https://si.geilicdn.com/open1839115443-252808396-6a3f0000019aaf79a03f0aa086a7_800_1065.jpg?w=640&amp;h=640")</f>
        <v>https://si.geilicdn.com/open1839115443-252808396-6a3f0000019aaf79a03f0aa086a7_800_1065.jpg?w=640&amp;h=640</v>
      </c>
      <c r="F118" t="inlineStr">
        <is>
          <t>T-Shirts</t>
        </is>
      </c>
      <c r="G118" t="inlineStr">
        <is>
          <t>Other</t>
        </is>
      </c>
      <c r="H118" t="inlineStr">
        <is>
          <t>120.00</t>
        </is>
      </c>
      <c r="I118">
        <v>17.39</v>
      </c>
      <c r="J118" t="inlineStr">
        <is>
          <t>{"choices":[{"finish_reason":"stop","index":0,"logprobs":null,"message":{"annotations":[],"content":"TRAVIS Retro Black Y2K Skate Street T-Shirt","refusal":null,"role":"assistant"}}],"created":1776666884,"id":"chatcmpl-DWcVQLX4ZdBXSgSXJe4wnHsaPBn34","model":"gpt-5-chat-latest","object":"chat.completion","service_tier":"default","system_fingerprint":"fp_ad66631dec","usage":{"completion_tokens":13,"completion_tokens_details":{"accepted_prediction_tokens":0,"audio_tokens":0,"reasoning_tokens":0,"rejected_prediction_tokens":0},"prompt_tokens":893,"prompt_tokens_details":{"audio_tokens":0,"cached_tokens":0},"total_tokens":906}}</t>
        </is>
      </c>
      <c r="K118" t="inlineStr">
        <is>
          <t>TRAVIS Retro Black Y2K Skate Street T-Shirt</t>
        </is>
      </c>
      <c r="L118" t="inlineStr">
        <is>
          <t>{"id":"chatcmpl-DWaLd1qg7nLcX3H8WhXe2ZbCL4oV9","object":"chat.completion","created":1776658589,"model":"gpt-5-chat-latest","choices":[{"index":0,"message":{"role":"assistant","content":"TRAVIS Retro Black Street Print T-Shirt, made of premium cotton, soft, breathable with vintage washed texture, multi-image collage design, loose fit unisex style, blends Y2K skate culture for edgy street fashion.","refusal":null,"annotations":[]},"logprobs":null,"finish_reason":"stop"}],"usage":{"prompt_tokens":921,"completion_tokens":46,"total_tokens":967,"prompt_tokens_details":{"cached_tokens":0,"audio_tokens":0},"completion_tokens_details":{"reasoning_tokens":0,"audio_tokens":0,"accepted_prediction_tokens":0,"rejected_prediction_tokens":0}},"service_tier":"default","system_fingerprint":"fp_ad66631dec"}</t>
        </is>
      </c>
      <c r="M11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ma=2592000","apim-request-id":"b6e00e55-f3da-42cc-83fc-d5cd2243b248","azureml-model-session":"d20260405234249-f9874baf","cache-control":"no-cache, no-store, must-revalidate","connection":"close","content-length":"1016","content-security-policy":"frame-ancestors 'self'","content-type":"application/json","date":"Mon, 20 Apr 2026 04:16:32 GMT","server":"Caddy","skip-error-remapping":"true","strict-transport-security":"max-age=31536000; includeSubDomains; preload","via":"1.1 Caddy","x-api-request-id":"202604201216279423951579LwLN3KP","x-content-type-options":"nosniff","x-frame-options":"SAMEORIGIN","x-ms-is-spilled-over":"false","x-ms-rai-invoked":"false","x-ms-region":"Sweden Central","x-new-api-version":"0.4.39","x-oneapi-request-id":"202604200416277946452908268d9d6faMkBITJ","x-ratelimit-abusepenalty-active":"False","x-ratelimit-limit-requests":"4993","x-ratelimit-limit-tokens":"4993000","x-ratelimit-remaining-requests":"4992","x-ratelimit-remaining-tokens":"4991317","x-ratelimit-renewalperiod-requests":"60","x-ratelimit-renewalperiod-tokens":"60","x-ratelimit-reset-requests":"12","x-ratelimit-reset-tokens":"20","x-request-id":"1a3ea3e2-33f7-4eae-a509-ad8a9ad64a06"}</t>
        </is>
      </c>
      <c r="N118" t="inlineStr">
        <is>
          <t>TRAVIS Retro Black Street Print T-Shirt, made of premium cotton, soft, breathable with vintage washed texture, multi-image collage design, loose fit unisex style, blends Y2K skate culture for edgy street fashion.</t>
        </is>
      </c>
      <c r="O118" t="inlineStr">
        <is>
          <t>{"choices":[{"finish_reason":"stop","index":0,"logprobs":null,"message":{"annotations":[],"content":"Travis Scott,T-Shirts,kakobuy,kakebuy2026,kekobuysheet,kakobuysheet2026,2026kakobuy,kakobuyspreadsheeet,kakobuylink,kakebuylist,Kakobuy MEGA Spreadsheet,kakobuysheetfind,kakobuysheetfind2026,2026kakobuysheetfind,kakobuysheet2026","refusal":null,"role":"assistant"}}],"created":1776668203,"id":"chatcmpl-DWcqht0mb3IDUVGVaSrOxzoM6gLVN","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18" t="inlineStr">
        <is>
          <t>Travis Scott,T-Shirts,kakobuy,kakebuy2026,kekobuysheet,kakobuysheet2026,2026kakobuy,kakobuyspreadsheeet,kakobuylink,kakebuylist,Kakobuy MEGA Spreadsheet,kakobuysheetfind,kakobuysheetfind2026,2026kakobuysheetfind,kakobuysheet2026</t>
        </is>
      </c>
      <c r="Q118" t="inlineStr">
        <is>
          <t>Streetwear, Unisex, Black, Retro, Edgy</t>
        </is>
      </c>
      <c r="R118" t="inlineStr">
        <is>
          <t>recvh6xFVjAZkV</t>
        </is>
      </c>
      <c r="S118" t="inlineStr">
        <is>
          <t>travis-retro-black-y2k-skate-street-tshirt-recvh6xfvjazkv</t>
        </is>
      </c>
      <c r="T118"/>
      <c r="U118"/>
      <c r="V118"/>
      <c r="W118" t="inlineStr">
        <is>
          <t>{"choices":[{"finish_reason":"stop","index":0,"logprobs":null,"message":{"annotations":[],"content":"复古黑色街头印花T恤，采用优质纯棉材质，柔软透气呈现做旧质感，正面多图像拼接设计彰显个性潮流，宽松剪裁舒适随性，男女皆宜，融合Y2K复古与滑板文化元素，打造街头休闲时尚造型。","refusal":null,"role":"assistant"}}],"created":1776655627,"id":"chatcmpl-DWZZrdc7Nids7ZFhkbgb7vIFDxAhz","model":"gpt-5-chat-latest","object":"chat.completion","service_tier":"default","system_fingerprint":"fp_ad66631dec","usage":{"completion_tokens":83,"completion_tokens_details":{"accepted_prediction_tokens":0,"audio_tokens":0,"reasoning_tokens":0,"rejected_prediction_tokens":0},"prompt_tokens":1319,"prompt_tokens_details":{"audio_tokens":0,"cached_tokens":0},"total_tokens":1402}}</t>
        </is>
      </c>
      <c r="X118" t="inlineStr">
        <is>
          <t>复古黑色街头印花T恤，采用优质纯棉材质，柔软透气呈现做旧质感，正面多图像拼接设计彰显个性潮流，宽松剪裁舒适随性，男女皆宜，融合Y2K复古与滑板文化元素，打造街头休闲时尚造型。</t>
        </is>
      </c>
    </row>
    <row r="119" ht="25.5" customHeight="1">
      <c r="A119">
        <v>1839115443</v>
      </c>
      <c r="B119">
        <v>7614058997</v>
      </c>
      <c r="C119" t="inlineStr">
        <is>
          <t>https://weidian.com/item.html?itemID=7614058997</t>
        </is>
      </c>
      <c r="D119"/>
      <c r="E119" s="2" t="str">
        <f>=HYPERLINK("https://si.geilicdn.com/open1839115443-252808396-57fc0000019aaf7feb5b0a22d249_800_1290.jpg?w=640&amp;h=640", "https://si.geilicdn.com/open1839115443-252808396-57fc0000019aaf7feb5b0a22d249_800_1290.jpg?w=640&amp;h=640")</f>
        <v>https://si.geilicdn.com/open1839115443-252808396-57fc0000019aaf7feb5b0a22d249_800_1290.jpg?w=640&amp;h=640</v>
      </c>
      <c r="F119" t="inlineStr">
        <is>
          <t>Hoodies</t>
        </is>
      </c>
      <c r="G119" t="inlineStr">
        <is>
          <t>Other</t>
        </is>
      </c>
      <c r="H119" t="inlineStr">
        <is>
          <t>170.00</t>
        </is>
      </c>
      <c r="I119">
        <v>24.64</v>
      </c>
      <c r="J119" t="inlineStr">
        <is>
          <t>{"id":"chatcmpl-DWcFv5JFJgZRC8RnMWYJY1lURPbNq","object":"chat.completion","created":1776665923,"model":"gpt-5-chat-latest","choices":[{"index":0,"message":{"role":"assistant","content":"HoodiesOther Washed Black Oversized Vintage Street Hoodie","refusal":null,"annotations":[]},"logprobs":null,"finish_reason":"stop"}],"usage":{"prompt_tokens":1156,"completion_tokens":13,"total_tokens":1169,"prompt_tokens_details":{"cached_tokens":0,"audio_tokens":0},"completion_tokens_details":{"reasoning_tokens":0,"audio_tokens":0,"accepted_prediction_tokens":0,"rejected_prediction_tokens":0}},"service_tier":"default","system_fingerprint":"fp_ad66631dec"}</t>
        </is>
      </c>
      <c r="K119" t="inlineStr">
        <is>
          <t>HoodiesOther Washed Black Oversized Vintage Street Hoodie</t>
        </is>
      </c>
      <c r="L119" t="inlineStr">
        <is>
          <t>{"choices":[{"finish_reason":"stop","index":0,"logprobs":null,"message":{"annotations":[],"content":"HoodiesOther washed black oversized hoodie, made from soft cotton for a vintage street look, featuring a minimalist kangaroo pocket design, unisex and perfect for trendy daily wear.","refusal":null,"role":"assistant"}}],"created":1776658382,"id":"chatcmpl-DWaIIF9TrYX36L5GZ5HJOICQSVpWW","model":"gpt-5-chat-latest","object":"chat.completion","service_tier":"default","system_fingerprint":"fp_ad66631dec","usage":{"completion_tokens":37,"completion_tokens_details":{"accepted_prediction_tokens":0,"audio_tokens":0,"reasoning_tokens":0,"rejected_prediction_tokens":0},"prompt_tokens":1171,"prompt_tokens_details":{"audio_tokens":0,"cached_tokens":0},"total_tokens":1208}}</t>
        </is>
      </c>
      <c r="M119" t="inlineStr">
        <is>
          <t>{"alt-svc":"h3=\":443\"; ma=2592000","apim-request-id":"57683153-bfe1-4cf7-8128-5fc7b46732bc","azureml-model-session":"d20260405234249-f9874baf","cache-control":"no-cache","connection":"close","content-length":"771","content-security-policy":"frame-ancestors 'self'","content-type":"application/json","date":"Mon, 20 Apr 2026 04:13:04 GMT","server":"nginx","skip-error-remapping":"true","strict-transport-security":"max-age=31536000; includeSubDomains; preload","via":"1.1 Caddy, 1.1 Caddy","x-api-request-id":"202604201213018979771530Ju0H8w2","x-content-type-options":"nosniff","x-frame-options":"SAMEORIGIN","x-ms-client-request-id":"Not-Set","x-ms-is-spilled-over":"false","x-ms-rai-invoked":"true","x-ms-region":"East US 2","x-new-api-version":"0.4.39","x-oneapi-request-id":"202604200413018343667338268d9d6fFoXdRR5","x-ratelimit-abusepenalty-active":"False","x-ratelimit-limit-requests":"3850","x-ratelimit-limit-tokens":"3850000","x-ratelimit-remaining-requests":"3849","x-ratelimit-remaining-tokens":"3848066","x-ratelimit-renewalperiod-requests":"60","x-ratelimit-renewalperiod-tokens":"60","x-ratelimit-reset-requests":"15","x-ratelimit-reset-tokens":"30","x-request-id":"62f5497f-d740-44bf-b84e-173547f05a5b"}</t>
        </is>
      </c>
      <c r="N119" t="inlineStr">
        <is>
          <t>HoodiesOther washed black oversized hoodie, made from soft cotton for a vintage street look, featuring a minimalist kangaroo pocket design, unisex and perfect for trendy daily wear.</t>
        </is>
      </c>
      <c r="O119" t="inlineStr">
        <is>
          <t>{"choices":[{"finish_reason":"stop","index":0,"logprobs":null,"message":{"annotations":[],"content":"Yuansa,Hoodies,kakobuy,kakebuy2026,kekobuysheet,kakobuysheet2026,2026kakobuy,kakobuyspreadsheeet,kakobuylink,kakebuylist,Kakobuy MEGA Spreadsheet,kakobuysheetfind,kakobuysheetfind2026,2026kakobuysheetfind,kakobuysheet2026","refusal":null,"role":"assistant"}}],"created":1776667346,"id":"chatcmpl-DWccszp5MfXtlvaTDDLj1bm7txXWa","model":"gpt-5-chat-latest","object":"chat.completion","service_tier":"default","system_fingerprint":"fp_ad66631dec","usage":{"completion_tokens":88,"completion_tokens_details":{"accepted_prediction_tokens":0,"audio_tokens":0,"reasoning_tokens":0,"rejected_prediction_tokens":0},"prompt_tokens":1063,"prompt_tokens_details":{"audio_tokens":0,"cached_tokens":0},"total_tokens":1151}}</t>
        </is>
      </c>
      <c r="P119" t="inlineStr">
        <is>
          <t>Yuansa,Hoodies,kakobuy,kakebuy2026,kekobuysheet,kakobuysheet2026,2026kakobuy,kakobuyspreadsheeet,kakobuylink,kakebuylist,Kakobuy MEGA Spreadsheet,kakobuysheetfind,kakobuysheetfind2026,2026kakobuysheetfind,kakobuysheet2026</t>
        </is>
      </c>
      <c r="Q119" t="inlineStr">
        <is>
          <t>Black, Vintage, Street, Minimalist, Unisex</t>
        </is>
      </c>
      <c r="R119" t="inlineStr">
        <is>
          <t>recvh6xFVj92rX</t>
        </is>
      </c>
      <c r="S119" t="inlineStr">
        <is>
          <t>hoodiesother-washed-black-oversized-vintage-street-hoodie-recvh6xFVj92rX</t>
        </is>
      </c>
      <c r="T119"/>
      <c r="U119"/>
      <c r="V119"/>
      <c r="W119" t="inlineStr">
        <is>
          <t>{"id":"chatcmpl-DWZiAleyeSry1HcoI9eUReD7Ia9na","object":"chat.completion","created":1776656142,"model":"gpt-5-chat-latest","choices":[{"index":0,"message":{"role":"assistant","content":"水洗黑色宽松连帽卫衣，柔软棉质材质打造复古街头风格，简约袋鼠兜设计彰显休闲质感，男女皆宜，适合潮流日常穿搭。","refusal":null,"annotations":[]},"logprobs":null,"finish_reason":"stop"}],"usage":{"prompt_tokens":1596,"completion_tokens":54,"total_tokens":1650,"prompt_tokens_details":{"cached_tokens":0,"audio_tokens":0},"completion_tokens_details":{"reasoning_tokens":0,"audio_tokens":0,"accepted_prediction_tokens":0,"rejected_prediction_tokens":0}},"service_tier":"default","system_fingerprint":"fp_ad66631dec"}</t>
        </is>
      </c>
      <c r="X119" t="inlineStr">
        <is>
          <t>水洗黑色宽松连帽卫衣，柔软棉质材质打造复古街头风格，简约袋鼠兜设计彰显休闲质感，男女皆宜，适合潮流日常穿搭。</t>
        </is>
      </c>
    </row>
    <row r="120" ht="25.5" customHeight="1">
      <c r="A120">
        <v>1839115443</v>
      </c>
      <c r="B120">
        <v>7617009126</v>
      </c>
      <c r="C120" t="inlineStr">
        <is>
          <t>https://weidian.com/item.html?itemID=7617009126</t>
        </is>
      </c>
      <c r="D120"/>
      <c r="E120" s="2" t="str">
        <f>=HYPERLINK("https://si.geilicdn.com/open1839115443-252808396-57dc0000019aaf7fdce40a22d249_800_994.jpg?w=640&amp;h=640", "https://si.geilicdn.com/open1839115443-252808396-57dc0000019aaf7fdce40a22d249_800_994.jpg?w=640&amp;h=640")</f>
        <v>https://si.geilicdn.com/open1839115443-252808396-57dc0000019aaf7fdce40a22d249_800_994.jpg?w=640&amp;h=640</v>
      </c>
      <c r="F120" t="inlineStr">
        <is>
          <t>T-Shirts</t>
        </is>
      </c>
      <c r="G120" t="inlineStr">
        <is>
          <t>Other</t>
        </is>
      </c>
      <c r="H120" t="inlineStr">
        <is>
          <t>120.00</t>
        </is>
      </c>
      <c r="I120">
        <v>17.39</v>
      </c>
      <c r="J120" t="inlineStr">
        <is>
          <t>{"id":"chatcmpl-DWcUc8sgE3okg0mgZUXYVNEKbe2z0","object":"chat.completion","created":1776666834,"model":"gpt-5-chat-latest","choices":[{"index":0,"message":{"role":"assistant","content":"RECOVER Racing Series Dark Gray Vintage T-Shirt","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ad66631dec"}</t>
        </is>
      </c>
      <c r="K120" t="inlineStr">
        <is>
          <t>RECOVER Racing Series Dark Gray Vintage T-Shirt</t>
        </is>
      </c>
      <c r="L120" t="inlineStr">
        <is>
          <t>{"choices":[{"finish_reason":"stop","index":0,"logprobs":null,"message":{"annotations":[],"content":"RECOVER Racing Series Dark Gray Cotton T-Shirt featuring speed car and driver graphic. Soft, breathable fabric, loose vintage street fit. Unisex casual style showing power and motion.","refusal":null,"role":"assistant"}}],"created":1776658917,"id":"chatcmpl-DWaQvWimiPU0cOnpR0IG8TDT5WArl","model":"gpt-5-chat-latest","object":"chat.completion","service_tier":"default","system_fingerprint":"fp_ad66631dec","usage":{"completion_tokens":36,"completion_tokens_details":{"accepted_prediction_tokens":0,"audio_tokens":0,"reasoning_tokens":0,"rejected_prediction_tokens":0},"prompt_tokens":910,"prompt_tokens_details":{"audio_tokens":0,"cached_tokens":0},"total_tokens":946}}</t>
        </is>
      </c>
      <c r="M120" t="inlineStr">
        <is>
          <t>{"alt-svc":"h3=\":443\"; ma=2592000","apim-request-id":"e3c3a474-77e3-4076-abb6-4b5985de7558","azureml-model-session":"d20260405234249-f9874baf","cache-control":"no-cache","connection":"close","content-length":"771","content-security-policy":"frame-ancestors 'self'","content-type":"application/json","date":"Mon, 20 Apr 2026 04:21:58 GMT","server":"Caddy","skip-error-remapping":"true","strict-transport-security":"max-age=31536000; includeSubDomains; preload","via":"1.1 Caddy","x-api-request-id":"20260420122156486104140bO8RQF8Q","x-content-type-options":"nosniff","x-frame-options":"SAMEORIGIN","x-ms-client-request-id":"Not-Set","x-ms-is-spilled-over":"false","x-ms-rai-invoked":"true","x-ms-region":"East US 2","x-new-api-version":"0.4.39","x-oneapi-request-id":"202604200421563687806978268d9d6h8aV8KoB","x-ratelimit-abusepenalty-active":"False","x-ratelimit-limit-requests":"3850","x-ratelimit-limit-tokens":"3850000","x-ratelimit-remaining-requests":"3849","x-ratelimit-remaining-tokens":"3848328","x-ratelimit-renewalperiod-requests":"60","x-ratelimit-renewalperiod-tokens":"60","x-ratelimit-reset-requests":"15","x-ratelimit-reset-tokens":"26","x-request-id":"6c0259b9-eecb-400d-84f7-da53b74bc929"}</t>
        </is>
      </c>
      <c r="N120" t="inlineStr">
        <is>
          <t>RECOVER Racing Series Dark Gray Cotton T-Shirt featuring speed car and driver graphic. Soft, breathable fabric, loose vintage street fit. Unisex casual style showing power and motion.</t>
        </is>
      </c>
      <c r="O120" t="inlineStr">
        <is>
          <t>{"choices":[{"finish_reason":"stop","index":0,"logprobs":null,"message":{"annotations":[],"content":"Recover, T-Shirts, kakobuy, kakebuy2026, kekobuysheet, kakobuysheet2026, 2026kakobuy, kakobuyspreadsheet, kakobuylink, kakebuylist, Kakobuy MEGA Spreadsheet, kakobuysheetfind, kakobuysheetfind2026, 2026kakobuysheetfind, kakobuysheet2026","refusal":null,"role":"assistant"}}],"created":1776667956,"id":"chatcmpl-DWcmiG5SLYL2CS4d1gpKqdMijIbXd","model":"gpt-5-chat-latest","object":"chat.completion","service_tier":"default","system_fingerprint":"fp_ad66631dec","usage":{"completion_tokens":89,"completion_tokens_details":{"accepted_prediction_tokens":0,"audio_tokens":0,"reasoning_tokens":0,"rejected_prediction_tokens":0},"prompt_tokens":782,"prompt_tokens_details":{"audio_tokens":0,"cached_tokens":0},"total_tokens":871}}</t>
        </is>
      </c>
      <c r="P120" t="inlineStr">
        <is>
          <t>Recover, T-Shirts, kakobuy, kakebuy2026, kekobuysheet, kakobuysheet2026, 2026kakobuy, kakobuyspreadsheet, kakobuylink, kakebuylist, Kakobuy MEGA Spreadsheet, kakobuysheetfind, kakobuysheetfind2026, 2026kakobuysheetfind, kakobuysheet2026</t>
        </is>
      </c>
      <c r="Q120" t="inlineStr">
        <is>
          <t>Dark Grey, Unisex, Vintage, Street</t>
        </is>
      </c>
      <c r="R120" t="inlineStr">
        <is>
          <t>recvh6xFVjyJL2</t>
        </is>
      </c>
      <c r="S120" t="inlineStr">
        <is>
          <t>recover-racing-series-dark-gray-vintage-recvh6xFVjyJL2</t>
        </is>
      </c>
      <c r="T120"/>
      <c r="U120"/>
      <c r="V120"/>
      <c r="W120" t="inlineStr">
        <is>
          <t>{"choices":[{"finish_reason":"stop","index":0,"logprobs":null,"message":{"annotations":[],"content":"赛车系列深灰色短袖T恤，以速赛车与人物图腾为设计核心，甄选优质纯棉材质，触感柔软透气。宽松版型结合复古街头风格，彰显速度与力量美学。男女皆宜，适合日常休闲或潮流搭配。","refusal":null,"role":"assistant"}}],"created":1776656016,"id":"chatcmpl-DWZg8xIVIgQW1S3l031IRXBRdYPMn","model":"gpt-5-chat-latest","object":"chat.completion","service_tier":"default","system_fingerprint":"fp_ad66631dec","usage":{"completion_tokens":76,"completion_tokens_details":{"accepted_prediction_tokens":0,"audio_tokens":0,"reasoning_tokens":0,"rejected_prediction_tokens":0},"prompt_tokens":1311,"prompt_tokens_details":{"audio_tokens":0,"cached_tokens":1280},"total_tokens":1387}}</t>
        </is>
      </c>
      <c r="X120" t="inlineStr">
        <is>
          <t>赛车系列深灰色短袖T恤，以速赛车与人物图腾为设计核心，甄选优质纯棉材质，触感柔软透气。宽松版型结合复古街头风格，彰显速度与力量美学。男女皆宜，适合日常休闲或潮流搭配。</t>
        </is>
      </c>
    </row>
    <row r="121" ht="25.5" customHeight="1">
      <c r="A121">
        <v>1839115443</v>
      </c>
      <c r="B121">
        <v>7614128591</v>
      </c>
      <c r="C121" t="inlineStr">
        <is>
          <t>https://weidian.com/item.html?itemID=7614128591</t>
        </is>
      </c>
      <c r="D121"/>
      <c r="E121" s="2" t="str">
        <f>=HYPERLINK("https://si.geilicdn.com/open1839115443-252808396-45860000019aaf7f8d420a8115c2_800_994.jpg?w=640&amp;h=640", "https://si.geilicdn.com/open1839115443-252808396-45860000019aaf7f8d420a8115c2_800_994.jpg?w=640&amp;h=640")</f>
        <v>https://si.geilicdn.com/open1839115443-252808396-45860000019aaf7f8d420a8115c2_800_994.jpg?w=640&amp;h=640</v>
      </c>
      <c r="F121" t="inlineStr">
        <is>
          <t>T-Shirts</t>
        </is>
      </c>
      <c r="G121" t="inlineStr">
        <is>
          <t>Other</t>
        </is>
      </c>
      <c r="H121" t="inlineStr">
        <is>
          <t>120.00</t>
        </is>
      </c>
      <c r="I121">
        <v>17.39</v>
      </c>
      <c r="J121" t="inlineStr">
        <is>
          <t>{"choices":[{"finish_reason":"stop","index":0,"logprobs":null,"message":{"annotations":[],"content":"RECOVER Retro Black Basketball Graphic T-Shirt","refusal":null,"role":"assistant"}}],"created":1776665915,"id":"chatcmpl-DWcFnyvPsAKUDkTdZaMIvVjDxuXGr","model":"gpt-5-chat-latest","object":"chat.completion","service_tier":"default","system_fingerprint":"fp_ad66631dec","usage":{"completion_tokens":9,"completion_tokens_details":{"accepted_prediction_tokens":0,"audio_tokens":0,"reasoning_tokens":0,"rejected_prediction_tokens":0},"prompt_tokens":883,"prompt_tokens_details":{"audio_tokens":0,"cached_tokens":0},"total_tokens":892}}</t>
        </is>
      </c>
      <c r="K121" t="inlineStr">
        <is>
          <t>RECOVER Retro Black Basketball Graphic T-Shirt</t>
        </is>
      </c>
      <c r="L121" t="inlineStr">
        <is>
          <t>{"id":"chatcmpl-DWaR1s7Bej0d6mMCLZzYFi3O8VCjb","object":"chat.completion","created":1776658923,"model":"gpt-5-chat-latest","choices":[{"index":0,"message":{"role":"assistant","content":"RECOVER Retro Black Basketball T-Shirt, made from premium washed cotton for soft, breathable comfort. Dynamic player print and bold gold logo showcase street sport style. Unisex loose fit for trendy urban wear.","refusal":null,"annotations":[]},"logprobs":null,"finish_reason":"stop"}],"usage":{"prompt_tokens":929,"completion_tokens":41,"total_tokens":970,"prompt_tokens_details":{"cached_tokens":0,"audio_tokens":0},"completion_tokens_details":{"reasoning_tokens":0,"audio_tokens":0,"accepted_prediction_tokens":0,"rejected_prediction_tokens":0}},"service_tier":"default","system_fingerprint":"fp_ad66631dec"}</t>
        </is>
      </c>
      <c r="M12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ma=2592000","apim-request-id":"a25daee2-3bcc-47a3-8dc4-185485265bd4","azureml-model-session":"d20260405212659-a9daa006","cache-control":"no-cache, no-store, must-revalidate","connection":"close","content-length":"1014","content-security-policy":"frame-ancestors 'self'","content-type":"application/json","date":"Mon, 20 Apr 2026 04:22:05 GMT","server":"Caddy","skip-error-remapping":"true","strict-transport-security":"max-age=31536000; includeSubDomains; preload","via":"1.1 Caddy","x-api-request-id":"20260420122202670729838B9367Qnv","x-content-type-options":"nosniff","x-frame-options":"SAMEORIGIN","x-ms-is-spilled-over":"false","x-ms-rai-invoked":"false","x-ms-region":"East US 2","x-new-api-version":"0.4.39","x-oneapi-request-id":"202604200422026023684958268d9d6QNDVB1SE","x-ratelimit-abusepenalty-active":"False","x-ratelimit-limit-requests":"4994","x-ratelimit-limit-tokens":"4994000","x-ratelimit-remaining-requests":"4993","x-ratelimit-remaining-tokens":"4992309","x-ratelimit-renewalperiod-requests":"60","x-ratelimit-renewalperiod-tokens":"60","x-ratelimit-reset-requests":"12","x-ratelimit-reset-tokens":"20","x-request-id":"4b08cc52-57fc-4427-bf51-f2334d5b5dff"}</t>
        </is>
      </c>
      <c r="N121" t="inlineStr">
        <is>
          <t>RECOVER Retro Black Basketball T-Shirt, made from premium washed cotton for soft, breathable comfort. Dynamic player print and bold gold logo showcase street sport style. Unisex loose fit for trendy urban wear.</t>
        </is>
      </c>
      <c r="O121" t="inlineStr">
        <is>
          <t>{"choices":[{"finish_reason":"stop","index":0,"logprobs":null,"message":{"annotations":[],"content":"Recover, T-Shirts, kakobuy, kakebuy2026, kekobuysheet, kakobuysheet2026, 2026kakobuy, kakobuyspreadsheeet, kakobuylink, kakebuylist, Kakobuy MEGA Spreadsheet, kakobuysheetfind, kakobuysheetfind2026, 2026kakobuysheetfind, kakobuysheet2026","refusal":null,"role":"assistant"}}],"created":1776667734,"id":"chatcmpl-DWcj8uPsDJuB2k2Jg7zEQeqL8wgZt","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21" t="inlineStr">
        <is>
          <t>Recover, T-Shirts, kakobuy, kakebuy2026, kekobuysheet, kakobuysheet2026, 2026kakobuy, kakobuyspreadsheeet, kakobuylink, kakebuylist, Kakobuy MEGA Spreadsheet, kakobuysheetfind, kakobuysheetfind2026, 2026kakobuysheetfind, kakobuysheet2026</t>
        </is>
      </c>
      <c r="Q121" t="inlineStr">
        <is>
          <t>Retro, Black, Gold, Street, Streetwear, Unisex</t>
        </is>
      </c>
      <c r="R121" t="inlineStr">
        <is>
          <t>recvh6xFVj3lId</t>
        </is>
      </c>
      <c r="S121" t="inlineStr">
        <is>
          <t>recover-retro-black-basketball-graphic-tshirt-recvh6xFVj3lId</t>
        </is>
      </c>
      <c r="T121"/>
      <c r="U121"/>
      <c r="V121"/>
      <c r="W121" t="inlineStr">
        <is>
          <t>{"choices":[{"finish_reason":"stop","index":0,"logprobs":null,"message":{"annotations":[],"content":"复古黑色篮球系列潮流短袖T恤，采用优质纯棉洗水面料，质感柔软透气。正面印有动感球员奔跑图腾与醒目的金色英文字标，展现街头运动美学。宽松版型设计适合男女通穿，休闲复古风格，兼具时尚与舒适，彰显青春活力。","refusal":null,"role":"assistant"}}],"created":1776655600,"id":"chatcmpl-DWZZQUYqVCgOoNgXSwzhnDuotL5H2","model":"gpt-5-chat-latest","object":"chat.completion","service_tier":"default","system_fingerprint":"fp_ad66631dec","usage":{"completion_tokens":94,"completion_tokens_details":{"accepted_prediction_tokens":0,"audio_tokens":0,"reasoning_tokens":0,"rejected_prediction_tokens":0},"prompt_tokens":1313,"prompt_tokens_details":{"audio_tokens":0,"cached_tokens":1280},"total_tokens":1407}}</t>
        </is>
      </c>
      <c r="X121" t="inlineStr">
        <is>
          <t>复古黑色篮球系列潮流短袖T恤，采用优质纯棉洗水面料，质感柔软透气。正面印有动感球员奔跑图腾与醒目的金色英文字标，展现街头运动美学。宽松版型设计适合男女通穿，休闲复古风格，兼具时尚与舒适，彰显青春活力。</t>
        </is>
      </c>
    </row>
    <row r="122" ht="25.5" customHeight="1">
      <c r="A122">
        <v>1839115443</v>
      </c>
      <c r="B122">
        <v>7616995462</v>
      </c>
      <c r="C122" t="inlineStr">
        <is>
          <t>https://weidian.com/item.html?itemID=7616995462</t>
        </is>
      </c>
      <c r="D122"/>
      <c r="E122" s="2" t="str">
        <f>=HYPERLINK("https://si.geilicdn.com/open1839115443-252808396-52b50000019aaf7f80a00a23b4de_800_786.jpg?w=640&amp;h=640", "https://si.geilicdn.com/open1839115443-252808396-52b50000019aaf7f80a00a23b4de_800_786.jpg?w=640&amp;h=640")</f>
        <v>https://si.geilicdn.com/open1839115443-252808396-52b50000019aaf7f80a00a23b4de_800_786.jpg?w=640&amp;h=640</v>
      </c>
      <c r="F122" t="inlineStr">
        <is>
          <t>T-Shirts</t>
        </is>
      </c>
      <c r="G122" t="inlineStr">
        <is>
          <t>Other</t>
        </is>
      </c>
      <c r="H122" t="inlineStr">
        <is>
          <t>138.00</t>
        </is>
      </c>
      <c r="I122">
        <v>20</v>
      </c>
      <c r="J122" t="inlineStr">
        <is>
          <t>{"choices":[{"finish_reason":"stop","index":0,"logprobs":null,"message":{"annotations":[],"content":"GHOST Vintage Black Cross Collar Washed T-Shirt","refusal":null,"role":"assistant"}}],"created":1776666310,"id":"chatcmpl-DWcMARTtL6FH8G5pdCa9y3mTVtCD3","model":"gpt-5-chat-latest","object":"chat.completion","service_tier":"default","system_fingerprint":"fp_ad66631dec","usage":{"completion_tokens":11,"completion_tokens_details":{"accepted_prediction_tokens":0,"audio_tokens":0,"reasoning_tokens":0,"rejected_prediction_tokens":0},"prompt_tokens":877,"prompt_tokens_details":{"audio_tokens":0,"cached_tokens":0},"total_tokens":888}}</t>
        </is>
      </c>
      <c r="K122" t="inlineStr">
        <is>
          <t>GHOST Vintage Black Cross Collar Washed T-Shirt</t>
        </is>
      </c>
      <c r="L122" t="inlineStr">
        <is>
          <t>{"id":"chatcmpl-DWaIBBl8aVc4msS83PEzvfUGB0DcV","object":"chat.completion","created":1776658375,"model":"gpt-5-chat-latest","choices":[{"index":0,"message":{"role":"assistant","content":"GHOST Vintage Series Black Washed T-Shirt, soft cotton fabric, white cross print on collar, unisex casual streetwear style, inspired by 90s retro cool fashion trends.","refusal":null,"annotations":[]},"logprobs":null,"finish_reason":"stop"}],"usage":{"prompt_tokens":894,"completion_tokens":38,"total_tokens":932,"prompt_tokens_details":{"cached_tokens":0,"audio_tokens":0},"completion_tokens_details":{"reasoning_tokens":0,"audio_tokens":0,"accepted_prediction_tokens":0,"rejected_prediction_tokens":0}},"service_tier":"default","system_fingerprint":"fp_ad66631dec"}</t>
        </is>
      </c>
      <c r="M12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ma=2592000","apim-request-id":"8772253b-a792-4191-8b48-a081124a1b38","azureml-model-session":"d20260402075109-1fc5a0ec","cache-control":"no-cache, no-store, must-revalidate","connection":"close","content-length":"970","content-security-policy":"frame-ancestors 'self'","content-type":"application/json","date":"Mon, 20 Apr 2026 04:12:56 GMT","server":"Caddy","skip-error-remapping":"true","strict-transport-security":"max-age=31536000; includeSubDomains; preload","via":"1.1 Caddy","x-api-request-id":"20260420121254240787100VhUBvqM5","x-content-type-options":"nosniff","x-frame-options":"SAMEORIGIN","x-ms-is-spilled-over":"false","x-ms-rai-invoked":"false","x-ms-region":"East US 2","x-new-api-version":"0.4.39","x-oneapi-request-id":"202604200412541643800448268d9d6XZOBxIrf","x-ratelimit-abusepenalty-active":"False","x-ratelimit-limit-requests":"4994","x-ratelimit-limit-tokens":"4994000","x-ratelimit-remaining-requests":"4993","x-ratelimit-remaining-tokens":"4990818","x-ratelimit-renewalperiod-requests":"60","x-ratelimit-renewalperiod-tokens":"60","x-ratelimit-reset-requests":"12","x-ratelimit-reset-tokens":"38","x-request-id":"0af6d1f9-a4ef-48d6-9f13-57318764cc9f"}</t>
        </is>
      </c>
      <c r="N122" t="inlineStr">
        <is>
          <t>GHOST Vintage Series Black Washed T-Shirt, soft cotton fabric, white cross print on collar, unisex casual streetwear style, inspired by 90s retro cool fashion trends.</t>
        </is>
      </c>
      <c r="O122" t="inlineStr">
        <is>
          <t>{"choices":[{"finish_reason":"stop","index":0,"logprobs":null,"message":{"annotations":[],"content":"GHOST,T-Shirts,kakobuy,kakebuy2026,kekobuysheet,kakobuysheet2026,2026kakobuy,kakobuyspreadsheeet,kakobuylink,kakebuylist,Kakobuy MEGA Spreadsheet,kakobuysheetfind,kakobuysheetfind2026,2026kakobuysheetfind,kakobuysheet2026","refusal":null,"role":"assistant"}}],"created":1776667567,"id":"chatcmpl-DWcgROsIQ0Y2J4kf2bLqd1VHvFLXH","model":"gpt-5-chat-latest","object":"chat.completion","service_tier":"default","system_fingerprint":"fp_ad66631dec","usage":{"completion_tokens":87,"completion_tokens_details":{"accepted_prediction_tokens":0,"audio_tokens":0,"reasoning_tokens":0,"rejected_prediction_tokens":0},"prompt_tokens":782,"prompt_tokens_details":{"audio_tokens":0,"cached_tokens":0},"total_tokens":869}}</t>
        </is>
      </c>
      <c r="P122" t="inlineStr">
        <is>
          <t>GHOST,T-Shirts,kakobuy,kakebuy2026,kekobuysheet,kakobuysheet2026,2026kakobuy,kakobuyspreadsheeet,kakobuylink,kakebuylist,Kakobuy MEGA Spreadsheet,kakobuysheetfind,kakobuysheetfind2026,2026kakobuysheetfind,kakobuysheet2026</t>
        </is>
      </c>
      <c r="Q122" t="inlineStr">
        <is>
          <t>Unisex, Streetwear, Retro</t>
        </is>
      </c>
      <c r="R122" t="inlineStr">
        <is>
          <t>recvh6xFVjiPPq</t>
        </is>
      </c>
      <c r="S122" t="inlineStr">
        <is>
          <t>ghost-vintage-black-cross-collar-washed-t-shirt-recvh6xFVjiPPq</t>
        </is>
      </c>
      <c r="T122"/>
      <c r="U122"/>
      <c r="V122"/>
      <c r="W122" t="inlineStr">
        <is>
          <t>{"choices":[{"finish_reason":"stop","index":0,"logprobs":null,"message":{"annotations":[],"content":"复古系列黑色水洗短袖T恤，柔软纯棉材质，领口饰白色十字印花图腾，简约街头设计风格，男女通用款，呈现90年代复古冷感潮流。","refusal":null,"role":"assistant"}}],"created":1776655638,"id":"chatcmpl-DWZa2MxLkKfgvlFd2vVvbzhVHDX3e","model":"gpt-5-chat-latest","object":"chat.completion","service_tier":"default","system_fingerprint":"fp_ad66631dec","usage":{"completion_tokens":58,"completion_tokens_details":{"accepted_prediction_tokens":0,"audio_tokens":0,"reasoning_tokens":0,"rejected_prediction_tokens":0},"prompt_tokens":1315,"prompt_tokens_details":{"audio_tokens":0,"cached_tokens":1280},"total_tokens":1373}}</t>
        </is>
      </c>
      <c r="X122" t="inlineStr">
        <is>
          <t>复古系列黑色水洗短袖T恤，柔软纯棉材质，领口饰白色十字印花图腾，简约街头设计风格，男女通用款，呈现90年代复古冷感潮流。</t>
        </is>
      </c>
    </row>
    <row r="123" ht="25.5" customHeight="1">
      <c r="A123">
        <v>1839115443</v>
      </c>
      <c r="B123">
        <v>7617090642</v>
      </c>
      <c r="C123" t="inlineStr">
        <is>
          <t>https://weidian.com/item.html?itemID=7617090642</t>
        </is>
      </c>
      <c r="D123"/>
      <c r="E123" s="2" t="str">
        <f>=HYPERLINK("https://si.geilicdn.com/open1839115443-252808396-557b0000019aaf7f7a4b0a231226_800_994.jpg?w=640&amp;h=640", "https://si.geilicdn.com/open1839115443-252808396-557b0000019aaf7f7a4b0a231226_800_994.jpg?w=640&amp;h=640")</f>
        <v>https://si.geilicdn.com/open1839115443-252808396-557b0000019aaf7f7a4b0a231226_800_994.jpg?w=640&amp;h=640</v>
      </c>
      <c r="F123" t="inlineStr">
        <is>
          <t>T-Shirts</t>
        </is>
      </c>
      <c r="G123" t="inlineStr">
        <is>
          <t>Other</t>
        </is>
      </c>
      <c r="H123" t="inlineStr">
        <is>
          <t>120.00</t>
        </is>
      </c>
      <c r="I123">
        <v>17.39</v>
      </c>
      <c r="J123" t="inlineStr">
        <is>
          <t>{"id":"chatcmpl-DWcUKJBAaknYID0ZlmCnKCrIS8yvO","object":"chat.completion","created":1776666816,"model":"gpt-5-chat-latest","choices":[{"index":0,"message":{"role":"assistant","content":"RECOVER Vintage Black Oversized Hip Hop Graphic T-Shirt","refusal":null,"annotations":[]},"logprobs":null,"finish_reason":"stop"}],"usage":{"prompt_tokens":881,"completion_tokens":12,"total_tokens":893,"prompt_tokens_details":{"cached_tokens":0,"audio_tokens":0},"completion_tokens_details":{"reasoning_tokens":0,"audio_tokens":0,"accepted_prediction_tokens":0,"rejected_prediction_tokens":0}},"service_tier":"default","system_fingerprint":"fp_ad66631dec"}</t>
        </is>
      </c>
      <c r="K123" t="inlineStr">
        <is>
          <t>RECOVER Vintage Black Oversized Hip Hop Graphic T-Shirt</t>
        </is>
      </c>
      <c r="L123" t="inlineStr">
        <is>
          <t>{"choices":[{"finish_reason":"stop","index":0,"logprobs":null,"message":{"annotations":[],"content":"RECOVER Vintage Streetwear Black Graphic T-Shirt, made from soft cotton with distressed wash, bold front print and oversized fit, unisex 90s retro hip-hop style for casual everyday wear.","refusal":null,"role":"assistant"}}],"created":1776658321,"id":"chatcmpl-DWaHJRV47xr9pGqsdeAKaHuTs6zAg","model":"gpt-5-chat-latest","object":"chat.completion","service_tier":"default","system_fingerprint":"fp_ad66631dec","usage":{"completion_tokens":40,"completion_tokens_details":{"accepted_prediction_tokens":0,"audio_tokens":0,"reasoning_tokens":0,"rejected_prediction_tokens":0},"prompt_tokens":911,"prompt_tokens_details":{"audio_tokens":0,"cached_tokens":0},"total_tokens":951}}</t>
        </is>
      </c>
      <c r="M123" t="inlineStr">
        <is>
          <t>{"alt-svc":"h3=\":443\"; ma=2592000","apim-request-id":"2d4e8824-4009-40c6-b570-5b19581d0273","azureml-model-session":"d20260405221325-2e8d5e76","cache-control":"no-cache","connection":"close","content-length":"774","content-security-policy":"frame-ancestors 'self'","content-type":"application/json","date":"Mon, 20 Apr 2026 04:12:02 GMT","server":"Caddy","skip-error-remapping":"true","strict-transport-security":"max-age=31536000; includeSubDomains; preload","via":"1.1 Caddy","x-api-request-id":"20260420121200282880114Gk37aDNo","x-content-type-options":"nosniff","x-frame-options":"SAMEORIGIN","x-ms-client-request-id":"Not-Set","x-ms-is-spilled-over":"false","x-ms-rai-invoked":"true","x-ms-region":"East US 2","x-new-api-version":"0.4.39","x-oneapi-request-id":"20260420041200706457818268d9d6v8WyBMlg","x-ratelimit-abusepenalty-active":"False","x-ratelimit-limit-requests":"3850","x-ratelimit-limit-tokens":"3850000","x-ratelimit-remaining-requests":"3848","x-ratelimit-remaining-tokens":"3845990","x-ratelimit-renewalperiod-requests":"60","x-ratelimit-renewalperiod-tokens":"60","x-ratelimit-reset-requests":"28","x-ratelimit-reset-tokens":"62","x-request-id":"165e53ed-c3b7-41a4-b8ca-f28dc2520e80"}</t>
        </is>
      </c>
      <c r="N123" t="inlineStr">
        <is>
          <t>RECOVER Vintage Streetwear Black Graphic T-Shirt, made from soft cotton with distressed wash, bold front print and oversized fit, unisex 90s retro hip-hop style for casual everyday wear.</t>
        </is>
      </c>
      <c r="O123" t="inlineStr">
        <is>
          <t>{"choices":[{"finish_reason":"stop","index":0,"logprobs":null,"message":{"annotations":[],"content":"Kendrick,T-Shirts,kakobuy,kakebuy2026,kekobuysheet,kakobuysheet2026,2026kakobuy,kakobuyspreadsheeet,kakobuylink,kakebuylist,Kakobuy MEGA Spreadsheet,kakobuysheetfind,kakobuysheetfind2026,2026kakobuysheetfind,kakobuysheet2026","refusal":null,"role":"assistant"}}],"created":1776667496,"id":"chatcmpl-DWcfIkquvpnRFqsETjUIvQLuuBCMQ","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23" t="inlineStr">
        <is>
          <t>Kendrick,T-Shirts,kakobuy,kakebuy2026,kekobuysheet,kakobuysheet2026,2026kakobuy,kakobuyspreadsheeet,kakobuylink,kakebuylist,Kakobuy MEGA Spreadsheet,kakobuysheetfind,kakobuysheetfind2026,2026kakobuysheetfind,kakobuysheet2026</t>
        </is>
      </c>
      <c r="Q123" t="inlineStr">
        <is>
          <t>Vintage, Streetwear, Black, Unisex, Retro, Hip Hop</t>
        </is>
      </c>
      <c r="R123" t="inlineStr">
        <is>
          <t>recvh6xFVj3Iq9</t>
        </is>
      </c>
      <c r="S123" t="inlineStr">
        <is>
          <t>recover-vintage-black-oversized-hip-hop-graphic-tshirt-recvh6xFVj3Iq9</t>
        </is>
      </c>
      <c r="T123"/>
      <c r="U123"/>
      <c r="V123"/>
      <c r="W123" t="inlineStr">
        <is>
          <t>{"choices":[{"finish_reason":"stop","index":0,"logprobs":null,"message":{"annotations":[],"content":"复古潮流系列黑色做旧印花T恤，甄选舒适纯棉质地，正面醒目英文与人物图案设计，街头嘻哈风格浓厚，宽松剪裁适合男女穿搭，展现90年代复古街头文化气质，休闲百搭。","refusal":null,"role":"assistant"}}],"created":1776655848,"id":"chatcmpl-DWZdQ9wB23DHsGz6eyuL1cTQG2Sf0","model":"gpt-5-chat-latest","object":"chat.completion","service_tier":"default","system_fingerprint":"fp_ad66631dec","usage":{"completion_tokens":75,"completion_tokens_details":{"accepted_prediction_tokens":0,"audio_tokens":0,"reasoning_tokens":0,"rejected_prediction_tokens":0},"prompt_tokens":1315,"prompt_tokens_details":{"audio_tokens":0,"cached_tokens":0},"total_tokens":1390}}</t>
        </is>
      </c>
      <c r="X123" t="inlineStr">
        <is>
          <t>复古潮流系列黑色做旧印花T恤，甄选舒适纯棉质地，正面醒目英文与人物图案设计，街头嘻哈风格浓厚，宽松剪裁适合男女穿搭，展现90年代复古街头文化气质，休闲百搭。</t>
        </is>
      </c>
    </row>
    <row r="124" ht="25.5" customHeight="1">
      <c r="A124">
        <v>1839115443</v>
      </c>
      <c r="B124">
        <v>7617110292</v>
      </c>
      <c r="C124" t="inlineStr">
        <is>
          <t>https://weidian.com/item.html?itemID=7617110292</t>
        </is>
      </c>
      <c r="D124"/>
      <c r="E124" s="2" t="str">
        <f>=HYPERLINK("https://si.geilicdn.com/open1839115443-252808396-49a20000019aaf7f7f550a8133b0_800_994.jpg?w=640&amp;h=640", "https://si.geilicdn.com/open1839115443-252808396-49a20000019aaf7f7f550a8133b0_800_994.jpg?w=640&amp;h=640")</f>
        <v>https://si.geilicdn.com/open1839115443-252808396-49a20000019aaf7f7f550a8133b0_800_994.jpg?w=640&amp;h=640</v>
      </c>
      <c r="F124" t="inlineStr">
        <is>
          <t>T-Shirts</t>
        </is>
      </c>
      <c r="G124" t="inlineStr">
        <is>
          <t>Other</t>
        </is>
      </c>
      <c r="H124" t="inlineStr">
        <is>
          <t>120.00</t>
        </is>
      </c>
      <c r="I124">
        <v>17.39</v>
      </c>
      <c r="J124" t="inlineStr">
        <is>
          <t>{"choices":[{"finish_reason":"stop","index":0,"logprobs":null,"message":{"annotations":[],"content":"RECOVER Vintage Black Basketball Graphic Cotton T-Shirt","refusal":null,"role":"assistant"}}],"created":1776666177,"id":"chatcmpl-DWcK13lO6cE4OlhC8eXhtrxSrSQ1l","model":"gpt-5-chat-latest","object":"chat.completion","service_tier":"default","system_fingerprint":"fp_ad66631dec","usage":{"completion_tokens":10,"completion_tokens_details":{"accepted_prediction_tokens":0,"audio_tokens":0,"reasoning_tokens":0,"rejected_prediction_tokens":0},"prompt_tokens":875,"prompt_tokens_details":{"audio_tokens":0,"cached_tokens":0},"total_tokens":885}}</t>
        </is>
      </c>
      <c r="K124" t="inlineStr">
        <is>
          <t>RECOVER Vintage Black Basketball Graphic Cotton T-Shirt</t>
        </is>
      </c>
      <c r="L124" t="inlineStr">
        <is>
          <t>{"choices":[{"finish_reason":"stop","index":0,"logprobs":null,"message":{"annotations":[],"content":"RECOVER Vintage Black Basketball Print T-Shirt, soft 100% cotton, street-style design with handwritten logo, unisex loose fit for casual daily wear, showing bold sporty personality.","refusal":null,"role":"assistant"}}],"created":1776658663,"id":"chatcmpl-DWaMpXgQhpqRsz8oiT7eVDASqnY2b","model":"gpt-5-chat-latest","object":"chat.completion","service_tier":"default","system_fingerprint":"fp_ad66631dec","usage":{"completion_tokens":37,"completion_tokens_details":{"accepted_prediction_tokens":0,"audio_tokens":0,"reasoning_tokens":0,"rejected_prediction_tokens":0},"prompt_tokens":921,"prompt_tokens_details":{"audio_tokens":0,"cached_tokens":0},"total_tokens":958}}</t>
        </is>
      </c>
      <c r="M124" t="inlineStr">
        <is>
          <t>{"alt-svc":"h3=\":443\"; ma=2592000","apim-request-id":"c2b615da-4059-4f5d-91a8-daf12a65d5ca","azureml-model-session":"d20260405225800-40f19e54","cache-control":"no-cache","connection":"close","content-length":"769","content-security-policy":"frame-ancestors 'self'","content-type":"application/json","date":"Mon, 20 Apr 2026 04:17:44 GMT","server":"Caddy","skip-error-remapping":"true","strict-transport-security":"max-age=31536000; includeSubDomains; preload","via":"1.1 Caddy","x-api-request-id":"2026042012174242524941006clAoqu","x-content-type-options":"nosniff","x-frame-options":"SAMEORIGIN","x-ms-client-request-id":"Not-Set","x-ms-is-spilled-over":"false","x-ms-rai-invoked":"true","x-ms-region":"East US 2","x-new-api-version":"0.4.39","x-oneapi-request-id":"202604200417423594939228268d9d6T6a46yKi","x-ratelimit-abusepenalty-active":"False","x-ratelimit-limit-requests":"3850","x-ratelimit-limit-tokens":"3850000","x-ratelimit-remaining-requests":"3849","x-ratelimit-remaining-tokens":"3848317","x-ratelimit-renewalperiod-requests":"60","x-ratelimit-renewalperiod-tokens":"60","x-ratelimit-reset-requests":"15","x-ratelimit-reset-tokens":"26","x-request-id":"32cfe0e0-8dbe-4452-ab41-b0ba35d3b4c0"}</t>
        </is>
      </c>
      <c r="N124" t="inlineStr">
        <is>
          <t>RECOVER Vintage Black Basketball Print T-Shirt, soft 100% cotton, street-style design with handwritten logo, unisex loose fit for casual daily wear, showing bold sporty personality.</t>
        </is>
      </c>
      <c r="O124" t="inlineStr">
        <is>
          <t>{"choices":[{"finish_reason":"stop","index":0,"logprobs":null,"message":{"annotations":[],"content":"Recover, T-Shirts, kakobuy, kakebuy2026, kekobuysheet, kakobuysheet2026, 2026kakobuy, kakobuyspreadsheeet, kakobuylink, kakebuylist, Kakobuy MEGA Spreadsheet, kakobuysheetfind, kakobuysheetfind2026, 2026kakobuysheetfind, kakobuysheet2026","refusal":null,"role":"assistant"}}],"created":1776667139,"id":"chatcmpl-DWcZXIatUwKhrBuMgrKU2C9GtUQYk","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24" t="inlineStr">
        <is>
          <t>Recover, T-Shirts, kakobuy, kakebuy2026, kekobuysheet, kakobuysheet2026, 2026kakobuy, kakobuyspreadsheeet, kakobuylink, kakebuylist, Kakobuy MEGA Spreadsheet, kakobuysheetfind, kakobuysheetfind2026, 2026kakobuysheetfind, kakobuysheet2026</t>
        </is>
      </c>
      <c r="Q124" t="inlineStr">
        <is>
          <t>Streetwear, Black, Unisex, Vintage</t>
        </is>
      </c>
      <c r="R124" t="inlineStr">
        <is>
          <t>recvh6xFVj24BG</t>
        </is>
      </c>
      <c r="S124" t="inlineStr">
        <is>
          <t>recover-vintage-black-basketball-graphic-cotton-tshirt-recvh6xFVj24BG</t>
        </is>
      </c>
      <c r="T124"/>
      <c r="U124"/>
      <c r="V124"/>
      <c r="W124" t="inlineStr">
        <is>
          <t>{"choices":[{"finish_reason":"stop","index":0,"logprobs":null,"message":{"annotations":[],"content":"复古黑色印花系列休闲短袖T恤，采用高质量纯棉材质，质感柔软舒适。正面以篮球运动主题图案与手写风标识设计，展现街头潮流艺术感。宽松版型剪裁，男女皆宜，适合日常休闲穿搭，彰显个性运动风格。","refusal":null,"role":"assistant"}}],"created":1776654909,"id":"chatcmpl-DWZOH6W4WxFFNryvWzjApbv8vcvVG","model":"gpt-5-chat-latest","object":"chat.completion","service_tier":"default","system_fingerprint":"fp_ad66631dec","usage":{"completion_tokens":85,"completion_tokens_details":{"accepted_prediction_tokens":0,"audio_tokens":0,"reasoning_tokens":0,"rejected_prediction_tokens":0},"prompt_tokens":1315,"prompt_tokens_details":{"audio_tokens":0,"cached_tokens":0},"total_tokens":1400}}</t>
        </is>
      </c>
      <c r="X124" t="inlineStr">
        <is>
          <t>复古黑色印花系列休闲短袖T恤，采用高质量纯棉材质，质感柔软舒适。正面以篮球运动主题图案与手写风标识设计，展现街头潮流艺术感。宽松版型剪裁，男女皆宜，适合日常休闲穿搭，彰显个性运动风格。</t>
        </is>
      </c>
    </row>
    <row r="125" ht="25.5" customHeight="1">
      <c r="A125">
        <v>1839115443</v>
      </c>
      <c r="B125">
        <v>7617017144</v>
      </c>
      <c r="C125" t="inlineStr">
        <is>
          <t>https://weidian.com/item.html?itemID=7617017144</t>
        </is>
      </c>
      <c r="D125"/>
      <c r="E125" s="2" t="str">
        <f>=HYPERLINK("https://si.geilicdn.com/open1839115443-252808396-54080000019aaf79a4b50a22d249_800_1290.jpg?w=640&amp;h=640", "https://si.geilicdn.com/open1839115443-252808396-54080000019aaf79a4b50a22d249_800_1290.jpg?w=640&amp;h=640")</f>
        <v>https://si.geilicdn.com/open1839115443-252808396-54080000019aaf79a4b50a22d249_800_1290.jpg?w=640&amp;h=640</v>
      </c>
      <c r="F125" t="inlineStr">
        <is>
          <t>Hoodies</t>
        </is>
      </c>
      <c r="G125" t="inlineStr">
        <is>
          <t>Other</t>
        </is>
      </c>
      <c r="H125" t="inlineStr">
        <is>
          <t>120.00</t>
        </is>
      </c>
      <c r="I125">
        <v>17.39</v>
      </c>
      <c r="J125" t="inlineStr">
        <is>
          <t>{"choices":[{"finish_reason":"stop","index":0,"logprobs":null,"message":{"annotations":[],"content":"HoodiesOther Replica Series Basketball Black Hoodie","refusal":null,"role":"assistant"}}],"created":1776666243,"id":"chatcmpl-DWcL5YSghgz92dw8PZY55GFqNXi4J","model":"gpt-5-chat-latest","object":"chat.completion","service_tier":"default","system_fingerprint":"fp_ad66631dec","usage":{"completion_tokens":10,"completion_tokens_details":{"accepted_prediction_tokens":0,"audio_tokens":0,"reasoning_tokens":0,"rejected_prediction_tokens":0},"prompt_tokens":1160,"prompt_tokens_details":{"audio_tokens":0,"cached_tokens":0},"total_tokens":1170}}</t>
        </is>
      </c>
      <c r="K125" t="inlineStr">
        <is>
          <t>HoodiesOther Replica Series Basketball Black Hoodie</t>
        </is>
      </c>
      <c r="L125" t="inlineStr">
        <is>
          <t>{"choices":[{"finish_reason":"stop","index":0,"logprobs":null,"message":{"annotations":[],"content":"HoodiesOther Replica Series Black Hoodie, soft cotton fabric for comfort, front basketball graphic with signature details, loose fit, drawstring hood, front pocket, unisex casual street style.","refusal":null,"role":"assistant"}}],"created":1776659209,"id":"chatcmpl-DWaVdc1e1dU4HW3mAUSgCzi6LsjET","model":"gpt-5-chat-latest","object":"chat.completion","service_tier":"default","system_fingerprint":"fp_ad66631dec","usage":{"completion_tokens":39,"completion_tokens_details":{"accepted_prediction_tokens":0,"audio_tokens":0,"reasoning_tokens":0,"rejected_prediction_tokens":0},"prompt_tokens":1202,"prompt_tokens_details":{"audio_tokens":0,"cached_tokens":0},"total_tokens":1241}}</t>
        </is>
      </c>
      <c r="M125" t="inlineStr">
        <is>
          <t>{"alt-svc":"h3=\":443\"; ma=2592000","apim-request-id":"1e1b095e-e791-4757-8da5-a6d07f3a7ead","azureml-model-session":"d20260405234249-f9874baf","cache-control":"no-cache","connection":"close","content-length":"782","content-security-policy":"frame-ancestors 'self'","content-type":"application/json","date":"Mon, 20 Apr 2026 04:26:50 GMT","server":"Caddy","skip-error-remapping":"true","strict-transport-security":"max-age=31536000; includeSubDomains; preload","via":"1.1 Caddy","x-api-request-id":"20260420122647982461825BbcYOyrV","x-content-type-options":"nosniff","x-frame-options":"SAMEORIGIN","x-ms-client-request-id":"Not-Set","x-ms-is-spilled-over":"false","x-ms-rai-invoked":"true","x-ms-region":"East US 2","x-new-api-version":"0.4.39","x-oneapi-request-id":"202604200426479167202608268d9d64Hjys0Z6","x-ratelimit-abusepenalty-active":"False","x-ratelimit-limit-requests":"3850","x-ratelimit-limit-tokens":"3850000","x-ratelimit-remaining-requests":"3849","x-ratelimit-remaining-tokens":"3848035","x-ratelimit-renewalperiod-requests":"60","x-ratelimit-renewalperiod-tokens":"60","x-ratelimit-reset-requests":"15","x-ratelimit-reset-tokens":"30","x-request-id":"4ae1b315-9f15-43a6-8e57-3b4c30087fd1"}</t>
        </is>
      </c>
      <c r="N125" t="inlineStr">
        <is>
          <t>HoodiesOther Replica Series Black Hoodie, soft cotton fabric for comfort, front basketball graphic with signature details, loose fit, drawstring hood, front pocket, unisex casual street style.</t>
        </is>
      </c>
      <c r="O125" t="inlineStr">
        <is>
          <t>{"choices":[{"finish_reason":"stop","index":0,"logprobs":null,"message":{"annotations":[],"content":"HoodiesOther,kakobuy,kakebuy2026,kekobuysheet,kakobuysheet2026,2026kakobuy,kakobuyspreadsheeet,kakobuylink,kakebuylist,Kakobuy MEGA Spreadsheet,kakobuysheetfind,kakobuysheetfind2026,2026kakobuysheetfind,kakobuysheet2026","refusal":null,"role":"assistant"}}],"created":1776668402,"id":"chatcmpl-DWctupBNS6Ew3mjTtCkqoHkiZSogm","model":"gpt-5-chat-latest","object":"chat.completion","service_tier":"default","system_fingerprint":"fp_ad66631dec","usage":{"completion_tokens":87,"completion_tokens_details":{"accepted_prediction_tokens":0,"audio_tokens":0,"reasoning_tokens":0,"rejected_prediction_tokens":0},"prompt_tokens":1063,"prompt_tokens_details":{"audio_tokens":0,"cached_tokens":0},"total_tokens":1150}}</t>
        </is>
      </c>
      <c r="P125" t="inlineStr">
        <is>
          <t>HoodiesOther,kakobuy,kakebuy2026,kekobuysheet,kakobuysheet2026,2026kakobuy,kakobuyspreadsheeet,kakobuylink,kakebuylist,Kakobuy MEGA Spreadsheet,kakobuysheetfind,kakobuysheetfind2026,2026kakobuysheetfind,kakobuysheet2026</t>
        </is>
      </c>
      <c r="Q125" t="inlineStr">
        <is>
          <t>Black, Street, Unisex</t>
        </is>
      </c>
      <c r="R125" t="inlineStr">
        <is>
          <t>recvh6xFVjsNM3</t>
        </is>
      </c>
      <c r="S125" t="inlineStr">
        <is>
          <t>hoodiesother-replica-basketball-black-hoodie-recvh6xFVjsNM3</t>
        </is>
      </c>
      <c r="T125"/>
      <c r="U125"/>
      <c r="V125"/>
      <c r="W125" t="inlineStr">
        <is>
          <t>{"choices":[{"finish_reason":"stop","index":0,"logprobs":null,"message":{"annotations":[],"content":"复刻系列黑色连帽卫衣，柔软棉质面料舒适亲肤，正面印有篮球运动员图腾与签名元素，呈现街头运动美学。宽松版型搭配抽绳帽兜与前置口袋，男女同款设计，休闲潮流风格，适合日常穿搭与球迷收藏。","refusal":null,"role":"assistant"}}],"created":1776656261,"id":"chatcmpl-DWZk5k1ECayQ7kAzmjbv9dmyimWJu","model":"gpt-5-chat-latest","object":"chat.completion","service_tier":"default","system_fingerprint":"fp_ad66631dec","usage":{"completion_tokens":86,"completion_tokens_details":{"accepted_prediction_tokens":0,"audio_tokens":0,"reasoning_tokens":0,"rejected_prediction_tokens":0},"prompt_tokens":1594,"prompt_tokens_details":{"audio_tokens":0,"cached_tokens":0},"total_tokens":1680}}</t>
        </is>
      </c>
      <c r="X125" t="inlineStr">
        <is>
          <t>复刻系列黑色连帽卫衣，柔软棉质面料舒适亲肤，正面印有篮球运动员图腾与签名元素，呈现街头运动美学。宽松版型搭配抽绳帽兜与前置口袋，男女同款设计，休闲潮流风格，适合日常穿搭与球迷收藏。</t>
        </is>
      </c>
    </row>
    <row r="126" ht="25.5" customHeight="1">
      <c r="A126">
        <v>1839115443</v>
      </c>
      <c r="B126">
        <v>7614039141</v>
      </c>
      <c r="C126" t="inlineStr">
        <is>
          <t>https://weidian.com/item.html?itemID=7614039141</t>
        </is>
      </c>
      <c r="D126"/>
      <c r="E126" s="2" t="str">
        <f>=HYPERLINK("https://si.geilicdn.com/open1839115443-252808396-4f650000019aaf799d8f0a23b4de_800_1200.jpg?w=640&amp;h=640", "https://si.geilicdn.com/open1839115443-252808396-4f650000019aaf799d8f0a23b4de_800_1200.jpg?w=640&amp;h=640")</f>
        <v>https://si.geilicdn.com/open1839115443-252808396-4f650000019aaf799d8f0a23b4de_800_1200.jpg?w=640&amp;h=640</v>
      </c>
      <c r="F126" t="inlineStr">
        <is>
          <t>T-Shirts</t>
        </is>
      </c>
      <c r="G126" t="inlineStr">
        <is>
          <t>Other</t>
        </is>
      </c>
      <c r="H126" t="inlineStr">
        <is>
          <t>120.00</t>
        </is>
      </c>
      <c r="I126">
        <v>17.39</v>
      </c>
      <c r="J126" t="inlineStr">
        <is>
          <t>{"choices":[{"finish_reason":"stop","index":0,"logprobs":null,"message":{"annotations":[],"content":"OtherBrand Vintage Baseball Graphic Black Cotton Tee","refusal":null,"role":"assistant"}}],"created":1776666706,"id":"chatcmpl-DWcSYkKhh1xnK3Iu89c8nr1pv7U8c","model":"gpt-5-chat-latest","object":"chat.completion","service_tier":"default","system_fingerprint":"fp_ad66631dec","usage":{"completion_tokens":9,"completion_tokens_details":{"accepted_prediction_tokens":0,"audio_tokens":0,"reasoning_tokens":0,"rejected_prediction_tokens":0},"prompt_tokens":887,"prompt_tokens_details":{"audio_tokens":0,"cached_tokens":0},"total_tokens":896}}</t>
        </is>
      </c>
      <c r="K126" t="inlineStr">
        <is>
          <t>OtherBrand Vintage Baseball Graphic Black Cotton Tee</t>
        </is>
      </c>
      <c r="L126" t="inlineStr">
        <is>
          <t>{"choices":[{"finish_reason":"stop","index":0,"logprobs":null,"message":{"annotations":[],"content":"Brand T-ShirtsOther Black Vintage Baseball Graphic Tee, made of premium cotton, soft and breathable, featuring bold team and player totem print, loose unisex fit, retro street sports style, casual and trendy.","refusal":null,"role":"assistant"}}],"created":1776658324,"id":"chatcmpl-DWaHMH9FhwWKMSe7wDEFErF7ei6VT","model":"gpt-5-chat-latest","object":"chat.completion","service_tier":"default","system_fingerprint":"fp_ad66631dec","usage":{"completion_tokens":43,"completion_tokens_details":{"accepted_prediction_tokens":0,"audio_tokens":0,"reasoning_tokens":0,"rejected_prediction_tokens":0},"prompt_tokens":911,"prompt_tokens_details":{"audio_tokens":0,"cached_tokens":0},"total_tokens":954}}</t>
        </is>
      </c>
      <c r="M126" t="inlineStr">
        <is>
          <t>{"alt-svc":"h3=\":443\"; ma=2592000","apim-request-id":"402c3a7b-b311-4ca5-b2d2-59b1f9d8a6d0","azureml-model-session":"d20260405225800-40f19e54","cache-control":"no-cache","connection":"close","content-length":"796","content-security-policy":"frame-ancestors 'self'","content-type":"application/json","date":"Mon, 20 Apr 2026 04:12:07 GMT","server":"Caddy","skip-error-remapping":"true","strict-transport-security":"max-age=31536000; includeSubDomains; preload","via":"1.1 Caddy","x-api-request-id":"20260420121203882128653lDeGKlW3","x-content-type-options":"nosniff","x-frame-options":"SAMEORIGIN","x-ms-client-request-id":"Not-Set","x-ms-is-spilled-over":"false","x-ms-rai-invoked":"true","x-ms-region":"East US 2","x-new-api-version":"0.4.39","x-oneapi-request-id":"202604200412037898810698268d9d6NPUr5Ktq","x-ratelimit-abusepenalty-active":"False","x-ratelimit-limit-requests":"3850","x-ratelimit-limit-tokens":"3850000","x-ratelimit-remaining-requests":"3849","x-ratelimit-remaining-tokens":"3848327","x-ratelimit-renewalperiod-requests":"60","x-ratelimit-renewalperiod-tokens":"60","x-ratelimit-reset-requests":"15","x-ratelimit-reset-tokens":"26","x-request-id":"140e7a0b-ec83-4313-b470-f28865cdb8b3"}</t>
        </is>
      </c>
      <c r="N126" t="inlineStr">
        <is>
          <t>Brand T-ShirtsOther Black Vintage Baseball Graphic Tee, made of premium cotton, soft and breathable, featuring bold team and player totem print, loose unisex fit, retro street sports style, casual and trendy.</t>
        </is>
      </c>
      <c r="O126" t="inlineStr">
        <is>
          <t>{"choices":[{"finish_reason":"stop","index":0,"logprobs":null,"message":{"annotations":[],"content":"Los Angeles Dodgers,T-Shirts,kakobuy,kakebuy2026,kekobuysheet,kakobuysheet2026,2026kakobuy,kakobuyspreadsheeet,kakobuylink,kakebuylist,Kakobuy MEGA Spreadsheet,kakobuysheetfind,kakobuysheetfind2026,2026kakobuysheetfind,kakobuysheet2026","refusal":null,"role":"assistant"}}],"created":1776668822,"id":"chatcmpl-DWd0g3qRGXYWEypdlSpGMdgmgnTC2","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26" t="inlineStr">
        <is>
          <t>Los Angeles Dodgers,T-Shirts,kakobuy,kakebuy2026,kekobuysheet,kakobuysheet2026,2026kakobuy,kakobuyspreadsheeet,kakobuylink,kakebuylist,Kakobuy MEGA Spreadsheet,kakobuysheetfind,kakobuysheetfind2026,2026kakobuysheetfind,kakobuysheet2026</t>
        </is>
      </c>
      <c r="Q126" t="inlineStr">
        <is>
          <t>Black, Retro, Street, Unisex, Breathable</t>
        </is>
      </c>
      <c r="R126" t="inlineStr">
        <is>
          <t>recvh6xFVjhqS4</t>
        </is>
      </c>
      <c r="S126" t="inlineStr">
        <is>
          <t>otherbrand-vintage-baseball-graphic-black-cotton-tee-recvh6xfvjhs4</t>
        </is>
      </c>
      <c r="T126"/>
      <c r="U126"/>
      <c r="V126"/>
      <c r="W126" t="inlineStr">
        <is>
          <t>{"choices":[{"finish_reason":"stop","index":0,"logprobs":null,"message":{"annotations":[],"content":"黑色复古棒球印花短袖T恤，采用高品质纯棉面料，柔软透气，正面醒目球队及球员图腾，呈现美式街头运动风格，宽松版型设计适合男女穿搭，休闲百搭尽显复古潮流魅力。","refusal":null,"role":"assistant"}}],"created":1776655527,"id":"chatcmpl-DWZYFpJUluSN4IBbomeyKKQreyXMv","model":"gpt-5-chat-latest","object":"chat.completion","service_tier":"default","system_fingerprint":"fp_ad66631dec","usage":{"completion_tokens":74,"completion_tokens_details":{"accepted_prediction_tokens":0,"audio_tokens":0,"reasoning_tokens":0,"rejected_prediction_tokens":0},"prompt_tokens":1317,"prompt_tokens_details":{"audio_tokens":0,"cached_tokens":0},"total_tokens":1391}}</t>
        </is>
      </c>
      <c r="X126" t="inlineStr">
        <is>
          <t>黑色复古棒球印花短袖T恤，采用高品质纯棉面料，柔软透气，正面醒目球队及球员图腾，呈现美式街头运动风格，宽松版型设计适合男女穿搭，休闲百搭尽显复古潮流魅力。</t>
        </is>
      </c>
    </row>
    <row r="127" ht="25.5" customHeight="1">
      <c r="A127">
        <v>1839115443</v>
      </c>
      <c r="B127">
        <v>7614057013</v>
      </c>
      <c r="C127" t="inlineStr">
        <is>
          <t>https://weidian.com/item.html?itemID=7614057013</t>
        </is>
      </c>
      <c r="D127"/>
      <c r="E127" s="2" t="str">
        <f>=HYPERLINK("https://si.geilicdn.com/open1839115443-252808396-6e2b0000019aaf7fdfcb0aa086a7_800_1102.jpg?w=640&amp;h=640", "https://si.geilicdn.com/open1839115443-252808396-6e2b0000019aaf7fdfcb0aa086a7_800_1102.jpg?w=640&amp;h=640")</f>
        <v>https://si.geilicdn.com/open1839115443-252808396-6e2b0000019aaf7fdfcb0aa086a7_800_1102.jpg?w=640&amp;h=640</v>
      </c>
      <c r="F127" t="inlineStr">
        <is>
          <t>Hoodies</t>
        </is>
      </c>
      <c r="G127" t="inlineStr">
        <is>
          <t>Other</t>
        </is>
      </c>
      <c r="H127" t="inlineStr">
        <is>
          <t>120.00</t>
        </is>
      </c>
      <c r="I127">
        <v>17.39</v>
      </c>
      <c r="J127" t="inlineStr">
        <is>
          <t>{"id":"chatcmpl-DWcPADywRTTmzylHfjDO976X4qLHg","object":"chat.completion","created":1776666496,"model":"gpt-5-chat-latest","choices":[{"index":0,"message":{"role":"assistant","content":"BCGHOST Street Hoodie 420G Heavy Cotton Hip Hop Style","refusal":null,"annotations":[]},"logprobs":null,"finish_reason":"stop"}],"usage":{"prompt_tokens":882,"completion_tokens":14,"total_tokens":896,"prompt_tokens_details":{"cached_tokens":0,"audio_tokens":0},"completion_tokens_details":{"reasoning_tokens":0,"audio_tokens":0,"accepted_prediction_tokens":0,"rejected_prediction_tokens":0}},"service_tier":"default","system_fingerprint":"fp_ad66631dec"}</t>
        </is>
      </c>
      <c r="K127" t="inlineStr">
        <is>
          <t>BCGHOST Street Hoodie 420G Heavy Cotton Hip Hop Style</t>
        </is>
      </c>
      <c r="L127" t="inlineStr">
        <is>
          <t>{"choices":[{"finish_reason":"stop","index":0,"logprobs":null,"message":{"annotations":[],"content":"BCGHOST Street Hoodie – 420G heavy cotton, warm and durable. Features gold chain accent and artistic graphic. Oversized unisex fit with hip-hop style for bold streetwear attitude.","refusal":null,"role":"assistant"}}],"created":1776658906,"id":"chatcmpl-DWaQkkeMmz9TYBKGhFFReUdxsHqjx","model":"gpt-5-chat-latest","object":"chat.completion","service_tier":"default","system_fingerprint":"fp_ad66631dec","usage":{"completion_tokens":40,"completion_tokens_details":{"accepted_prediction_tokens":0,"audio_tokens":0,"reasoning_tokens":0,"rejected_prediction_tokens":0},"prompt_tokens":919,"prompt_tokens_details":{"audio_tokens":0,"cached_tokens":0},"total_tokens":959}}</t>
        </is>
      </c>
      <c r="M127" t="inlineStr">
        <is>
          <t>{"alt-svc":"h3=\":443\"; ma=2592000","apim-request-id":"377e6a7b-3329-41d2-ba6f-be55c112df17","azureml-model-session":"d20260405234249-f9874baf","cache-control":"no-cache","connection":"close","content-length":"769","content-security-policy":"frame-ancestors 'self'","content-type":"application/json","date":"Mon, 20 Apr 2026 04:21:47 GMT","server":"nginx","skip-error-remapping":"true","strict-transport-security":"max-age=31536000; includeSubDomains; preload","via":"1.1 Caddy, 1.1 Caddy","x-api-request-id":"20260420122145170810101nDBzhDjH","x-content-type-options":"nosniff","x-frame-options":"SAMEORIGIN","x-ms-client-request-id":"Not-Set","x-ms-is-spilled-over":"false","x-ms-rai-invoked":"true","x-ms-region":"East US 2","x-new-api-version":"0.4.39","x-oneapi-request-id":"202604200421451043249978268d9d6DAhncIXI","x-ratelimit-abusepenalty-active":"False","x-ratelimit-limit-requests":"3850","x-ratelimit-limit-tokens":"3850000","x-ratelimit-remaining-requests":"3849","x-ratelimit-remaining-tokens":"3848319","x-ratelimit-renewalperiod-requests":"60","x-ratelimit-renewalperiod-tokens":"60","x-ratelimit-reset-requests":"15","x-ratelimit-reset-tokens":"26","x-request-id":"6fdbea7a-3220-433c-bcff-a3d183d13e79"}</t>
        </is>
      </c>
      <c r="N127" t="inlineStr">
        <is>
          <t>BCGHOST Street Hoodie – 420G heavy cotton, warm and durable. Features gold chain accent and artistic graphic. Oversized unisex fit with hip-hop style for bold streetwear attitude.</t>
        </is>
      </c>
      <c r="O127" t="inlineStr">
        <is>
          <t>{"choices":[{"finish_reason":"stop","index":0,"logprobs":null,"message":{"annotations":[],"content":"BCGHOST,Hoodies,kakobuy,kakebuy2026,kekobuysheet,kakobuysheet2026,2026kakobuy,kakobuyspreadsheeet,kakobuylink,kakebuylist,Kakobuy MEGA Spreadsheet,kakobuysheetfind,kakobuysheetfind2026,2026kakobuysheetfind,kakobuysheet2026","refusal":null,"role":"assistant"}}],"created":1776668460,"id":"chatcmpl-DWcuqVgfVVYByFrzdvyImUgOvie0P","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127" t="inlineStr">
        <is>
          <t>BCGHOST,Hoodies,kakobuy,kakebuy2026,kekobuysheet,kakobuysheet2026,2026kakobuy,kakobuyspreadsheeet,kakobuylink,kakebuylist,Kakobuy MEGA Spreadsheet,kakobuysheetfind,kakobuysheetfind2026,2026kakobuysheetfind,kakobuysheet2026</t>
        </is>
      </c>
      <c r="Q127" t="inlineStr">
        <is>
          <t>Hip Hop, Streetwear, Unisex, Gold</t>
        </is>
      </c>
      <c r="R127" t="inlineStr">
        <is>
          <t>recvh6xFVj1P4u</t>
        </is>
      </c>
      <c r="S127" t="inlineStr">
        <is>
          <t>bcghost-street-hoodie-420g-recvh6xfvj1p4u</t>
        </is>
      </c>
      <c r="T127"/>
      <c r="U127"/>
      <c r="V127"/>
      <c r="W127" t="inlineStr">
        <is>
          <t>{"choices":[{"finish_reason":"stop","index":0,"logprobs":null,"message":{"annotations":[],"content":"街头系列黑色重磅纯棉连帽卫衣，420G高密度面料质感厚实保暖，正面金色链饰与人物艺术印花设计彰显潮流态度，宽松廓形演绎美式嘻哈风格，男女同款，轻松打造个性街头造型。","refusal":null,"role":"assistant"}}],"created":1776655513,"id":"chatcmpl-DWZY1zlMpArV2j3XXLILNvLlhFmgk","model":"gpt-5-chat-latest","object":"chat.completion","service_tier":"default","system_fingerprint":"fp_ad66631dec","usage":{"completion_tokens":80,"completion_tokens_details":{"accepted_prediction_tokens":0,"audio_tokens":0,"reasoning_tokens":0,"rejected_prediction_tokens":0},"prompt_tokens":1320,"prompt_tokens_details":{"audio_tokens":0,"cached_tokens":0},"total_tokens":1400}}</t>
        </is>
      </c>
      <c r="X127" t="inlineStr">
        <is>
          <t>街头系列黑色重磅纯棉连帽卫衣，420G高密度面料质感厚实保暖，正面金色链饰与人物艺术印花设计彰显潮流态度，宽松廓形演绎美式嘻哈风格，男女同款，轻松打造个性街头造型。</t>
        </is>
      </c>
    </row>
    <row r="128" ht="25.5" customHeight="1">
      <c r="A128">
        <v>1839115443</v>
      </c>
      <c r="B128">
        <v>7617050898</v>
      </c>
      <c r="C128" t="inlineStr">
        <is>
          <t>https://weidian.com/item.html?itemID=7617050898</t>
        </is>
      </c>
      <c r="D128"/>
      <c r="E128" s="2" t="str">
        <f>=HYPERLINK("https://si.geilicdn.com/open1839115443-252808396-4c5b0000019aaf7f90400a23b491_800_994.jpg?w=640&amp;h=640", "https://si.geilicdn.com/open1839115443-252808396-4c5b0000019aaf7f90400a23b491_800_994.jpg?w=640&amp;h=640")</f>
        <v>https://si.geilicdn.com/open1839115443-252808396-4c5b0000019aaf7f90400a23b491_800_994.jpg?w=640&amp;h=640</v>
      </c>
      <c r="F128" t="inlineStr">
        <is>
          <t>T-Shirts</t>
        </is>
      </c>
      <c r="G128" t="inlineStr">
        <is>
          <t>Other</t>
        </is>
      </c>
      <c r="H128" t="inlineStr">
        <is>
          <t>128.00</t>
        </is>
      </c>
      <c r="I128">
        <v>18.55</v>
      </c>
      <c r="J128" t="inlineStr">
        <is>
          <t>{"id":"chatcmpl-DWcBgMjn9b1tS7tnuheM4QULDkGI3","object":"chat.completion","created":1776665660,"model":"gpt-5-chat-latest","choices":[{"index":0,"message":{"role":"assistant","content":"RECOVER Vintage Black Hip Hop Graphic T-Shirt","refusal":null,"annotations":[]},"logprobs":null,"finish_reason":"stop"}],"usage":{"prompt_tokens":891,"completion_tokens":10,"total_tokens":901,"prompt_tokens_details":{"cached_tokens":0,"audio_tokens":0},"completion_tokens_details":{"reasoning_tokens":0,"audio_tokens":0,"accepted_prediction_tokens":0,"rejected_prediction_tokens":0}},"service_tier":"default","system_fingerprint":"fp_ad66631dec"}</t>
        </is>
      </c>
      <c r="K128" t="inlineStr">
        <is>
          <t>RECOVER Vintage Black Hip Hop Graphic T-Shirt</t>
        </is>
      </c>
      <c r="L128" t="inlineStr">
        <is>
          <t>{"choices":[{"finish_reason":"stop","index":0,"logprobs":null,"message":{"annotations":[],"content":"RECOVER Vintage Black Street Hip Hop Graphic T-Shirt, crafted from washed cotton for a soft feel. Features bold retro hip hop print, relaxed unisex fit, 90s street vibe, perfect for casual fashion looks.","refusal":null,"role":"assistant"}}],"created":1776658572,"id":"chatcmpl-DWaLMpwYJMgbRsZaoMSk0gw9a4Czb","model":"gpt-5-chat-latest","object":"chat.completion","service_tier":"default","system_fingerprint":"fp_ad66631dec","usage":{"completion_tokens":45,"completion_tokens_details":{"accepted_prediction_tokens":0,"audio_tokens":0,"reasoning_tokens":0,"rejected_prediction_tokens":0},"prompt_tokens":923,"prompt_tokens_details":{"audio_tokens":0,"cached_tokens":0},"total_tokens":968}}</t>
        </is>
      </c>
      <c r="M128" t="inlineStr">
        <is>
          <t>{"alt-svc":"h3=\":443\"; ma=2592000","apim-request-id":"1d16512c-79cd-43b5-ab0a-4d59d0176ada","azureml-model-session":"d20260402083108-57a85543","cache-control":"no-cache","connection":"close","content-length":"791","content-security-policy":"frame-ancestors 'self'","content-type":"application/json","date":"Mon, 20 Apr 2026 04:16:13 GMT","server":"Caddy","skip-error-remapping":"true","strict-transport-security":"max-age=31536000; includeSubDomains; preload","via":"1.1 Caddy","x-api-request-id":"20260420121611508396259uQTMwr9Y","x-content-type-options":"nosniff","x-frame-options":"SAMEORIGIN","x-ms-client-request-id":"Not-Set","x-ms-is-spilled-over":"false","x-ms-rai-invoked":"true","x-ms-region":"East US 2","x-new-api-version":"0.4.39","x-oneapi-request-id":"202604200416113980570688268d9d6w3HFsLyx","x-ratelimit-abusepenalty-active":"False","x-ratelimit-limit-requests":"3850","x-ratelimit-limit-tokens":"3850000","x-ratelimit-remaining-requests":"3849","x-ratelimit-remaining-tokens":"3848315","x-ratelimit-renewalperiod-requests":"60","x-ratelimit-renewalperiod-tokens":"60","x-ratelimit-reset-requests":"15","x-ratelimit-reset-tokens":"26","x-request-id":"e51d72df-14fb-43f3-aec9-62a3c1f071d6"}</t>
        </is>
      </c>
      <c r="N128" t="inlineStr">
        <is>
          <t>RECOVER Vintage Black Street Hip Hop Graphic T-Shirt, crafted from washed cotton for a soft feel. Features bold retro hip hop print, relaxed unisex fit, 90s street vibe, perfect for casual fashion looks.</t>
        </is>
      </c>
      <c r="O128" t="inlineStr">
        <is>
          <t>{"choices":[{"finish_reason":"stop","index":0,"logprobs":null,"message":{"annotations":[],"content":"Recover, T-Shirts, kakobuy, kakebuy2026, kekobuysheet, kakobuysheet2026, 2026kakobuy, kakobuyspreadsheeet, kakobuylink, kakebuylist, Kakobuy MEGA Spreadsheet, kakobuysheetfind, kakobuysheetfind2026, 2026kakobuysheetfind, kakobuysheet2026","refusal":null,"role":"assistant"}}],"created":1776667687,"id":"chatcmpl-DWciNTGuSkIT1c5ja2Jgf4pP6bP6g","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28" t="inlineStr">
        <is>
          <t>Recover, T-Shirts, kakobuy, kakebuy2026, kekobuysheet, kakobuysheet2026, 2026kakobuy, kakobuyspreadsheeet, kakobuylink, kakebuylist, Kakobuy MEGA Spreadsheet, kakobuysheetfind, kakobuysheetfind2026, 2026kakobuysheetfind, kakobuysheet2026</t>
        </is>
      </c>
      <c r="Q128" t="inlineStr">
        <is>
          <t>Black, Street, Hip Hop, Retro, Unisex</t>
        </is>
      </c>
      <c r="R128" t="inlineStr">
        <is>
          <t>recvh6xFVjoBMh</t>
        </is>
      </c>
      <c r="S128" t="inlineStr">
        <is>
          <t>recover-vintage-black-hip-hop-graphic-tshirt-recvh6xFVjoBMh</t>
        </is>
      </c>
      <c r="T128"/>
      <c r="U128"/>
      <c r="V128"/>
      <c r="W128" t="inlineStr">
        <is>
          <t>{"id":"chatcmpl-DWZT2heAk1TeKYPXFG70uDdp6n8d7","object":"chat.completion","created":1776655204,"model":"gpt-5-chat-latest","choices":[{"index":0,"message":{"role":"assistant","content":"复古黑色街头印花短袖T恤，以洗水棉质面料打造，质感柔软舒适。正面呈现复古美式嘻哈人物图腾与夺目文字印花，彰显个性态度。宽松版型适合男女皆宜，散发90年代街头文化气息，休闲与潮流并重。","refusal":null,"annotations":[]},"logprobs":null,"finish_reason":"stop"}],"usage":{"prompt_tokens":1315,"completion_tokens":87,"total_tokens":1402,"prompt_tokens_details":{"cached_tokens":0,"audio_tokens":0},"completion_tokens_details":{"reasoning_tokens":0,"audio_tokens":0,"accepted_prediction_tokens":0,"rejected_prediction_tokens":0}},"service_tier":"default","system_fingerprint":"fp_ad66631dec"}</t>
        </is>
      </c>
      <c r="X128" t="inlineStr">
        <is>
          <t>复古黑色街头印花短袖T恤，以洗水棉质面料打造，质感柔软舒适。正面呈现复古美式嘻哈人物图腾与夺目文字印花，彰显个性态度。宽松版型适合男女皆宜，散发90年代街头文化气息，休闲与潮流并重。</t>
        </is>
      </c>
    </row>
    <row r="129" ht="25.5" customHeight="1">
      <c r="A129">
        <v>1839115443</v>
      </c>
      <c r="B129">
        <v>7617098580</v>
      </c>
      <c r="C129" t="inlineStr">
        <is>
          <t>https://weidian.com/item.html?itemID=7617098580</t>
        </is>
      </c>
      <c r="D129"/>
      <c r="E129" s="2" t="str">
        <f>=HYPERLINK("https://si.geilicdn.com/open1839115443-252808396-55910000019aaf7f83640a231226_800_974.jpg?w=640&amp;h=640", "https://si.geilicdn.com/open1839115443-252808396-55910000019aaf7f83640a231226_800_974.jpg?w=640&amp;h=640")</f>
        <v>https://si.geilicdn.com/open1839115443-252808396-55910000019aaf7f83640a231226_800_974.jpg?w=640&amp;h=640</v>
      </c>
      <c r="F129" t="inlineStr">
        <is>
          <t>T-Shirts</t>
        </is>
      </c>
      <c r="G129" t="inlineStr">
        <is>
          <t>Other</t>
        </is>
      </c>
      <c r="H129" t="inlineStr">
        <is>
          <t>120.00</t>
        </is>
      </c>
      <c r="I129">
        <v>17.39</v>
      </c>
      <c r="J129" t="inlineStr">
        <is>
          <t>{"choices":[{"finish_reason":"stop","index":0,"logprobs":null,"message":{"annotations":[],"content":"RECOVER Vintage Black Graphic Streetwear T-Shirt","refusal":null,"role":"assistant"}}],"created":1776666644,"id":"chatcmpl-DWcRYl79aUx3VCm2jD5ayXB9R457n","model":"gpt-5-chat-latest","object":"chat.completion","service_tier":"default","system_fingerprint":"fp_ad66631dec","usage":{"completion_tokens":10,"completion_tokens_details":{"accepted_prediction_tokens":0,"audio_tokens":0,"reasoning_tokens":0,"rejected_prediction_tokens":0},"prompt_tokens":879,"prompt_tokens_details":{"audio_tokens":0,"cached_tokens":0},"total_tokens":889}}</t>
        </is>
      </c>
      <c r="K129" t="inlineStr">
        <is>
          <t>RECOVER Vintage Black Graphic Streetwear T-Shirt</t>
        </is>
      </c>
      <c r="L129" t="inlineStr">
        <is>
          <t>{"choices":[{"finish_reason":"stop","index":0,"logprobs":null,"message":{"annotations":[],"content":"RECOVER Vintage Washed Black T-Shirt made from premium high-count cotton. Soft, breathable, unisex loose fit with bold graphic print. Perfect for streetwear style and daily casual fashion.","refusal":null,"role":"assistant"}}],"created":1776658450,"id":"chatcmpl-DWaJO8tcXpAaE4VEH3Bk7kmfAhXjG","model":"gpt-5-chat-latest","object":"chat.completion","service_tier":"default","system_fingerprint":"fp_ad66631dec","usage":{"completion_tokens":39,"completion_tokens_details":{"accepted_prediction_tokens":0,"audio_tokens":0,"reasoning_tokens":0,"rejected_prediction_tokens":0},"prompt_tokens":933,"prompt_tokens_details":{"audio_tokens":0,"cached_tokens":0},"total_tokens":972}}</t>
        </is>
      </c>
      <c r="M129" t="inlineStr">
        <is>
          <t>{"alt-svc":"h3=\":443\"; ma=2592000","apim-request-id":"f1e1bb79-81b8-4247-8b10-defbfbe4df50","azureml-model-session":"d20260402083108-57a85543","cache-control":"no-cache","connection":"close","content-length":"776","content-security-policy":"frame-ancestors 'self'","content-type":"application/json","date":"Mon, 20 Apr 2026 04:14:12 GMT","server":"Caddy","skip-error-remapping":"true","strict-transport-security":"max-age=31536000; includeSubDomains; preload","via":"1.1 Caddy","x-api-request-id":"20260420121409871661087Dwwy4AzN","x-content-type-options":"nosniff","x-frame-options":"SAMEORIGIN","x-ms-client-request-id":"Not-Set","x-ms-is-spilled-over":"false","x-ms-rai-invoked":"true","x-ms-region":"East US 2","x-new-api-version":"0.4.39","x-oneapi-request-id":"202604200414097489547578268d9d6PiB4SqF8","x-ratelimit-abusepenalty-active":"False","x-ratelimit-limit-requests":"3850","x-ratelimit-limit-tokens":"3850000","x-ratelimit-remaining-requests":"3849","x-ratelimit-remaining-tokens":"3848305","x-ratelimit-renewalperiod-requests":"60","x-ratelimit-renewalperiod-tokens":"60","x-ratelimit-reset-requests":"15","x-ratelimit-reset-tokens":"26","x-request-id":"8677fc81-6929-446a-8246-50cdaafc22d7"}</t>
        </is>
      </c>
      <c r="N129" t="inlineStr">
        <is>
          <t>RECOVER Vintage Washed Black T-Shirt made from premium high-count cotton. Soft, breathable, unisex loose fit with bold graphic print. Perfect for streetwear style and daily casual fashion.</t>
        </is>
      </c>
      <c r="O129" t="inlineStr">
        <is>
          <t>{"choices":[{"finish_reason":"stop","index":0,"logprobs":null,"message":{"annotations":[],"content":"Recover, T-Shirts, kakobuy, kakebuy2026, kekobuysheet, kakobuysheet2026, 2026kakobuy, kakobuyspreadsheeet, kakobuylink, kakebuylist, Kakobuy MEGA Spreadsheet, kakobuysheetfind, kakobuysheetfind2026, 2026kakobuysheetfind, kakobuysheet2026","refusal":null,"role":"assistant"}}],"created":1776667985,"id":"chatcmpl-DWcnBeYr50q43ZFLhKUstGj2aV75B","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29" t="inlineStr">
        <is>
          <t>Recover, T-Shirts, kakobuy, kakebuy2026, kekobuysheet, kakobuysheet2026, 2026kakobuy, kakobuyspreadsheeet, kakobuylink, kakebuylist, Kakobuy MEGA Spreadsheet, kakobuysheetfind, kakobuysheetfind2026, 2026kakobuysheetfind, kakobuysheet2026</t>
        </is>
      </c>
      <c r="Q129" t="inlineStr">
        <is>
          <t>Black, Unisex, Streetwear, Vintage</t>
        </is>
      </c>
      <c r="R129" t="inlineStr">
        <is>
          <t>recvh6xFVj56cj</t>
        </is>
      </c>
      <c r="S129" t="inlineStr">
        <is>
          <t>recover-vintage-black-graphic-streetwear-tshirt-recvh6xFVj56cj</t>
        </is>
      </c>
      <c r="T129"/>
      <c r="U129"/>
      <c r="V129"/>
      <c r="W129" t="inlineStr">
        <is>
          <t>{"choices":[{"finish_reason":"stop","index":0,"logprobs":null,"message":{"annotations":[],"content":"复古黑水洗系列短袖T恤，采用高支棉质面料，质感柔软透气。正面印有个性人物潮流图腾，视觉冲击感强烈。宽松版型结合复古街头美学设计，男女皆宜，展现随性不羁的潮流态度。适合休闲日常穿搭，彰显都市青年独特个性与时尚格调。","refusal":null,"role":"assistant"}}],"created":1776655992,"id":"chatcmpl-DWZfkVN18Vue0sE4hhlDmmLlM5jyi","model":"gpt-5-chat-latest","object":"chat.completion","service_tier":"default","system_fingerprint":"fp_ad66631dec","usage":{"completion_tokens":101,"completion_tokens_details":{"accepted_prediction_tokens":0,"audio_tokens":0,"reasoning_tokens":0,"rejected_prediction_tokens":0},"prompt_tokens":1307,"prompt_tokens_details":{"audio_tokens":0,"cached_tokens":1280},"total_tokens":1408}}</t>
        </is>
      </c>
      <c r="X129" t="inlineStr">
        <is>
          <t>复古黑水洗系列短袖T恤，采用高支棉质面料，质感柔软透气。正面印有个性人物潮流图腾，视觉冲击感强烈。宽松版型结合复古街头美学设计，男女皆宜，展现随性不羁的潮流态度。适合休闲日常穿搭，彰显都市青年独特个性与时尚格调。</t>
        </is>
      </c>
    </row>
    <row r="130" ht="25.5" customHeight="1">
      <c r="A130">
        <v>1839115443</v>
      </c>
      <c r="B130">
        <v>7614072895</v>
      </c>
      <c r="C130" t="inlineStr">
        <is>
          <t>https://weidian.com/item.html?itemID=7614072895</t>
        </is>
      </c>
      <c r="D130"/>
      <c r="E130" s="2" t="str">
        <f>=HYPERLINK("https://si.geilicdn.com/open1839115443-252808396-680b0000019aaf7f7f530aa081c2_800_1117.jpg?w=640&amp;h=640", "https://si.geilicdn.com/open1839115443-252808396-680b0000019aaf7f7f530aa081c2_800_1117.jpg?w=640&amp;h=640")</f>
        <v>https://si.geilicdn.com/open1839115443-252808396-680b0000019aaf7f7f530aa081c2_800_1117.jpg?w=640&amp;h=640</v>
      </c>
      <c r="F130" t="inlineStr">
        <is>
          <t>Hoodies</t>
        </is>
      </c>
      <c r="G130" t="inlineStr">
        <is>
          <t>Other</t>
        </is>
      </c>
      <c r="H130" t="inlineStr">
        <is>
          <t>236.00</t>
        </is>
      </c>
      <c r="I130">
        <v>34.2</v>
      </c>
      <c r="J130" t="inlineStr">
        <is>
          <t>{"choices":[{"finish_reason":"stop","index":0,"logprobs":null,"message":{"annotations":[],"content":"BC.GHOST 460G Shark Fin Unisex Cotton Hoodie","refusal":null,"role":"assistant"}}],"created":1776666419,"id":"chatcmpl-DWcNvMHcRqkKbmDam5XB512qpRREB","model":"gpt-5-chat-latest","object":"chat.completion","service_tier":"default","system_fingerprint":"fp_ad66631dec","usage":{"completion_tokens":13,"completion_tokens_details":{"accepted_prediction_tokens":0,"audio_tokens":0,"reasoning_tokens":0,"rejected_prediction_tokens":0},"prompt_tokens":886,"prompt_tokens_details":{"audio_tokens":0,"cached_tokens":0},"total_tokens":899}}</t>
        </is>
      </c>
      <c r="K130" t="inlineStr">
        <is>
          <t>BC.GHOST 460G Shark Fin Unisex Cotton Hoodie</t>
        </is>
      </c>
      <c r="L130" t="inlineStr">
        <is>
          <t>{"id":"chatcmpl-DWaKnXt6TiacTzsh9zLQCGZiRlfma","object":"chat.completion","created":1776658537,"model":"gpt-5-chat-latest","choices":[{"index":0,"message":{"role":"assistant","content":"BC.GHOST Unisex 460G Shark Fin Cotton Hoodie, warm and soft with a minimalist boxy fit, kangaroo pocket, and drawstring hood, perfect for streetwear and casual daily style.","refusal":null,"annotations":[]},"logprobs":null,"finish_reason":"stop"}],"usage":{"prompt_tokens":897,"completion_tokens":42,"total_tokens":939,"prompt_tokens_details":{"cached_tokens":0,"audio_tokens":0},"completion_tokens_details":{"reasoning_tokens":0,"audio_tokens":0,"accepted_prediction_tokens":0,"rejected_prediction_tokens":0}},"service_tier":"default","system_fingerprint":"fp_ad66631dec"}</t>
        </is>
      </c>
      <c r="M13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ma=2592000","apim-request-id":"fab93c5d-00f9-4baf-b015-db97fdbadc59","azureml-model-session":"d20260402083108-57a85543","cache-control":"no-cache, no-store, must-revalidate","connection":"close","content-length":"976","content-security-policy":"frame-ancestors 'self'","content-type":"application/json","date":"Mon, 20 Apr 2026 04:15:38 GMT","server":"Caddy","skip-error-remapping":"true","strict-transport-security":"max-age=31536000; includeSubDomains; preload","via":"1.1 Caddy","x-api-request-id":"202604201215368649730817szOQvjt","x-content-type-options":"nosniff","x-frame-options":"SAMEORIGIN","x-ms-is-spilled-over":"false","x-ms-rai-invoked":"false","x-ms-region":"East US 2","x-new-api-version":"0.4.39","x-oneapi-request-id":"202604200415367841681518268d9d6ASfvcIJm","x-ratelimit-abusepenalty-active":"False","x-ratelimit-limit-requests":"4994","x-ratelimit-limit-tokens":"4994000","x-ratelimit-remaining-requests":"4993","x-ratelimit-remaining-tokens":"4992341","x-ratelimit-renewalperiod-requests":"60","x-ratelimit-renewalperiod-tokens":"60","x-ratelimit-reset-requests":"12","x-ratelimit-reset-tokens":"19","x-request-id":"5167cf98-c6b3-4c35-b46b-4e99fc90cffc"}</t>
        </is>
      </c>
      <c r="N130" t="inlineStr">
        <is>
          <t>BC.GHOST Unisex 460G Shark Fin Cotton Hoodie, warm and soft with a minimalist boxy fit, kangaroo pocket, and drawstring hood, perfect for streetwear and casual daily style.</t>
        </is>
      </c>
      <c r="O130" t="inlineStr">
        <is>
          <t>{"choices":[{"finish_reason":"stop","index":0,"logprobs":null,"message":{"annotations":[],"content":"BC.GHOST,Hoodies,kakobuy,kakebuy2026,kekobuysheet,kakobuysheet2026,2026kakobuy,kakobuyspreadsheeet,kakobuylink,kakebuylist,Kakobuy MEGA Spreadsheet,kakobuysheetfind,kakobuysheetfind2026,2026kakobuysheetfind,kakobuysheet2026","refusal":null,"role":"assistant"}}],"created":1776667710,"id":"chatcmpl-DWcik7k2Sv78bUG2O2vQGpoK7HM1l","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is>
      </c>
      <c r="P130" t="inlineStr">
        <is>
          <t>BC.GHOST,Hoodies,kakobuy,kakebuy2026,kekobuysheet,kakobuysheet2026,2026kakobuy,kakobuyspreadsheeet,kakobuylink,kakebuylist,Kakobuy MEGA Spreadsheet,kakobuysheetfind,kakobuysheetfind2026,2026kakobuysheetfind,kakobuysheet2026</t>
        </is>
      </c>
      <c r="Q130" t="inlineStr">
        <is>
          <t>Unisex, Minimalist, Streetwear, Comfort</t>
        </is>
      </c>
      <c r="R130" t="inlineStr">
        <is>
          <t>recvh6xFVjEsA9</t>
        </is>
      </c>
      <c r="S130" t="inlineStr">
        <is>
          <t>bc-ghost-460g-shark-fin-hoodie-recvh6xfvjesa9</t>
        </is>
      </c>
      <c r="T130"/>
      <c r="U130"/>
      <c r="V130"/>
      <c r="W130" t="inlineStr">
        <is>
          <t>{"id":"chatcmpl-DWZQXNIxl3w60oecQm2NhxacnuIlG","object":"chat.completion","created":1776655049,"model":"gpt-5-chat-latest","choices":[{"index":0,"message":{"role":"assistant","content":"中性美式宽松连帽卫衣，采用460G鲨鱼鳍厚质棉料，保暖舒适。极简版型设计搭配袋鼠前兜与抽绳帽，适合街头休闲风格穿搭。","refusal":null,"annotations":[]},"logprobs":null,"finish_reason":"stop"}],"usage":{"prompt_tokens":1316,"completion_tokens":60,"total_tokens":1376,"prompt_tokens_details":{"cached_tokens":0,"audio_tokens":0},"completion_tokens_details":{"reasoning_tokens":0,"audio_tokens":0,"accepted_prediction_tokens":0,"rejected_prediction_tokens":0}},"service_tier":"default","system_fingerprint":"fp_ad66631dec"}</t>
        </is>
      </c>
      <c r="X130" t="inlineStr">
        <is>
          <t>中性美式宽松连帽卫衣，采用460G鲨鱼鳍厚质棉料，保暖舒适。极简版型设计搭配袋鼠前兜与抽绳帽，适合街头休闲风格穿搭。</t>
        </is>
      </c>
    </row>
    <row r="131" ht="25.5" customHeight="1">
      <c r="A131">
        <v>1839115443</v>
      </c>
      <c r="B131">
        <v>7617086730</v>
      </c>
      <c r="C131" t="inlineStr">
        <is>
          <t>https://weidian.com/item.html?itemID=7617086730</t>
        </is>
      </c>
      <c r="D131"/>
      <c r="E131" s="2" t="str">
        <f>=HYPERLINK("https://si.geilicdn.com/open1839115443-252808396-55710000019aaf7f739b0a231226_800_994.jpg?w=640&amp;h=640", "https://si.geilicdn.com/open1839115443-252808396-55710000019aaf7f739b0a231226_800_994.jpg?w=640&amp;h=640")</f>
        <v>https://si.geilicdn.com/open1839115443-252808396-55710000019aaf7f739b0a231226_800_994.jpg?w=640&amp;h=640</v>
      </c>
      <c r="F131" t="inlineStr">
        <is>
          <t>T-Shirts</t>
        </is>
      </c>
      <c r="G131" t="inlineStr">
        <is>
          <t>Other</t>
        </is>
      </c>
      <c r="H131" t="inlineStr">
        <is>
          <t>120.00</t>
        </is>
      </c>
      <c r="I131">
        <v>17.39</v>
      </c>
      <c r="J131" t="inlineStr">
        <is>
          <t>{"choices":[{"finish_reason":"stop","index":0,"logprobs":null,"message":{"annotations":[],"content":"RECOVER Retro Antman Black Cotton Unisex T-Shirt","refusal":null,"role":"assistant"}}],"created":1776666920,"id":"chatcmpl-DWcW0FvtmATFJoqcmHdKiQE3jTW5O","model":"gpt-5-chat-latest","object":"chat.completion","service_tier":"default","system_fingerprint":"fp_ad66631dec","usage":{"completion_tokens":12,"completion_tokens_details":{"accepted_prediction_tokens":0,"audio_tokens":0,"reasoning_tokens":0,"rejected_prediction_tokens":0},"prompt_tokens":883,"prompt_tokens_details":{"audio_tokens":0,"cached_tokens":0},"total_tokens":895}}</t>
        </is>
      </c>
      <c r="K131" t="inlineStr">
        <is>
          <t>RECOVER Retro Antman Black Cotton Unisex T-Shirt</t>
        </is>
      </c>
      <c r="L131" t="inlineStr">
        <is>
          <t>{"choices":[{"finish_reason":"stop","index":0,"logprobs":null,"message":{"annotations":[],"content":"RECOVER Retro Black Cotton T-Shirt features washed fabric for softness and breathability, “antman” print with athlete silhouette, unisex loose fit, perfect for daily streetwear and vintage American style.","refusal":null,"role":"assistant"}}],"created":1776659371,"id":"chatcmpl-DWaYFll5Qh14zEcHB9tMZH5ei4gxI","model":"gpt-5-chat-latest","object":"chat.completion","service_tier":"default","system_fingerprint":"fp_ad66631dec","usage":{"completion_tokens":41,"completion_tokens_details":{"accepted_prediction_tokens":0,"audio_tokens":0,"reasoning_tokens":0,"rejected_prediction_tokens":0},"prompt_tokens":920,"prompt_tokens_details":{"audio_tokens":0,"cached_tokens":0},"total_tokens":961}}</t>
        </is>
      </c>
      <c r="M131" t="inlineStr">
        <is>
          <t>{"alt-svc":"h3=\":443\"; ma=2592000","apim-request-id":"ba47984e-41a6-4f8e-99e3-1b26026f5bf2","azureml-model-session":"d20260405234249-f9874baf","cache-control":"no-cache","connection":"close","content-length":"796","content-security-policy":"frame-ancestors 'self'","content-type":"application/json","date":"Mon, 20 Apr 2026 04:29:32 GMT","server":"nginx","skip-error-remapping":"true","strict-transport-security":"max-age=31536000; includeSubDomains; preload","via":"1.1 Caddy, 1.1 Caddy","x-api-request-id":"202604201229306445506890KrIdxzL","x-content-type-options":"nosniff","x-frame-options":"SAMEORIGIN","x-ms-client-request-id":"Not-Set","x-ms-is-spilled-over":"false","x-ms-rai-invoked":"true","x-ms-region":"East US 2","x-new-api-version":"0.4.39","x-oneapi-request-id":"202604200429305771764618268d9d6O1UnUfmY","x-ratelimit-abusepenalty-active":"False","x-ratelimit-limit-requests":"3850","x-ratelimit-limit-tokens":"3850000","x-ratelimit-remaining-requests":"3849","x-ratelimit-remaining-tokens":"3848318","x-ratelimit-renewalperiod-requests":"60","x-ratelimit-renewalperiod-tokens":"60","x-ratelimit-reset-requests":"15","x-ratelimit-reset-tokens":"26","x-request-id":"ed35f791-3923-46bd-a95e-929e1343045b"}</t>
        </is>
      </c>
      <c r="N131" t="inlineStr">
        <is>
          <t>RECOVER Retro Black Cotton T-Shirt features washed fabric for softness and breathability, “antman” print with athlete silhouette, unisex loose fit, perfect for daily streetwear and vintage American style.</t>
        </is>
      </c>
      <c r="O131" t="inlineStr">
        <is>
          <t>{"choices":[{"finish_reason":"stop","index":0,"logprobs":null,"message":{"annotations":[],"content":"Recover, T-Shirts, kakobuy, kakebuy2026, kekobuysheet, kakobuysheet2026, 2026kakobuy, kakobuyspreadsheeet, kakobuylink, kakebuylist, Kakobuy MEGA Spreadsheet, kakobuysheetfind, kakobuysheetfind2026, 2026kakobuysheetfind, kakobuysheet2026","refusal":null,"role":"assistant"}}],"created":1776667857,"id":"chatcmpl-DWcl7UV4yBvdsFWDq29skWizpJBW5","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31" t="inlineStr">
        <is>
          <t>Recover, T-Shirts, kakobuy, kakebuy2026, kekobuysheet, kakobuysheet2026, 2026kakobuy, kakobuyspreadsheeet, kakobuylink, kakebuylist, Kakobuy MEGA Spreadsheet, kakobuysheetfind, kakobuysheetfind2026, 2026kakobuysheetfind, kakobuysheet2026</t>
        </is>
      </c>
      <c r="Q131" t="inlineStr">
        <is>
          <t>Retro, Black, Streetwear, Vintage, Unisex</t>
        </is>
      </c>
      <c r="R131" t="inlineStr">
        <is>
          <t>recvh6xFVjncUg</t>
        </is>
      </c>
      <c r="S131" t="inlineStr">
        <is>
          <t>recover-retro-antman-black-cotton-unisex-t-shirt-recvh6xFVjncUg</t>
        </is>
      </c>
      <c r="T131"/>
      <c r="U131"/>
      <c r="V131"/>
      <c r="W131" t="inlineStr">
        <is>
          <t>{"id":"chatcmpl-DWZjUNlNtytUJHZGAKiWWNFdvx4A7","object":"chat.completion","created":1776656224,"model":"gpt-5-chat-latest","choices":[{"index":0,"message":{"role":"assistant","content":"炭黑复古系列宽松短袖T恤，采用水洗纯棉面料，柔软透气。正面印有“antman”字样与球员剪影图腾，街头运动风格设计，彰显潮流个性。男女同款百搭版型，适合日常休闲穿搭，呈现美式复古质感。","refusal":null,"annotations":[]},"logprobs":null,"finish_reason":"stop"}],"usage":{"prompt_tokens":1309,"completion_tokens":87,"total_tokens":1396,"prompt_tokens_details":{"cached_tokens":1280,"audio_tokens":0},"completion_tokens_details":{"reasoning_tokens":0,"audio_tokens":0,"accepted_prediction_tokens":0,"rejected_prediction_tokens":0}},"service_tier":"default","system_fingerprint":"fp_ad66631dec"}</t>
        </is>
      </c>
      <c r="X131" t="inlineStr">
        <is>
          <t>炭黑复古系列宽松短袖T恤，采用水洗纯棉面料，柔软透气。正面印有“antman”字样与球员剪影图腾，街头运动风格设计，彰显潮流个性。男女同款百搭版型，适合日常休闲穿搭，呈现美式复古质感。</t>
        </is>
      </c>
    </row>
    <row r="132" ht="25.5" customHeight="1">
      <c r="A132">
        <v>1839115443</v>
      </c>
      <c r="B132">
        <v>7617015102</v>
      </c>
      <c r="C132" t="inlineStr">
        <is>
          <t>https://weidian.com/item.html?itemID=7617015102</t>
        </is>
      </c>
      <c r="D132"/>
      <c r="E132" s="2" t="str">
        <f>=HYPERLINK("https://si.geilicdn.com/open1839115443-252808396-53e60000019aaf799bbd0a22d249_800_1200.jpg?w=640&amp;h=640", "https://si.geilicdn.com/open1839115443-252808396-53e60000019aaf799bbd0a22d249_800_1200.jpg?w=640&amp;h=640")</f>
        <v>https://si.geilicdn.com/open1839115443-252808396-53e60000019aaf799bbd0a22d249_800_1200.jpg?w=640&amp;h=640</v>
      </c>
      <c r="F132" t="inlineStr">
        <is>
          <t>T-Shirts</t>
        </is>
      </c>
      <c r="G132" t="inlineStr">
        <is>
          <t>Other</t>
        </is>
      </c>
      <c r="H132" t="inlineStr">
        <is>
          <t>120.00</t>
        </is>
      </c>
      <c r="I132">
        <v>17.39</v>
      </c>
      <c r="J132" t="inlineStr">
        <is>
          <t>{"id":"chatcmpl-DWcFT2WtzLnKtgwru3lIZIXgoibpz","object":"chat.completion","created":1776665895,"model":"gpt-5-chat-latest","choices":[{"index":0,"message":{"role":"assistant","content":"LAMelo Ball Vintage Black Basketball Graphic T-Shirt","refusal":null,"annotations":[]},"logprobs":null,"finish_reason":"stop"}],"usage":{"prompt_tokens":881,"completion_tokens":10,"total_tokens":891,"prompt_tokens_details":{"cached_tokens":0,"audio_tokens":0},"completion_tokens_details":{"reasoning_tokens":0,"audio_tokens":0,"accepted_prediction_tokens":0,"rejected_prediction_tokens":0}},"service_tier":"default","system_fingerprint":"fp_ad66631dec"}</t>
        </is>
      </c>
      <c r="K132" t="inlineStr">
        <is>
          <t>LAMelo Ball Vintage Black Basketball Graphic T-Shirt</t>
        </is>
      </c>
      <c r="L132" t="inlineStr">
        <is>
          <t>{"choices":[{"finish_reason":"stop","index":0,"logprobs":null,"message":{"annotations":[],"content":"LAMelo Ball Vintage Washed Black T-Shirt, made of soft cotton, featuring bold basketball graphics, street sport vibe, loose fit for men and women, versatile casual style with trendy retro appeal.","refusal":null,"role":"assistant"}}],"created":1776658349,"id":"chatcmpl-DWaHlMsCrsu6wl0xyB7NcO6wUFQSe","model":"gpt-5-chat-latest","object":"chat.completion","service_tier":"default","system_fingerprint":"fp_ad66631dec","usage":{"completion_tokens":40,"completion_tokens_details":{"accepted_prediction_tokens":0,"audio_tokens":0,"reasoning_tokens":0,"rejected_prediction_tokens":0},"prompt_tokens":899,"prompt_tokens_details":{"audio_tokens":0,"cached_tokens":0},"total_tokens":939}}</t>
        </is>
      </c>
      <c r="M132" t="inlineStr">
        <is>
          <t>{"alt-svc":"h3=\":443\"; ma=2592000","apim-request-id":"7a4fcd82-2b7b-4c23-86f1-cdcc2758ba7a","azureml-model-session":"d20260405234249-f9874baf","cache-control":"no-cache","connection":"close","content-length":"783","content-security-policy":"frame-ancestors 'self'","content-type":"application/json","date":"Mon, 20 Apr 2026 04:12:31 GMT","server":"Caddy","skip-error-remapping":"true","strict-transport-security":"max-age=31536000; includeSubDomains; preload","via":"1.1 Caddy","x-api-request-id":"202604201212289643646572mLAJIMT","x-content-type-options":"nosniff","x-frame-options":"SAMEORIGIN","x-ms-client-request-id":"Not-Set","x-ms-is-spilled-over":"false","x-ms-rai-invoked":"true","x-ms-region":"East US 2","x-new-api-version":"0.4.39","x-oneapi-request-id":"202604200412289005836638268d9d6InlDc4PS","x-ratelimit-abusepenalty-active":"False","x-ratelimit-limit-requests":"3850","x-ratelimit-limit-tokens":"3850000","x-ratelimit-remaining-requests":"3849","x-ratelimit-remaining-tokens":"3848339","x-ratelimit-renewalperiod-requests":"60","x-ratelimit-renewalperiod-tokens":"60","x-ratelimit-reset-requests":"15","x-ratelimit-reset-tokens":"25","x-request-id":"ef44a3a3-e36d-40f5-a2f2-1c90b09fd778"}</t>
        </is>
      </c>
      <c r="N132" t="inlineStr">
        <is>
          <t>LAMelo Ball Vintage Washed Black T-Shirt, made of soft cotton, featuring bold basketball graphics, street sport vibe, loose fit for men and women, versatile casual style with trendy retro appeal.</t>
        </is>
      </c>
      <c r="O132" t="inlineStr">
        <is>
          <t>{"choices":[{"finish_reason":"stop","index":0,"logprobs":null,"message":{"annotations":[],"content":"Lamelo Ball, T-Shirt, kakobuy, kakebuy2026, kekobuysheet, kakobuysheet2026, 2026kakobuy, kakobuyspreadsheeet, kakobuylink, kakebuylist, Kakobuy MEGA Spreadsheet, kakobuysheetfind, kakobuysheetfind2026, 2026kakobuysheetfind, kakobuysheet2026","refusal":null,"role":"assistant"}}],"created":1776668486,"id":"chatcmpl-DWcvGQAqRnShGYVvOzXhbwBUxNGTM","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132" t="inlineStr">
        <is>
          <t>Lamelo Ball, T-Shirt, kakobuy, kakebuy2026, kekobuysheet, kakobuysheet2026, 2026kakobuy, kakobuyspreadsheeet, kakobuylink, kakebuylist, Kakobuy MEGA Spreadsheet, kakobuysheetfind, kakobuysheetfind2026, 2026kakobuysheetfind, kakobuysheet2026</t>
        </is>
      </c>
      <c r="Q132" t="inlineStr">
        <is>
          <t>Retro, Black, Unisex</t>
        </is>
      </c>
      <c r="R132" t="inlineStr">
        <is>
          <t>recvh6xFVjAKAq</t>
        </is>
      </c>
      <c r="S132" t="inlineStr">
        <is>
          <t>lamelo-ball-vintage-black-basketball-graphic-t-shirt-recvh6xFVjAKAq</t>
        </is>
      </c>
      <c r="T132"/>
      <c r="U132"/>
      <c r="V132"/>
      <c r="W132" t="inlineStr">
        <is>
          <t>{"choices":[{"finish_reason":"stop","index":0,"logprobs":null,"message":{"annotations":[],"content":"水洗复古黑色宽松印花T恤，采用柔软纯棉材质，呈现独特做旧质感，正面大型篮球主题图腾设计，融合街头运动风格，男女皆宜，休闲百搭彰显潮流个性。","refusal":null,"role":"assistant"}}],"created":1776654988,"id":"chatcmpl-DWZPYyaKeJKL4vMr8VDl7iRQ9p4Qw","model":"gpt-5-chat-latest","object":"chat.completion","service_tier":"default","system_fingerprint":"fp_ad66631dec","usage":{"completion_tokens":64,"completion_tokens_details":{"accepted_prediction_tokens":0,"audio_tokens":0,"reasoning_tokens":0,"rejected_prediction_tokens":0},"prompt_tokens":1313,"prompt_tokens_details":{"audio_tokens":0,"cached_tokens":0},"total_tokens":1377}}</t>
        </is>
      </c>
      <c r="X132" t="inlineStr">
        <is>
          <t>水洗复古黑色宽松印花T恤，采用柔软纯棉材质，呈现独特做旧质感，正面大型篮球主题图腾设计，融合街头运动风格，男女皆宜，休闲百搭彰显潮流个性。</t>
        </is>
      </c>
    </row>
    <row r="133" ht="25.5" customHeight="1">
      <c r="A133">
        <v>1839115443</v>
      </c>
      <c r="B133">
        <v>7614041099</v>
      </c>
      <c r="C133" t="inlineStr">
        <is>
          <t>https://weidian.com/item.html?itemID=7614041099</t>
        </is>
      </c>
      <c r="D133"/>
      <c r="E133" s="2" t="str">
        <f>=HYPERLINK("https://si.geilicdn.com/open1839115443-252808396-6a770000019aaf79b1bd0aa086a7_800_1075.jpg?w=640&amp;h=640", "https://si.geilicdn.com/open1839115443-252808396-6a770000019aaf79b1bd0aa086a7_800_1075.jpg?w=640&amp;h=640")</f>
        <v>https://si.geilicdn.com/open1839115443-252808396-6a770000019aaf79b1bd0aa086a7_800_1075.jpg?w=640&amp;h=640</v>
      </c>
      <c r="F133" t="inlineStr">
        <is>
          <t>Hoodies</t>
        </is>
      </c>
      <c r="G133" t="inlineStr">
        <is>
          <t>Other</t>
        </is>
      </c>
      <c r="H133" t="inlineStr">
        <is>
          <t>120.00</t>
        </is>
      </c>
      <c r="I133">
        <v>17.39</v>
      </c>
      <c r="J133" t="inlineStr">
        <is>
          <t>{"id":"chatcmpl-DWcQLi29RklehuV2TcsWLFNMFVroT","object":"chat.completion","created":1776666569,"model":"gpt-5-chat-latest","choices":[{"index":0,"message":{"role":"assistant","content":"HoodiesOther Vintage Basketball Graphic Black Cotton T-Shirt","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ad66631dec"}</t>
        </is>
      </c>
      <c r="K133" t="inlineStr">
        <is>
          <t>HoodiesOther Vintage Basketball Graphic Black Cotton T-Shirt</t>
        </is>
      </c>
      <c r="L133" t="inlineStr">
        <is>
          <t>{"choices":[{"finish_reason":"stop","index":0,"logprobs":null,"message":{"annotations":[],"content":"HoodiesOther Vintage Loose Black Cotton T-Shirt features basketball graphic and metallic lettering, washed retro design for streetwear style. Unisex casual tee for daily or outdoor wear.","refusal":null,"role":"assistant"}}],"created":1776658818,"id":"chatcmpl-DWaPKjiZt5VGNhW4FlJwcAoTWuidv","model":"gpt-5-chat-latest","object":"chat.completion","service_tier":"default","system_fingerprint":"fp_ad66631dec","usage":{"completion_tokens":36,"completion_tokens_details":{"accepted_prediction_tokens":0,"audio_tokens":0,"reasoning_tokens":0,"rejected_prediction_tokens":0},"prompt_tokens":927,"prompt_tokens_details":{"audio_tokens":0,"cached_tokens":0},"total_tokens":963}}</t>
        </is>
      </c>
      <c r="M133" t="inlineStr">
        <is>
          <t>{"alt-svc":"h3=\":443\"; ma=2592000","apim-request-id":"6560b534-bf57-4d3c-9fd7-bc575dd7257a","azureml-model-session":"d20260405234249-f9874baf","cache-control":"no-cache","connection":"close","content-length":"774","content-security-policy":"frame-ancestors 'self'","content-type":"application/json","date":"Mon, 20 Apr 2026 04:20:19 GMT","server":"Caddy","skip-error-remapping":"true","strict-transport-security":"max-age=31536000; includeSubDomains; preload","via":"1.1 Caddy","x-api-request-id":"20260420122017750523111ujm0eA4S","x-content-type-options":"nosniff","x-frame-options":"SAMEORIGIN","x-ms-client-request-id":"Not-Set","x-ms-is-spilled-over":"false","x-ms-rai-invoked":"true","x-ms-region":"East US 2","x-new-api-version":"0.4.39","x-oneapi-request-id":"202604200420176854966608268d9d6U8CyLbPJ","x-ratelimit-abusepenalty-active":"False","x-ratelimit-limit-requests":"3850","x-ratelimit-limit-tokens":"3850000","x-ratelimit-remaining-requests":"3849","x-ratelimit-remaining-tokens":"3848311","x-ratelimit-renewalperiod-requests":"60","x-ratelimit-renewalperiod-tokens":"60","x-ratelimit-reset-requests":"15","x-ratelimit-reset-tokens":"26","x-request-id":"6a83c4ae-adc2-4e37-92e8-0fc99716634a"}</t>
        </is>
      </c>
      <c r="N133" t="inlineStr">
        <is>
          <t>HoodiesOther Vintage Loose Black Cotton T-Shirt features basketball graphic and metallic lettering, washed retro design for streetwear style. Unisex casual tee for daily or outdoor wear.</t>
        </is>
      </c>
      <c r="O133" t="inlineStr">
        <is>
          <t>{"choices":[{"finish_reason":"stop","index":0,"logprobs":null,"message":{"annotations":[],"content":"Golden State Warriors,T-Shirt,kakobuy,kakebuy2026,kekobuysheet,kakobuysheet2026,2026kakobuy,kakobuyspreadsheeet,kakobuylink,kakebuylist,Kakobuy MEGA Spreadsheet,kakobuysheetfind,kakobuysheetfind2026,2026kakobuysheetfind,kakobuysheet2026","refusal":null,"role":"assistant"}}],"created":1776668412,"id":"chatcmpl-DWcu4xSho2PpFzZxU7oepXYoDXHyS","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33" t="inlineStr">
        <is>
          <t>Golden State Warriors,T-Shirt,kakobuy,kakebuy2026,kekobuysheet,kakobuysheet2026,2026kakobuy,kakobuyspreadsheeet,kakobuylink,kakebuylist,Kakobuy MEGA Spreadsheet,kakobuysheetfind,kakobuysheetfind2026,2026kakobuysheetfind,kakobuysheet2026</t>
        </is>
      </c>
      <c r="Q133" t="inlineStr">
        <is>
          <t>Black, Retro, Streetwear, Unisex</t>
        </is>
      </c>
      <c r="R133" t="inlineStr">
        <is>
          <t>recvh6xFVjrAQp</t>
        </is>
      </c>
      <c r="S133" t="inlineStr">
        <is>
          <t>hoodies-vintage-basketball-graphic-black-cotton-tshirt-recvh6xfvjraqp</t>
        </is>
      </c>
      <c r="T133"/>
      <c r="U133"/>
      <c r="V133"/>
      <c r="W133" t="inlineStr">
        <is>
          <t>{"id":"chatcmpl-DWZV7lwgrLYzibuQeSaJEGf0HKDGJ","object":"chat.completion","created":1776655333,"model":"gpt-5-chat-latest","choices":[{"index":0,"message":{"role":"assistant","content":"复古黑色宽松短袖T恤，采用柔软纯棉面料，正面印有篮球运动主题图腾与金属质感字母设计，呈现美式街头潮流风格。落肩版型搭配做旧洗水工艺，彰显个性与随性态度，男女皆宜，适合休闲出街或日常穿搭。","refusal":null,"annotations":[]},"logprobs":null,"finish_reason":"stop"}],"usage":{"prompt_tokens":1316,"completion_tokens":90,"total_tokens":1406,"prompt_tokens_details":{"cached_tokens":1280,"audio_tokens":0},"completion_tokens_details":{"reasoning_tokens":0,"audio_tokens":0,"accepted_prediction_tokens":0,"rejected_prediction_tokens":0}},"service_tier":"default","system_fingerprint":"fp_ad66631dec"}</t>
        </is>
      </c>
      <c r="X133" t="inlineStr">
        <is>
          <t>复古黑色宽松短袖T恤，采用柔软纯棉面料，正面印有篮球运动主题图腾与金属质感字母设计，呈现美式街头潮流风格。落肩版型搭配做旧洗水工艺，彰显个性与随性态度，男女皆宜，适合休闲出街或日常穿搭。</t>
        </is>
      </c>
    </row>
    <row r="134" ht="25.5" customHeight="1">
      <c r="A134">
        <v>1839115443</v>
      </c>
      <c r="B134">
        <v>7614102719</v>
      </c>
      <c r="C134" t="inlineStr">
        <is>
          <t>https://weidian.com/item.html?itemID=7614102719</t>
        </is>
      </c>
      <c r="D134"/>
      <c r="E134" s="2" t="str">
        <f>=HYPERLINK("https://si.geilicdn.com/open1839115443-252808396-4fa30000019aaf79b0150a23b4de_800_1083.jpg?w=640&amp;h=640", "https://si.geilicdn.com/open1839115443-252808396-4fa30000019aaf79b0150a23b4de_800_1083.jpg?w=640&amp;h=640")</f>
        <v>https://si.geilicdn.com/open1839115443-252808396-4fa30000019aaf79b0150a23b4de_800_1083.jpg?w=640&amp;h=640</v>
      </c>
      <c r="F134" t="inlineStr">
        <is>
          <t>Hoodies</t>
        </is>
      </c>
      <c r="G134" t="inlineStr">
        <is>
          <t>Other</t>
        </is>
      </c>
      <c r="H134" t="inlineStr">
        <is>
          <t>110.00</t>
        </is>
      </c>
      <c r="I134">
        <v>15.94</v>
      </c>
      <c r="J134" t="inlineStr">
        <is>
          <t>{"choices":[{"finish_reason":"stop","index":0,"logprobs":null,"message":{"annotations":[],"content":"HoodiesOther Black Artistic Portrait Cotton Hoodie","refusal":null,"role":"assistant"}}],"created":1776665906,"id":"chatcmpl-DWcFe1VEvLYQkj444Alhc05ozvXdU","model":"gpt-5-chat-latest","object":"chat.completion","service_tier":"default","system_fingerprint":"fp_ad66631dec","usage":{"completion_tokens":10,"completion_tokens_details":{"accepted_prediction_tokens":0,"audio_tokens":0,"reasoning_tokens":0,"rejected_prediction_tokens":0},"prompt_tokens":884,"prompt_tokens_details":{"audio_tokens":0,"cached_tokens":0},"total_tokens":894}}</t>
        </is>
      </c>
      <c r="K134" t="inlineStr">
        <is>
          <t>HoodiesOther Black Artistic Portrait Cotton Hoodie</t>
        </is>
      </c>
      <c r="L134" t="inlineStr">
        <is>
          <t>{"choices":[{"finish_reason":"stop","index":0,"logprobs":null,"message":{"annotations":[],"content":"HoodiesOther black printed cotton hoodie, soft, breathable and unisex. Features artistic portrait and frame graphic for avant-garde street style with loose fit and kangaroo pocket, ideal for casual wear.","refusal":null,"role":"assistant"}}],"created":1776658568,"id":"chatcmpl-DWaLIJFIkQn9jDiRui39TjfmCkcbD","model":"gpt-5-chat-latest","object":"chat.completion","service_tier":"default","system_fingerprint":"fp_ad66631dec","usage":{"completion_tokens":41,"completion_tokens_details":{"accepted_prediction_tokens":0,"audio_tokens":0,"reasoning_tokens":0,"rejected_prediction_tokens":0},"prompt_tokens":914,"prompt_tokens_details":{"audio_tokens":0,"cached_tokens":0},"total_tokens":955}}</t>
        </is>
      </c>
      <c r="M134" t="inlineStr">
        <is>
          <t>{"alt-svc":"h3=\":443\"; ma=2592000","apim-request-id":"230ac3a1-3556-48d3-b59e-a146fa4ed7c2","azureml-model-session":"d20260402083108-57a85543","cache-control":"no-cache","connection":"close","content-length":"791","content-security-policy":"frame-ancestors 'self'","content-type":"application/json","date":"Mon, 20 Apr 2026 04:16:10 GMT","server":"Caddy","skip-error-remapping":"true","strict-transport-security":"max-age=31536000; includeSubDomains; preload","via":"1.1 Caddy","x-api-request-id":"2026042012160828069619vklQUQ1R","x-content-type-options":"nosniff","x-frame-options":"SAMEORIGIN","x-ms-client-request-id":"Not-Set","x-ms-is-spilled-over":"false","x-ms-rai-invoked":"true","x-ms-region":"East US 2","x-new-api-version":"0.4.39","x-oneapi-request-id":"202604200416079595192628268d9d6pIlk1Dzs","x-ratelimit-abusepenalty-active":"False","x-ratelimit-limit-requests":"3850","x-ratelimit-limit-tokens":"3850000","x-ratelimit-remaining-requests":"3849","x-ratelimit-remaining-tokens":"3848324","x-ratelimit-renewalperiod-requests":"60","x-ratelimit-renewalperiod-tokens":"60","x-ratelimit-reset-requests":"15","x-ratelimit-reset-tokens":"26","x-request-id":"24216903-c9e4-4e13-861c-7a0ab95fb484"}</t>
        </is>
      </c>
      <c r="N134" t="inlineStr">
        <is>
          <t>HoodiesOther black printed cotton hoodie, soft, breathable and unisex. Features artistic portrait and frame graphic for avant-garde street style with loose fit and kangaroo pocket, ideal for casual wear.</t>
        </is>
      </c>
      <c r="O134" t="inlineStr">
        <is>
          <t>{"choices":[{"finish_reason":"stop","index":0,"logprobs":null,"message":{"annotations":[],"content":"KYIITSTAGION,Hoodies,kakobuy,kakebuy2026,kekobuysheet,kakobuysheet2026,2026kakobuy,kakobuyspreadsheeet,kakobuylink,kakebuylist,Kakobuy MEGA Spreadsheet,kakobuysheetfind,kakobuysheetfind2026,2026kakobuysheetfind,kakobuysheet2026","refusal":null,"role":"assistant"}}],"created":1776667614,"id":"chatcmpl-DWchC91ooLoJg0gyn6wlusE31Kezh","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134" t="inlineStr">
        <is>
          <t>KYIITSTAGION,Hoodies,kakobuy,kakebuy2026,kekobuysheet,kakobuysheet2026,2026kakobuy,kakobuyspreadsheeet,kakobuylink,kakebuylist,Kakobuy MEGA Spreadsheet,kakobuysheetfind,kakobuysheetfind2026,2026kakobuysheetfind,kakobuysheet2026</t>
        </is>
      </c>
      <c r="Q134" t="inlineStr">
        <is>
          <t>Black, Unisex, Streetwear, Breathable</t>
        </is>
      </c>
      <c r="R134" t="inlineStr">
        <is>
          <t>recvh6xFVjfSAR</t>
        </is>
      </c>
      <c r="S134" t="inlineStr">
        <is>
          <t>black-artistic-portrait-cotton-hoodie-recvh6xFVjfSAR</t>
        </is>
      </c>
      <c r="T134"/>
      <c r="U134"/>
      <c r="V134"/>
      <c r="W134" t="inlineStr">
        <is>
          <t>{"id":"chatcmpl-DWZXWbGS5rPxJauqlYlPITcK4sD8w","object":"chat.completion","created":1776655482,"model":"gpt-5-chat-latest","choices":[{"index":0,"message":{"role":"assistant","content":"黑色印花连帽卫衣，采用优质棉质面料，柔软舒适且透气。正面艺术人物与镜框图腾设计，呈现前卫街头风格，宽松版型搭配袋鼠口袋，男女通穿款，适合日常休闲与街头潮流穿搭。","refusal":null,"annotations":[]},"logprobs":null,"finish_reason":"stop"}],"usage":{"prompt_tokens":1316,"completion_tokens":77,"total_tokens":1393,"prompt_tokens_details":{"cached_tokens":0,"audio_tokens":0},"completion_tokens_details":{"reasoning_tokens":0,"audio_tokens":0,"accepted_prediction_tokens":0,"rejected_prediction_tokens":0}},"service_tier":"default","system_fingerprint":"fp_ad66631dec"}</t>
        </is>
      </c>
      <c r="X134" t="inlineStr">
        <is>
          <t>黑色印花连帽卫衣，采用优质棉质面料，柔软舒适且透气。正面艺术人物与镜框图腾设计，呈现前卫街头风格，宽松版型搭配袋鼠口袋，男女通穿款，适合日常休闲与街头潮流穿搭。</t>
        </is>
      </c>
    </row>
    <row r="135" ht="25.5" customHeight="1">
      <c r="A135">
        <v>1839115443</v>
      </c>
      <c r="B135">
        <v>7614106727</v>
      </c>
      <c r="C135" t="inlineStr">
        <is>
          <t>https://weidian.com/item.html?itemID=7614106727</t>
        </is>
      </c>
      <c r="D135"/>
      <c r="E135" s="2" t="str">
        <f>=HYPERLINK("https://si.geilicdn.com/open1839115443-252808396-426c0000019aaf79adc40a8115c2_800_994.jpg?w=640&amp;h=640", "https://si.geilicdn.com/open1839115443-252808396-426c0000019aaf79adc40a8115c2_800_994.jpg?w=640&amp;h=640")</f>
        <v>https://si.geilicdn.com/open1839115443-252808396-426c0000019aaf79adc40a8115c2_800_994.jpg?w=640&amp;h=640</v>
      </c>
      <c r="F135" t="inlineStr">
        <is>
          <t>T-Shirts</t>
        </is>
      </c>
      <c r="G135" t="inlineStr">
        <is>
          <t>Other</t>
        </is>
      </c>
      <c r="H135" t="inlineStr">
        <is>
          <t>120.00</t>
        </is>
      </c>
      <c r="I135">
        <v>17.39</v>
      </c>
      <c r="J135" t="inlineStr">
        <is>
          <t>{"choices":[{"finish_reason":"stop","index":0,"logprobs":null,"message":{"annotations":[],"content":"RECOVER Vintage Black Basketball Graphic Unisex T-Shirt","refusal":null,"role":"assistant"}}],"created":1776666130,"id":"chatcmpl-DWcJGzv1H1hh6mp4BNp4yDhgB3I5B","model":"gpt-5-chat-latest","object":"chat.completion","service_tier":"default","system_fingerprint":"fp_ad66631dec","usage":{"completion_tokens":11,"completion_tokens_details":{"accepted_prediction_tokens":0,"audio_tokens":0,"reasoning_tokens":0,"rejected_prediction_tokens":0},"prompt_tokens":877,"prompt_tokens_details":{"audio_tokens":0,"cached_tokens":0},"total_tokens":888}}</t>
        </is>
      </c>
      <c r="K135" t="inlineStr">
        <is>
          <t>RECOVER Vintage Black Basketball Graphic Unisex T-Shirt</t>
        </is>
      </c>
      <c r="L135" t="inlineStr">
        <is>
          <t>{"id":"chatcmpl-DWaWLlJrphO6AuEnoRiefNtarAXgS","object":"chat.completion","created":1776659253,"model":"gpt-5-chat-latest","choices":[{"index":0,"message":{"role":"assistant","content":"RECOVER Vintage Black Basketball Print T-Shirt, crafted from soft cotton with dynamic player and team graphics, distressed texture and streetwear flair, unisex casual tee for sport and fashion lovers.","refusal":null,"annotations":[]},"logprobs":null,"finish_reason":"stop"}],"usage":{"prompt_tokens":910,"completion_tokens":38,"total_tokens":948,"prompt_tokens_details":{"cached_tokens":0,"audio_tokens":0},"completion_tokens_details":{"reasoning_tokens":0,"audio_tokens":0,"accepted_prediction_tokens":0,"rejected_prediction_tokens":0}},"service_tier":"default","system_fingerprint":"fp_ad66631dec"}</t>
        </is>
      </c>
      <c r="M13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ma=2592000","apim-request-id":"3e3c7945-920a-49a5-9779-0e5082a6d809","azureml-model-session":"d20260402074105-51db401e","cache-control":"no-cache, no-store, must-revalidate","connection":"close","content-length":"1004","content-security-policy":"frame-ancestors 'self'","content-type":"application/json","date":"Mon, 20 Apr 2026 04:27:34 GMT","server":"nginx","skip-error-remapping":"true","strict-transport-security":"max-age=31536000; includeSubDomains; preload","via":"1.1 Caddy, 1.1 Caddy","x-api-request-id":"20260420122732362488664NIwOEf8N","x-content-type-options":"nosniff","x-frame-options":"SAMEORIGIN","x-ms-is-spilled-over":"false","x-ms-rai-invoked":"false","x-ms-region":"East US 2","x-new-api-version":"0.4.39","x-oneapi-request-id":"202604200427322942108448268d9d64ZSdCjwV","x-ratelimit-abusepenalty-active":"False","x-ratelimit-limit-requests":"4994","x-ratelimit-limit-tokens":"4994000","x-ratelimit-remaining-requests":"4993","x-ratelimit-remaining-tokens":"4992328","x-ratelimit-renewalperiod-requests":"60","x-ratelimit-renewalperiod-tokens":"60","x-ratelimit-reset-requests":"12","x-ratelimit-reset-tokens":"20","x-request-id":"6d7b081b-94e8-400f-829d-7a39d5ba7d31"}</t>
        </is>
      </c>
      <c r="N135" t="inlineStr">
        <is>
          <t>RECOVER Vintage Black Basketball Print T-Shirt, crafted from soft cotton with dynamic player and team graphics, distressed texture and streetwear flair, unisex casual tee for sport and fashion lovers.</t>
        </is>
      </c>
      <c r="O135" t="inlineStr">
        <is>
          <t>{"choices":[{"finish_reason":"stop","index":0,"logprobs":null,"message":{"annotations":[],"content":"Golden State Warriors,T-Shirts,kakobuy,kakebuy2026,kekobuysheet,kakobuysheet2026,2026kakobuy,kakobuyspreadsheeet,kakobuylink,kakebuylist,Kakobuy MEGA Spreadsheet,kakobuysheetfind,kakobuysheetfind2026,2026kakobuysheetfind,kakobuysheet2026","refusal":null,"role":"assistant"}}],"created":1776668802,"id":"chatcmpl-DWd0Mh8ylkHgPuBQ7laA3x6MJqYIE","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35" t="inlineStr">
        <is>
          <t>Golden State Warriors,T-Shirts,kakobuy,kakebuy2026,kekobuysheet,kakobuysheet2026,2026kakobuy,kakobuyspreadsheeet,kakobuylink,kakebuylist,Kakobuy MEGA Spreadsheet,kakobuysheetfind,kakobuysheetfind2026,2026kakobuysheetfind,kakobuysheet2026</t>
        </is>
      </c>
      <c r="Q135" t="inlineStr">
        <is>
          <t>Vintage, Black, Streetwear, Unisex</t>
        </is>
      </c>
      <c r="R135" t="inlineStr">
        <is>
          <t>recvh6xFVjHdKf</t>
        </is>
      </c>
      <c r="S135" t="inlineStr">
        <is>
          <t>recover-vintage-black-basketball-graphic-unisex-t-shirt-recvh6xFVjHdKf</t>
        </is>
      </c>
      <c r="T135"/>
      <c r="U135"/>
      <c r="V135"/>
      <c r="W135" t="inlineStr">
        <is>
          <t>{"id":"chatcmpl-DWZMxKrwnCOUvusRA9DQs9822BOHp","object":"chat.completion","created":1776654827,"model":"gpt-5-chat-latest","choices":[{"index":0,"message":{"role":"assistant","content":"复古黑色篮球印花短袖T恤，采用柔软棉质面料打造，正面呈现动感球员与球队元素图腾，结合做旧质感与街头风设计，彰显运动与潮流并行的时尚格调，男女皆宜，休闲穿搭百搭出众。","refusal":null,"annotations":[]},"logprobs":null,"finish_reason":"stop"}],"usage":{"prompt_tokens":1311,"completion_tokens":76,"total_tokens":1387,"prompt_tokens_details":{"cached_tokens":0,"audio_tokens":0},"completion_tokens_details":{"reasoning_tokens":0,"audio_tokens":0,"accepted_prediction_tokens":0,"rejected_prediction_tokens":0}},"service_tier":"default","system_fingerprint":"fp_ad66631dec"}</t>
        </is>
      </c>
      <c r="X135" t="inlineStr">
        <is>
          <t>复古黑色篮球印花短袖T恤，采用柔软棉质面料打造，正面呈现动感球员与球队元素图腾，结合做旧质感与街头风设计，彰显运动与潮流并行的时尚格调，男女皆宜，休闲穿搭百搭出众。</t>
        </is>
      </c>
    </row>
    <row r="136" ht="25.5" customHeight="1">
      <c r="A136">
        <v>1839115443</v>
      </c>
      <c r="B136">
        <v>7614064917</v>
      </c>
      <c r="C136" t="inlineStr">
        <is>
          <t>https://weidian.com/item.html?itemID=7614064917</t>
        </is>
      </c>
      <c r="D136"/>
      <c r="E136" s="2" t="str">
        <f>=HYPERLINK("https://si.geilicdn.com/open1839115443-252808396-46080000019aaf7fd80a0a8115c2_800_1069.jpg?w=640&amp;h=640", "https://si.geilicdn.com/open1839115443-252808396-46080000019aaf7fd80a0a8115c2_800_1069.jpg?w=640&amp;h=640")</f>
        <v>https://si.geilicdn.com/open1839115443-252808396-46080000019aaf7fd80a0a8115c2_800_1069.jpg?w=640&amp;h=640</v>
      </c>
      <c r="F136" t="inlineStr">
        <is>
          <t>Hoodies</t>
        </is>
      </c>
      <c r="G136" t="inlineStr">
        <is>
          <t>Other</t>
        </is>
      </c>
      <c r="H136" t="inlineStr">
        <is>
          <t>120.00</t>
        </is>
      </c>
      <c r="I136">
        <v>17.39</v>
      </c>
      <c r="J136" t="inlineStr">
        <is>
          <t>{"choices":[{"finish_reason":"stop","index":0,"logprobs":null,"message":{"annotations":[],"content":"HoodiesOther Street Series Black Basketball Print Hoodie","refusal":null,"role":"assistant"}}],"created":1776666051,"id":"chatcmpl-DWcHzgNxj0w1bFAC2tOrwEjaaESXI","model":"gpt-5-chat-latest","object":"chat.completion","service_tier":"default","system_fingerprint":"fp_ad66631dec","usage":{"completion_tokens":11,"completion_tokens_details":{"accepted_prediction_tokens":0,"audio_tokens":0,"reasoning_tokens":0,"rejected_prediction_tokens":0},"prompt_tokens":870,"prompt_tokens_details":{"audio_tokens":0,"cached_tokens":0},"total_tokens":881}}</t>
        </is>
      </c>
      <c r="K136" t="inlineStr">
        <is>
          <t>HoodiesOther Street Series Black Basketball Print Hoodie</t>
        </is>
      </c>
      <c r="L136" t="inlineStr">
        <is>
          <t>{"choices":[{"finish_reason":"stop","index":0,"logprobs":null,"message":{"annotations":[],"content":"HoodiesOther Street Series black cotton hoodie featuring a vibrant basketball print, relaxed fit with drawstring hood, unisex retro sporty design for bold urban casual style.","refusal":null,"role":"assistant"}}],"created":1776658410,"id":"chatcmpl-DWaIk79jZgIqLlUsBSW2Dt2z197yB","model":"gpt-5-chat-latest","object":"chat.completion","service_tier":"default","system_fingerprint":"fp_ad66631dec","usage":{"completion_tokens":34,"completion_tokens_details":{"accepted_prediction_tokens":0,"audio_tokens":0,"reasoning_tokens":0,"rejected_prediction_tokens":0},"prompt_tokens":903,"prompt_tokens_details":{"audio_tokens":0,"cached_tokens":0},"total_tokens":937}}</t>
        </is>
      </c>
      <c r="M136" t="inlineStr">
        <is>
          <t>{"alt-svc":"h3=\":443\"; ma=2592000","apim-request-id":"b04e3b1c-80aa-4f08-b8a4-eb6f32564a9d","azureml-model-session":"d20260405225800-40f19e54","cache-control":"no-cache","connection":"close","content-length":"762","content-security-policy":"frame-ancestors 'self'","content-type":"application/json","date":"Mon, 20 Apr 2026 04:13:32 GMT","server":"Caddy","skip-error-remapping":"true","strict-transport-security":"max-age=31536000; includeSubDomains; preload","via":"1.1 Caddy","x-api-request-id":"20260420121329642469823T5NF6daD","x-content-type-options":"nosniff","x-frame-options":"SAMEORIGIN","x-ms-client-request-id":"Not-Set","x-ms-is-spilled-over":"false","x-ms-rai-invoked":"true","x-ms-region":"East US 2","x-new-api-version":"0.4.39","x-oneapi-request-id":"202604200413295761349788268d9d6xIpU6Rey","x-ratelimit-abusepenalty-active":"False","x-ratelimit-limit-requests":"3850","x-ratelimit-limit-tokens":"3850000","x-ratelimit-remaining-requests":"3849","x-ratelimit-remaining-tokens":"3848335","x-ratelimit-renewalperiod-requests":"60","x-ratelimit-renewalperiod-tokens":"60","x-ratelimit-reset-requests":"15","x-ratelimit-reset-tokens":"25","x-request-id":"20e931cf-1b65-4ed3-9af0-e9555a6752cd"}</t>
        </is>
      </c>
      <c r="N136" t="inlineStr">
        <is>
          <t>HoodiesOther Street Series black cotton hoodie featuring a vibrant basketball print, relaxed fit with drawstring hood, unisex retro sporty design for bold urban casual style.</t>
        </is>
      </c>
      <c r="O136" t="inlineStr">
        <is>
          <t>{"choices":[{"finish_reason":"stop","index":0,"logprobs":null,"message":{"annotations":[],"content":"HoodiesOther,kakobuy,kakebuy2026,kekobuysheet,kakobuysheet2026,2026kakobuy,kakobuyspreadsheeet,kakobuylink,kakebuylist,Kakobuy MEGA Spreadsheet,kakobuysheetfind,kakobuysheetfind2026,2026kakobuysheetfind,kakobuysheet2026","refusal":null,"role":"assistant"}}],"created":1776667832,"id":"chatcmpl-DWckiCoVXe2LqifgjJ1vk0mc8yHwS","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36" t="inlineStr">
        <is>
          <t>HoodiesOther,kakobuy,kakebuy2026,kekobuysheet,kakobuysheet2026,2026kakobuy,kakobuyspreadsheeet,kakobuylink,kakebuylist,Kakobuy MEGA Spreadsheet,kakobuysheetfind,kakobuysheetfind2026,2026kakobuysheetfind,kakobuysheet2026</t>
        </is>
      </c>
      <c r="Q136" t="inlineStr">
        <is>
          <t>Black, Retro, Sporty, Streetwear, Unisex</t>
        </is>
      </c>
      <c r="R136" t="inlineStr">
        <is>
          <t>recvh6xFVjZEjP</t>
        </is>
      </c>
      <c r="S136" t="inlineStr">
        <is>
          <t>hoodies-other-street-series-black-basketball-print-hoodie-recvh6xfvjzejp</t>
        </is>
      </c>
      <c r="T136"/>
      <c r="U136"/>
      <c r="V136"/>
      <c r="W136" t="inlineStr">
        <is>
          <t>{"id":"chatcmpl-DWZQWggXWszpIe7bZpNuhewBorLyX","object":"chat.completion","created":1776655048,"model":"gpt-5-chat-latest","choices":[{"index":0,"message":{"role":"assistant","content":"街头系列黑色印花连帽卫衣，柔软纯棉材质，胸前炫彩篮球图腾展现复古运动风格，宽松廓形搭配抽绳帽设计，男女皆宜，都市休闲穿搭彰显个性态度。","refusal":null,"annotations":[]},"logprobs":null,"finish_reason":"stop"}],"usage":{"prompt_tokens":1316,"completion_tokens":66,"total_tokens":1382,"prompt_tokens_details":{"cached_tokens":0,"audio_tokens":0},"completion_tokens_details":{"reasoning_tokens":0,"audio_tokens":0,"accepted_prediction_tokens":0,"rejected_prediction_tokens":0}},"service_tier":"default","system_fingerprint":"fp_ad66631dec"}</t>
        </is>
      </c>
      <c r="X136" t="inlineStr">
        <is>
          <t>街头系列黑色印花连帽卫衣，柔软纯棉材质，胸前炫彩篮球图腾展现复古运动风格，宽松廓形搭配抽绳帽设计，男女皆宜，都市休闲穿搭彰显个性态度。</t>
        </is>
      </c>
    </row>
    <row r="137" ht="25.5" customHeight="1">
      <c r="A137">
        <v>1839115443</v>
      </c>
      <c r="B137">
        <v>7617035014</v>
      </c>
      <c r="C137" t="inlineStr">
        <is>
          <t>https://weidian.com/item.html?itemID=7617035014</t>
        </is>
      </c>
      <c r="D137"/>
      <c r="E137" s="2" t="str">
        <f>=HYPERLINK("https://si.geilicdn.com/open1839115443-252808396-55a30000019aaf7f8db40a231226_800_1004.jpg?w=640&amp;h=640", "https://si.geilicdn.com/open1839115443-252808396-55a30000019aaf7f8db40a231226_800_1004.jpg?w=640&amp;h=640")</f>
        <v>https://si.geilicdn.com/open1839115443-252808396-55a30000019aaf7f8db40a231226_800_1004.jpg?w=640&amp;h=640</v>
      </c>
      <c r="F137" t="inlineStr">
        <is>
          <t>T-Shirts</t>
        </is>
      </c>
      <c r="G137" t="inlineStr">
        <is>
          <t>Other</t>
        </is>
      </c>
      <c r="H137" t="inlineStr">
        <is>
          <t>128.00</t>
        </is>
      </c>
      <c r="I137">
        <v>18.55</v>
      </c>
      <c r="J137" t="inlineStr">
        <is>
          <t>{"choices":[{"finish_reason":"stop","index":0,"logprobs":null,"message":{"annotations":[],"content":"RECOVER Earth Day Protect The Earth White T-Shirt","refusal":null,"role":"assistant"}}],"created":1776665773,"id":"chatcmpl-DWcDVK9hBJcVVDJkor3GkZIsyyy8b","model":"gpt-5-chat-latest","object":"chat.completion","service_tier":"default","system_fingerprint":"fp_ad66631dec","usage":{"completion_tokens":11,"completion_tokens_details":{"accepted_prediction_tokens":0,"audio_tokens":0,"reasoning_tokens":0,"rejected_prediction_tokens":0},"prompt_tokens":887,"prompt_tokens_details":{"audio_tokens":0,"cached_tokens":0},"total_tokens":898}}</t>
        </is>
      </c>
      <c r="K137" t="inlineStr">
        <is>
          <t>RECOVER Earth Day Protect The Earth White T-Shirt</t>
        </is>
      </c>
      <c r="L137" t="inlineStr">
        <is>
          <t>{"choices":[{"finish_reason":"stop","index":0,"logprobs":null,"message":{"annotations":[],"content":"RECOVER Earth Day White Cotton T-Shirt features “Protect the Earth” print with star accents. Soft, breathable fabric, unisex loose fit, street casual eco-style for daily wear that shows your sustainable attitude.","refusal":null,"role":"assistant"}}],"created":1776659482,"id":"chatcmpl-DWaa23h8p1HnDlmvk81M2xrZnwwvJ","model":"gpt-5-chat-latest","object":"chat.completion","service_tier":"default","system_fingerprint":"fp_ad66631dec","usage":{"completion_tokens":43,"completion_tokens_details":{"accepted_prediction_tokens":0,"audio_tokens":0,"reasoning_tokens":0,"rejected_prediction_tokens":0},"prompt_tokens":930,"prompt_tokens_details":{"audio_tokens":0,"cached_tokens":0},"total_tokens":973}}</t>
        </is>
      </c>
      <c r="M137" t="inlineStr">
        <is>
          <t>{"alt-svc":"h3=\":443\"; ma=2592000","apim-request-id":"1602c6f1-cac0-43bc-876c-40194f7e51eb","azureml-model-session":"d20260405234249-f9874baf","cache-control":"no-cache","connection":"close","content-length":"804","content-security-policy":"frame-ancestors 'self'","content-type":"application/json","date":"Mon, 20 Apr 2026 04:31:24 GMT","server":"Caddy","skip-error-remapping":"true","strict-transport-security":"max-age=31536000; includeSubDomains; preload","via":"1.1 Caddy","x-api-request-id":"20260420123122286671131cwoF9Phm","x-content-type-options":"nosniff","x-frame-options":"SAMEORIGIN","x-ms-client-request-id":"Not-Set","x-ms-is-spilled-over":"false","x-ms-rai-invoked":"true","x-ms-region":"East US 2","x-new-api-version":"0.4.39","x-oneapi-request-id":"202604200431222192190838268d9d6IiO3JLjY","x-ratelimit-abusepenalty-active":"False","x-ratelimit-limit-requests":"3850","x-ratelimit-limit-tokens":"3850000","x-ratelimit-remaining-requests":"3849","x-ratelimit-remaining-tokens":"3848308","x-ratelimit-renewalperiod-requests":"60","x-ratelimit-renewalperiod-tokens":"60","x-ratelimit-reset-requests":"15","x-ratelimit-reset-tokens":"26","x-request-id":"33820f5b-9e8a-4c29-9d8e-94c0aaab512b"}</t>
        </is>
      </c>
      <c r="N137" t="inlineStr">
        <is>
          <t>RECOVER Earth Day White Cotton T-Shirt features “Protect the Earth” print with star accents. Soft, breathable fabric, unisex loose fit, street casual eco-style for daily wear that shows your sustainable attitude.</t>
        </is>
      </c>
      <c r="O137" t="inlineStr">
        <is>
          <t>{"choices":[{"finish_reason":"stop","index":0,"logprobs":null,"message":{"annotations":[],"content":"Recover, T-Shirts, kakobuy, kakebuy2026, kekobuysheet, kakobuysheet2026, 2026kakobuy, kakobuyspreadsheeet, kakobuylink, kakebuylist, Kakobuy MEGA Spreadsheet, kakobuysheetfind, kakobuysheetfind2026, 2026kakobuysheetfind, kakobuysheet2026","refusal":null,"role":"assistant"}}],"created":1776667541,"id":"chatcmpl-DWcg1du9znRwf7759GU5jUHdCz6Yt","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37" t="inlineStr">
        <is>
          <t>Recover, T-Shirts, kakobuy, kakebuy2026, kekobuysheet, kakobuysheet2026, 2026kakobuy, kakobuyspreadsheeet, kakobuylink, kakebuylist, Kakobuy MEGA Spreadsheet, kakobuysheetfind, kakobuysheetfind2026, 2026kakobuysheetfind, kakobuysheet2026</t>
        </is>
      </c>
      <c r="Q137" t="inlineStr">
        <is>
          <t>White, Street, Unisex, Breathable</t>
        </is>
      </c>
      <c r="R137" t="inlineStr">
        <is>
          <t>recvh6xFVjoL0V</t>
        </is>
      </c>
      <c r="S137" t="inlineStr">
        <is>
          <t>recover-earth-day-protect-earth-white-tshirt-recvh6xFVjoL0V</t>
        </is>
      </c>
      <c r="T137"/>
      <c r="U137"/>
      <c r="V137"/>
      <c r="W137" t="inlineStr">
        <is>
          <t>{"choices":[{"finish_reason":"stop","index":0,"logprobs":null,"message":{"annotations":[],"content":"白色地球日主题T恤，甄选纯棉材质，柔软透气。前胸印有“Protect the Earth”地球图腾与星星点缀，呼应环保理念，设计简约又富视觉冲击。宽松中性版型，男女皆宜，街头休闲风格与环保概念完美融合，适合日常穿搭彰显态度。","refusal":null,"role":"assistant"}}],"created":1776655596,"id":"chatcmpl-DWZZMQRSEOwzuFNMFEz5vVcpnzIp6","model":"gpt-5-chat-latest","object":"chat.completion","service_tier":"default","system_fingerprint":"fp_ad66631dec","usage":{"completion_tokens":95,"completion_tokens_details":{"accepted_prediction_tokens":0,"audio_tokens":0,"reasoning_tokens":0,"rejected_prediction_tokens":0},"prompt_tokens":1313,"prompt_tokens_details":{"audio_tokens":0,"cached_tokens":0},"total_tokens":1408}}</t>
        </is>
      </c>
      <c r="X137" t="inlineStr">
        <is>
          <t>白色地球日主题T恤，甄选纯棉材质，柔软透气。前胸印有“Protect the Earth”地球图腾与星星点缀，呼应环保理念，设计简约又富视觉冲击。宽松中性版型，男女皆宜，街头休闲风格与环保概念完美融合，适合日常穿搭彰显态度。</t>
        </is>
      </c>
    </row>
    <row r="138" ht="25.5" customHeight="1">
      <c r="A138">
        <v>1839115443</v>
      </c>
      <c r="B138">
        <v>7614080781</v>
      </c>
      <c r="C138" t="inlineStr">
        <is>
          <t>https://weidian.com/item.html?itemID=7614080781</t>
        </is>
      </c>
      <c r="D138"/>
      <c r="E138" s="2" t="str">
        <f>=HYPERLINK("https://si.geilicdn.com/open1839115443-252808396-68210000019aaf7f8c140aa081c2_800_994.jpg?w=640&amp;h=640", "https://si.geilicdn.com/open1839115443-252808396-68210000019aaf7f8c140aa081c2_800_994.jpg?w=640&amp;h=640")</f>
        <v>https://si.geilicdn.com/open1839115443-252808396-68210000019aaf7f8c140aa081c2_800_994.jpg?w=640&amp;h=640</v>
      </c>
      <c r="F138" t="inlineStr">
        <is>
          <t>T-Shirts</t>
        </is>
      </c>
      <c r="G138" t="inlineStr">
        <is>
          <t>Other</t>
        </is>
      </c>
      <c r="H138" t="inlineStr">
        <is>
          <t>120.00</t>
        </is>
      </c>
      <c r="I138">
        <v>17.39</v>
      </c>
      <c r="J138" t="inlineStr">
        <is>
          <t>{"choices":[{"finish_reason":"stop","index":0,"logprobs":null,"message":{"annotations":[],"content":"RECOVER Retro Black Flame Unisex Cotton T-Shirt","refusal":null,"role":"assistant"}}],"created":1776666481,"id":"chatcmpl-DWcOvwNrLWSNA1RGzy8zwdr3Qiowf","model":"gpt-5-chat-latest","object":"chat.completion","service_tier":"default","system_fingerprint":"fp_ad66631dec","usage":{"completion_tokens":11,"completion_tokens_details":{"accepted_prediction_tokens":0,"audio_tokens":0,"reasoning_tokens":0,"rejected_prediction_tokens":0},"prompt_tokens":891,"prompt_tokens_details":{"audio_tokens":0,"cached_tokens":0},"total_tokens":902}}</t>
        </is>
      </c>
      <c r="K138" t="inlineStr">
        <is>
          <t>RECOVER Retro Black Flame Unisex Cotton T-Shirt</t>
        </is>
      </c>
      <c r="L138" t="inlineStr">
        <is>
          <t>{"id":"chatcmpl-DWaNlVwikkkZxi52T8C5AH3BLDiT4","object":"chat.completion","created":1776658721,"model":"gpt-5-chat-latest","choices":[{"index":0,"message":{"role":"assistant","content":"RECOVER Retro Black Flame Print T-Shirt, crafted from premium cotton for soft breathable comfort. Bold fire totem and street art pattern add hip-hop style. Loose fit unisex tee ideal for daily wear or music festivals.","refusal":null,"annotations":[]},"logprobs":null,"finish_reason":"stop"}],"usage":{"prompt_tokens":928,"completion_tokens":45,"total_tokens":973,"prompt_tokens_details":{"cached_tokens":0,"audio_tokens":0},"completion_tokens_details":{"reasoning_tokens":0,"audio_tokens":0,"accepted_prediction_tokens":0,"rejected_prediction_tokens":0}},"service_tier":"default","system_fingerprint":"fp_ad66631dec"}</t>
        </is>
      </c>
      <c r="M13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ma=2592000","apim-request-id":"cf7f458b-98d8-4b18-b1b8-dad644ab2db0","azureml-model-session":"d20260405234249-f9874baf","cache-control":"no-cache, no-store, must-revalidate","connection":"close","content-length":"1021","content-security-policy":"frame-ancestors 'self'","content-type":"application/json","date":"Mon, 20 Apr 2026 04:18:43 GMT","server":"Caddy","skip-error-remapping":"true","strict-transport-security":"max-age=31536000; includeSubDomains; preload","via":"1.1 Caddy","x-api-request-id":"202604201218397113620648l2XQh3x","x-content-type-options":"nosniff","x-frame-options":"SAMEORIGIN","x-ms-is-spilled-over":"false","x-ms-rai-invoked":"false","x-ms-region":"Sweden Central","x-new-api-version":"0.4.39","x-oneapi-request-id":"202604200418396452569918268d9d6dxOaGFXY","x-ratelimit-abusepenalty-active":"False","x-ratelimit-limit-requests":"4993","x-ratelimit-limit-tokens":"4993000","x-ratelimit-remaining-requests":"4992","x-ratelimit-remaining-tokens":"4991310","x-ratelimit-renewalperiod-requests":"60","x-ratelimit-renewalperiod-tokens":"60","x-ratelimit-reset-requests":"12","x-ratelimit-reset-tokens":"20","x-request-id":"bfa23a15-be9f-4bbd-b4e2-02aebcc02086"}</t>
        </is>
      </c>
      <c r="N138" t="inlineStr">
        <is>
          <t>RECOVER Retro Black Flame Print T-Shirt, crafted from premium cotton for soft breathable comfort. Bold fire totem and street art pattern add hip-hop style. Loose fit unisex tee ideal for daily wear or music festivals.</t>
        </is>
      </c>
      <c r="O138" t="inlineStr">
        <is>
          <t>{"id":"chatcmpl-DWcdQmLrJWgSMvL86SdjY3Z8SEzbc","object":"chat.completion","created":1776667380,"model":"gpt-5-chat-latest","choices":[{"index":0,"message":{"role":"assistant","content":"WESTERN ROCK, T-Shirts,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93,"total_tokens":875,"prompt_tokens_details":{"cached_tokens":0,"audio_tokens":0},"completion_tokens_details":{"reasoning_tokens":0,"audio_tokens":0,"accepted_prediction_tokens":0,"rejected_prediction_tokens":0}},"service_tier":"default","system_fingerprint":"fp_ad66631dec"}</t>
        </is>
      </c>
      <c r="P138" t="inlineStr">
        <is>
          <t>WESTERN ROCK, T-Shirts, kakobuy, kakebuy2026, kekobuysheet, kakobuysheet2026, 2026kakobuy, kakobuyspreadsheeet, kakobuylink, kakebuylist, Kakobuy MEGA Spreadsheet, kakobuysheetfind, kakobuysheetfind2026, 2026kakobuysheetfind, kakobuysheet2026</t>
        </is>
      </c>
      <c r="Q138" t="inlineStr">
        <is>
          <t>Retro, Hip Hop, Unisex, Streetwear</t>
        </is>
      </c>
      <c r="R138" t="inlineStr">
        <is>
          <t>recvh6xFVj6cCG</t>
        </is>
      </c>
      <c r="S138" t="inlineStr">
        <is>
          <t>recover-retro-black-flame-cotton-tshirt-recvh6xFVj6cCG</t>
        </is>
      </c>
      <c r="T138"/>
      <c r="U138"/>
      <c r="V138"/>
      <c r="W138" t="inlineStr">
        <is>
          <t>{"choices":[{"finish_reason":"stop","index":0,"logprobs":null,"message":{"annotations":[],"content":"复古黑色印花短袖T恤，采用优质纯棉面料，质感柔软透气。正面呈现大胆火焰图腾与潮流人物设计，搭配炫彩字体展现街头嘻哈风格。宽松版型剪裁，男女皆宜，适合日常休闲或音乐节穿搭，传递年轻个性与自由态度。","refusal":null,"role":"assistant"}}],"created":1776655455,"id":"chatcmpl-DWZX5YVp4LpQUqJ2WPBji4yqh2bL7","model":"gpt-5-chat-latest","object":"chat.completion","service_tier":"default","system_fingerprint":"fp_ad66631dec","usage":{"completion_tokens":94,"completion_tokens_details":{"accepted_prediction_tokens":0,"audio_tokens":0,"reasoning_tokens":0,"rejected_prediction_tokens":0},"prompt_tokens":1311,"prompt_tokens_details":{"audio_tokens":0,"cached_tokens":1280},"total_tokens":1405}}</t>
        </is>
      </c>
      <c r="X138" t="inlineStr">
        <is>
          <t>复古黑色印花短袖T恤，采用优质纯棉面料，质感柔软透气。正面呈现大胆火焰图腾与潮流人物设计，搭配炫彩字体展现街头嘻哈风格。宽松版型剪裁，男女皆宜，适合日常休闲或音乐节穿搭，传递年轻个性与自由态度。</t>
        </is>
      </c>
    </row>
    <row r="139" ht="25.5" customHeight="1">
      <c r="A139">
        <v>1839115443</v>
      </c>
      <c r="B139">
        <v>7614140433</v>
      </c>
      <c r="C139" t="inlineStr">
        <is>
          <t>https://weidian.com/item.html?itemID=7614140433</t>
        </is>
      </c>
      <c r="D139"/>
      <c r="E139" s="2" t="str">
        <f>=HYPERLINK("https://si.geilicdn.com/open1839115443-252808396-4c3b0000019aaf7f7c130a23b491_800_994.jpg?w=640&amp;h=640", "https://si.geilicdn.com/open1839115443-252808396-4c3b0000019aaf7f7c130a23b491_800_994.jpg?w=640&amp;h=640")</f>
        <v>https://si.geilicdn.com/open1839115443-252808396-4c3b0000019aaf7f7c130a23b491_800_994.jpg?w=640&amp;h=640</v>
      </c>
      <c r="F139" t="inlineStr">
        <is>
          <t>T-Shirts</t>
        </is>
      </c>
      <c r="G139" t="inlineStr">
        <is>
          <t>Other</t>
        </is>
      </c>
      <c r="H139" t="inlineStr">
        <is>
          <t>120.00</t>
        </is>
      </c>
      <c r="I139">
        <v>17.39</v>
      </c>
      <c r="J139" t="inlineStr">
        <is>
          <t>{"choices":[{"finish_reason":"stop","index":0,"logprobs":null,"message":{"annotations":[],"content":"RECOVER Vintage Basketball Graphic Black T-Shirt","refusal":null,"role":"assistant"}}],"created":1776666202,"id":"chatcmpl-DWcKQUGs22LxKwsj69w5rOl8IHpaz","model":"gpt-5-chat-latest","object":"chat.completion","service_tier":"default","system_fingerprint":"fp_ad66631dec","usage":{"completion_tokens":9,"completion_tokens_details":{"accepted_prediction_tokens":0,"audio_tokens":0,"reasoning_tokens":0,"rejected_prediction_tokens":0},"prompt_tokens":877,"prompt_tokens_details":{"audio_tokens":0,"cached_tokens":0},"total_tokens":886}}</t>
        </is>
      </c>
      <c r="K139" t="inlineStr">
        <is>
          <t>RECOVER Vintage Basketball Graphic Black T-Shirt</t>
        </is>
      </c>
      <c r="L139" t="inlineStr">
        <is>
          <t>{"choices":[{"finish_reason":"stop","index":0,"logprobs":null,"message":{"annotations":[],"content":"RECOVER Vintage Basketball Black T-Shirt – Washed cotton fabric with bold red-blue graphic design, relaxed unisex fit, perfect for streetwear, casual style, and basketball fan collections.","refusal":null,"role":"assistant"}}],"created":1776658950,"id":"chatcmpl-DWaRStTCKWMe0dpnLp49GwlB6PEmt","model":"gpt-5-chat-latest","object":"chat.completion","service_tier":"default","system_fingerprint":"fp_ad66631dec","usage":{"completion_tokens":38,"completion_tokens_details":{"accepted_prediction_tokens":0,"audio_tokens":0,"reasoning_tokens":0,"rejected_prediction_tokens":0},"prompt_tokens":898,"prompt_tokens_details":{"audio_tokens":0,"cached_tokens":0},"total_tokens":936}}</t>
        </is>
      </c>
      <c r="M139" t="inlineStr">
        <is>
          <t>{"alt-svc":"h3=\":443\"; ma=2592000","apim-request-id":"80021950-8bf5-4783-9834-c50101aaace9","azureml-model-session":"d20260405234249-f9874baf","cache-control":"no-cache","connection":"close","content-length":"778","content-security-policy":"frame-ancestors 'self'","content-type":"application/json","date":"Mon, 20 Apr 2026 04:22:31 GMT","server":"Caddy","skip-error-remapping":"true","strict-transport-security":"max-age=31536000; includeSubDomains; preload","via":"1.1 Caddy","x-api-request-id":"20260420122229608323041eIhoy3Zg","x-content-type-options":"nosniff","x-frame-options":"SAMEORIGIN","x-ms-client-request-id":"Not-Set","x-ms-is-spilled-over":"false","x-ms-rai-invoked":"true","x-ms-region":"East US 2","x-new-api-version":"0.4.39","x-oneapi-request-id":"202604200422295429996128268d9d6CGeiUq7V","x-ratelimit-abusepenalty-active":"False","x-ratelimit-limit-requests":"3850","x-ratelimit-limit-tokens":"3850000","x-ratelimit-remaining-requests":"3849","x-ratelimit-remaining-tokens":"3848340","x-ratelimit-renewalperiod-requests":"60","x-ratelimit-renewalperiod-tokens":"60","x-ratelimit-reset-requests":"15","x-ratelimit-reset-tokens":"25","x-request-id":"3db52022-ff7d-46be-9c88-6af0fd7adc1e"}</t>
        </is>
      </c>
      <c r="N139" t="inlineStr">
        <is>
          <t>RECOVER Vintage Basketball Black T-Shirt – Washed cotton fabric with bold red-blue graphic design, relaxed unisex fit, perfect for streetwear, casual style, and basketball fan collections.</t>
        </is>
      </c>
      <c r="O139" t="inlineStr">
        <is>
          <t>{"choices":[{"finish_reason":"stop","index":0,"logprobs":null,"message":{"annotations":[],"content":"Recover, T-Shirts, kakobuy, kakebuy2026, kekobuysheet, kakobuysheet2026, 2026kakobuy, kakobuyspreadsheeet, kakobuylink, kakebuylist, Kakobuy MEGA Spreadsheet, kakobuysheetfind, kakobuysheetfind2026, 2026kakobuysheetfind, kakobuysheet2026","refusal":null,"role":"assistant"}}],"created":1776668711,"id":"chatcmpl-DWcytwVFXPRqPe9MKu4v1CT3UyGOr","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39" t="inlineStr">
        <is>
          <t>Recover, T-Shirts, kakobuy, kakebuy2026, kekobuysheet, kakobuysheet2026, 2026kakobuy, kakobuyspreadsheeet, kakobuylink, kakebuylist, Kakobuy MEGA Spreadsheet, kakobuysheetfind, kakobuysheetfind2026, 2026kakobuysheetfind, kakobuysheet2026</t>
        </is>
      </c>
      <c r="Q139" t="inlineStr">
        <is>
          <t>Vintage, Streetwear, Unisex</t>
        </is>
      </c>
      <c r="R139" t="inlineStr">
        <is>
          <t>recvh6xFVjo0ty</t>
        </is>
      </c>
      <c r="S139" t="inlineStr">
        <is>
          <t>recover-vintage-basketball-graphic-black-tshirt-recvh6xFVjo0ty</t>
        </is>
      </c>
      <c r="T139"/>
      <c r="U139"/>
      <c r="V139"/>
      <c r="W139" t="inlineStr">
        <is>
          <t>{"choices":[{"finish_reason":"stop","index":0,"logprobs":null,"message":{"annotations":[],"content":"复古篮球主题黑色短袖T恤，采用水洗棉质面料，印有热血球员图腾与红蓝字体设计，街头潮流风格，宽松中性剪裁，适合休闲穿搭与球迷收藏。","refusal":null,"role":"assistant"}}],"created":1776655447,"id":"chatcmpl-DWZWxn2Fo7rvWHvX5sHFUQJa6jlKe","model":"gpt-5-chat-latest","object":"chat.completion","service_tier":"default","system_fingerprint":"fp_ad66631dec","usage":{"completion_tokens":61,"completion_tokens_details":{"accepted_prediction_tokens":0,"audio_tokens":0,"reasoning_tokens":0,"rejected_prediction_tokens":0},"prompt_tokens":1317,"prompt_tokens_details":{"audio_tokens":0,"cached_tokens":0},"total_tokens":1378}}</t>
        </is>
      </c>
      <c r="X139" t="inlineStr">
        <is>
          <t>复古篮球主题黑色短袖T恤，采用水洗棉质面料，印有热血球员图腾与红蓝字体设计，街头潮流风格，宽松中性剪裁，适合休闲穿搭与球迷收藏。</t>
        </is>
      </c>
    </row>
    <row r="140" ht="25.5" customHeight="1">
      <c r="A140">
        <v>1839115443</v>
      </c>
      <c r="B140">
        <v>7614096737</v>
      </c>
      <c r="C140" t="inlineStr">
        <is>
          <t>https://weidian.com/item.html?itemID=7614096737</t>
        </is>
      </c>
      <c r="D140"/>
      <c r="E140" s="2" t="str">
        <f>=HYPERLINK("https://si.geilicdn.com/open1839115443-252808396-68230000019aaf7f8f190aa081c2_800_994.jpg?w=640&amp;h=640", "https://si.geilicdn.com/open1839115443-252808396-68230000019aaf7f8f190aa081c2_800_994.jpg?w=640&amp;h=640")</f>
        <v>https://si.geilicdn.com/open1839115443-252808396-68230000019aaf7f8f190aa081c2_800_994.jpg?w=640&amp;h=640</v>
      </c>
      <c r="F140" t="inlineStr">
        <is>
          <t>T-Shirts</t>
        </is>
      </c>
      <c r="G140" t="inlineStr">
        <is>
          <t>Other</t>
        </is>
      </c>
      <c r="H140" t="inlineStr">
        <is>
          <t>120.00</t>
        </is>
      </c>
      <c r="I140">
        <v>17.39</v>
      </c>
      <c r="J140" t="inlineStr">
        <is>
          <t>{"id":"chatcmpl-DWcSG4eAzXclwWNnrZ8xLJDXcn1Ze","object":"chat.completion","created":1776666688,"model":"gpt-5-chat-latest","choices":[{"index":0,"message":{"role":"assistant","content":"RECOVER Vintage Black Metallic RETIRES Graphic T-Shirt","refusal":null,"annotations":[]},"logprobs":null,"finish_reason":"stop"}],"usage":{"prompt_tokens":881,"completion_tokens":12,"total_tokens":893,"prompt_tokens_details":{"cached_tokens":0,"audio_tokens":0},"completion_tokens_details":{"reasoning_tokens":0,"audio_tokens":0,"accepted_prediction_tokens":0,"rejected_prediction_tokens":0}},"service_tier":"default","system_fingerprint":"fp_ad66631dec"}</t>
        </is>
      </c>
      <c r="K140" t="inlineStr">
        <is>
          <t>RECOVER Vintage Black Metallic RETIRES Graphic T-Shirt</t>
        </is>
      </c>
      <c r="L140" t="inlineStr">
        <is>
          <t>{"id":"chatcmpl-DWaNluBYjJfAKKZqeVnBmkbwPm3iZ","object":"chat.completion","created":1776658721,"model":"gpt-5-chat-latest","choices":[{"index":0,"message":{"role":"assistant","content":"RECOVER Vintage Black T-Shirt made of premium washed cotton, featuring metallic “RETIRES” print and player graphic. Unisex loose fit, fusing street sport and retro American casual style.","refusal":null,"annotations":[]},"logprobs":null,"finish_reason":"stop"}],"usage":{"prompt_tokens":916,"completion_tokens":40,"total_tokens":956,"prompt_tokens_details":{"cached_tokens":0,"audio_tokens":0},"completion_tokens_details":{"reasoning_tokens":0,"audio_tokens":0,"accepted_prediction_tokens":0,"rejected_prediction_tokens":0}},"service_tier":"default","system_fingerprint":"fp_ad66631dec"}</t>
        </is>
      </c>
      <c r="M14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ma=2592000","apim-request-id":"5e962bbc-55fc-4cd1-8596-8c27713ba674","azureml-model-session":"d20260402083108-57a85543","cache-control":"no-cache, no-store, must-revalidate","connection":"close","content-length":"994","content-security-policy":"frame-ancestors 'self'","content-type":"application/json","date":"Mon, 20 Apr 2026 04:18:43 GMT","server":"nginx","skip-error-remapping":"true","strict-transport-security":"max-age=31536000; includeSubDomains; preload","via":"1.1 Caddy, 1.1 Caddy","x-api-request-id":"20260420121840115103949xOWJOI8N","x-content-type-options":"nosniff","x-frame-options":"SAMEORIGIN","x-ms-is-spilled-over":"false","x-ms-rai-invoked":"false","x-ms-region":"Sweden Central","x-new-api-version":"0.4.39","x-oneapi-request-id":"202604200418399675635258268d9d6T5nSVLmu","x-ratelimit-abusepenalty-active":"False","x-ratelimit-limit-requests":"4993","x-ratelimit-limit-tokens":"4993000","x-ratelimit-remaining-requests":"4992","x-ratelimit-remaining-tokens":"4991322","x-ratelimit-renewalperiod-requests":"60","x-ratelimit-renewalperiod-tokens":"60","x-ratelimit-reset-requests":"12","x-ratelimit-reset-tokens":"20","x-request-id":"c25dde0e-e9b1-48c7-8cee-539641c7f9b3"}</t>
        </is>
      </c>
      <c r="N140" t="inlineStr">
        <is>
          <t>RECOVER Vintage Black T-Shirt made of premium washed cotton, featuring metallic “RETIRES” print and player graphic. Unisex loose fit, fusing street sport and retro American casual style.</t>
        </is>
      </c>
      <c r="O140" t="inlineStr">
        <is>
          <t>{"choices":[{"finish_reason":"stop","index":0,"logprobs":null,"message":{"annotations":[],"content":"Recover, T-Shirts, kakobuy, kakebuy2026, kekobuysheet, kakobuysheet2026, 2026kakobuy, kakobuyspreadsheeet, kakobuylink, kakebuylist, Kakobuy MEGA Spreadsheet, kakobuysheetfind, kakobuysheetfind2026, 2026kakobuysheetfind, kakobuysheet2026","refusal":null,"role":"assistant"}}],"created":1776668789,"id":"chatcmpl-DWd09dWG5ps6FbZwkzNaJE4YQjWIm","model":"gpt-5-chat-latest","object":"chat.completion","service_tier":"default","system_fingerprint":"fp_ad66631dec","usage":{"completion_tokens":91,"completion_tokens_details":{"accepted_prediction_tokens":0,"audio_tokens":0,"reasoning_tokens":0,"rejected_prediction_tokens":0},"prompt_tokens":782,"prompt_tokens_details":{"audio_tokens":0,"cached_tokens":0},"total_tokens":873}}</t>
        </is>
      </c>
      <c r="P140" t="inlineStr">
        <is>
          <t>Recover, T-Shirts, kakobuy, kakebuy2026, kekobuysheet, kakobuysheet2026, 2026kakobuy, kakobuyspreadsheeet, kakobuylink, kakebuylist, Kakobuy MEGA Spreadsheet, kakobuysheetfind, kakobuysheetfind2026, 2026kakobuysheetfind, kakobuysheet2026</t>
        </is>
      </c>
      <c r="Q140" t="inlineStr">
        <is>
          <t>Unisex, Retro, Street, Black</t>
        </is>
      </c>
      <c r="R140" t="inlineStr">
        <is>
          <t>recvh6xFVjaiBb</t>
        </is>
      </c>
      <c r="S140" t="inlineStr">
        <is>
          <t>recover-vintage-black-metallic-retires-graphic-recvh6xFVjaiBb</t>
        </is>
      </c>
      <c r="T140"/>
      <c r="U140"/>
      <c r="V140"/>
      <c r="W140" t="inlineStr">
        <is>
          <t>{"id":"chatcmpl-DWZgp1yFzyyI9quZO83qvKgxIILfp","object":"chat.completion","created":1776656059,"model":"gpt-5-chat-latest","choices":[{"index":0,"message":{"role":"assistant","content":"复古黑色短袖系列，采用高品质纯棉水洗材质，正面印有球员图案与金属质感“RETIRES”字样，展现街头运动美学。宽松版型设计，男女皆宜，彰显美式复古潮流风格，休闲穿搭彰显个性与态度。","refusal":null,"annotations":[]},"logprobs":null,"finish_reason":"stop"}],"usage":{"prompt_tokens":1311,"completion_tokens":82,"total_tokens":1393,"prompt_tokens_details":{"cached_tokens":1280,"audio_tokens":0},"completion_tokens_details":{"reasoning_tokens":0,"audio_tokens":0,"accepted_prediction_tokens":0,"rejected_prediction_tokens":0}},"service_tier":"default","system_fingerprint":"fp_ad66631dec"}</t>
        </is>
      </c>
      <c r="X140" t="inlineStr">
        <is>
          <t>复古黑色短袖系列，采用高品质纯棉水洗材质，正面印有球员图案与金属质感“RETIRES”字样，展现街头运动美学。宽松版型设计，男女皆宜，彰显美式复古潮流风格，休闲穿搭彰显个性与态度。</t>
        </is>
      </c>
    </row>
    <row r="141" ht="25.5" customHeight="1">
      <c r="A141">
        <v>1839115443</v>
      </c>
      <c r="B141">
        <v>7617074738</v>
      </c>
      <c r="C141" t="inlineStr">
        <is>
          <t>https://weidian.com/item.html?itemID=7617074738</t>
        </is>
      </c>
      <c r="D141"/>
      <c r="E141" s="2" t="str">
        <f>=HYPERLINK("https://si.geilicdn.com/open1839115443-252808396-49b00000019aaf7f86bc0a8133b0_800_994.jpg?w=640&amp;h=640", "https://si.geilicdn.com/open1839115443-252808396-49b00000019aaf7f86bc0a8133b0_800_994.jpg?w=640&amp;h=640")</f>
        <v>https://si.geilicdn.com/open1839115443-252808396-49b00000019aaf7f86bc0a8133b0_800_994.jpg?w=640&amp;h=640</v>
      </c>
      <c r="F141" t="inlineStr">
        <is>
          <t>T-Shirts</t>
        </is>
      </c>
      <c r="G141" t="inlineStr">
        <is>
          <t>Other</t>
        </is>
      </c>
      <c r="H141" t="inlineStr">
        <is>
          <t>128.00</t>
        </is>
      </c>
      <c r="I141">
        <v>18.55</v>
      </c>
      <c r="J141" t="inlineStr">
        <is>
          <t>{"id":"chatcmpl-DWcDjRs5P4p4a4ScYjnOGgh4FzUKq","object":"chat.completion","created":1776665787,"model":"gpt-5-chat-latest","choices":[{"index":0,"message":{"role":"assistant","content":"RECOVER Vintage Charcoal Totem Streetwear Unisex T‑Shirt","refusal":null,"annotations":[]},"logprobs":null,"finish_reason":"stop"}],"usage":{"prompt_tokens":875,"completion_tokens":16,"total_tokens":891,"prompt_tokens_details":{"cached_tokens":0,"audio_tokens":0},"completion_tokens_details":{"reasoning_tokens":0,"audio_tokens":0,"accepted_prediction_tokens":0,"rejected_prediction_tokens":0}},"service_tier":"default","system_fingerprint":"fp_ad66631dec"}</t>
        </is>
      </c>
      <c r="K141" t="inlineStr">
        <is>
          <t>RECOVER Vintage Charcoal Totem Streetwear Unisex T‑Shirt</t>
        </is>
      </c>
      <c r="L141" t="inlineStr">
        <is>
          <t>{"id":"chatcmpl-DWaYXpSROKG2crxE4GMcomZHhotRA","object":"chat.completion","created":1776659389,"model":"gpt-5-chat-latest","choices":[{"index":0,"message":{"role":"assistant","content":"RECOVER Vintage Charcoal Graphic T-Shirt in Soft Cotton, featuring bold artistic totem print and pink‑blue gradient lettering, streetwear unisex loose fit for casual everyday style.","refusal":null,"annotations":[]},"logprobs":null,"finish_reason":"stop"}],"usage":{"prompt_tokens":914,"completion_tokens":37,"total_tokens":951,"prompt_tokens_details":{"cached_tokens":0,"audio_tokens":0},"completion_tokens_details":{"reasoning_tokens":0,"audio_tokens":0,"accepted_prediction_tokens":0,"rejected_prediction_tokens":0}},"service_tier":"default","system_fingerprint":"fp_ad66631dec"}</t>
        </is>
      </c>
      <c r="M14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ma=2592000","apim-request-id":"5ab9bceb-6304-4c8c-bad6-d3d47f2f06bb","azureml-model-session":"d20260405234249-f9874baf","cache-control":"no-cache, no-store, must-revalidate","connection":"close","content-length":"987","content-security-policy":"frame-ancestors 'self'","content-type":"application/json","date":"Mon, 20 Apr 2026 04:29:50 GMT","server":"nginx","skip-error-remapping":"true","strict-transport-security":"max-age=31536000; includeSubDomains; preload","via":"1.1 Caddy, 1.1 Caddy","x-api-request-id":"20260420122948439922576MDwIrO7l","x-content-type-options":"nosniff","x-frame-options":"SAMEORIGIN","x-ms-is-spilled-over":"false","x-ms-rai-invoked":"false","x-ms-region":"East US 2","x-new-api-version":"0.4.39","x-oneapi-request-id":"202604200429483741613808268d9d6ur9cTypA","x-ratelimit-abusepenalty-active":"False","x-ratelimit-limit-requests":"4994","x-ratelimit-limit-tokens":"4994000","x-ratelimit-remaining-requests":"4993","x-ratelimit-remaining-tokens":"4992324","x-ratelimit-renewalperiod-requests":"60","x-ratelimit-renewalperiod-tokens":"60","x-ratelimit-reset-requests":"12","x-ratelimit-reset-tokens":"20","x-request-id":"36769143-dddc-99b7-9f1c-89e92a0b4dcb"}</t>
        </is>
      </c>
      <c r="N141" t="inlineStr">
        <is>
          <t>RECOVER Vintage Charcoal Graphic T-Shirt in Soft Cotton, featuring bold artistic totem print and pink‑blue gradient lettering, streetwear unisex loose fit for casual everyday style.</t>
        </is>
      </c>
      <c r="O141" t="inlineStr">
        <is>
          <t>{"choices":[{"finish_reason":"stop","index":0,"logprobs":null,"message":{"annotations":[],"content":"Beyonce,T-Shirts,kakobuy,kakebuy2026,kekobuysheet,kakobuysheet2026,2026kakobuy,kakobuyspreadsheeet,kakobuylink,kakebuylist,Kakobuy MEGA Spreadsheet,kakobuysheetfind,kakobuysheetfind2026,2026kakobuysheetfind,kakobuysheet2026","refusal":null,"role":"assistant"}}],"created":1776668362,"id":"chatcmpl-DWctGj5rRvbiMKiGDcnwijp4WCVbW","model":"gpt-5-chat-latest","object":"chat.completion","service_tier":"default","system_fingerprint":"fp_ad66631dec","usage":{"completion_tokens":88,"completion_tokens_details":{"accepted_prediction_tokens":0,"audio_tokens":0,"reasoning_tokens":0,"rejected_prediction_tokens":0},"prompt_tokens":782,"prompt_tokens_details":{"audio_tokens":0,"cached_tokens":0},"total_tokens":870}}</t>
        </is>
      </c>
      <c r="P141" t="inlineStr">
        <is>
          <t>Beyonce,T-Shirts,kakobuy,kakebuy2026,kekobuysheet,kakobuysheet2026,2026kakobuy,kakobuyspreadsheeet,kakobuylink,kakebuylist,Kakobuy MEGA Spreadsheet,kakobuysheetfind,kakobuysheetfind2026,2026kakobuysheetfind,kakobuysheet2026</t>
        </is>
      </c>
      <c r="Q141" t="inlineStr">
        <is>
          <t>Charcoal, Streetwear, Unisex, Gradient</t>
        </is>
      </c>
      <c r="R141" t="inlineStr">
        <is>
          <t>recvh6xFVjlwsZ</t>
        </is>
      </c>
      <c r="S141" t="inlineStr">
        <is>
          <t>recover-vintage-charcoal-totem-streetwear-unisex-tshirt-recvh6xFVjlwsZ</t>
        </is>
      </c>
      <c r="T141"/>
      <c r="U141"/>
      <c r="V141"/>
      <c r="W141" t="inlineStr">
        <is>
          <t>{"choices":[{"finish_reason":"stop","index":0,"logprobs":null,"message":{"annotations":[],"content":"复古炭灰色印花T恤，采用柔软纯棉材质，正面呈现大胆艺术人物图腾与粉蓝渐变字体设计，街头潮流风格浓郁，宽松版型适合男女穿着，展现个性态度与时尚张力，休闲日常皆宜。","refusal":null,"role":"assistant"}}],"created":1776656092,"id":"chatcmpl-DWZhM7fI9YrRvmQdQArWmZAkIFl7O","model":"gpt-5-chat-latest","object":"chat.completion","service_tier":"default","system_fingerprint":"fp_ad66631dec","usage":{"completion_tokens":78,"completion_tokens_details":{"accepted_prediction_tokens":0,"audio_tokens":0,"reasoning_tokens":0,"rejected_prediction_tokens":0},"prompt_tokens":1315,"prompt_tokens_details":{"audio_tokens":0,"cached_tokens":0},"total_tokens":1393}}</t>
        </is>
      </c>
      <c r="X141" t="inlineStr">
        <is>
          <t>复古炭灰色印花T恤，采用柔软纯棉材质，正面呈现大胆艺术人物图腾与粉蓝渐变字体设计，街头潮流风格浓郁，宽松版型适合男女穿着，展现个性态度与时尚张力，休闲日常皆宜。</t>
        </is>
      </c>
    </row>
    <row r="142" ht="25.5" customHeight="1">
      <c r="A142">
        <v>1839115443</v>
      </c>
      <c r="B142">
        <v>7617058764</v>
      </c>
      <c r="C142" t="inlineStr">
        <is>
          <t>https://weidian.com/item.html?itemID=7617058764</t>
        </is>
      </c>
      <c r="D142"/>
      <c r="E142" s="2" t="str">
        <f>=HYPERLINK("https://si.geilicdn.com/open1839115443-252808396-4f810000019aaf79a6bd0a23b4de_800_1003.jpg?w=640&amp;h=640", "https://si.geilicdn.com/open1839115443-252808396-4f810000019aaf79a6bd0a23b4de_800_1003.jpg?w=640&amp;h=640")</f>
        <v>https://si.geilicdn.com/open1839115443-252808396-4f810000019aaf79a6bd0a23b4de_800_1003.jpg?w=640&amp;h=640</v>
      </c>
      <c r="F142" t="inlineStr">
        <is>
          <t>T-Shirts</t>
        </is>
      </c>
      <c r="G142" t="inlineStr">
        <is>
          <t>Other</t>
        </is>
      </c>
      <c r="H142" t="inlineStr">
        <is>
          <t>120.00</t>
        </is>
      </c>
      <c r="I142">
        <v>17.39</v>
      </c>
      <c r="J142" t="inlineStr">
        <is>
          <t>{"choices":[{"finish_reason":"stop","index":0,"logprobs":null,"message":{"annotations":[],"content":"Street Style Cotton Sports Print Unisex T-Shirt White","refusal":null,"role":"assistant"}}],"created":1776666430,"id":"chatcmpl-DWcO6SGwptZsvjpi7PlSTRNpcTkhy","model":"gpt-5-chat-latest","object":"chat.completion","service_tier":"default","system_fingerprint":"fp_ad66631dec","usage":{"completion_tokens":11,"completion_tokens_details":{"accepted_prediction_tokens":0,"audio_tokens":0,"reasoning_tokens":0,"rejected_prediction_tokens":0},"prompt_tokens":883,"prompt_tokens_details":{"audio_tokens":0,"cached_tokens":0},"total_tokens":894}}</t>
        </is>
      </c>
      <c r="K142" t="inlineStr">
        <is>
          <t>Street Style Cotton Sports Print Unisex T-Shirt White</t>
        </is>
      </c>
      <c r="L142" t="inlineStr">
        <is>
          <t>{"id":"chatcmpl-DWaXnVdoaiMoNkS7Je3Amgw1GGF3H","object":"chat.completion","created":1776659343,"model":"gpt-5-chat-latest","choices":[{"index":0,"message":{"role":"assistant","content":"T-ShirtsOther white street-style printed T-shirt, made of soft cotton with a dynamic sports figure design. Unisex loose fit, crew neck, breathable comfort for daily wear, showing youthful urban attitude.","refusal":null,"annotations":[]},"logprobs":null,"finish_reason":"stop"}],"usage":{"prompt_tokens":919,"completion_tokens":41,"total_tokens":960,"prompt_tokens_details":{"cached_tokens":0,"audio_tokens":0},"completion_tokens_details":{"reasoning_tokens":0,"audio_tokens":0,"accepted_prediction_tokens":0,"rejected_prediction_tokens":0}},"service_tier":"default","system_fingerprint":"fp_ad66631dec"}</t>
        </is>
      </c>
      <c r="M14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ma=2592000","apim-request-id":"bf4e385d-a60d-4bf0-975e-cfcfcfc61b6f","azureml-model-session":"d20260402074105-51db401e","cache-control":"no-cache, no-store, must-revalidate","connection":"close","content-length":"1007","content-security-policy":"frame-ancestors 'self'","content-type":"application/json","date":"Mon, 20 Apr 2026 04:29:06 GMT","server":"nginx","skip-error-remapping":"true","strict-transport-security":"max-age=31536000; includeSubDomains; preload","via":"1.1 Caddy, 1.1 Caddy","x-api-request-id":"2026042012290116034645N8B3I8Sf","x-content-type-options":"nosniff","x-frame-options":"SAMEORIGIN","x-ms-is-spilled-over":"false","x-ms-rai-invoked":"false","x-ms-region":"Sweden Central","x-new-api-version":"0.4.39","x-oneapi-request-id":"202604200429009487780178268d9d6a6TRlo0j","x-ratelimit-abusepenalty-active":"False","x-ratelimit-limit-requests":"4993","x-ratelimit-limit-tokens":"4993000","x-ratelimit-remaining-requests":"4992","x-ratelimit-remaining-tokens":"4991319","x-ratelimit-renewalperiod-requests":"60","x-ratelimit-renewalperiod-tokens":"60","x-ratelimit-reset-requests":"12","x-ratelimit-reset-tokens":"20","x-request-id":"1ec88025-e39c-4931-aa14-0ab51f2acfb6"}</t>
        </is>
      </c>
      <c r="N142" t="inlineStr">
        <is>
          <t>T-ShirtsOther white street-style printed T-shirt, made of soft cotton with a dynamic sports figure design. Unisex loose fit, crew neck, breathable comfort for daily wear, showing youthful urban attitude.</t>
        </is>
      </c>
      <c r="O142" t="inlineStr">
        <is>
          <t>{"choices":[{"finish_reason":"stop","index":0,"logprobs":null,"message":{"annotations":[],"content":"JHNULL, T-Shirts, kakobuy, kakebuy2026, kekobuysheet, kakobuysheet2026, 2026kakobuy, kakobuyspreadsheeet, kakobuylink, kakebuylist, Kakobuy MEGA Spreadsheet, kakobuysheetfind, kakobuysheetfind2026, 2026kakobuysheetfind, kakobuysheet2026","refusal":null,"role":"assistant"}}],"created":1776667819,"id":"chatcmpl-DWckVNbSAGzO8Q81GAbvEg58qn6TV","model":"gpt-5-chat-latest","object":"chat.completion","service_tier":"default","system_fingerprint":"fp_ad66631dec","usage":{"completion_tokens":93,"completion_tokens_details":{"accepted_prediction_tokens":0,"audio_tokens":0,"reasoning_tokens":0,"rejected_prediction_tokens":0},"prompt_tokens":782,"prompt_tokens_details":{"audio_tokens":0,"cached_tokens":0},"total_tokens":875}}</t>
        </is>
      </c>
      <c r="P142" t="inlineStr">
        <is>
          <t>JHNULL, T-Shirts, kakobuy, kakebuy2026, kekobuysheet, kakobuysheet2026, 2026kakobuy, kakobuyspreadsheeet, kakobuylink, kakebuylist, Kakobuy MEGA Spreadsheet, kakobuysheetfind, kakobuysheetfind2026, 2026kakobuysheetfind, kakobuysheet2026</t>
        </is>
      </c>
      <c r="Q142" t="inlineStr">
        <is>
          <t>Unisex, White, Streetwear, Breathable</t>
        </is>
      </c>
      <c r="R142" t="inlineStr">
        <is>
          <t>recvh6xFVjmPm4</t>
        </is>
      </c>
      <c r="S142" t="inlineStr">
        <is>
          <t>street-style-cotton-sports-print-unisex-tshirt-white-recvh6xFVjmPm4</t>
        </is>
      </c>
      <c r="T142"/>
      <c r="U142"/>
      <c r="V142"/>
      <c r="W142" t="inlineStr">
        <is>
          <t>{"choices":[{"finish_reason":"stop","index":0,"logprobs":null,"message":{"annotations":[],"content":"白色街头系列印花短袖T恤，柔软纯棉材质打造，正面呈现活力运动人物图腾，彰显个性艺术感。宽松版型适合男女同穿，简约圆领设计易于搭配，休闲街头风格展现青春态度，日常穿着舒适透气。","refusal":null,"role":"assistant"}}],"created":1776655450,"id":"chatcmpl-DWZX04YZHZzfRaPc8suReBlhHtlIf","model":"gpt-5-chat-latest","object":"chat.completion","service_tier":"default","system_fingerprint":"fp_ad66631dec","usage":{"completion_tokens":82,"completion_tokens_details":{"accepted_prediction_tokens":0,"audio_tokens":0,"reasoning_tokens":0,"rejected_prediction_tokens":0},"prompt_tokens":1317,"prompt_tokens_details":{"audio_tokens":0,"cached_tokens":1280},"total_tokens":1399}}</t>
        </is>
      </c>
      <c r="X142" t="inlineStr">
        <is>
          <t>白色街头系列印花短袖T恤，柔软纯棉材质打造，正面呈现活力运动人物图腾，彰显个性艺术感。宽松版型适合男女同穿，简约圆领设计易于搭配，休闲街头风格展现青春态度，日常穿着舒适透气。</t>
        </is>
      </c>
    </row>
    <row r="143" ht="25.5" customHeight="1">
      <c r="A143">
        <v>1839115443</v>
      </c>
      <c r="B143">
        <v>7599199197</v>
      </c>
      <c r="C143" t="inlineStr">
        <is>
          <t>https://weidian.com/item.html?itemID=7599199197</t>
        </is>
      </c>
      <c r="D143"/>
      <c r="E143" s="2" t="str">
        <f>=HYPERLINK("https://si.geilicdn.com/open1832946205-252808396-0af600000196d39468ae0a22d249_800_800.jpg?w=640&amp;h=640", "https://si.geilicdn.com/open1832946205-252808396-0af600000196d39468ae0a22d249_800_800.jpg?w=640&amp;h=640")</f>
        <v>https://si.geilicdn.com/open1832946205-252808396-0af600000196d39468ae0a22d249_800_800.jpg?w=640&amp;h=640</v>
      </c>
      <c r="F143" t="inlineStr">
        <is>
          <t>T-Shirts</t>
        </is>
      </c>
      <c r="G143" t="inlineStr">
        <is>
          <t>The North Face</t>
        </is>
      </c>
      <c r="H143" t="inlineStr">
        <is>
          <t>85.00</t>
        </is>
      </c>
      <c r="I143">
        <v>12.32</v>
      </c>
      <c r="J143" t="inlineStr">
        <is>
          <t>{"choices":[{"finish_reason":"stop","index":0,"logprobs":null,"message":{"annotations":[],"content":"The North Face Red Floral Mountain Graphic T-Shirt","refusal":null,"role":"assistant"}}],"created":1776666684,"id":"chatcmpl-DWcSCbGTCUSNXScLi94TLWZH1hCRl","model":"gpt-5-chat-latest","object":"chat.completion","service_tier":"default","system_fingerprint":"fp_ad66631dec","usage":{"completion_tokens":10,"completion_tokens_details":{"accepted_prediction_tokens":0,"audio_tokens":0,"reasoning_tokens":0,"rejected_prediction_tokens":0},"prompt_tokens":873,"prompt_tokens_details":{"audio_tokens":0,"cached_tokens":0},"total_tokens":883}}</t>
        </is>
      </c>
      <c r="K143" t="inlineStr">
        <is>
          <t>The North Face Red Floral Mountain Graphic T-Shirt</t>
        </is>
      </c>
      <c r="L143" t="inlineStr">
        <is>
          <t>{"choices":[{"finish_reason":"stop","index":0,"logprobs":null,"message":{"annotations":[],"content":"The North Face red cotton graphic T-shirt features a floral mountain print and logo, offering a relaxed unisex fit for casual and outdoor wear with a youthful, adventurous style.","refusal":null,"role":"assistant"}}],"created":1776659299,"id":"chatcmpl-DWaX5cHwdxqNuRi73ttz9nkrCgTNn","model":"gpt-5-chat-latest","object":"chat.completion","service_tier":"default","system_fingerprint":"fp_ad66631dec","usage":{"completion_tokens":35,"completion_tokens_details":{"accepted_prediction_tokens":0,"audio_tokens":0,"reasoning_tokens":0,"rejected_prediction_tokens":0},"prompt_tokens":923,"prompt_tokens_details":{"audio_tokens":0,"cached_tokens":0},"total_tokens":958}}</t>
        </is>
      </c>
      <c r="M143" t="inlineStr">
        <is>
          <t>{"alt-svc":"h3=\":443\"; ma=2592000","apim-request-id":"9a2db551-809d-44f4-9d5f-858077b90c4b","azureml-model-session":"d20260405234249-f9874baf","cache-control":"no-cache","connection":"close","content-length":"766","content-security-policy":"frame-ancestors 'self'","content-type":"application/json","date":"Mon, 20 Apr 2026 04:28:20 GMT","server":"nginx","skip-error-remapping":"true","strict-transport-security":"max-age=31536000; includeSubDomains; preload","via":"1.1 Caddy, 1.1 Caddy","x-api-request-id":"20260420122818932375265YI4UiBjY","x-content-type-options":"nosniff","x-frame-options":"SAMEORIGIN","x-ms-client-request-id":"Not-Set","x-ms-is-spilled-over":"false","x-ms-rai-invoked":"true","x-ms-region":"East US 2","x-new-api-version":"0.4.39","x-oneapi-request-id":"202604200428188650336338268d9d6jzjXV3kK","x-ratelimit-abusepenalty-active":"False","x-ratelimit-limit-requests":"3850","x-ratelimit-limit-tokens":"3850000","x-ratelimit-remaining-requests":"3849","x-ratelimit-remaining-tokens":"3848315","x-ratelimit-renewalperiod-requests":"60","x-ratelimit-renewalperiod-tokens":"60","x-ratelimit-reset-requests":"15","x-ratelimit-reset-tokens":"26","x-request-id":"8f4bcd8d-c56f-4180-911c-6cec9a365efd"}</t>
        </is>
      </c>
      <c r="N143" t="inlineStr">
        <is>
          <t>The North Face red cotton graphic T-shirt features a floral mountain print and logo, offering a relaxed unisex fit for casual and outdoor wear with a youthful, adventurous style.</t>
        </is>
      </c>
      <c r="O143" t="inlineStr">
        <is>
          <t>{"choices":[{"finish_reason":"stop","index":0,"logprobs":null,"message":{"annotations":[],"content":"The North Face,T-Shirts,kakobuy,kakebuy2026,kekobuysheet,kakobuysheet2026,2026kakobuy,kakobuyspreadsheeet,kakobuylink,kakebuylist,Kakobuy MEGA Spreadsheet,kakobuysheetfind,kakobuysheetfind2026,2026kakobuysheetfind,kakobuysheet2026","refusal":null,"role":"assistant"}}],"created":1776668243,"id":"chatcmpl-DWcrLqzH1qBS3IJGQPBrWwq10GYU7","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43" t="inlineStr">
        <is>
          <t>The North Face,T-Shirts,kakobuy,kakebuy2026,kekobuysheet,kakobuysheet2026,2026kakobuy,kakobuyspreadsheeet,kakobuylink,kakebuylist,Kakobuy MEGA Spreadsheet,kakobuysheetfind,kakobuysheetfind2026,2026kakobuysheetfind,kakobuysheet2026</t>
        </is>
      </c>
      <c r="Q143" t="inlineStr">
        <is>
          <t>Floral, Red, Outdoor, Unisex</t>
        </is>
      </c>
      <c r="R143" t="inlineStr">
        <is>
          <t>recvh6xFVjRH8u</t>
        </is>
      </c>
      <c r="S143" t="inlineStr">
        <is>
          <t>the-north-face-red-floral-mountain-graphic-t-shirt-recvh6xfvjr</t>
        </is>
      </c>
      <c r="T143"/>
      <c r="U143"/>
      <c r="V143"/>
      <c r="W143" t="inlineStr">
        <is>
          <t>{"id":"chatcmpl-DWZg1o5XMDjYT45g8wFzq4u34w1D3","object":"chat.completion","created":1776656009,"model":"gpt-5-chat-latest","choices":[{"index":0,"message":{"role":"assistant","content":"The North Face 红色印花休闲T恤，精选柔软纯棉面料，胸前方形山岳花卉图腾与品牌LOGO融合，展现自然探索精神。简约圆领设计，版型宽松舒适，男女皆宜，适合日常休闲与户外穿搭，彰显年轻活力与个性时尚态度。","refusal":null,"annotations":[]},"logprobs":null,"finish_reason":"stop"}],"usage":{"prompt_tokens":1315,"completion_tokens":88,"total_tokens":1403,"prompt_tokens_details":{"cached_tokens":0,"audio_tokens":0},"completion_tokens_details":{"reasoning_tokens":0,"audio_tokens":0,"accepted_prediction_tokens":0,"rejected_prediction_tokens":0}},"service_tier":"default","system_fingerprint":"fp_ad66631dec"}</t>
        </is>
      </c>
      <c r="X143" t="inlineStr">
        <is>
          <t>The North Face 红色印花休闲T恤，精选柔软纯棉面料，胸前方形山岳花卉图腾与品牌LOGO融合，展现自然探索精神。简约圆领设计，版型宽松舒适，男女皆宜，适合日常休闲与户外穿搭，彰显年轻活力与个性时尚态度。</t>
        </is>
      </c>
    </row>
    <row r="144" ht="25.5" customHeight="1">
      <c r="A144">
        <v>1839115443</v>
      </c>
      <c r="B144">
        <v>7599172643</v>
      </c>
      <c r="C144" t="inlineStr">
        <is>
          <t>https://weidian.com/item.html?itemID=7599172643</t>
        </is>
      </c>
      <c r="D144"/>
      <c r="E144" s="2" t="str">
        <f>=HYPERLINK("https://si.geilicdn.com/open1832946205-252808396-2d0300000197e99903bb0a23b491_800_800.jpg?w=640&amp;h=640", "https://si.geilicdn.com/open1832946205-252808396-2d0300000197e99903bb0a23b491_800_800.jpg?w=640&amp;h=640")</f>
        <v>https://si.geilicdn.com/open1832946205-252808396-2d0300000197e99903bb0a23b491_800_800.jpg?w=640&amp;h=640</v>
      </c>
      <c r="F144" t="inlineStr">
        <is>
          <t>Hoodies</t>
        </is>
      </c>
      <c r="G144" t="inlineStr">
        <is>
          <t>Supreme</t>
        </is>
      </c>
      <c r="H144" t="inlineStr">
        <is>
          <t>353.00</t>
        </is>
      </c>
      <c r="I144">
        <v>51.16</v>
      </c>
      <c r="J144" t="inlineStr">
        <is>
          <t>{"choices":[{"finish_reason":"stop","index":0,"logprobs":null,"message":{"annotations":[],"content":"Supreme Grey Flame Cartoon Cotton Hoodie","refusal":null,"role":"assistant"}}],"created":1776665891,"id":"chatcmpl-DWcFPJPJe15yX6djommbQZBID7GYD","model":"gpt-5-chat-latest","object":"chat.completion","service_tier":"default","system_fingerprint":"fp_ad66631dec","usage":{"completion_tokens":8,"completion_tokens_details":{"accepted_prediction_tokens":0,"audio_tokens":0,"reasoning_tokens":0,"rejected_prediction_tokens":0},"prompt_tokens":879,"prompt_tokens_details":{"audio_tokens":0,"cached_tokens":0},"total_tokens":887}}</t>
        </is>
      </c>
      <c r="K144" t="inlineStr">
        <is>
          <t>Supreme Grey Flame Cartoon Cotton Hoodie</t>
        </is>
      </c>
      <c r="L144" t="inlineStr">
        <is>
          <t>{"choices":[{"finish_reason":"stop","index":0,"logprobs":null,"message":{"annotations":[],"content":"Supreme Grey Cotton Hoodie featuring cartoon flame graphic front and back, soft premium fabric, loose fit, drawstring hood, kangaroo pocket, unisex streetwear for casual everyday style.","refusal":null,"role":"assistant"}}],"created":1776659084,"id":"chatcmpl-DWaTcETPrhkIML6SaFGQdCRmT3Y31","model":"gpt-5-chat-latest","object":"chat.completion","service_tier":"default","system_fingerprint":"fp_ad66631dec","usage":{"completion_tokens":38,"completion_tokens_details":{"accepted_prediction_tokens":0,"audio_tokens":0,"reasoning_tokens":0,"rejected_prediction_tokens":0},"prompt_tokens":939,"prompt_tokens_details":{"audio_tokens":0,"cached_tokens":0},"total_tokens":977}}</t>
        </is>
      </c>
      <c r="M144" t="inlineStr">
        <is>
          <t>{"alt-svc":"h3=\":443\"; ma=2592000","apim-request-id":"796523f9-00ef-4442-b4eb-907c766c2d03","azureml-model-session":"d20260405234249-f9874baf","cache-control":"no-cache","connection":"close","content-length":"773","content-security-policy":"frame-ancestors 'self'","content-type":"application/json","date":"Mon, 20 Apr 2026 04:24:45 GMT","server":"Caddy","skip-error-remapping":"true","strict-transport-security":"max-age=31536000; includeSubDomains; preload","via":"1.1 Caddy","x-api-request-id":"20260420122443588804316ZutcQN6x","x-content-type-options":"nosniff","x-frame-options":"SAMEORIGIN","x-ms-client-request-id":"Not-Set","x-ms-is-spilled-over":"false","x-ms-rai-invoked":"true","x-ms-region":"East US 2","x-new-api-version":"0.4.39","x-oneapi-request-id":"202604200424435216856258268d9d6JF0mdKmT","x-ratelimit-abusepenalty-active":"False","x-ratelimit-limit-requests":"3850","x-ratelimit-limit-tokens":"3850000","x-ratelimit-remaining-requests":"3849","x-ratelimit-remaining-tokens":"3847705","x-ratelimit-renewalperiod-requests":"60","x-ratelimit-renewalperiod-tokens":"60","x-ratelimit-reset-requests":"23","x-ratelimit-reset-tokens":"35","x-request-id":"b76a8182-a8d7-4dcc-81b2-cc3830c5e178"}</t>
        </is>
      </c>
      <c r="N144" t="inlineStr">
        <is>
          <t>Supreme Grey Cotton Hoodie featuring cartoon flame graphic front and back, soft premium fabric, loose fit, drawstring hood, kangaroo pocket, unisex streetwear for casual everyday style.</t>
        </is>
      </c>
      <c r="O144" t="inlineStr">
        <is>
          <t>{"choices":[{"finish_reason":"stop","index":0,"logprobs":null,"message":{"annotations":[],"content":"Supreme,Hoodie,kakobuy,kakebuy2026,kekobuysheet,kakobuysheet2026,2026kakobuy,kakobuyspreadsheeet,kakobuylink,kakebuylist,Kakobuy MEGA Spreadsheet,kakobuysheetfind,kakobuysheetfind2026,2026kakobuysheetfind,kakobuysheet2026","refusal":null,"role":"assistant"}}],"created":1776668478,"id":"chatcmpl-DWcv8W94SzT28z7SVLrnTGZfZN7OU","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44" t="inlineStr">
        <is>
          <t>Supreme,Hoodie,kakobuy,kakebuy2026,kekobuysheet,kakobuysheet2026,2026kakobuy,kakobuyspreadsheeet,kakobuylink,kakebuylist,Kakobuy MEGA Spreadsheet,kakobuysheetfind,kakobuysheetfind2026,2026kakobuysheetfind,kakobuysheet2026</t>
        </is>
      </c>
      <c r="Q144" t="inlineStr">
        <is>
          <t>Supreme, Grey, Streetwear, Unisex</t>
        </is>
      </c>
      <c r="R144" t="inlineStr">
        <is>
          <t>recvh6xFVjB2zK</t>
        </is>
      </c>
      <c r="S144" t="inlineStr">
        <is>
          <t>supreme-grey-flame-cartoon-hoodie-recvh6xfvjb2zk</t>
        </is>
      </c>
      <c r="T144"/>
      <c r="U144"/>
      <c r="V144"/>
      <c r="W144" t="inlineStr">
        <is>
          <t>{"choices":[{"finish_reason":"stop","index":0,"logprobs":null,"message":{"annotations":[],"content":"Supreme 灰色连帽卫衣，选用优质棉质面料，柔软舒适。胸前与背后印有卡通火焰人物图案，展现街头潮流与玩趣个性。宽松剪裁结合袋鼠口袋与抽绳设计，实穿又时尚，男女皆宜。适合日常休闲与街头搭配，凸显品牌标志性街头文化风格。","refusal":null,"role":"assistant"}}],"created":1776655682,"id":"chatcmpl-DWZak5U1vkrby7uN0noCucXpOrhz5","model":"gpt-5-chat-latest","object":"chat.completion","service_tier":"default","system_fingerprint":"fp_ad66631dec","usage":{"completion_tokens":103,"completion_tokens_details":{"accepted_prediction_tokens":0,"audio_tokens":0,"reasoning_tokens":0,"rejected_prediction_tokens":0},"prompt_tokens":1315,"prompt_tokens_details":{"audio_tokens":0,"cached_tokens":1280},"total_tokens":1418}}</t>
        </is>
      </c>
      <c r="X144" t="inlineStr">
        <is>
          <t>Supreme 灰色连帽卫衣，选用优质棉质面料，柔软舒适。胸前与背后印有卡通火焰人物图案，展现街头潮流与玩趣个性。宽松剪裁结合袋鼠口袋与抽绳设计，实穿又时尚，男女皆宜。适合日常休闲与街头搭配，凸显品牌标志性街头文化风格。</t>
        </is>
      </c>
    </row>
    <row r="145" ht="25.5" customHeight="1">
      <c r="A145">
        <v>1839115443</v>
      </c>
      <c r="B145">
        <v>7601151874</v>
      </c>
      <c r="C145" t="inlineStr">
        <is>
          <t>https://weidian.com/item.html?itemID=7601151874</t>
        </is>
      </c>
      <c r="D145"/>
      <c r="E145" s="2" t="str">
        <f>=HYPERLINK("https://si.geilicdn.com/open1832946205-252808396-785a00000197e9ce31a90a8133b0_800_800.jpg?w=640&amp;h=640", "https://si.geilicdn.com/open1832946205-252808396-785a00000197e9ce31a90a8133b0_800_800.jpg?w=640&amp;h=640")</f>
        <v>https://si.geilicdn.com/open1832946205-252808396-785a00000197e9ce31a90a8133b0_800_800.jpg?w=640&amp;h=640</v>
      </c>
      <c r="F145" t="inlineStr">
        <is>
          <t>Hoodies</t>
        </is>
      </c>
      <c r="G145" t="inlineStr">
        <is>
          <t>Gallery Dept.</t>
        </is>
      </c>
      <c r="H145" t="inlineStr">
        <is>
          <t>317.00</t>
        </is>
      </c>
      <c r="I145">
        <v>45.94</v>
      </c>
      <c r="J145" t="inlineStr">
        <is>
          <t>{"choices":[{"finish_reason":"stop","index":0,"logprobs":null,"message":{"annotations":[],"content":"Gallery Dept Classic Black Hoodie Vintage Unisex Pullover","refusal":null,"role":"assistant"}}],"created":1776666899,"id":"chatcmpl-DWcVfqEaViesMr9S8cJkCZmmSXuq6","model":"gpt-5-chat-latest","object":"chat.completion","service_tier":"default","system_fingerprint":"fp_ad66631dec","usage":{"completion_tokens":11,"completion_tokens_details":{"accepted_prediction_tokens":0,"audio_tokens":0,"reasoning_tokens":0,"rejected_prediction_tokens":0},"prompt_tokens":898,"prompt_tokens_details":{"audio_tokens":0,"cached_tokens":0},"total_tokens":909}}</t>
        </is>
      </c>
      <c r="K145" t="inlineStr">
        <is>
          <t>Gallery Dept Classic Black Hoodie Vintage Unisex Pullover</t>
        </is>
      </c>
      <c r="L145" t="inlineStr">
        <is>
          <t>{"id":"chatcmpl-DWaOSiLectbhuKa1suaqjLAS8Wzdz","object":"chat.completion","created":1776658764,"model":"gpt-5-chat-latest","choices":[{"index":0,"message":{"role":"assistant","content":"Gallery Dept. Classic Black Hoodie in soft cotton with iconic gold “GALLERY DEPT. HOLLYWOOD, CA.” print, vintage street style, drawstring hood, kangaroo pocket, unisex fit, casual and artistic.","refusal":null,"annotations":[]},"logprobs":null,"finish_reason":"stop"}],"usage":{"prompt_tokens":938,"completion_tokens":47,"total_tokens":985,"prompt_tokens_details":{"cached_tokens":0,"audio_tokens":0},"completion_tokens_details":{"reasoning_tokens":0,"audio_tokens":0,"accepted_prediction_tokens":0,"rejected_prediction_tokens":0}},"service_tier":"default","system_fingerprint":"fp_ad66631dec"}</t>
        </is>
      </c>
      <c r="M14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ma=2592000","apim-request-id":"eab620fb-738c-4510-8815-91829095810c","azureml-model-session":"d20260405234249-f9874baf","cache-control":"no-cache, no-store, must-revalidate","connection":"close","content-length":"1001","content-security-policy":"frame-ancestors 'self'","content-type":"application/json","date":"Mon, 20 Apr 2026 04:19:25 GMT","server":"Caddy","skip-error-remapping":"true","strict-transport-security":"max-age=31536000; includeSubDomains; preload","via":"1.1 Caddy","x-api-request-id":"20260420121923267866828aAUSqfdm","x-content-type-options":"nosniff","x-frame-options":"SAMEORIGIN","x-ms-is-spilled-over":"false","x-ms-rai-invoked":"false","x-ms-region":"East US 2","x-new-api-version":"0.4.39","x-oneapi-request-id":"202604200419232003231838268d9d6VXMEKBg5","x-ratelimit-abusepenalty-active":"False","x-ratelimit-limit-requests":"4994","x-ratelimit-limit-tokens":"4994000","x-ratelimit-remaining-requests":"4993","x-ratelimit-remaining-tokens":"4992300","x-ratelimit-renewalperiod-requests":"60","x-ratelimit-renewalperiod-tokens":"60","x-ratelimit-reset-requests":"12","x-ratelimit-reset-tokens":"20","x-request-id":"9f641098-5d54-44b7-bf7a-f11a4662f522"}</t>
        </is>
      </c>
      <c r="N145" t="inlineStr">
        <is>
          <t>Gallery Dept. Classic Black Hoodie in soft cotton with iconic gold “GALLERY DEPT. HOLLYWOOD, CA.” print, vintage street style, drawstring hood, kangaroo pocket, unisex fit, casual and artistic.</t>
        </is>
      </c>
      <c r="O145" t="inlineStr">
        <is>
          <t>{"choices":[{"finish_reason":"stop","index":0,"logprobs":null,"message":{"annotations":[],"content":"Gallery Dept., Hoodies, kakobuy, kakebuy2026, kekobuysheet, kakobuysheet2026, 2026kakobuy, kakobuyspreadsheeet, kakobuylink, kakebuylist, Kakobuy MEGA Spreadsheet, kakobuysheetfind, kakobuysheetfind2026, 2026kakobuysheetfind, kakobuysheet2026","refusal":null,"role":"assistant"}}],"created":1776667947,"id":"chatcmpl-DWcmZ72L00hkY7al3jEn2g4V9izca","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145" t="inlineStr">
        <is>
          <t>Gallery Dept., Hoodies, kakobuy, kakebuy2026, kekobuysheet, kakobuysheet2026, 2026kakobuy, kakobuyspreadsheeet, kakobuylink, kakebuylist, Kakobuy MEGA Spreadsheet, kakobuysheetfind, kakobuysheetfind2026, 2026kakobuysheetfind, kakobuysheet2026</t>
        </is>
      </c>
      <c r="Q145" t="inlineStr">
        <is>
          <t>Black, Gold, Vintage, Street, Unisex</t>
        </is>
      </c>
      <c r="R145" t="inlineStr">
        <is>
          <t>recvh6xFVjuike</t>
        </is>
      </c>
      <c r="S145" t="inlineStr">
        <is>
          <t>gallery-dept-classic-black-hoodie-recvh6xfvjuike</t>
        </is>
      </c>
      <c r="T145"/>
      <c r="U145"/>
      <c r="V145"/>
      <c r="W145" t="inlineStr">
        <is>
          <t>{"id":"chatcmpl-DWZMzcD0b6JLnXTIIJHdmdCNVWLzu","object":"chat.completion","created":1776654829,"model":"gpt-5-chat-2025-10-03","choices":[{"index":0,"message":{"role":"assistant","content":"Gallery Dept.: 经典黑色连帽卫衣，采用柔软纯棉面料，前胸与背后印有标志性金色“GALLERY DEPT. HOLLYWOOD, CA.”字样，融合美式复古与街头潮流风格。宽松剪裁搭配抽绳设计与袋鼠口袋，男女皆宜，舒适百搭，彰显加州艺术气息与个性态度。","refusal":null,"annotations":[]},"logprobs":null,"finish_reason":"stop"}],"usage":{"prompt_tokens":1320,"completion_tokens":100,"total_tokens":1420,"prompt_tokens_details":{"cached_tokens":0,"audio_tokens":0},"completion_tokens_details":{"reasoning_tokens":0,"audio_tokens":0,"accepted_prediction_tokens":0,"rejected_prediction_tokens":0}},"service_tier":"default","system_fingerprint":"fp_ad66631dec"}</t>
        </is>
      </c>
      <c r="X145" t="inlineStr">
        <is>
          <t>Gallery Dept.: 经典黑色连帽卫衣，采用柔软纯棉面料，前胸与背后印有标志性金色“GALLERY DEPT. HOLLYWOOD, CA.”字样，融合美式复古与街头潮流风格。宽松剪裁搭配抽绳设计与袋鼠口袋，男女皆宜，舒适百搭，彰显加州艺术气息与个性态度。</t>
        </is>
      </c>
    </row>
    <row r="146" ht="25.5" customHeight="1">
      <c r="A146">
        <v>1839115443</v>
      </c>
      <c r="B146">
        <v>7599247733</v>
      </c>
      <c r="C146" t="inlineStr">
        <is>
          <t>https://weidian.com/item.html?itemID=7599247733</t>
        </is>
      </c>
      <c r="D146"/>
      <c r="E146" s="2" t="str">
        <f>=HYPERLINK("https://si.geilicdn.com/open1832946205-252808396-78610000019759a51de20a8133b0_800_800.jpg?w=640&amp;h=640", "https://si.geilicdn.com/open1832946205-252808396-78610000019759a51de20a8133b0_800_800.jpg?w=640&amp;h=640")</f>
        <v>https://si.geilicdn.com/open1832946205-252808396-78610000019759a51de20a8133b0_800_800.jpg?w=640&amp;h=640</v>
      </c>
      <c r="F146" t="inlineStr">
        <is>
          <t>T-Shirts</t>
        </is>
      </c>
      <c r="G146" t="inlineStr">
        <is>
          <t>Comme des Garçons</t>
        </is>
      </c>
      <c r="H146" t="inlineStr">
        <is>
          <t>76.00</t>
        </is>
      </c>
      <c r="I146">
        <v>11.01</v>
      </c>
      <c r="J146" t="inlineStr">
        <is>
          <t>{"choices":[{"finish_reason":"stop","index":0,"logprobs":null,"message":{"annotations":[],"content":"Comme des Garçons PLAY Black Heart Logo T-Shirt","refusal":null,"role":"assistant"}}],"created":1776666798,"id":"chatcmpl-DWcU2IoO8mha3RyiOVNBZv9X371gE","model":"gpt-5-chat-latest","object":"chat.completion","service_tier":"default","system_fingerprint":"fp_ad66631dec","usage":{"completion_tokens":11,"completion_tokens_details":{"accepted_prediction_tokens":0,"audio_tokens":0,"reasoning_tokens":0,"rejected_prediction_tokens":0},"prompt_tokens":880,"prompt_tokens_details":{"audio_tokens":0,"cached_tokens":0},"total_tokens":891}}</t>
        </is>
      </c>
      <c r="K146" t="inlineStr">
        <is>
          <t>Comme des Garçons PLAY Black Heart Logo T-Shirt</t>
        </is>
      </c>
      <c r="L146" t="inlineStr">
        <is>
          <t>{"choices":[{"finish_reason":"stop","index":0,"logprobs":null,"message":{"annotations":[],"content":"Comme des Garçons PLAY Black T-Shirt in premium cotton with iconic red heart eye logo on chest and hem, minimalist Japanese street style, unisex design, comfy and stylish everyday wear.","refusal":null,"role":"assistant"}}],"created":1776659357,"id":"chatcmpl-DWaY1nO4YiPZ0AO3gPyQ5KszR6R8j","model":"gpt-5-chat-latest","object":"chat.completion","service_tier":"default","system_fingerprint":"fp_ad66631dec","usage":{"completion_tokens":38,"completion_tokens_details":{"accepted_prediction_tokens":0,"audio_tokens":0,"reasoning_tokens":0,"rejected_prediction_tokens":0},"prompt_tokens":922,"prompt_tokens_details":{"audio_tokens":0,"cached_tokens":0},"total_tokens":960}}</t>
        </is>
      </c>
      <c r="M146" t="inlineStr">
        <is>
          <t>{"alt-svc":"h3=\":443\"; ma=2592000","apim-request-id":"74ecc5d6-aa5f-40f4-9c87-50ea846d5c14","azureml-model-session":"d20260405234249-f9874baf","cache-control":"no-cache","connection":"close","content-length":"774","content-security-policy":"frame-ancestors 'self'","content-type":"application/json","date":"Mon, 20 Apr 2026 04:29:19 GMT","server":"Caddy","skip-error-remapping":"true","strict-transport-security":"max-age=31536000; includeSubDomains; preload","via":"1.1 Caddy","x-api-request-id":"20260420122916836069084QdSPObj1","x-content-type-options":"nosniff","x-frame-options":"SAMEORIGIN","x-ms-client-request-id":"Not-Set","x-ms-is-spilled-over":"false","x-ms-rai-invoked":"true","x-ms-region":"East US 2","x-new-api-version":"0.4.39","x-oneapi-request-id":"202604200429167686562258268d9d6kRaekJfl","x-ratelimit-abusepenalty-active":"False","x-ratelimit-limit-requests":"3850","x-ratelimit-limit-tokens":"3850000","x-ratelimit-remaining-requests":"3849","x-ratelimit-remaining-tokens":"3848316","x-ratelimit-renewalperiod-requests":"60","x-ratelimit-renewalperiod-tokens":"60","x-ratelimit-reset-requests":"15","x-ratelimit-reset-tokens":"26","x-request-id":"b1c83368-cef4-46f3-861f-fcd95586a71e"}</t>
        </is>
      </c>
      <c r="N146" t="inlineStr">
        <is>
          <t>Comme des Garçons PLAY Black T-Shirt in premium cotton with iconic red heart eye logo on chest and hem, minimalist Japanese street style, unisex design, comfy and stylish everyday wear.</t>
        </is>
      </c>
      <c r="O146" t="inlineStr">
        <is>
          <t>{"choices":[{"finish_reason":"stop","index":0,"logprobs":null,"message":{"annotations":[],"content":"Comme des Garçons, T-Shirts, kakobuy, kakebuy2026, kekobuysheet, kakobuysheet2026, 2026kakobuy, kakobuyspreadsheeet, kakobuylink, kakebuylist, Kakobuy MEGA Spreadsheet, kakobuysheetfind, kakobuysheetfind2026, 2026kakobuysheetfind, kakobuy sheet2026","refusal":null,"role":"assistant"}}],"created":1776667763,"id":"chatcmpl-DWcjbRn9R7GlTPlOQsGKsi3BqunmU","model":"gpt-5-chat-latest","object":"chat.completion","service_tier":"default","system_fingerprint":"fp_ad66631dec","usage":{"completion_tokens":94,"completion_tokens_details":{"accepted_prediction_tokens":0,"audio_tokens":0,"reasoning_tokens":0,"rejected_prediction_tokens":0},"prompt_tokens":785,"prompt_tokens_details":{"audio_tokens":0,"cached_tokens":0},"total_tokens":879}}</t>
        </is>
      </c>
      <c r="P146" t="inlineStr">
        <is>
          <t>Comme des Garçons, T-Shirts, kakobuy, kakebuy2026, kekobuysheet, kakobuysheet2026, 2026kakobuy, kakobuyspreadsheeet, kakobuylink, kakebuylist, Kakobuy MEGA Spreadsheet, kakobuysheetfind, kakobuysheetfind2026, 2026kakobuysheetfind, kakobuy sheet2026</t>
        </is>
      </c>
      <c r="Q146" t="inlineStr">
        <is>
          <t>Minimalist, Japanese, Streetwear, Unisex</t>
        </is>
      </c>
      <c r="R146" t="inlineStr">
        <is>
          <t>recvh6xFVjpouz</t>
        </is>
      </c>
      <c r="S146" t="inlineStr">
        <is>
          <t>comme-des-garcons-play-black-heart-logo-tshirt-recvh6xfvjpouz</t>
        </is>
      </c>
      <c r="T146"/>
      <c r="U146"/>
      <c r="V146"/>
      <c r="W146" t="inlineStr">
        <is>
          <t>{"choices":[{"finish_reason":"stop","index":0,"logprobs":null,"message":{"annotations":[],"content":"Comme des Garçons：PLAY系列黑色短袖T恤，采用优质纯棉面料，胸前与下摆点缀标志性红心眼图案，极具设计感与辨识度。简约剪裁融合日系个性街头风格，男女皆宜，舒适百搭，展现品牌艺术玩味与时尚态度。","refusal":null,"role":"assistant"}}],"created":1776656043,"id":"chatcmpl-DWZgZUPyllB7Va6c1piZVoMVsbqjr","model":"gpt-5-chat-latest","object":"chat.completion","service_tier":"default","system_fingerprint":"fp_ad66631dec","usage":{"completion_tokens":86,"completion_tokens_details":{"accepted_prediction_tokens":0,"audio_tokens":0,"reasoning_tokens":0,"rejected_prediction_tokens":0},"prompt_tokens":1318,"prompt_tokens_details":{"audio_tokens":0,"cached_tokens":0},"total_tokens":1404}}</t>
        </is>
      </c>
      <c r="X146" t="inlineStr">
        <is>
          <t>Comme des Garçons：PLAY系列黑色短袖T恤，采用优质纯棉面料，胸前与下摆点缀标志性红心眼图案，极具设计感与辨识度。简约剪裁融合日系个性街头风格，男女皆宜，舒适百搭，展现品牌艺术玩味与时尚态度。</t>
        </is>
      </c>
    </row>
    <row r="147" ht="25.5" customHeight="1">
      <c r="A147">
        <v>1839115443</v>
      </c>
      <c r="B147">
        <v>7599247705</v>
      </c>
      <c r="C147" t="inlineStr">
        <is>
          <t>https://weidian.com/item.html?itemID=7599247705</t>
        </is>
      </c>
      <c r="D147"/>
      <c r="E147" s="2" t="str">
        <f>=HYPERLINK("https://si.geilicdn.com/open1832946205-252808396-363800000197e99f1d900a23b4de_1920_1920.jpg?w=640&amp;h=640", "https://si.geilicdn.com/open1832946205-252808396-363800000197e99f1d900a23b4de_1920_1920.jpg?w=640&amp;h=640")</f>
        <v>https://si.geilicdn.com/open1832946205-252808396-363800000197e99f1d900a23b4de_1920_1920.jpg?w=640&amp;h=640</v>
      </c>
      <c r="F147" t="inlineStr">
        <is>
          <t>Hoodies</t>
        </is>
      </c>
      <c r="G147" t="inlineStr">
        <is>
          <t>Balenciaga</t>
        </is>
      </c>
      <c r="H147" t="inlineStr">
        <is>
          <t>406.00</t>
        </is>
      </c>
      <c r="I147">
        <v>58.84</v>
      </c>
      <c r="J147" t="inlineStr">
        <is>
          <t>{"choices":[{"finish_reason":"stop","index":0,"logprobs":null,"message":{"annotations":[],"content":"Balenciaga Black Logo Hoodie Unisex Streetwear Pullover","refusal":null,"role":"assistant"}}],"created":1776666214,"id":"chatcmpl-DWcKc8SPfb3pr8MU2AwsSFuZLqVPc","model":"gpt-5-chat-latest","object":"chat.completion","service_tier":"default","system_fingerprint":"fp_ad66631dec","usage":{"completion_tokens":13,"completion_tokens_details":{"accepted_prediction_tokens":0,"audio_tokens":0,"reasoning_tokens":0,"rejected_prediction_tokens":0},"prompt_tokens":882,"prompt_tokens_details":{"audio_tokens":0,"cached_tokens":0},"total_tokens":895}}</t>
        </is>
      </c>
      <c r="K147" t="inlineStr">
        <is>
          <t>Balenciaga Black Logo Hoodie Unisex Streetwear Pullover</t>
        </is>
      </c>
      <c r="L147" t="inlineStr">
        <is>
          <t>{"id":"chatcmpl-DWaNBr5YSRhsb3Xqfi3iRhJQPBPZj","object":"chat.completion","created":1776658685,"model":"gpt-5-chat-latest","choices":[{"index":0,"message":{"role":"assistant","content":"Balenciaga Black Logo Hoodie, premium cotton, red-white wave print on chest, loose drop-shoulder fit, kangaroo pocket, unisex streetwear style, minimalist modern fashion.","refusal":null,"annotations":[]},"logprobs":null,"finish_reason":"stop"}],"usage":{"prompt_tokens":908,"completion_tokens":39,"total_tokens":947,"prompt_tokens_details":{"cached_tokens":0,"audio_tokens":0},"completion_tokens_details":{"reasoning_tokens":0,"audio_tokens":0,"accepted_prediction_tokens":0,"rejected_prediction_tokens":0}},"service_tier":"default","system_fingerprint":"fp_ad66631dec"}</t>
        </is>
      </c>
      <c r="M147"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ma=2592000","apim-request-id":"60d6a362-bc8b-4dcd-9c64-27f79aa947bf","azureml-model-session":"d20260405234249-f9874baf","cache-control":"no-cache, no-store, must-revalidate","connection":"close","content-length":"974","content-security-policy":"frame-ancestors 'self'","content-type":"application/json","date":"Mon, 20 Apr 2026 04:18:07 GMT","server":"nginx","skip-error-remapping":"true","strict-transport-security":"max-age=31536000; includeSubDomains; preload","via":"1.1 Caddy, 1.1 Caddy","x-api-request-id":"202604201218047583856484huJWFhy","x-content-type-options":"nosniff","x-frame-options":"SAMEORIGIN","x-ms-is-spilled-over":"false","x-ms-rai-invoked":"false","x-ms-region":"Sweden Central","x-new-api-version":"0.4.39","x-oneapi-request-id":"202604200418046227472438268d9d6ehtUmejP","x-ratelimit-abusepenalty-active":"False","x-ratelimit-limit-requests":"4993","x-ratelimit-limit-tokens":"4993000","x-ratelimit-remaining-requests":"4992","x-ratelimit-remaining-tokens":"4991330","x-ratelimit-renewalperiod-requests":"60","x-ratelimit-renewalperiod-tokens":"60","x-ratelimit-reset-requests":"12","x-ratelimit-reset-tokens":"20","x-request-id":"d48536f6-ab8b-4db1-9c12-50a5a7cc18d5"}</t>
        </is>
      </c>
      <c r="N147" t="inlineStr">
        <is>
          <t>Balenciaga Black Logo Hoodie, premium cotton, red-white wave print on chest, loose drop-shoulder fit, kangaroo pocket, unisex streetwear style, minimalist modern fashion.</t>
        </is>
      </c>
      <c r="O147" t="inlineStr">
        <is>
          <t>{"choices":[{"finish_reason":"stop","index":0,"logprobs":null,"message":{"annotations":[],"content":"Balenciaga,Hoodies,kakobuy,kakebuy2026,kekobuysheet,kakobuysheet2026,2026kakobuy,kakobuyspreadsheeet,kakobuylink,kakebuylist,Kakobuy MEGA Spreadsheet,kakobuysheetfind,kakobuysheetfind2026,2026kakobuysheetfind,kakobuysheet2026","refusal":null,"role":"assistant"}}],"created":1776667132,"id":"chatcmpl-DWcZQmPeVZAbukbouGWOihBV3DD56","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147" t="inlineStr">
        <is>
          <t>Balenciaga,Hoodies,kakobuy,kakebuy2026,kekobuysheet,kakobuysheet2026,2026kakobuy,kakobuyspreadsheeet,kakobuylink,kakebuylist,Kakobuy MEGA Spreadsheet,kakobuysheetfind,kakobuysheetfind2026,2026kakobuysheetfind,kakobuysheet2026</t>
        </is>
      </c>
      <c r="Q147" t="inlineStr">
        <is>
          <t>Balenciaga, Black, Streetwear, Minimalist, Modern, Unisex</t>
        </is>
      </c>
      <c r="R147" t="inlineStr">
        <is>
          <t>recvh6xFVjBD4S</t>
        </is>
      </c>
      <c r="S147" t="inlineStr">
        <is>
          <t>balenciaga-black-logo-hoodie-recvh6xFVjBD4S</t>
        </is>
      </c>
      <c r="T147"/>
      <c r="U147"/>
      <c r="V147"/>
      <c r="W147" t="inlineStr">
        <is>
          <t>{"id":"chatcmpl-DWZds2oV8ieb7t01OAXIEN3QetIoV","object":"chat.completion","created":1776655876,"model":"gpt-5-chat-latest","choices":[{"index":0,"message":{"role":"assistant","content":"Balenciaga：黑色Logo连帽卫衣，优质纯棉材质打造，胸前印有红白波浪标识，宽松落肩剪裁，前置袋鼠兜设计，男女同款街头休闲风格，展现简约摩登时尚态度。","refusal":null,"annotations":[]},"logprobs":null,"finish_reason":"stop"}],"usage":{"prompt_tokens":1322,"completion_tokens":69,"total_tokens":1391,"prompt_tokens_details":{"cached_tokens":1280,"audio_tokens":0},"completion_tokens_details":{"reasoning_tokens":0,"audio_tokens":0,"accepted_prediction_tokens":0,"rejected_prediction_tokens":0}},"service_tier":"default","system_fingerprint":"fp_ad66631dec"}</t>
        </is>
      </c>
      <c r="X147" t="inlineStr">
        <is>
          <t>Balenciaga：黑色Logo连帽卫衣，优质纯棉材质打造，胸前印有红白波浪标识，宽松落肩剪裁，前置袋鼠兜设计，男女同款街头休闲风格，展现简约摩登时尚态度。</t>
        </is>
      </c>
    </row>
    <row r="148" ht="25.5" customHeight="1">
      <c r="A148">
        <v>1839115443</v>
      </c>
      <c r="B148">
        <v>7601129912</v>
      </c>
      <c r="C148" t="inlineStr">
        <is>
          <t>https://weidian.com/item.html?itemID=7601129912</t>
        </is>
      </c>
      <c r="D148"/>
      <c r="E148" s="2" t="str">
        <f>=HYPERLINK("https://si.geilicdn.com/open1832946205-252808396-755b000001963d7fe8c00a8133b0_1280_1279.jpg?w=640&amp;h=640", "https://si.geilicdn.com/open1832946205-252808396-755b000001963d7fe8c00a8133b0_1280_1279.jpg?w=640&amp;h=640")</f>
        <v>https://si.geilicdn.com/open1832946205-252808396-755b000001963d7fe8c00a8133b0_1280_1279.jpg?w=640&amp;h=640</v>
      </c>
      <c r="F148" t="inlineStr">
        <is>
          <t>Hoodies</t>
        </is>
      </c>
      <c r="G148" t="inlineStr">
        <is>
          <t>Hellstar</t>
        </is>
      </c>
      <c r="H148" t="inlineStr">
        <is>
          <t>111.00</t>
        </is>
      </c>
      <c r="I148">
        <v>16.09</v>
      </c>
      <c r="J148" t="inlineStr">
        <is>
          <t>{"id":"chatcmpl-DWcRToElmpTaptDIr7VGGjvZxulEp","object":"chat.completion","created":1776666639,"model":"gpt-5-chat-latest","choices":[{"index":0,"message":{"role":"assistant","content":"Hellstar Pink Flame Graphic Cotton Hoodie","refusal":null,"annotations":[]},"logprobs":null,"finish_reason":"stop"}],"usage":{"prompt_tokens":873,"completion_tokens":8,"total_tokens":881,"prompt_tokens_details":{"cached_tokens":0,"audio_tokens":0},"completion_tokens_details":{"reasoning_tokens":0,"audio_tokens":0,"accepted_prediction_tokens":0,"rejected_prediction_tokens":0}},"service_tier":"default","system_fingerprint":"fp_ad66631dec"}</t>
        </is>
      </c>
      <c r="K148" t="inlineStr">
        <is>
          <t>Hellstar Pink Flame Graphic Cotton Hoodie</t>
        </is>
      </c>
      <c r="L148" t="inlineStr">
        <is>
          <t>{"id":"chatcmpl-DWaMgNbCQIgWEXSGe8f8cxxfCAhME","object":"chat.completion","created":1776658654,"model":"gpt-5-chat-latest","choices":[{"index":0,"message":{"role":"assistant","content":"Hellstar Pink Flame Graphic Hoodie—soft cotton streetwear featuring bold graffiti logo on chest and sleeves, unisex design blending Y2K retro vibes with modern urban style.","refusal":null,"annotations":[]},"logprobs":null,"finish_reason":"stop"}],"usage":{"prompt_tokens":905,"completion_tokens":35,"total_tokens":940,"prompt_tokens_details":{"cached_tokens":0,"audio_tokens":0},"completion_tokens_details":{"reasoning_tokens":0,"audio_tokens":0,"accepted_prediction_tokens":0,"rejected_prediction_tokens":0}},"service_tier":"default","system_fingerprint":"fp_ad66631dec"}</t>
        </is>
      </c>
      <c r="M14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ma=2592000","apim-request-id":"d76a4f9b-ad98-401a-bf43-3be6ef2ec17c","azureml-model-session":"d20260405234249-f9874baf","cache-control":"no-cache, no-store, must-revalidate","connection":"close","content-length":"978","content-security-policy":"frame-ancestors 'self'","content-type":"application/json","date":"Mon, 20 Apr 2026 04:17:35 GMT","server":"nginx","skip-error-remapping":"true","strict-transport-security":"max-age=31536000; includeSubDomains; preload","via":"1.1 Caddy, 1.1 Caddy","x-api-request-id":"20260420121733159130893yQq88dbF","x-content-type-options":"nosniff","x-frame-options":"SAMEORIGIN","x-ms-is-spilled-over":"false","x-ms-rai-invoked":"false","x-ms-region":"Sweden Central","x-new-api-version":"0.4.39","x-oneapi-request-id":"20260420041733931783978268d9d68xzaN15G","x-ratelimit-abusepenalty-active":"False","x-ratelimit-limit-requests":"4993","x-ratelimit-limit-tokens":"4993000","x-ratelimit-remaining-requests":"4992","x-ratelimit-remaining-tokens":"4991333","x-ratelimit-renewalperiod-requests":"60","x-ratelimit-renewalperiod-tokens":"60","x-ratelimit-reset-requests":"12","x-ratelimit-reset-tokens":"20","x-request-id":"97d222cf-e3f0-471c-9367-3370141d6de2"}</t>
        </is>
      </c>
      <c r="N148" t="inlineStr">
        <is>
          <t>Hellstar Pink Flame Graphic Hoodie—soft cotton streetwear featuring bold graffiti logo on chest and sleeves, unisex design blending Y2K retro vibes with modern urban style.</t>
        </is>
      </c>
      <c r="O148" t="inlineStr">
        <is>
          <t>{"choices":[{"finish_reason":"stop","index":0,"logprobs":null,"message":{"annotations":[],"content":"Hellstar,Hoodie,kakobuy,kakebuy2026,kekobuysheet,kakobuysheet2026,2026kakobuy,kakobuyspreadsheeet,kakobuylink,kakebuylist,Kakobuy MEGA Spreadsheet,kakobuysheetfind,kakobuysheetfind2026,2026kakobuysheetfind,kakobusheet2026","refusal":null,"role":"assistant"}}],"created":1776668637,"id":"chatcmpl-DWcxhz9JVdKxBEm9sBLoLIGnvBwe2","model":"gpt-5-chat-latest","object":"chat.completion","service_tier":"default","system_fingerprint":"fp_ad66631dec","usage":{"completion_tokens":87,"completion_tokens_details":{"accepted_prediction_tokens":0,"audio_tokens":0,"reasoning_tokens":0,"rejected_prediction_tokens":0},"prompt_tokens":784,"prompt_tokens_details":{"audio_tokens":0,"cached_tokens":0},"total_tokens":871}}</t>
        </is>
      </c>
      <c r="P148" t="inlineStr">
        <is>
          <t>Hellstar,Hoodie,kakobuy,kakebuy2026,kekobuysheet,kakobuysheet2026,2026kakobuy,kakobuyspreadsheeet,kakobuylink,kakebuylist,Kakobuy MEGA Spreadsheet,kakobuysheetfind,kakobuysheetfind2026,2026kakobuysheetfind,kakobusheet2026</t>
        </is>
      </c>
      <c r="Q148" t="inlineStr">
        <is>
          <t>Pink, Streetwear, Retro, Unisex</t>
        </is>
      </c>
      <c r="R148" t="inlineStr">
        <is>
          <t>recvh6xFVjBEGA</t>
        </is>
      </c>
      <c r="S148" t="inlineStr">
        <is>
          <t>hellstar-pink-flame-graphic-hoodie-recvh6xfvjbe</t>
        </is>
      </c>
      <c r="T148"/>
      <c r="U148"/>
      <c r="V148"/>
      <c r="W148" t="inlineStr">
        <is>
          <t>{"choices":[{"finish_reason":"stop","index":0,"logprobs":null,"message":{"annotations":[],"content":"Hellstar：粉色火焰印花连帽卫衣，柔软棉质面料，胸前及袖身醒目涂鸦字母设计，街头机能风格，适合男女穿搭，展现千禧复古与现代潮流融合魅力。","refusal":null,"role":"assistant"}}],"created":1776656039,"id":"chatcmpl-DWZgV84Ns3gKJaQfc9DUjgtYlpm0w","model":"gpt-5-chat-latest","object":"chat.completion","service_tier":"default","system_fingerprint":"fp_ad66631dec","usage":{"completion_tokens":66,"completion_tokens_details":{"accepted_prediction_tokens":0,"audio_tokens":0,"reasoning_tokens":0,"rejected_prediction_tokens":0},"prompt_tokens":1321,"prompt_tokens_details":{"audio_tokens":0,"cached_tokens":0},"total_tokens":1387}}</t>
        </is>
      </c>
      <c r="X148" t="inlineStr">
        <is>
          <t>Hellstar：粉色火焰印花连帽卫衣，柔软棉质面料，胸前及袖身醒目涂鸦字母设计，街头机能风格，适合男女穿搭，展现千禧复古与现代潮流融合魅力。</t>
        </is>
      </c>
    </row>
    <row r="149" ht="25.5" customHeight="1">
      <c r="A149">
        <v>1839115443</v>
      </c>
      <c r="B149">
        <v>7601165612</v>
      </c>
      <c r="C149" t="inlineStr">
        <is>
          <t>https://weidian.com/item.html?itemID=7601165612</t>
        </is>
      </c>
      <c r="D149"/>
      <c r="E149" s="2" t="str">
        <f>=HYPERLINK("https://si.geilicdn.com/open1832946205-252808396-6fea00000197e81cb0420a23b491_800_800.jpg?w=640&amp;h=640", "https://si.geilicdn.com/open1832946205-252808396-6fea00000197e81cb0420a23b491_800_800.jpg?w=640&amp;h=640")</f>
        <v>https://si.geilicdn.com/open1832946205-252808396-6fea00000197e81cb0420a23b491_800_800.jpg?w=640&amp;h=640</v>
      </c>
      <c r="F149" t="inlineStr">
        <is>
          <t>T-Shirts</t>
        </is>
      </c>
      <c r="G149" t="inlineStr">
        <is>
          <t>Stussy</t>
        </is>
      </c>
      <c r="H149" t="inlineStr">
        <is>
          <t>86.00</t>
        </is>
      </c>
      <c r="I149">
        <v>12.46</v>
      </c>
      <c r="J149" t="inlineStr">
        <is>
          <t>{"id":"chatcmpl-DWcIaKwonBQrlQrTL8ELiZMqvqmhw","object":"chat.completion","created":1776666088,"model":"gpt-5-chat-latest","choices":[{"index":0,"message":{"role":"assistant","content":"Stussy Black Dice Logo Streetwear T-Shirt","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ad66631dec"}</t>
        </is>
      </c>
      <c r="K149" t="inlineStr">
        <is>
          <t>Stussy Black Dice Logo Streetwear T-Shirt</t>
        </is>
      </c>
      <c r="L149" t="inlineStr">
        <is>
          <t>{"id":"chatcmpl-DWaSpLMU8svQneT6GWbs9Nh8Rhp2C","object":"chat.completion","created":1776659035,"model":"gpt-5-chat-latest","choices":[{"index":0,"message":{"role":"assistant","content":"Stussy washed black T-shirt in soft cotton with dice and handwritten logo print on back. Retro 90s streetwear style, loose unisex fit, perfect casual essential for everyday fashion.","refusal":null,"annotations":[]},"logprobs":null,"finish_reason":"stop"}],"usage":{"prompt_tokens":897,"completion_tokens":39,"total_tokens":936,"prompt_tokens_details":{"cached_tokens":0,"audio_tokens":0},"completion_tokens_details":{"reasoning_tokens":0,"audio_tokens":0,"accepted_prediction_tokens":0,"rejected_prediction_tokens":0}},"service_tier":"default","system_fingerprint":"fp_ad66631dec"}</t>
        </is>
      </c>
      <c r="M14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ma=2592000","apim-request-id":"6a08429f-1d02-45c3-8312-a3d96c6c7247","azureml-model-session":"d20260402074105-51db401e","cache-control":"no-cache, no-store, must-revalidate","connection":"close","content-length":"985","content-security-policy":"frame-ancestors 'self'","content-type":"application/json","date":"Mon, 20 Apr 2026 04:23:57 GMT","server":"nginx","skip-error-remapping":"true","strict-transport-security":"max-age=31536000; includeSubDomains; preload","via":"1.1 Caddy, 1.1 Caddy","x-api-request-id":"20260420122354172625191oIdPOJnA","x-content-type-options":"nosniff","x-frame-options":"SAMEORIGIN","x-ms-is-spilled-over":"false","x-ms-rai-invoked":"false","x-ms-region":"Sweden Central","x-new-api-version":"0.4.39","x-oneapi-request-id":"202604200423541046577108268d9d6I0WJAtyT","x-ratelimit-abusepenalty-active":"False","x-ratelimit-limit-requests":"4993","x-ratelimit-limit-tokens":"4993000","x-ratelimit-remaining-requests":"4992","x-ratelimit-remaining-tokens":"4991341","x-ratelimit-renewalperiod-requests":"60","x-ratelimit-renewalperiod-tokens":"60","x-ratelimit-reset-requests":"12","x-ratelimit-reset-tokens":"19","x-request-id":"9ca27a7b-4431-45b4-8c2a-dad5282c03c3"}</t>
        </is>
      </c>
      <c r="N149" t="inlineStr">
        <is>
          <t>Stussy washed black T-shirt in soft cotton with dice and handwritten logo print on back. Retro 90s streetwear style, loose unisex fit, perfect casual essential for everyday fashion.</t>
        </is>
      </c>
      <c r="O149" t="inlineStr">
        <is>
          <t>{"choices":[{"finish_reason":"stop","index":0,"logprobs":null,"message":{"annotations":[],"content":"Stussy,T-Shirts,kakobuy,kakebuy2026,kekobuysheet,kakobuysheet2026,2026kakobuy,kakobuyspreadsheeet,kakobuylink,kakebuylist,Kakobuy MEGA Spreadsheet,kakobuysheetfind,kakobuysheetfind2026,2026kakobuysheetfind,kakobuysheet2026","refusal":null,"role":"assistant"}}],"created":1776668372,"id":"chatcmpl-DWctQAeSMNFRFc8gsH7gYaj36MU0w","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49" t="inlineStr">
        <is>
          <t>Stussy,T-Shirts,kakobuy,kakebuy2026,kekobuysheet,kakobuysheet2026,2026kakobuy,kakobuyspreadsheeet,kakobuylink,kakebuylist,Kakobuy MEGA Spreadsheet,kakobuysheetfind,kakobuysheetfind2026,2026kakobuysheetfind,kakobuysheet2026</t>
        </is>
      </c>
      <c r="Q149" t="inlineStr">
        <is>
          <t>Stussy, Retro, Streetwear, Black, Unisex</t>
        </is>
      </c>
      <c r="R149" t="inlineStr">
        <is>
          <t>recvh6xFVjkDTc</t>
        </is>
      </c>
      <c r="S149" t="inlineStr">
        <is>
          <t>stussy-black-dice-logo-streetwear-t-shirt-recvh6xFVjkDTc</t>
        </is>
      </c>
      <c r="T149"/>
      <c r="U149"/>
      <c r="V149"/>
      <c r="W149" t="inlineStr">
        <is>
          <t>{"id":"chatcmpl-DWZPtifPbdMkylE97aSGb8TPCBqCM","object":"chat.completion","created":1776655009,"model":"gpt-5-chat-latest","choices":[{"index":0,"message":{"role":"assistant","content":"Stussy水洗黑色短袖，采用柔滑纯棉材质，背面骰子与手写Logo印花设计，街头复古风格，宽松男女通用款，彰显90年代潮流态度，休闲百搭必备单品。","refusal":null,"annotations":[]},"logprobs":null,"finish_reason":"stop"}],"usage":{"prompt_tokens":1312,"completion_tokens":63,"total_tokens":1375,"prompt_tokens_details":{"cached_tokens":0,"audio_tokens":0},"completion_tokens_details":{"reasoning_tokens":0,"audio_tokens":0,"accepted_prediction_tokens":0,"rejected_prediction_tokens":0}},"service_tier":"default","system_fingerprint":"fp_ad66631dec"}</t>
        </is>
      </c>
      <c r="X149" t="inlineStr">
        <is>
          <t>Stussy水洗黑色短袖，采用柔滑纯棉材质，背面骰子与手写Logo印花设计，街头复古风格，宽松男女通用款，彰显90年代潮流态度，休闲百搭必备单品。</t>
        </is>
      </c>
    </row>
    <row r="150" ht="25.5" customHeight="1">
      <c r="A150">
        <v>1839115443</v>
      </c>
      <c r="B150">
        <v>7601137946</v>
      </c>
      <c r="C150" t="inlineStr">
        <is>
          <t>https://weidian.com/item.html?itemID=7601137946</t>
        </is>
      </c>
      <c r="D150"/>
      <c r="E150" s="2" t="str">
        <f>=HYPERLINK("https://si.geilicdn.com/open1832946205-252808396-742200000197f318777d0a22d249_600_600.jpg?w=640&amp;h=640", "https://si.geilicdn.com/open1832946205-252808396-742200000197f318777d0a22d249_600_600.jpg?w=640&amp;h=640")</f>
        <v>https://si.geilicdn.com/open1832946205-252808396-742200000197f318777d0a22d249_600_600.jpg?w=640&amp;h=640</v>
      </c>
      <c r="F150" t="inlineStr">
        <is>
          <t>Hoodies</t>
        </is>
      </c>
      <c r="G150" t="inlineStr">
        <is>
          <t>Other</t>
        </is>
      </c>
      <c r="H150" t="inlineStr">
        <is>
          <t>240.00</t>
        </is>
      </c>
      <c r="I150">
        <v>34.78</v>
      </c>
      <c r="J150" t="inlineStr">
        <is>
          <t>{"choices":[{"finish_reason":"stop","index":0,"logprobs":null,"message":{"annotations":[],"content":"HoodiesOther Gray Zip Up Hoodie Unisex Streetwear","refusal":null,"role":"assistant"}}],"created":1776666225,"id":"chatcmpl-DWcKnBrNCrl3VNvmqFrUw1v5SxIIC","model":"gpt-5-chat-latest","object":"chat.completion","service_tier":"default","system_fingerprint":"fp_ad66631dec","usage":{"completion_tokens":13,"completion_tokens_details":{"accepted_prediction_tokens":0,"audio_tokens":0,"reasoning_tokens":0,"rejected_prediction_tokens":0},"prompt_tokens":882,"prompt_tokens_details":{"audio_tokens":0,"cached_tokens":0},"total_tokens":895}}</t>
        </is>
      </c>
      <c r="K150" t="inlineStr">
        <is>
          <t>HoodiesOther Gray Zip Up Hoodie Unisex Streetwear</t>
        </is>
      </c>
      <c r="L150" t="inlineStr">
        <is>
          <t>{"id":"chatcmpl-DWaYvKWciRkjVFsqkM23nXqkk0g9Q","object":"chat.completion","created":1776659413,"model":"gpt-5-chat-latest","choices":[{"index":0,"message":{"role":"assistant","content":"HoodiesOther Minimalist Gray Zip Hoodie – soft thick cotton, loose drop-shoulder fit, front pockets, ribbed cuffs, unisex streetwear for daily comfort and casual style.","refusal":null,"annotations":[]},"logprobs":null,"finish_reason":"stop"}],"usage":{"prompt_tokens":899,"completion_tokens":40,"total_tokens":939,"prompt_tokens_details":{"cached_tokens":0,"audio_tokens":0},"completion_tokens_details":{"reasoning_tokens":0,"audio_tokens":0,"accepted_prediction_tokens":0,"rejected_prediction_tokens":0}},"service_tier":"default","system_fingerprint":"fp_ad66631dec"}</t>
        </is>
      </c>
      <c r="M150"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ma=2592000","apim-request-id":"078a7d30-16ed-406e-b864-3e8187ade490","azureml-model-session":"d20260405234249-f9874baf","cache-control":"no-cache, no-store, must-revalidate","connection":"close","content-length":"974","content-security-policy":"frame-ancestors 'self'","content-type":"application/json","date":"Mon, 20 Apr 2026 04:30:14 GMT","server":"Caddy","skip-error-remapping":"true","strict-transport-security":"max-age=31536000; includeSubDomains; preload","via":"1.1 Caddy","x-api-request-id":"20260420123012213652090pfAU6JKp","x-content-type-options":"nosniff","x-frame-options":"SAMEORIGIN","x-ms-is-spilled-over":"false","x-ms-rai-invoked":"false","x-ms-region":"East US 2","x-new-api-version":"0.4.39","x-oneapi-request-id":"202604200430121412746838268d9d6MioZtxYQ","x-ratelimit-abusepenalty-active":"False","x-ratelimit-limit-requests":"4994","x-ratelimit-limit-tokens":"4994000","x-ratelimit-remaining-requests":"4993","x-ratelimit-remaining-tokens":"4992339","x-ratelimit-renewalperiod-requests":"60","x-ratelimit-renewalperiod-tokens":"60","x-ratelimit-reset-requests":"12","x-ratelimit-reset-tokens":"19","x-request-id":"a247ef98-b5c9-44e7-a1f6-e5618dfcedae"}</t>
        </is>
      </c>
      <c r="N150" t="inlineStr">
        <is>
          <t>HoodiesOther Minimalist Gray Zip Hoodie – soft thick cotton, loose drop-shoulder fit, front pockets, ribbed cuffs, unisex streetwear for daily comfort and casual style.</t>
        </is>
      </c>
      <c r="O150" t="inlineStr">
        <is>
          <t>{"choices":[{"finish_reason":"stop","index":0,"logprobs":null,"message":{"annotations":[],"content":"NGR,Hoodies,kakobuy,kakebuy2026,kekobuysheet,kakobuysheet2026,2026kakobuy,kakobuyspreadsheeet,kakobuylink,kakebuylist,Kakobuy MEGA Spreadsheet,kakobuysheetfind,kakobuysheetfind2026,2026kakobuysheetfind,kakobuysheet2026","refusal":null,"role":"assistant"}}],"created":1776667923,"id":"chatcmpl-DWcmBBhHMKrZ9x8JziRrLYGjj5tch","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is>
      </c>
      <c r="P150" t="inlineStr">
        <is>
          <t>NGR,Hoodies,kakobuy,kakebuy2026,kekobuysheet,kakobuysheet2026,2026kakobuy,kakobuyspreadsheeet,kakobuylink,kakebuylist,Kakobuy MEGA Spreadsheet,kakobuysheetfind,kakobuysheetfind2026,2026kakobuysheetfind,kakobuysheet2026</t>
        </is>
      </c>
      <c r="Q150" t="inlineStr">
        <is>
          <t>Minimalist, Gray, Unisex, Streetwear, Comfort</t>
        </is>
      </c>
      <c r="R150" t="inlineStr">
        <is>
          <t>recvh6xFVjHasY</t>
        </is>
      </c>
      <c r="S150" t="inlineStr">
        <is>
          <t>gray-zip-up-hoodie-unisex-streetwear-recvh6xfvjhasY</t>
        </is>
      </c>
      <c r="T150"/>
      <c r="U150"/>
      <c r="V150"/>
      <c r="W150" t="inlineStr">
        <is>
          <t>{"choices":[{"finish_reason":"stop","index":0,"logprobs":null,"message":{"annotations":[],"content":"极简灰色连帽拉链卫衣，柔软厚棉面料，宽松落肩剪裁设计，配大口袋与罗纹袖口，男女通用，兼具舒适与街头休闲风格，适合日常休闲与潮流穿搭。","refusal":null,"role":"assistant"}}],"created":1776655646,"id":"chatcmpl-DWZaA39iVakGcmaHa6q54BBhIE0Kj","model":"gpt-5-chat-latest","object":"chat.completion","service_tier":"default","system_fingerprint":"fp_ad66631dec","usage":{"completion_tokens":66,"completion_tokens_details":{"accepted_prediction_tokens":0,"audio_tokens":0,"reasoning_tokens":0,"rejected_prediction_tokens":0},"prompt_tokens":1308,"prompt_tokens_details":{"audio_tokens":0,"cached_tokens":0},"total_tokens":1374}}</t>
        </is>
      </c>
      <c r="X150" t="inlineStr">
        <is>
          <t>极简灰色连帽拉链卫衣，柔软厚棉面料，宽松落肩剪裁设计，配大口袋与罗纹袖口，男女通用，兼具舒适与街头休闲风格，适合日常休闲与潮流穿搭。</t>
        </is>
      </c>
    </row>
    <row r="151" ht="25.5" customHeight="1">
      <c r="A151">
        <v>1839115443</v>
      </c>
      <c r="B151">
        <v>7599231801</v>
      </c>
      <c r="C151" t="inlineStr">
        <is>
          <t>https://weidian.com/item.html?itemID=7599231801</t>
        </is>
      </c>
      <c r="D151"/>
      <c r="E151" s="2" t="str">
        <f>=HYPERLINK("https://si.geilicdn.com/open1832946205-252808396-523700000197e98247370aa0c791_990_990.jpg?w=640&amp;h=640", "https://si.geilicdn.com/open1832946205-252808396-523700000197e98247370aa0c791_990_990.jpg?w=640&amp;h=640")</f>
        <v>https://si.geilicdn.com/open1832946205-252808396-523700000197e98247370aa0c791_990_990.jpg?w=640&amp;h=640</v>
      </c>
      <c r="F151" t="inlineStr">
        <is>
          <t>Hoodies</t>
        </is>
      </c>
      <c r="G151" t="inlineStr">
        <is>
          <t>Supreme</t>
        </is>
      </c>
      <c r="H151" t="inlineStr">
        <is>
          <t>295.00</t>
        </is>
      </c>
      <c r="I151">
        <v>42.75</v>
      </c>
      <c r="J151" t="inlineStr">
        <is>
          <t>{"choices":[{"finish_reason":"stop","index":0,"logprobs":null,"message":{"annotations":[],"content":"Supreme Grey Hoodie Purple Baroque Box Logo Unisex","refusal":null,"role":"assistant"}}],"created":1776666774,"id":"chatcmpl-DWcTeA4jWg0u8sA6jxv9ZSIqbmsAn","model":"gpt-5-chat-latest","object":"chat.completion","service_tier":"default","system_fingerprint":"fp_ad66631dec","usage":{"completion_tokens":12,"completion_tokens_details":{"accepted_prediction_tokens":0,"audio_tokens":0,"reasoning_tokens":0,"rejected_prediction_tokens":0},"prompt_tokens":873,"prompt_tokens_details":{"audio_tokens":0,"cached_tokens":0},"total_tokens":885}}</t>
        </is>
      </c>
      <c r="K151" t="inlineStr">
        <is>
          <t>Supreme Grey Hoodie Purple Baroque Box Logo Unisex</t>
        </is>
      </c>
      <c r="L151" t="inlineStr">
        <is>
          <t>{"choices":[{"finish_reason":"stop","index":0,"logprobs":null,"message":{"annotations":[],"content":"Supreme Grey Hoodie: Soft high-density cotton with purple Baroque Box Logo print, unisex relaxed fit, blending minimalist design and streetwear style for everyday urban comfort.","refusal":null,"role":"assistant"}}],"created":1776659388,"id":"chatcmpl-DWaYWJV0fZYwuhTn5FqU0wQZLLBJe","model":"gpt-5-chat-latest","object":"chat.completion","service_tier":"default","system_fingerprint":"fp_ad66631dec","usage":{"completion_tokens":35,"completion_tokens_details":{"accepted_prediction_tokens":0,"audio_tokens":0,"reasoning_tokens":0,"rejected_prediction_tokens":0},"prompt_tokens":907,"prompt_tokens_details":{"audio_tokens":0,"cached_tokens":0},"total_tokens":942}}</t>
        </is>
      </c>
      <c r="M151" t="inlineStr">
        <is>
          <t>{"alt-svc":"h3=\":443\"; ma=2592000","apim-request-id":"0acee81c-3495-466f-bb83-13cde197a187","azureml-model-session":"d20260405234249-f9874baf","cache-control":"no-cache","connection":"close","content-length":"765","content-security-policy":"frame-ancestors 'self'","content-type":"application/json","date":"Mon, 20 Apr 2026 04:29:49 GMT","server":"nginx","skip-error-remapping":"true","strict-transport-security":"max-age=31536000; includeSubDomains; preload","via":"1.1 Caddy, 1.1 Caddy","x-api-request-id":"20260420122946912851942TnkZBB1o","x-content-type-options":"nosniff","x-frame-options":"SAMEORIGIN","x-ms-client-request-id":"Not-Set","x-ms-is-spilled-over":"false","x-ms-rai-invoked":"true","x-ms-region":"East US 2","x-new-api-version":"0.4.39","x-oneapi-request-id":"202604200429468443682868268d9d6if1N5a7F","x-ratelimit-abusepenalty-active":"False","x-ratelimit-limit-requests":"3850","x-ratelimit-limit-tokens":"3850000","x-ratelimit-remaining-requests":"3849","x-ratelimit-remaining-tokens":"3848331","x-ratelimit-renewalperiod-requests":"60","x-ratelimit-renewalperiod-tokens":"60","x-ratelimit-reset-requests":"15","x-ratelimit-reset-tokens":"26","x-request-id":"d6fe7a36-43fe-4403-be61-93f2d6d3b727"}</t>
        </is>
      </c>
      <c r="N151" t="inlineStr">
        <is>
          <t>Supreme Grey Hoodie: Soft high-density cotton with purple Baroque Box Logo print, unisex relaxed fit, blending minimalist design and streetwear style for everyday urban comfort.</t>
        </is>
      </c>
      <c r="O151" t="inlineStr">
        <is>
          <t>{"choices":[{"finish_reason":"stop","index":0,"logprobs":null,"message":{"annotations":[],"content":"Supreme,Hoodies,kakobuy,kakebuy2026,kekobuysheet,kakobuysheet2026,2026kakobuy,kakobuyspreadsheeet,kakobuylink,kakebuylist,Kakobuy MEGA Spreadsheet,kakobuysheetfind,kakobuysheetfind2026,2026kakobuysheetfind,kakobuysheet2026","refusal":null,"role":"assistant"}}],"created":1776668877,"id":"chatcmpl-DWd1ZvseHg65VNotm6L4LITDTOsOd","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51" t="inlineStr">
        <is>
          <t>Supreme,Hoodies,kakobuy,kakebuy2026,kekobuysheet,kakobuysheet2026,2026kakobuy,kakobuyspreadsheeet,kakobuylink,kakebuylist,Kakobuy MEGA Spreadsheet,kakobuysheetfind,kakobuysheetfind2026,2026kakobuysheetfind,kakobuysheet2026</t>
        </is>
      </c>
      <c r="Q151" t="inlineStr">
        <is>
          <t>Supreme, Grey, Unisex, Minimalist, Streetwear</t>
        </is>
      </c>
      <c r="R151" t="inlineStr">
        <is>
          <t>recvh6xFVjYOVK</t>
        </is>
      </c>
      <c r="S151" t="inlineStr">
        <is>
          <t>supreme-grey-hoodie-purple-baroque-box-logo-recvh6xfvjyovk</t>
        </is>
      </c>
      <c r="T151"/>
      <c r="U151"/>
      <c r="V151"/>
      <c r="W151" t="inlineStr">
        <is>
          <t>{"choices":[{"finish_reason":"stop","index":0,"logprobs":null,"message":{"annotations":[],"content":"Supreme：灰色连帽卫衣，采用柔软高密度棉质面料，胸前紫色巴洛克风格Box Logo印花彰显品牌标识，简约设计融合街头潮流元素，男女皆宜，舒适休闲版型，适合都市年轻群体日常穿搭。","refusal":null,"role":"assistant"}}],"created":1776655192,"id":"chatcmpl-DWZSqW3iBwl138dKO8W55JYKXPVTc","model":"gpt-5-chat-latest","object":"chat.completion","service_tier":"default","system_fingerprint":"fp_ad66631dec","usage":{"completion_tokens":74,"completion_tokens_details":{"accepted_prediction_tokens":0,"audio_tokens":0,"reasoning_tokens":0,"rejected_prediction_tokens":0},"prompt_tokens":1309,"prompt_tokens_details":{"audio_tokens":0,"cached_tokens":1280},"total_tokens":1383}}</t>
        </is>
      </c>
      <c r="X151" t="inlineStr">
        <is>
          <t>Supreme：灰色连帽卫衣，采用柔软高密度棉质面料，胸前紫色巴洛克风格Box Logo印花彰显品牌标识，简约设计融合街头潮流元素，男女皆宜，舒适休闲版型，适合都市年轻群体日常穿搭。</t>
        </is>
      </c>
    </row>
    <row r="152" ht="25.5" customHeight="1">
      <c r="A152">
        <v>1839115443</v>
      </c>
      <c r="B152">
        <v>7601153792</v>
      </c>
      <c r="C152" t="inlineStr">
        <is>
          <t>https://weidian.com/item.html?itemID=7601153792</t>
        </is>
      </c>
      <c r="D152"/>
      <c r="E152" s="2" t="str">
        <f>=HYPERLINK("https://si.geilicdn.com/open1832946205-252808396-13be00000197e92453880a23b491_800_800.jpg?w=640&amp;h=640", "https://si.geilicdn.com/open1832946205-252808396-13be00000197e92453880a23b491_800_800.jpg?w=640&amp;h=640")</f>
        <v>https://si.geilicdn.com/open1832946205-252808396-13be00000197e92453880a23b491_800_800.jpg?w=640&amp;h=640</v>
      </c>
      <c r="F152" t="inlineStr">
        <is>
          <t>T-Shirts</t>
        </is>
      </c>
      <c r="G152" t="inlineStr">
        <is>
          <t>Stussy</t>
        </is>
      </c>
      <c r="H152" t="inlineStr">
        <is>
          <t>214.00</t>
        </is>
      </c>
      <c r="I152">
        <v>31.01</v>
      </c>
      <c r="J152" t="inlineStr">
        <is>
          <t>{"choices":[{"finish_reason":"stop","index":0,"logprobs":null,"message":{"annotations":[],"content":"Stussy Retro Car Graphic Black Long Sleeve Shirt","refusal":null,"role":"assistant"}}],"created":1776666500,"id":"chatcmpl-DWcPEpQ1RBNmwUIOW4UqQ7a6S6GSQ","model":"gpt-5-chat-latest","object":"chat.completion","service_tier":"default","system_fingerprint":"fp_ad66631dec","usage":{"completion_tokens":10,"completion_tokens_details":{"accepted_prediction_tokens":0,"audio_tokens":0,"reasoning_tokens":0,"rejected_prediction_tokens":0},"prompt_tokens":886,"prompt_tokens_details":{"audio_tokens":0,"cached_tokens":0},"total_tokens":896}}</t>
        </is>
      </c>
      <c r="K152" t="inlineStr">
        <is>
          <t>Stussy Retro Car Graphic Black Long Sleeve Shirt</t>
        </is>
      </c>
      <c r="L152" t="inlineStr">
        <is>
          <t>{"choices":[{"finish_reason":"stop","index":0,"logprobs":null,"message":{"annotations":[],"content":"Stussy Black Long Sleeve Tee in premium cotton featuring retro car and figure graphic with neon logo. Relaxed unisex fit inspired by 90s California skate style, perfect for streetwear and casual looks.","refusal":null,"role":"assistant"}}],"created":1776659542,"id":"chatcmpl-DWab0gt4DYkVjIpFHaLNhghaVoxdQ","model":"gpt-5-chat-latest","object":"chat.completion","service_tier":"default","system_fingerprint":"fp_ad66631dec","usage":{"completion_tokens":42,"completion_tokens_details":{"accepted_prediction_tokens":0,"audio_tokens":0,"reasoning_tokens":0,"rejected_prediction_tokens":0},"prompt_tokens":921,"prompt_tokens_details":{"audio_tokens":0,"cached_tokens":0},"total_tokens":963}}</t>
        </is>
      </c>
      <c r="M152" t="inlineStr">
        <is>
          <t>{"alt-svc":"h3=\":443\"; ma=2592000","apim-request-id":"6afceaed-76df-4fd0-8163-2e41e6e4a7ef","azureml-model-session":"d20260405234249-f9874baf","cache-control":"no-cache","connection":"close","content-length":"789","content-security-policy":"frame-ancestors 'self'","content-type":"application/json","date":"Mon, 20 Apr 2026 04:32:24 GMT","server":"nginx","skip-error-remapping":"true","strict-transport-security":"max-age=31536000; includeSubDomains; preload","via":"1.1 Caddy, 1.1 Caddy","x-api-request-id":"2026042012322297363016tewtPYEs","x-content-type-options":"nosniff","x-frame-options":"SAMEORIGIN","x-ms-client-request-id":"Not-Set","x-ms-is-spilled-over":"false","x-ms-rai-invoked":"true","x-ms-region":"East US 2","x-new-api-version":"0.4.39","x-oneapi-request-id":"20260420043222300585208268d9d6aBIZ56O4","x-ratelimit-abusepenalty-active":"False","x-ratelimit-limit-requests":"3850","x-ratelimit-limit-tokens":"3850000","x-ratelimit-remaining-requests":"3849","x-ratelimit-remaining-tokens":"3848317","x-ratelimit-renewalperiod-requests":"60","x-ratelimit-renewalperiod-tokens":"60","x-ratelimit-reset-requests":"15","x-ratelimit-reset-tokens":"26","x-request-id":"03e991aa-4188-4843-9bb4-11abad7f62e3"}</t>
        </is>
      </c>
      <c r="N152" t="inlineStr">
        <is>
          <t>Stussy Black Long Sleeve Tee in premium cotton featuring retro car and figure graphic with neon logo. Relaxed unisex fit inspired by 90s California skate style, perfect for streetwear and casual looks.</t>
        </is>
      </c>
      <c r="O152" t="inlineStr">
        <is>
          <t>{"choices":[{"finish_reason":"stop","index":0,"logprobs":null,"message":{"annotations":[],"content":"Stussy,T-Shirts,kakobuy,kakebuy2026,kekobuysheet,kakobuysheet2026,2026kakobuy,kakobuyspreadsheeet,kakobuylink,kakebuylist,Kakobuy MEGA Spreadsheet,kakobuysheetfind,kakobuysheetfind2026,2026kakobuysheetfind,kakobuysheet2026","refusal":null,"role":"assistant"}}],"created":1776668310,"id":"chatcmpl-DWcsQz4mg1zYAkg775xcesRaQN6Zj","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52" t="inlineStr">
        <is>
          <t>Stussy,T-Shirts,kakobuy,kakebuy2026,kekobuysheet,kakobuysheet2026,2026kakobuy,kakobuyspreadsheeet,kakobuylink,kakebuylist,Kakobuy MEGA Spreadsheet,kakobuysheetfind,kakobuysheetfind2026,2026kakobuysheetfind,kakobuysheet2026</t>
        </is>
      </c>
      <c r="Q152" t="inlineStr">
        <is>
          <t>Stussy, Black, Retro, Streetwear, Unisex</t>
        </is>
      </c>
      <c r="R152" t="inlineStr">
        <is>
          <t>recvh6xFVjOTXt</t>
        </is>
      </c>
      <c r="S152" t="inlineStr">
        <is>
          <t>stussy-retro-car-graphic-black-long-sleeve-recvh6xFVjOTXt</t>
        </is>
      </c>
      <c r="T152"/>
      <c r="U152"/>
      <c r="V152"/>
      <c r="W152" t="inlineStr">
        <is>
          <t>{"choices":[{"finish_reason":"stop","index":0,"logprobs":null,"message":{"annotations":[],"content":"Stussy：黑色长袖T恤，以优质纯棉打造，背面呈现街头复古汽车与人物印花图腾，搭配标志性荧光Logo，彰显品牌潮流美学。宽松版型舒适百搭，男女皆宜，充满90年代加州滑板文化气息，适合休闲与街头穿搭。","refusal":null,"role":"assistant"}}],"created":1776656016,"id":"chatcmpl-DWZg8dv7GulzZKm7dkAMy72RiUeQq","model":"gpt-5-chat-latest","object":"chat.completion","service_tier":"default","system_fingerprint":"fp_ad66631dec","usage":{"completion_tokens":88,"completion_tokens_details":{"accepted_prediction_tokens":0,"audio_tokens":0,"reasoning_tokens":0,"rejected_prediction_tokens":0},"prompt_tokens":1310,"prompt_tokens_details":{"audio_tokens":0,"cached_tokens":0},"total_tokens":1398}}</t>
        </is>
      </c>
      <c r="X152" t="inlineStr">
        <is>
          <t>Stussy：黑色长袖T恤，以优质纯棉打造，背面呈现街头复古汽车与人物印花图腾，搭配标志性荧光Logo，彰显品牌潮流美学。宽松版型舒适百搭，男女皆宜，充满90年代加州滑板文化气息，适合休闲与街头穿搭。</t>
        </is>
      </c>
    </row>
    <row r="153" ht="25.5" customHeight="1">
      <c r="A153">
        <v>1839115443</v>
      </c>
      <c r="B153">
        <v>7599229901</v>
      </c>
      <c r="C153" t="inlineStr">
        <is>
          <t>https://weidian.com/item.html?itemID=7599229901</t>
        </is>
      </c>
      <c r="D153"/>
      <c r="E153" s="2" t="str">
        <f>=HYPERLINK("https://si.geilicdn.com/open1832946205-252808396-70a900000197eeefda7b0a231226_800_800.jpg?w=640&amp;h=640", "https://si.geilicdn.com/open1832946205-252808396-70a900000197eeefda7b0a231226_800_800.jpg?w=640&amp;h=640")</f>
        <v>https://si.geilicdn.com/open1832946205-252808396-70a900000197eeefda7b0a231226_800_800.jpg?w=640&amp;h=640</v>
      </c>
      <c r="F153" t="inlineStr">
        <is>
          <t>T-Shirts</t>
        </is>
      </c>
      <c r="G153" t="inlineStr">
        <is>
          <t>Cactus Jack</t>
        </is>
      </c>
      <c r="H153" t="inlineStr">
        <is>
          <t>155.00</t>
        </is>
      </c>
      <c r="I153">
        <v>22.46</v>
      </c>
      <c r="J153" t="inlineStr">
        <is>
          <t>{"choices":[{"finish_reason":"stop","index":0,"logprobs":null,"message":{"annotations":[],"content":"Cactus Jack Black Long Sleeve Graffiti Cotton T-Shirt","refusal":null,"role":"assistant"}}],"created":1776666306,"id":"chatcmpl-DWcM6U0clJmVHtFClCoJLEY0Fdh63","model":"gpt-5-chat-latest","object":"chat.completion","service_tier":"default","system_fingerprint":"fp_ad66631dec","usage":{"completion_tokens":12,"completion_tokens_details":{"accepted_prediction_tokens":0,"audio_tokens":0,"reasoning_tokens":0,"rejected_prediction_tokens":0},"prompt_tokens":877,"prompt_tokens_details":{"audio_tokens":0,"cached_tokens":0},"total_tokens":889}}</t>
        </is>
      </c>
      <c r="K153" t="inlineStr">
        <is>
          <t>Cactus Jack Black Long Sleeve Graffiti Cotton T-Shirt</t>
        </is>
      </c>
      <c r="L153" t="inlineStr">
        <is>
          <t>{"id":"chatcmpl-DWaMMERTBC9CqOnoqel5Cks8bAvAM","object":"chat.completion","created":1776658634,"model":"gpt-5-chat-latest","choices":[{"index":0,"message":{"role":"assistant","content":"Cactus Jack black long sleeve T-shirt made of soft breathable cotton, featuring metallic portrait totem and graffiti design for bold street style. Unisex loose fit for edgy urban look.","refusal":null,"annotations":[]},"logprobs":null,"finish_reason":"stop"}],"usage":{"prompt_tokens":927,"completion_tokens":37,"total_tokens":964,"prompt_tokens_details":{"cached_tokens":0,"audio_tokens":0},"completion_tokens_details":{"reasoning_tokens":0,"audio_tokens":0,"accepted_prediction_tokens":0,"rejected_prediction_tokens":0}},"service_tier":"default","system_fingerprint":"fp_ad66631dec"}</t>
        </is>
      </c>
      <c r="M153"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ma=2592000","apim-request-id":"2f861886-d807-4c92-a69c-abe9dd7d944c","azureml-model-session":"d20260405234249-f9874baf","cache-control":"no-cache, no-store, must-revalidate","connection":"close","content-length":"988","content-security-policy":"frame-ancestors 'self'","content-type":"application/json","date":"Mon, 20 Apr 2026 04:17:15 GMT","server":"Caddy","skip-error-remapping":"true","strict-transport-security":"max-age=31536000; includeSubDomains; preload","via":"1.1 Caddy","x-api-request-id":"20260420121713252986124Vs3EK0wE","x-content-type-options":"nosniff","x-frame-options":"SAMEORIGIN","x-ms-is-spilled-over":"false","x-ms-rai-invoked":"false","x-ms-region":"East US 2","x-new-api-version":"0.4.39","x-oneapi-request-id":"202604200417131867757938268d9d6BhE9gdfR","x-ratelimit-abusepenalty-active":"False","x-ratelimit-limit-requests":"4994","x-ratelimit-limit-tokens":"4994000","x-ratelimit-remaining-requests":"4993","x-ratelimit-remaining-tokens":"4992311","x-ratelimit-renewalperiod-requests":"60","x-ratelimit-renewalperiod-tokens":"60","x-ratelimit-reset-requests":"12","x-ratelimit-reset-tokens":"20","x-request-id":"bc46c7d2-13b8-476b-aeac-f31f72fab03d"}</t>
        </is>
      </c>
      <c r="N153" t="inlineStr">
        <is>
          <t>Cactus Jack black long sleeve T-shirt made of soft breathable cotton, featuring metallic portrait totem and graffiti design for bold street style. Unisex loose fit for edgy urban look.</t>
        </is>
      </c>
      <c r="O153" t="inlineStr">
        <is>
          <t>{"choices":[{"finish_reason":"stop","index":0,"logprobs":null,"message":{"annotations":[],"content":"Cactus Jack,T-Shirts,kakobuy,kakebuy2026,kekobuysheet,kakobuysheet2026,2026kakobuy,kakobuyspreadsheeet,kakobuylink,kakebuylist,Kakobuy MEGA Spreadsheet,kakobuysheetfind,kakobuysheetfind2026,2026kakobuysheetfind,kakobuysheet2026","refusal":null,"role":"assistant"}}],"created":1776668200,"id":"chatcmpl-DWcqe4j8Fl4ONlCHKGFR5tO0KR2Wo","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53" t="inlineStr">
        <is>
          <t>Cactus Jack,T-Shirts,kakobuy,kakebuy2026,kekobuysheet,kakobuysheet2026,2026kakobuy,kakobuyspreadsheeet,kakobuylink,kakebuylist,Kakobuy MEGA Spreadsheet,kakobuysheetfind,kakobuysheetfind2026,2026kakobuysheetfind,kakobuysheet2026</t>
        </is>
      </c>
      <c r="Q153" t="inlineStr">
        <is>
          <t>Black, Streetwear, Edgy, Unisex, Breathable</t>
        </is>
      </c>
      <c r="R153" t="inlineStr">
        <is>
          <t>recvh6xFVjZHKD</t>
        </is>
      </c>
      <c r="S153" t="inlineStr">
        <is>
          <t>cactus-jack-black-long-sleeve-graffiti-cotton-t-shirt-recvh6xFVjZHKD</t>
        </is>
      </c>
      <c r="T153"/>
      <c r="U153"/>
      <c r="V153"/>
      <c r="W153" t="inlineStr">
        <is>
          <t>{"choices":[{"finish_reason":"stop","index":0,"logprobs":null,"message":{"annotations":[],"content":"Cactus Jack：黑色长袖T恤，纯棉材质柔软透气，背面以炫酷金属质感人像图腾搭配签名式涂鸦设计，呈现强烈视觉冲击与街头艺术氛围。宽松剪裁彰显休闲潮流风格，适合男女皆宜，轻松打造前卫个性造型。","refusal":null,"role":"assistant"}}],"created":1776656205,"id":"chatcmpl-DWZjBg72rgXv1ZCByTIXSIFPRLVhu","model":"gpt-5-chat-latest","object":"chat.completion","service_tier":"default","system_fingerprint":"fp_ad66631dec","usage":{"completion_tokens":92,"completion_tokens_details":{"accepted_prediction_tokens":0,"audio_tokens":0,"reasoning_tokens":0,"rejected_prediction_tokens":0},"prompt_tokens":1315,"prompt_tokens_details":{"audio_tokens":0,"cached_tokens":0},"total_tokens":1407}}</t>
        </is>
      </c>
      <c r="X153" t="inlineStr">
        <is>
          <t>Cactus Jack：黑色长袖T恤，纯棉材质柔软透气，背面以炫酷金属质感人像图腾搭配签名式涂鸦设计，呈现强烈视觉冲击与街头艺术氛围。宽松剪裁彰显休闲潮流风格，适合男女皆宜，轻松打造前卫个性造型。</t>
        </is>
      </c>
    </row>
    <row r="154" ht="25.5" customHeight="1">
      <c r="A154">
        <v>1839115443</v>
      </c>
      <c r="B154">
        <v>7601070742</v>
      </c>
      <c r="C154" t="inlineStr">
        <is>
          <t>https://weidian.com/item.html?itemID=7601070742</t>
        </is>
      </c>
      <c r="D154"/>
      <c r="E154" s="2" t="str">
        <f>=HYPERLINK("https://si.geilicdn.com/open1832946205-252808396-6bfc000001963cf72d040a23b4de_800_800.jpg?w=640&amp;h=640", "https://si.geilicdn.com/open1832946205-252808396-6bfc000001963cf72d040a23b4de_800_800.jpg?w=640&amp;h=640")</f>
        <v>https://si.geilicdn.com/open1832946205-252808396-6bfc000001963cf72d040a23b4de_800_800.jpg?w=640&amp;h=640</v>
      </c>
      <c r="F154" t="inlineStr">
        <is>
          <t>T-Shirts</t>
        </is>
      </c>
      <c r="G154" t="inlineStr">
        <is>
          <t>Calvin Klein</t>
        </is>
      </c>
      <c r="H154" t="inlineStr">
        <is>
          <t>147.00</t>
        </is>
      </c>
      <c r="I154">
        <v>21.3043478260869</v>
      </c>
      <c r="J154" t="inlineStr">
        <is>
          <t>{"choices":[{"finish_reason":"stop","index":0,"logprobs":null,"message":{"annotations":[],"content":"Calvin Klein CK Logo Cotton Unisex Black T-Shirt","refusal":null,"role":"assistant"}}],"created":1776666012,"id":"chatcmpl-DWcHM2j4TTQETmOmrDoCqZ7sgn9r6","model":"gpt-5-chat-latest","object":"chat.completion","service_tier":"default","system_fingerprint":"fp_ad66631dec","usage":{"completion_tokens":12,"completion_tokens_details":{"accepted_prediction_tokens":0,"audio_tokens":0,"reasoning_tokens":0,"rejected_prediction_tokens":0},"prompt_tokens":873,"prompt_tokens_details":{"audio_tokens":0,"cached_tokens":0},"total_tokens":885}}</t>
        </is>
      </c>
      <c r="K154" t="inlineStr">
        <is>
          <t>Calvin Klein CK Logo Cotton Unisex Black T-Shirt</t>
        </is>
      </c>
      <c r="L154" t="inlineStr">
        <is>
          <t>{"choices":[{"finish_reason":"stop","index":0,"logprobs":null,"message":{"annotations":[],"content":"Calvin Klein black logo print T-shirt in soft breathable cotton. Features bold CK lettering, classic crew neck, short sleeves, unisex fit for effortless urban casual style.","refusal":null,"role":"assistant"}}],"created":1776658780,"id":"chatcmpl-DWaOidAmdNKOG5v4NO84qoFGRqy27","model":"gpt-5-chat-latest","object":"chat.completion","service_tier":"default","system_fingerprint":"fp_ad66631dec","usage":{"completion_tokens":35,"completion_tokens_details":{"accepted_prediction_tokens":0,"audio_tokens":0,"reasoning_tokens":0,"rejected_prediction_tokens":0},"prompt_tokens":907,"prompt_tokens_details":{"audio_tokens":0,"cached_tokens":0},"total_tokens":942}}</t>
        </is>
      </c>
      <c r="M154" t="inlineStr">
        <is>
          <t>{"alt-svc":"h3=\":443\"; ma=2592000","apim-request-id":"5b70fcd6-c802-4016-8332-b2023bd9c5e0","azureml-model-session":"d20260402084046-4209e968","cache-control":"no-cache","connection":"close","content-length":"760","content-security-policy":"frame-ancestors 'self'","content-type":"application/json","date":"Mon, 20 Apr 2026 04:19:41 GMT","server":"Caddy","skip-error-remapping":"true","strict-transport-security":"max-age=31536000; includeSubDomains; preload","via":"1.1 Caddy","x-api-request-id":"2026042012194088488046xVincCQI","x-content-type-options":"nosniff","x-frame-options":"SAMEORIGIN","x-ms-client-request-id":"Not-Set","x-ms-is-spilled-over":"false","x-ms-rai-invoked":"true","x-ms-region":"East US 2","x-new-api-version":"0.4.39","x-oneapi-request-id":"20260420041940137336518268d9d6FGglZ1Vc","x-ratelimit-abusepenalty-active":"False","x-ratelimit-limit-requests":"3850","x-ratelimit-limit-tokens":"3850000","x-ratelimit-remaining-requests":"3849","x-ratelimit-remaining-tokens":"3848331","x-ratelimit-renewalperiod-requests":"60","x-ratelimit-renewalperiod-tokens":"60","x-ratelimit-reset-requests":"15","x-ratelimit-reset-tokens":"26","x-request-id":"dfb552be-4e37-496c-a588-e264dfa522ba"}</t>
        </is>
      </c>
      <c r="N154" t="inlineStr">
        <is>
          <t>Calvin Klein black logo print T-shirt in soft breathable cotton. Features bold CK lettering, classic crew neck, short sleeves, unisex fit for effortless urban casual style.</t>
        </is>
      </c>
      <c r="O154" t="inlineStr">
        <is>
          <t>{"choices":[{"finish_reason":"stop","index":0,"logprobs":null,"message":{"annotations":[],"content":"Calvin Klein, T-Shirts, kakobuy, kakebuy2026, kekobuysheet, kakobuysheet2026, 2026kakobuy, kakobuyspreadsheeet, kakobuylink, kakebuylist, Kakobuy MEGA Spreadsheet, kakobuysheetfind, kakobuysheetfind2026, 2026kakobuysheetfind, kakobuysheet2026","refusal":null,"role":"assistant"}}],"created":1776667741,"id":"chatcmpl-DWcjFRpARgol6BWwdjwmRWW3fqnOC","model":"gpt-5-chat-latest","object":"chat.completion","service_tier":"default","system_fingerprint":"fp_ad66631dec","usage":{"completion_tokens":93,"completion_tokens_details":{"accepted_prediction_tokens":0,"audio_tokens":0,"reasoning_tokens":0,"rejected_prediction_tokens":0},"prompt_tokens":784,"prompt_tokens_details":{"audio_tokens":0,"cached_tokens":0},"total_tokens":877}}</t>
        </is>
      </c>
      <c r="P154" t="inlineStr">
        <is>
          <t>Calvin Klein, T-Shirts, kakobuy, kakebuy2026, kekobuysheet, kakobuysheet2026, 2026kakobuy, kakobuyspreadsheeet, kakobuylink, kakebuylist, Kakobuy MEGA Spreadsheet, kakobuysheetfind, kakobuysheetfind2026, 2026kakobuysheetfind, kakobuysheet2026</t>
        </is>
      </c>
      <c r="Q154" t="inlineStr">
        <is>
          <t>Black, Breathable, Unisex</t>
        </is>
      </c>
      <c r="R154" t="inlineStr">
        <is>
          <t>recvh6xFVj2KDC</t>
        </is>
      </c>
      <c r="S154" t="inlineStr">
        <is>
          <t>calvin-klein-ck-logo-cotton-unisex-black-t-shirt-recvh6xfvj2kdc</t>
        </is>
      </c>
      <c r="T154"/>
      <c r="U154"/>
      <c r="V154"/>
      <c r="W154" t="inlineStr">
        <is>
          <t>{"id":"chatcmpl-DWZMOnwTSuLrqieFXHbPb9XQXpHAV","object":"chat.completion","created":1776654792,"model":"gpt-5-chat-2025-10-03","choices":[{"index":0,"message":{"role":"assistant","content":"Calvin Klein：黑色简约Logo印花T恤，甄选柔软纯棉面料，透气舒适。胸前醒目CK字母标志彰显品牌极简美学，经典圆领短袖设计，适合男女通用，都市休闲与时尚并存。","refusal":null,"annotations":[]},"logprobs":null,"finish_reason":"stop"}],"usage":{"prompt_tokens":1317,"completion_tokens":71,"total_tokens":1388,"prompt_tokens_details":{"cached_tokens":0,"audio_tokens":0},"completion_tokens_details":{"reasoning_tokens":0,"audio_tokens":0,"accepted_prediction_tokens":0,"rejected_prediction_tokens":0}},"service_tier":"default","system_fingerprint":"fp_ad66631dec"}</t>
        </is>
      </c>
      <c r="X154" t="inlineStr">
        <is>
          <t>Calvin Klein：黑色简约Logo印花T恤，甄选柔软纯棉面料，透气舒适。胸前醒目CK字母标志彰显品牌极简美学，经典圆领短袖设计，适合男女通用，都市休闲与时尚并存。</t>
        </is>
      </c>
    </row>
    <row r="155" ht="25.5" customHeight="1">
      <c r="A155">
        <v>1839115443</v>
      </c>
      <c r="B155">
        <v>7601090652</v>
      </c>
      <c r="C155" t="inlineStr">
        <is>
          <t>https://weidian.com/item.html?itemID=7601090652</t>
        </is>
      </c>
      <c r="D155"/>
      <c r="E155" s="2" t="str">
        <f>=HYPERLINK("https://si.geilicdn.com/open1832946205-252808396-12810000019759d08a7a0a22d249_800_800.jpg?w=640&amp;h=640", "https://si.geilicdn.com/open1832946205-252808396-12810000019759d08a7a0a22d249_800_800.jpg?w=640&amp;h=640")</f>
        <v>https://si.geilicdn.com/open1832946205-252808396-12810000019759d08a7a0a22d249_800_800.jpg?w=640&amp;h=640</v>
      </c>
      <c r="F155" t="inlineStr">
        <is>
          <t>T-Shirts</t>
        </is>
      </c>
      <c r="G155" t="inlineStr">
        <is>
          <t>Amiri</t>
        </is>
      </c>
      <c r="H155" t="inlineStr">
        <is>
          <t>98.00</t>
        </is>
      </c>
      <c r="I155">
        <v>14.2</v>
      </c>
      <c r="J155" t="inlineStr">
        <is>
          <t>{"choices":[{"finish_reason":"stop","index":0,"logprobs":null,"message":{"annotations":[],"content":"Amiri Black Blue Paint Splash Cotton T-Shirt","refusal":null,"role":"assistant"}}],"created":1776665794,"id":"chatcmpl-DWcDqd8TiJvrEekpsOdIQgs7lATr5","model":"gpt-5-chat-latest","object":"chat.completion","service_tier":"default","system_fingerprint":"fp_ad66631dec","usage":{"completion_tokens":10,"completion_tokens_details":{"accepted_prediction_tokens":0,"audio_tokens":0,"reasoning_tokens":0,"rejected_prediction_tokens":0},"prompt_tokens":880,"prompt_tokens_details":{"audio_tokens":0,"cached_tokens":0},"total_tokens":890}}</t>
        </is>
      </c>
      <c r="K155" t="inlineStr">
        <is>
          <t>Amiri Black Blue Paint Splash Cotton T-Shirt</t>
        </is>
      </c>
      <c r="L155" t="inlineStr">
        <is>
          <t>{"choices":[{"finish_reason":"stop","index":0,"logprobs":null,"message":{"annotations":[],"content":"AMIRI Black Paint Splash T-Shirt crafted from premium cotton, soft and breathable, featuring white logo with blue gradient spray design, loose unisex fit, perfect for street style and everyday wear.","refusal":null,"role":"assistant"}}],"created":1776658863,"id":"chatcmpl-DWaQ3ACOZsaMSwL8tRiJdBxjyagIs","model":"gpt-5-chat-latest","object":"chat.completion","service_tier":"default","system_fingerprint":"fp_ad66631dec","usage":{"completion_tokens":39,"completion_tokens_details":{"accepted_prediction_tokens":0,"audio_tokens":0,"reasoning_tokens":0,"rejected_prediction_tokens":0},"prompt_tokens":932,"prompt_tokens_details":{"audio_tokens":0,"cached_tokens":0},"total_tokens":971}}</t>
        </is>
      </c>
      <c r="M155" t="inlineStr">
        <is>
          <t>{"alt-svc":"h3=\":443\"; ma=2592000","apim-request-id":"01c27508-b2f6-4a7c-8824-04280fd4162e","azureml-model-session":"d20260405234249-f9874baf","cache-control":"no-cache","connection":"close","content-length":"786","content-security-policy":"frame-ancestors 'self'","content-type":"application/json","date":"Mon, 20 Apr 2026 04:21:04 GMT","server":"Caddy","skip-error-remapping":"true","strict-transport-security":"max-age=31536000; includeSubDomains; preload","via":"1.1 Caddy","x-api-request-id":"20260420122103528623514fo02lk6","x-content-type-options":"nosniff","x-frame-options":"SAMEORIGIN","x-ms-client-request-id":"Not-Set","x-ms-is-spilled-over":"false","x-ms-rai-invoked":"true","x-ms-region":"East US 2","x-new-api-version":"0.4.39","x-oneapi-request-id":"202604200421029875978748268d9d6wpq6ceQY","x-ratelimit-abusepenalty-active":"False","x-ratelimit-limit-requests":"3850","x-ratelimit-limit-tokens":"3850000","x-ratelimit-remaining-requests":"3849","x-ratelimit-remaining-tokens":"3848306","x-ratelimit-renewalperiod-requests":"60","x-ratelimit-renewalperiod-tokens":"60","x-ratelimit-reset-requests":"15","x-ratelimit-reset-tokens":"26","x-request-id":"01d4171e-906f-4609-bf30-183b3eaddd4a"}</t>
        </is>
      </c>
      <c r="N155" t="inlineStr">
        <is>
          <t>AMIRI Black Paint Splash T-Shirt crafted from premium cotton, soft and breathable, featuring white logo with blue gradient spray design, loose unisex fit, perfect for street style and everyday wear.</t>
        </is>
      </c>
      <c r="O155" t="inlineStr">
        <is>
          <t>{"choices":[{"finish_reason":"stop","index":0,"logprobs":null,"message":{"annotations":[],"content":"Amiri, T-Shirts, kakobuy, kakebuy2026, kekobuysheet, kakobuysheet2026, 2026kakobuy, kakobuyspreadsheeet, kakobuylink, kakebuylist, Kakobuy MEGA Spreadsheet, kakobuysheetfind, kakobuysheetfind2026, 2026kakobuysheetfind, kakobuysheet2026","refusal":null,"role":"assistant"}}],"created":1776667467,"id":"chatcmpl-DWcepxmVtfUB3CKuKpmFGLFIsiCXB","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is>
      </c>
      <c r="P155" t="inlineStr">
        <is>
          <t>Amiri, T-Shirts, kakobuy, kakebuy2026, kekobuysheet, kakobuysheet2026, 2026kakobuy, kakobuyspreadsheeet, kakobuylink, kakebuylist, Kakobuy MEGA Spreadsheet, kakobuysheetfind, kakobuysheetfind2026, 2026kakobuysheetfind, kakobuysheet2026</t>
        </is>
      </c>
      <c r="Q155" t="inlineStr">
        <is>
          <t>AMIRI, Black, Gradient, Streetwear, Unisex</t>
        </is>
      </c>
      <c r="R155" t="inlineStr">
        <is>
          <t>recvh6xFVjgXzV</t>
        </is>
      </c>
      <c r="S155" t="inlineStr">
        <is>
          <t>amiri-black-blue-paint-splash-cotton-t-shirt-recvh6xFVjgXzV</t>
        </is>
      </c>
      <c r="T155"/>
      <c r="U155"/>
      <c r="V155"/>
      <c r="W155" t="inlineStr">
        <is>
          <t>{"choices":[{"finish_reason":"stop","index":0,"logprobs":null,"message":{"annotations":[],"content":"Amiri：黑色泼墨印花T恤，甄选高品质纯棉材质，柔软亲肤兼具透气性。胸前白色品牌标识搭配蓝色渐变喷漆设计，展现独特街头艺术风格。宽松版型舒适百搭，男女皆宜，彰显现代潮流态度，适合日常休闲与个性出行。","refusal":null,"role":"assistant"}}],"created":1776655928,"id":"chatcmpl-DWZeiis1ocp151Q6p27xfQE6jQjgP","model":"gpt-5-chat-latest","object":"chat.completion","service_tier":"default","system_fingerprint":"fp_ad66631dec","usage":{"completion_tokens":97,"completion_tokens_details":{"accepted_prediction_tokens":0,"audio_tokens":0,"reasoning_tokens":0,"rejected_prediction_tokens":0},"prompt_tokens":1314,"prompt_tokens_details":{"audio_tokens":0,"cached_tokens":0},"total_tokens":1411}}</t>
        </is>
      </c>
      <c r="X155" t="inlineStr">
        <is>
          <t>Amiri：黑色泼墨印花T恤，甄选高品质纯棉材质，柔软亲肤兼具透气性。胸前白色品牌标识搭配蓝色渐变喷漆设计，展现独特街头艺术风格。宽松版型舒适百搭，男女皆宜，彰显现代潮流态度，适合日常休闲与个性出行。</t>
        </is>
      </c>
    </row>
    <row r="156" ht="25.5" customHeight="1">
      <c r="A156">
        <v>1839115443</v>
      </c>
      <c r="B156">
        <v>7599166957</v>
      </c>
      <c r="C156" t="inlineStr">
        <is>
          <t>https://weidian.com/item.html?itemID=7599166957</t>
        </is>
      </c>
      <c r="D156"/>
      <c r="E156" s="2" t="str">
        <f>=HYPERLINK("https://si.geilicdn.com/open1832946205-252808396-0f2b0000019759693e220aa0c79f_990_990.jpg?w=640&amp;h=640", "https://si.geilicdn.com/open1832946205-252808396-0f2b0000019759693e220aa0c79f_990_990.jpg?w=640&amp;h=640")</f>
        <v>https://si.geilicdn.com/open1832946205-252808396-0f2b0000019759693e220aa0c79f_990_990.jpg?w=640&amp;h=640</v>
      </c>
      <c r="F156" t="inlineStr">
        <is>
          <t>T-Shirts</t>
        </is>
      </c>
      <c r="G156" t="inlineStr">
        <is>
          <t>New Balance</t>
        </is>
      </c>
      <c r="H156" t="inlineStr">
        <is>
          <t>80.00</t>
        </is>
      </c>
      <c r="I156">
        <v>11.59</v>
      </c>
      <c r="J156" t="inlineStr">
        <is>
          <t>{"id":"chatcmpl-DWcIsDQcUADQRydeRXlkZE2MJcnDJ","object":"chat.completion","created":1776666106,"model":"gpt-5-chat-latest","choices":[{"index":0,"message":{"role":"assistant","content":"New Balance White Cotton Polo Shirt Unisex Summer Top","refusal":null,"annotations":[]},"logprobs":null,"finish_reason":"stop"}],"usage":{"prompt_tokens":882,"completion_tokens":11,"total_tokens":893,"prompt_tokens_details":{"cached_tokens":0,"audio_tokens":0},"completion_tokens_details":{"reasoning_tokens":0,"audio_tokens":0,"accepted_prediction_tokens":0,"rejected_prediction_tokens":0}},"service_tier":"default","system_fingerprint":"fp_ad66631dec"}</t>
        </is>
      </c>
      <c r="K156" t="inlineStr">
        <is>
          <t>New Balance White Cotton Polo Shirt Unisex Summer Top</t>
        </is>
      </c>
      <c r="L156" t="inlineStr">
        <is>
          <t>{"choices":[{"finish_reason":"stop","index":0,"logprobs":null,"message":{"annotations":[],"content":"New Balance white short-sleeve polo shirt, made from soft cotton for skin-friendly comfort. Features classic NB logo, loose unisex fit, ideal for summer casual wear and sporty urban style.","refusal":null,"role":"assistant"}}],"created":1776658252,"id":"chatcmpl-DWaGC7KNzh33EfZQ0EGbzuqF4Ax9Z","model":"gpt-5-chat-latest","object":"chat.completion","service_tier":"default","system_fingerprint":"fp_ad66631dec","usage":{"completion_tokens":40,"completion_tokens_details":{"accepted_prediction_tokens":0,"audio_tokens":0,"reasoning_tokens":0,"rejected_prediction_tokens":0},"prompt_tokens":926,"prompt_tokens_details":{"audio_tokens":0,"cached_tokens":0},"total_tokens":966}}</t>
        </is>
      </c>
      <c r="M156" t="inlineStr">
        <is>
          <t>{"alt-svc":"h3=\":443\"; ma=2592000","apim-request-id":"f8548ff4-9b64-43fd-9685-fb5415432379","azureml-model-session":"d20260402084046-4209e968","cache-control":"no-cache","connection":"close","content-length":"776","content-security-policy":"frame-ancestors 'self'","content-type":"application/json","date":"Mon, 20 Apr 2026 04:10:54 GMT","server":"nginx","skip-error-remapping":"true","strict-transport-security":"max-age=31536000; includeSubDomains; preload","via":"1.1 Caddy, 1.1 Caddy","x-api-request-id":"20260420121052218369298zRReEKGw","x-content-type-options":"nosniff","x-frame-options":"SAMEORIGIN","x-ms-client-request-id":"Not-Set","x-ms-is-spilled-over":"false","x-ms-rai-invoked":"true","x-ms-region":"East US 2","x-new-api-version":"0.4.39","x-oneapi-request-id":"202604200410521313545878268d9d6GZi0UMNb","x-ratelimit-abusepenalty-active":"False","x-ratelimit-limit-requests":"3850","x-ratelimit-limit-tokens":"3850000","x-ratelimit-remaining-requests":"3849","x-ratelimit-remaining-tokens":"3845459","x-ratelimit-renewalperiod-requests":"60","x-ratelimit-renewalperiod-tokens":"60","x-ratelimit-reset-requests":"17","x-ratelimit-reset-tokens":"70","x-request-id":"7e66cc8f-6c65-408b-a0d1-14469599f9b7"}</t>
        </is>
      </c>
      <c r="N156" t="inlineStr">
        <is>
          <t>New Balance white short-sleeve polo shirt, made from soft cotton for skin-friendly comfort. Features classic NB logo, loose unisex fit, ideal for summer casual wear and sporty urban style.</t>
        </is>
      </c>
      <c r="O156" t="inlineStr">
        <is>
          <t>{"choices":[{"finish_reason":"stop","index":0,"logprobs":null,"message":{"annotations":[],"content":"New Balance,T-Shirts,kakobuy,kakebuy2026,kekobuysheet,kakobuysheet2026,2026kakobuy,kakobuyspreadsheeet,kakobuylink,kakebuylist,Kakobuy MEGA Spreadsheet,kakobuysheetfind,kakobuysheetfind2026,2026kakobuysheetfind,kakobuysheet2026","refusal":null,"role":"assistant"}}],"created":1776667290,"id":"chatcmpl-DWcbyO9SaLAayohx7xHQib7GPrBA3","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56" t="inlineStr">
        <is>
          <t>New Balance,T-Shirts,kakobuy,kakebuy2026,kekobuysheet,kakobuysheet2026,2026kakobuy,kakobuyspreadsheeet,kakobuylink,kakebuylist,Kakobuy MEGA Spreadsheet,kakobuysheetfind,kakobuysheetfind2026,2026kakobuysheetfind,kakobuysheet2026</t>
        </is>
      </c>
      <c r="Q156" t="inlineStr">
        <is>
          <t>NB, White, Summer, Unisex</t>
        </is>
      </c>
      <c r="R156" t="inlineStr">
        <is>
          <t>recvh6xFVjZFlu</t>
        </is>
      </c>
      <c r="S156" t="inlineStr">
        <is>
          <t>new-balance-white-cotton-polo-shirt-unisex-summer-top-recvh6xFVjZFlu</t>
        </is>
      </c>
      <c r="T156"/>
      <c r="U156"/>
      <c r="V156"/>
      <c r="W156" t="inlineStr">
        <is>
          <t>{"id":"chatcmpl-DWZjhQuO6V7x5jOWSD9uhyya4420O","object":"chat.completion","created":1776656237,"model":"gpt-5-chat-latest","choices":[{"index":0,"message":{"role":"assistant","content":"New Balance：白色短袖POLO衫，简约休闲系列，采用柔软亲肤棉质面料，胸前经典NB标志点缀，呈现干净利落的运动风格。宽松剪裁适合男女通穿，夏季清爽必备，融合都市简约与运动时尚感，彰显低调品味与舒适格调。","refusal":null,"annotations":[]},"logprobs":null,"finish_reason":"stop"}],"usage":{"prompt_tokens":1316,"completion_tokens":90,"total_tokens":1406,"prompt_tokens_details":{"cached_tokens":0,"audio_tokens":0},"completion_tokens_details":{"reasoning_tokens":0,"audio_tokens":0,"accepted_prediction_tokens":0,"rejected_prediction_tokens":0}},"service_tier":"default","system_fingerprint":"fp_ad66631dec"}</t>
        </is>
      </c>
      <c r="X156" t="inlineStr">
        <is>
          <t>New Balance：白色短袖POLO衫，简约休闲系列，采用柔软亲肤棉质面料，胸前经典NB标志点缀，呈现干净利落的运动风格。宽松剪裁适合男女通穿，夏季清爽必备，融合都市简约与运动时尚感，彰显低调品味与舒适格调。</t>
        </is>
      </c>
    </row>
    <row r="157" ht="25.5" customHeight="1">
      <c r="A157">
        <v>1839115443</v>
      </c>
      <c r="B157">
        <v>7601132072</v>
      </c>
      <c r="C157" t="inlineStr">
        <is>
          <t>https://weidian.com/item.html?itemID=7601132072</t>
        </is>
      </c>
      <c r="D157"/>
      <c r="E157" s="2" t="str">
        <f>=HYPERLINK("https://si.geilicdn.com/open1832946205-252808396-220d00000196ce2dba420a22d249_1280_1920.jpg?w=640&amp;h=640", "https://si.geilicdn.com/open1832946205-252808396-220d00000196ce2dba420a22d249_1280_1920.jpg?w=640&amp;h=640")</f>
        <v>https://si.geilicdn.com/open1832946205-252808396-220d00000196ce2dba420a22d249_1280_1920.jpg?w=640&amp;h=640</v>
      </c>
      <c r="F157" t="inlineStr">
        <is>
          <t>Hoodies</t>
        </is>
      </c>
      <c r="G157" t="inlineStr">
        <is>
          <t>Balenciaga</t>
        </is>
      </c>
      <c r="H157" t="inlineStr">
        <is>
          <t>348.00</t>
        </is>
      </c>
      <c r="I157">
        <v>50.43</v>
      </c>
      <c r="J157" t="inlineStr">
        <is>
          <t>{"choices":[{"finish_reason":"stop","index":0,"logprobs":null,"message":{"annotations":[],"content":"Balenciaga Black Thick Cotton Minimalist Hoodie","refusal":null,"role":"assistant"}}],"created":1776666663,"id":"chatcmpl-DWcRrhsRRxDXQBvPieDCluvD1E9Cx","model":"gpt-5-chat-latest","object":"chat.completion","service_tier":"default","system_fingerprint":"fp_ad66631dec","usage":{"completion_tokens":10,"completion_tokens_details":{"accepted_prediction_tokens":0,"audio_tokens":0,"reasoning_tokens":0,"rejected_prediction_tokens":0},"prompt_tokens":880,"prompt_tokens_details":{"audio_tokens":0,"cached_tokens":0},"total_tokens":890}}</t>
        </is>
      </c>
      <c r="K157" t="inlineStr">
        <is>
          <t>Balenciaga Black Thick Cotton Minimalist Hoodie</t>
        </is>
      </c>
      <c r="L157" t="inlineStr">
        <is>
          <t>{"choices":[{"finish_reason":"stop","index":0,"logprobs":null,"message":{"annotations":[],"content":"Balenciaga black minimalist hoodie crafted from thick cotton, featuring dropped shoulders, loose fit, and subtle logo embroidery. Unisex, warm, perfect for casual autumn and winter streetwear.","refusal":null,"role":"assistant"}}],"created":1776658436,"id":"chatcmpl-DWaJAn3TcqrRmBskpCpJT6y9CEme7","model":"gpt-5-chat-latest","object":"chat.completion","service_tier":"default","system_fingerprint":"fp_ad66631dec","usage":{"completion_tokens":38,"completion_tokens_details":{"accepted_prediction_tokens":0,"audio_tokens":0,"reasoning_tokens":0,"rejected_prediction_tokens":0},"prompt_tokens":924,"prompt_tokens_details":{"audio_tokens":0,"cached_tokens":0},"total_tokens":962}}</t>
        </is>
      </c>
      <c r="M157" t="inlineStr">
        <is>
          <t>{"alt-svc":"h3=\":443\"; ma=2592000","apim-request-id":"2049bd46-7e2b-48d5-820f-4027a45af392","azureml-model-session":"d20260402083108-57a85543","cache-control":"no-cache","connection":"close","content-length":"780","content-security-policy":"frame-ancestors 'self'","content-type":"application/json","date":"Mon, 20 Apr 2026 04:13:58 GMT","server":"Caddy","skip-error-remapping":"true","strict-transport-security":"max-age=31536000; includeSubDomains; preload","via":"1.1 Caddy","x-api-request-id":"20260420121355468897201ibl1rd73","x-content-type-options":"nosniff","x-frame-options":"SAMEORIGIN","x-ms-client-request-id":"Not-Set","x-ms-is-spilled-over":"false","x-ms-rai-invoked":"true","x-ms-region":"East US 2","x-new-api-version":"0.4.39","x-oneapi-request-id":"202604200413554004492538268d9d6OYbKi0uW","x-ratelimit-abusepenalty-active":"False","x-ratelimit-limit-requests":"3850","x-ratelimit-limit-tokens":"3850000","x-ratelimit-remaining-requests":"3849","x-ratelimit-remaining-tokens":"3848314","x-ratelimit-renewalperiod-requests":"60","x-ratelimit-renewalperiod-tokens":"60","x-ratelimit-reset-requests":"15","x-ratelimit-reset-tokens":"26","x-request-id":"b9e8e3f8-1eb2-4361-9ef0-12d05e7797c5"}</t>
        </is>
      </c>
      <c r="N157" t="inlineStr">
        <is>
          <t>Balenciaga black minimalist hoodie crafted from thick cotton, featuring dropped shoulders, loose fit, and subtle logo embroidery. Unisex, warm, perfect for casual autumn and winter streetwear.</t>
        </is>
      </c>
      <c r="O157" t="inlineStr">
        <is>
          <t>{"choices":[{"finish_reason":"stop","index":0,"logprobs":null,"message":{"annotations":[],"content":"Balenciaga,Hoodies,kakobuy,kakebuy2026,kekobuysheet,kakobuysheet2026,2026kakobuy,kakobuyspreadsheeet,kakobuylink,kakebuylist,Kakobuy MEGA Spreadsheet,kakobuysheetfind,kakobuysheetfind2026,2026kakobuysheetfind,kakobuysheet2026","refusal":null,"role":"assistant"}}],"created":1776667760,"id":"chatcmpl-DWcjYZnDVFr1f4jMf6XGTxGlNW11X","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157" t="inlineStr">
        <is>
          <t>Balenciaga,Hoodies,kakobuy,kakebuy2026,kekobuysheet,kakobuysheet2026,2026kakobuy,kakobuyspreadsheeet,kakobuylink,kakebuylist,Kakobuy MEGA Spreadsheet,kakobuysheetfind,kakobuysheetfind2026,2026kakobuysheetfind,kakobuysheet2026</t>
        </is>
      </c>
      <c r="Q157" t="inlineStr">
        <is>
          <t>Balenciaga, Black, Minimalist, Autumn And Winter, Streetwear, Unisex</t>
        </is>
      </c>
      <c r="R157" t="inlineStr">
        <is>
          <t>recvh6xFVjKCC2</t>
        </is>
      </c>
      <c r="S157" t="inlineStr">
        <is>
          <t>balenciaga-black-thick-cotton-minimalist-hoodie-recvh6xFVjKCC2</t>
        </is>
      </c>
      <c r="T157"/>
      <c r="U157"/>
      <c r="V157"/>
      <c r="W157" t="inlineStr">
        <is>
          <t>{"choices":[{"finish_reason":"stop","index":0,"logprobs":null,"message":{"annotations":[],"content":"Balenciaga：黑色极简连帽卫衣，厚实棉质面料打造，落肩宽松版型凸显街头风格，帽背点缀极简标识刺绣，低调彰显品牌质感。男女同款设计，舒适保暖，适合秋冬日常休闲穿搭，融合现代设计与高级质感。","refusal":null,"role":"assistant"}}],"created":1776656125,"id":"chatcmpl-DWZht6K4ydUXNhQr934A8UcdMDUgb","model":"gpt-5-chat-latest","object":"chat.completion","service_tier":"default","system_fingerprint":"fp_ad66631dec","usage":{"completion_tokens":86,"completion_tokens_details":{"accepted_prediction_tokens":0,"audio_tokens":0,"reasoning_tokens":0,"rejected_prediction_tokens":0},"prompt_tokens":1320,"prompt_tokens_details":{"audio_tokens":0,"cached_tokens":0},"total_tokens":1406}}</t>
        </is>
      </c>
      <c r="X157" t="inlineStr">
        <is>
          <t>Balenciaga：黑色极简连帽卫衣，厚实棉质面料打造，落肩宽松版型凸显街头风格，帽背点缀极简标识刺绣，低调彰显品牌质感。男女同款设计，舒适保暖，适合秋冬日常休闲穿搭，融合现代设计与高级质感。</t>
        </is>
      </c>
    </row>
    <row r="158" ht="25.5" customHeight="1">
      <c r="A158">
        <v>1839115443</v>
      </c>
      <c r="B158">
        <v>7601143914</v>
      </c>
      <c r="C158" t="inlineStr">
        <is>
          <t>https://weidian.com/item.html?itemID=7601143914</t>
        </is>
      </c>
      <c r="D158"/>
      <c r="E158" s="2" t="str">
        <f>=HYPERLINK("https://si.geilicdn.com/open1832946205-252808396-5f8300000197eee6cc550a23b491_240_212.jpg?w=640&amp;h=640", "https://si.geilicdn.com/open1832946205-252808396-5f8300000197eee6cc550a23b491_240_212.jpg?w=640&amp;h=640")</f>
        <v>https://si.geilicdn.com/open1832946205-252808396-5f8300000197eee6cc550a23b491_240_212.jpg?w=640&amp;h=640</v>
      </c>
      <c r="F158" t="inlineStr">
        <is>
          <t>Hoodies</t>
        </is>
      </c>
      <c r="G158" t="inlineStr">
        <is>
          <t>Supreme</t>
        </is>
      </c>
      <c r="H158" t="inlineStr">
        <is>
          <t>224.00</t>
        </is>
      </c>
      <c r="I158">
        <v>32.46</v>
      </c>
      <c r="J158" t="inlineStr">
        <is>
          <t>{"id":"chatcmpl-DWcHdcBLqhAUJP9IveHusdAyUb7Pp","object":"chat.completion","created":1776666029,"model":"gpt-5-chat-latest","choices":[{"index":0,"message":{"role":"assistant","content":"Supreme Red Gray Color Block Hoodie Unisex Streetwear","refusal":null,"annotations":[]},"logprobs":null,"finish_reason":"stop"}],"usage":{"prompt_tokens":445,"completion_tokens":12,"total_tokens":457,"prompt_tokens_details":{"cached_tokens":0,"audio_tokens":0},"completion_tokens_details":{"reasoning_tokens":0,"audio_tokens":0,"accepted_prediction_tokens":0,"rejected_prediction_tokens":0}},"service_tier":"default","system_fingerprint":"fp_ad66631dec"}</t>
        </is>
      </c>
      <c r="K158" t="inlineStr">
        <is>
          <t>Supreme Red Gray Color Block Hoodie Unisex Streetwear</t>
        </is>
      </c>
      <c r="L158" t="inlineStr">
        <is>
          <t>{"id":"chatcmpl-DWaMgOaIo6hIDKU9wyVMOte9OkZSx","object":"chat.completion","created":1776658654,"model":"gpt-5-chat-latest","choices":[{"index":0,"message":{"role":"assistant","content":"Supreme Color Block Red Gray Hoodie – Soft Cotton Streetwear, Bold Logo Print, Unisex Loose Fit for Everyday Comfort and Trendy Urban Style.","refusal":null,"annotations":[]},"logprobs":null,"finish_reason":"stop"}],"usage":{"prompt_tokens":473,"completion_tokens":31,"total_tokens":504,"prompt_tokens_details":{"cached_tokens":0,"audio_tokens":0},"completion_tokens_details":{"reasoning_tokens":0,"audio_tokens":0,"accepted_prediction_tokens":0,"rejected_prediction_tokens":0}},"service_tier":"default","system_fingerprint":"fp_ad66631dec"}</t>
        </is>
      </c>
      <c r="M158"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ma=2592000","apim-request-id":"4592dd4b-3baf-4b55-9591-63252bfd4742","azureml-model-session":"d20260405234249-f9874baf","cache-control":"no-cache, no-store, must-revalidate","connection":"close","content-length":"946","content-security-policy":"frame-ancestors 'self'","content-type":"application/json","date":"Mon, 20 Apr 2026 04:17:36 GMT","server":"nginx","skip-error-remapping":"true","strict-transport-security":"max-age=31536000; includeSubDomains; preload","via":"1.1 Caddy, 1.1 Caddy","x-api-request-id":"20260420121733536976199W1nDCg0E","x-content-type-options":"nosniff","x-frame-options":"SAMEORIGIN","x-ms-is-spilled-over":"false","x-ms-rai-invoked":"false","x-ms-region":"Sweden Central","x-new-api-version":"0.4.39","x-oneapi-request-id":"202604200417334707112808268d9d6uFhzZ6Fh","x-ratelimit-abusepenalty-active":"False","x-ratelimit-limit-requests":"4993","x-ratelimit-limit-tokens":"4993000","x-ratelimit-remaining-requests":"4992","x-ratelimit-remaining-tokens":"4991762","x-ratelimit-renewalperiod-requests":"60","x-ratelimit-renewalperiod-tokens":"60","x-ratelimit-reset-requests":"12","x-ratelimit-reset-tokens":"14","x-request-id":"fcdab399-f482-40b1-a199-ea3ed79c12d6"}</t>
        </is>
      </c>
      <c r="N158" t="inlineStr">
        <is>
          <t>Supreme Color Block Red Gray Hoodie – Soft Cotton Streetwear, Bold Logo Print, Unisex Loose Fit for Everyday Comfort and Trendy Urban Style.</t>
        </is>
      </c>
      <c r="O158" t="inlineStr">
        <is>
          <t>{"choices":[{"finish_reason":"stop","index":0,"logprobs":null,"message":{"annotations":[],"content":"Supreme,Hoodies,kakobuy,kakebuy2026,kekobuysheet,kakobuysheet2026,2026kakobuy,kakobuyspreadsheeet,kakobuylink,kakebuylist,Kakobuy MEGA Spreadsheet,kakobuysheetfind,kakobuysheetfind2026,2026kakobuysheetfind,kakobuysheet2026","refusal":null,"role":"assistant"}}],"created":1776667075,"id":"chatcmpl-DWcYV23PbMkOKHq3R0CX7JvNoHMeu","model":"gpt-5-chat-latest","object":"chat.completion","service_tier":"default","system_fingerprint":"fp_ad66631dec","usage":{"completion_tokens":88,"completion_tokens_details":{"accepted_prediction_tokens":0,"audio_tokens":0,"reasoning_tokens":0,"rejected_prediction_tokens":0},"prompt_tokens":364,"prompt_tokens_details":{"audio_tokens":0,"cached_tokens":0},"total_tokens":452}}</t>
        </is>
      </c>
      <c r="P158" t="inlineStr">
        <is>
          <t>Supreme,Hoodies,kakobuy,kakebuy2026,kekobuysheet,kakobuysheet2026,2026kakobuy,kakobuyspreadsheeet,kakobuylink,kakebuylist,Kakobuy MEGA Spreadsheet,kakobuysheetfind,kakobuysheetfind2026,2026kakobuysheetfind,kakobuysheet2026</t>
        </is>
      </c>
      <c r="Q158" t="inlineStr">
        <is>
          <t>Supreme, Color Block, Streetwear, Unisex, Red</t>
        </is>
      </c>
      <c r="R158" t="inlineStr">
        <is>
          <t>recvh6xFVjY2Fe</t>
        </is>
      </c>
      <c r="S158" t="inlineStr">
        <is>
          <t>supreme-red-gray-block-hoodie-recvh6x</t>
        </is>
      </c>
      <c r="T158"/>
      <c r="U158"/>
      <c r="V158"/>
      <c r="W158" t="inlineStr">
        <is>
          <t>{"id":"chatcmpl-DWZRS5Yb6XVyVTasagUi6A9j7D0Vy","object":"chat.completion","created":1776655106,"model":"gpt-5-chat-latest","choices":[{"index":0,"message":{"role":"assistant","content":"Supreme：拼色红灰连帽卫衣，柔软纯棉材质，经典街头风格设计，大胆Logo印花彰显个性，宽松剪裁适合男女日常穿搭，兼具舒适与潮流感。","refusal":null,"annotations":[]},"logprobs":null,"finish_reason":"stop"}],"usage":{"prompt_tokens":893,"completion_tokens":58,"total_tokens":951,"prompt_tokens_details":{"cached_tokens":0,"audio_tokens":0},"completion_tokens_details":{"reasoning_tokens":0,"audio_tokens":0,"accepted_prediction_tokens":0,"rejected_prediction_tokens":0}},"service_tier":"default","system_fingerprint":"fp_ad66631dec"}</t>
        </is>
      </c>
      <c r="X158" t="inlineStr">
        <is>
          <t>Supreme：拼色红灰连帽卫衣，柔软纯棉材质，经典街头风格设计，大胆Logo印花彰显个性，宽松剪裁适合男女日常穿搭，兼具舒适与潮流感。</t>
        </is>
      </c>
    </row>
    <row r="159" ht="25.5" customHeight="1">
      <c r="A159">
        <v>1839115443</v>
      </c>
      <c r="B159">
        <v>7599178783</v>
      </c>
      <c r="C159" t="inlineStr">
        <is>
          <t>https://weidian.com/item.html?itemID=7599178783</t>
        </is>
      </c>
      <c r="D159"/>
      <c r="E159" s="2" t="str">
        <f>=HYPERLINK("https://si.geilicdn.com/open1832946205-252808396-7f3a00000196d25ecab40a23b491_800_800.jpg?w=640&amp;h=640", "https://si.geilicdn.com/open1832946205-252808396-7f3a00000196d25ecab40a23b491_800_800.jpg?w=640&amp;h=640")</f>
        <v>https://si.geilicdn.com/open1832946205-252808396-7f3a00000196d25ecab40a23b491_800_800.jpg?w=640&amp;h=640</v>
      </c>
      <c r="F159" t="inlineStr">
        <is>
          <t>T-Shirts</t>
        </is>
      </c>
      <c r="G159" t="inlineStr">
        <is>
          <t>Ami</t>
        </is>
      </c>
      <c r="H159" t="inlineStr">
        <is>
          <t>77.00</t>
        </is>
      </c>
      <c r="I159">
        <v>11.16</v>
      </c>
      <c r="J159" t="inlineStr">
        <is>
          <t>{"id":"chatcmpl-DWcDoKwUwEPuoMK3Vk7Z6T0AVfKeS","object":"chat.completion","created":1776665792,"model":"gpt-5-chat-latest","choices":[{"index":0,"message":{"role":"assistant","content":"AmiAmi Red Heart Logo Unisex Cotton T-Shirt","refusal":null,"annotations":[]},"logprobs":null,"finish_reason":"stop"}],"usage":{"prompt_tokens":876,"completion_tokens":13,"total_tokens":889,"prompt_tokens_details":{"cached_tokens":0,"audio_tokens":0},"completion_tokens_details":{"reasoning_tokens":0,"audio_tokens":0,"accepted_prediction_tokens":0,"rejected_prediction_tokens":0}},"service_tier":"default","system_fingerprint":"fp_ad66631dec"}</t>
        </is>
      </c>
      <c r="K159" t="inlineStr">
        <is>
          <t>AmiAmi Red Heart Logo Unisex Cotton T-Shirt</t>
        </is>
      </c>
      <c r="L159" t="inlineStr">
        <is>
          <t>{"choices":[{"finish_reason":"stop","index":0,"logprobs":null,"message":{"annotations":[],"content":"AmiAmi Red Heart Logo T-Shirt in premium cotton, soft and breathable. Embroidered chest heart design adds French romance. Unisex loose fit for casual everyday style.","refusal":null,"role":"assistant"}}],"created":1776658514,"id":"chatcmpl-DWaKQjRmiA6etQo5UEvku1IrYSnJd","model":"gpt-5-chat-latest","object":"chat.completion","service_tier":"default","system_fingerprint":"fp_ad66631dec","usage":{"completion_tokens":37,"completion_tokens_details":{"accepted_prediction_tokens":0,"audio_tokens":0,"reasoning_tokens":0,"rejected_prediction_tokens":0},"prompt_tokens":918,"prompt_tokens_details":{"audio_tokens":0,"cached_tokens":0},"total_tokens":955}}</t>
        </is>
      </c>
      <c r="M159" t="inlineStr">
        <is>
          <t>{"alt-svc":"h3=\":443\"; ma=2592000","apim-request-id":"f5a0541e-b35c-4e79-b144-77d7b8c8cd4d","azureml-model-session":"d20260405234249-f9874baf","cache-control":"no-cache","connection":"close","content-length":"753","content-security-policy":"frame-ancestors 'self'","content-type":"application/json","date":"Mon, 20 Apr 2026 04:15:15 GMT","server":"nginx","skip-error-remapping":"true","strict-transport-security":"max-age=31536000; includeSubDomains; preload","via":"1.1 Caddy, 1.1 Caddy","x-api-request-id":"20260420121514186250307438mmvzX","x-content-type-options":"nosniff","x-frame-options":"SAMEORIGIN","x-ms-client-request-id":"Not-Set","x-ms-is-spilled-over":"false","x-ms-rai-invoked":"true","x-ms-region":"East US 2","x-new-api-version":"0.4.39","x-oneapi-request-id":"202604200415141203435558268d9d6eIFYQpUb","x-ratelimit-abusepenalty-active":"False","x-ratelimit-limit-requests":"3850","x-ratelimit-limit-tokens":"3850000","x-ratelimit-remaining-requests":"3849","x-ratelimit-remaining-tokens":"3848320","x-ratelimit-renewalperiod-requests":"60","x-ratelimit-renewalperiod-tokens":"60","x-ratelimit-reset-requests":"15","x-ratelimit-reset-tokens":"26","x-request-id":"2851e165-133e-4821-a70f-9a4137121c8a"}</t>
        </is>
      </c>
      <c r="N159" t="inlineStr">
        <is>
          <t>AmiAmi Red Heart Logo T-Shirt in premium cotton, soft and breathable. Embroidered chest heart design adds French romance. Unisex loose fit for casual everyday style.</t>
        </is>
      </c>
      <c r="O159" t="inlineStr">
        <is>
          <t>{"choices":[{"finish_reason":"stop","index":0,"logprobs":null,"message":{"annotations":[],"content":"Ami,T-Shirts,kakobuy,kakebuy2026,kekobuysheet,kakobuysheet2026,2026kakobuy,kakobuyspreadsheeet,kakobuylink,kakebuylist,Kakobuy MEGA Spreadsheet,kakobuysheetfind,kakobuysheetfind2026,2026kakobuysheetfind,kakobuysheet2026","refusal":null,"role":"assistant"}}],"created":1776668144,"id":"chatcmpl-DWcpkFzqpF52VetORbO1XbM3H1w2i","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59" t="inlineStr">
        <is>
          <t>Ami,T-Shirts,kakobuy,kakebuy2026,kekobuysheet,kakobuysheet2026,2026kakobuy,kakobuyspreadsheeet,kakobuylink,kakebuylist,Kakobuy MEGA Spreadsheet,kakobuysheetfind,kakobuysheetfind2026,2026kakobuysheetfind,kakobuysheet2026</t>
        </is>
      </c>
      <c r="Q159" t="inlineStr">
        <is>
          <t>Unisex, Breathable, Red</t>
        </is>
      </c>
      <c r="R159" t="inlineStr">
        <is>
          <t>recvh6xFVjkJJP</t>
        </is>
      </c>
      <c r="S159" t="inlineStr">
        <is>
          <t>amiaami-red-heart-logo-unisex-cotton-t-shirt-recvh6xfvjkjjp</t>
        </is>
      </c>
      <c r="T159"/>
      <c r="U159"/>
      <c r="V159"/>
      <c r="W159" t="inlineStr">
        <is>
          <t>{"choices":[{"finish_reason":"stop","index":0,"logprobs":null,"message":{"annotations":[],"content":"Ami：红色心形标志系列T恤，采用优质纯棉面料，柔软透气。胸前刺绣爱心字母徽标设计，简约中彰显浪漫法式风格。宽松剪裁适合男女穿搭，日常休闲百搭单品，展现现代都市清新格调。","refusal":null,"role":"assistant"}}],"created":1776655927,"id":"chatcmpl-DWZehWDKxG1MugVvzbHapKRAhisc1","model":"gpt-5-chat-latest","object":"chat.completion","service_tier":"default","system_fingerprint":"fp_ad66631dec","usage":{"completion_tokens":82,"completion_tokens_details":{"accepted_prediction_tokens":0,"audio_tokens":0,"reasoning_tokens":0,"rejected_prediction_tokens":0},"prompt_tokens":1316,"prompt_tokens_details":{"audio_tokens":0,"cached_tokens":0},"total_tokens":1398}}</t>
        </is>
      </c>
      <c r="X159" t="inlineStr">
        <is>
          <t>Ami：红色心形标志系列T恤，采用优质纯棉面料，柔软透气。胸前刺绣爱心字母徽标设计，简约中彰显浪漫法式风格。宽松剪裁适合男女穿搭，日常休闲百搭单品，展现现代都市清新格调。</t>
        </is>
      </c>
    </row>
    <row r="160" ht="25.5" customHeight="1">
      <c r="A160">
        <v>1839115443</v>
      </c>
      <c r="B160">
        <v>7599147349</v>
      </c>
      <c r="C160" t="inlineStr">
        <is>
          <t>https://weidian.com/item.html?itemID=7599147349</t>
        </is>
      </c>
      <c r="D160"/>
      <c r="E160" s="2" t="str">
        <f>=HYPERLINK("https://si.geilicdn.com/open1832946205-252808396-553300000196d211a2240aa0834c_640_640.jpg?w=640&amp;h=640", "https://si.geilicdn.com/open1832946205-252808396-553300000196d211a2240aa0834c_640_640.jpg?w=640&amp;h=640")</f>
        <v>https://si.geilicdn.com/open1832946205-252808396-553300000196d211a2240aa0834c_640_640.jpg?w=640&amp;h=640</v>
      </c>
      <c r="F160" t="inlineStr">
        <is>
          <t>Hoodies</t>
        </is>
      </c>
      <c r="G160" t="inlineStr">
        <is>
          <t>Vicinity</t>
        </is>
      </c>
      <c r="H160" t="inlineStr">
        <is>
          <t>148.00</t>
        </is>
      </c>
      <c r="I160">
        <v>21.45</v>
      </c>
      <c r="J160" t="inlineStr">
        <is>
          <t>{"choices":[{"finish_reason":"stop","index":0,"logprobs":null,"message":{"annotations":[],"content":"HoodiesVicinity Grey Sci-Fi Pixel Art Zip Hoodie","refusal":null,"role":"assistant"}}],"created":1776666239,"id":"chatcmpl-DWcL1YfwVGCldxFPpc51ffrxOmnyd","model":"gpt-5-chat-latest","object":"chat.completion","service_tier":"default","system_fingerprint":"fp_ad66631dec","usage":{"completion_tokens":13,"completion_tokens_details":{"accepted_prediction_tokens":0,"audio_tokens":0,"reasoning_tokens":0,"rejected_prediction_tokens":0},"prompt_tokens":885,"prompt_tokens_details":{"audio_tokens":0,"cached_tokens":0},"total_tokens":898}}</t>
        </is>
      </c>
      <c r="K160" t="inlineStr">
        <is>
          <t>HoodiesVicinity Grey Sci-Fi Pixel Art Zip Hoodie</t>
        </is>
      </c>
      <c r="L160" t="inlineStr">
        <is>
          <t>{"choices":[{"finish_reason":"stop","index":0,"logprobs":null,"message":{"annotations":[],"content":"HoodiesVicinityVicinity Grey Zip Hoodie blends streetwear and sci-fi with pixel art print, made from high-density cotton blend, soft and stylish for urban commute and unisex everyday wear.","refusal":null,"role":"assistant"}}],"created":1776659061,"id":"chatcmpl-DWaTFcC0oRuMJH5B5LLjkwQ738G78","model":"gpt-5-chat-latest","object":"chat.completion","service_tier":"default","system_fingerprint":"fp_ad66631dec","usage":{"completion_tokens":41,"completion_tokens_details":{"accepted_prediction_tokens":0,"audio_tokens":0,"reasoning_tokens":0,"rejected_prediction_tokens":0},"prompt_tokens":926,"prompt_tokens_details":{"audio_tokens":0,"cached_tokens":0},"total_tokens":967}}</t>
        </is>
      </c>
      <c r="M160" t="inlineStr">
        <is>
          <t>{"alt-svc":"h3=\":443\"; ma=2592000","apim-request-id":"e2165d8e-0793-441b-841c-30026891b663","azureml-model-session":"d20260405234249-f9874baf","cache-control":"no-cache","connection":"close","content-length":"776","content-security-policy":"frame-ancestors 'self'","content-type":"application/json","date":"Mon, 20 Apr 2026 04:24:22 GMT","server":"nginx","skip-error-remapping":"true","strict-transport-security":"max-age=31536000; includeSubDomains; preload","via":"1.1 Caddy, 1.1 Caddy","x-api-request-id":"20260420122420419075354kut0g3Rb","x-content-type-options":"nosniff","x-frame-options":"SAMEORIGIN","x-ms-client-request-id":"Not-Set","x-ms-is-spilled-over":"false","x-ms-rai-invoked":"true","x-ms-region":"East US 2","x-new-api-version":"0.4.39","x-oneapi-request-id":"202604200424203529162628268d9d6gnnQZwRz","x-ratelimit-abusepenalty-active":"False","x-ratelimit-limit-requests":"3850","x-ratelimit-limit-tokens":"3850000","x-ratelimit-remaining-requests":"3849","x-ratelimit-remaining-tokens":"3838825","x-ratelimit-renewalperiod-requests":"60","x-ratelimit-renewalperiod-tokens":"60","x-ratelimit-reset-requests":"15","x-ratelimit-reset-tokens":"174","x-request-id":"205d8400-8b83-4444-89a4-ec5f5bf730ca"}</t>
        </is>
      </c>
      <c r="N160" t="inlineStr">
        <is>
          <t>HoodiesVicinityVicinity Grey Zip Hoodie blends streetwear and sci-fi with pixel art print, made from high-density cotton blend, soft and stylish for urban commute and unisex everyday wear.</t>
        </is>
      </c>
      <c r="O160" t="inlineStr">
        <is>
          <t>{"choices":[{"finish_reason":"stop","index":0,"logprobs":null,"message":{"annotations":[],"content":"HoodiesVicinity,Hoodie,kakobuy,kakebuy2026,kekobuysheet,kakobuysheet2026,2026kakobuy,kakobuyspreadsheeet,kakobuylink,kakebuylist,Kakobuy MEGA Spreadsheet,kakobuysheetfind,kakobuysheetfind2026,2026kakobuysheetfind,kakobuysheet2026","refusal":null,"role":"assistant"}}],"created":1776668631,"id":"chatcmpl-DWcxbm1tr7LbdTwVOvWac03t7uDrz","model":"gpt-5-chat-latest","object":"chat.completion","service_tier":"default","system_fingerprint":"fp_ad66631dec","usage":{"completion_tokens":91,"completion_tokens_details":{"accepted_prediction_tokens":0,"audio_tokens":0,"reasoning_tokens":0,"rejected_prediction_tokens":0},"prompt_tokens":784,"prompt_tokens_details":{"audio_tokens":0,"cached_tokens":0},"total_tokens":875}}</t>
        </is>
      </c>
      <c r="P160" t="inlineStr">
        <is>
          <t>HoodiesVicinity,Hoodie,kakobuy,kakebuy2026,kekobuysheet,kakobuysheet2026,2026kakobuy,kakobuyspreadsheeet,kakobuylink,kakebuylist,Kakobuy MEGA Spreadsheet,kakobuysheetfind,kakobuysheetfind2026,2026kakobuysheetfind,kakobuysheet2026</t>
        </is>
      </c>
      <c r="Q160" t="inlineStr">
        <is>
          <t>Streetwear, Unisex, Grey</t>
        </is>
      </c>
      <c r="R160" t="inlineStr">
        <is>
          <t>recvh6xFVjCAZX</t>
        </is>
      </c>
      <c r="S160" t="inlineStr">
        <is>
          <t>grey-sci-fi-pixel-art-zip-hoodie-recvh6xfvjcazx</t>
        </is>
      </c>
      <c r="T160"/>
      <c r="U160"/>
      <c r="V160"/>
      <c r="W160" t="inlineStr">
        <is>
          <t>{"choices":[{"finish_reason":"stop","index":0,"logprobs":null,"message":{"annotations":[],"content":"Vicinity：灰色拉链连帽卫衣，采用高密度棉质混纺面料，正面融入未来感像素人物印花设计，柔软舒适又富视觉层次。街头休闲风格融合科幻元素，男女皆宜，适合都市通勤与潮流穿搭，展现先锋美学与实用功能兼具的时尚态度。","refusal":null,"role":"assistant"}}],"created":1776656172,"id":"chatcmpl-DWZiedOvHm1Bi9KOqdFANH6GRsnKQ","model":"gpt-5-chat-latest","object":"chat.completion","service_tier":"default","system_fingerprint":"fp_ad66631dec","usage":{"completion_tokens":92,"completion_tokens_details":{"accepted_prediction_tokens":0,"audio_tokens":0,"reasoning_tokens":0,"rejected_prediction_tokens":0},"prompt_tokens":1311,"prompt_tokens_details":{"audio_tokens":0,"cached_tokens":1280},"total_tokens":1403}}</t>
        </is>
      </c>
      <c r="X160" t="inlineStr">
        <is>
          <t>Vicinity：灰色拉链连帽卫衣，采用高密度棉质混纺面料，正面融入未来感像素人物印花设计，柔软舒适又富视觉层次。街头休闲风格融合科幻元素，男女皆宜，适合都市通勤与潮流穿搭，展现先锋美学与实用功能兼具的时尚态度。</t>
        </is>
      </c>
    </row>
    <row r="161" ht="25.5" customHeight="1">
      <c r="A161">
        <v>1839115443</v>
      </c>
      <c r="B161">
        <v>7601076958</v>
      </c>
      <c r="C161" t="inlineStr">
        <is>
          <t>https://weidian.com/item.html?itemID=7601076958</t>
        </is>
      </c>
      <c r="D161"/>
      <c r="E161" s="2" t="str">
        <f>=HYPERLINK("https://si.geilicdn.com/open1832946205-252808396-5fe500000196d7438d3e0a231226_1000_1000.jpg?w=640&amp;h=640", "https://si.geilicdn.com/open1832946205-252808396-5fe500000196d7438d3e0a231226_1000_1000.jpg?w=640&amp;h=640")</f>
        <v>https://si.geilicdn.com/open1832946205-252808396-5fe500000196d7438d3e0a231226_1000_1000.jpg?w=640&amp;h=640</v>
      </c>
      <c r="F161" t="inlineStr">
        <is>
          <t>T-Shirts</t>
        </is>
      </c>
      <c r="G161" t="inlineStr">
        <is>
          <t>Pigeon Run</t>
        </is>
      </c>
      <c r="H161" t="inlineStr">
        <is>
          <t>53.00</t>
        </is>
      </c>
      <c r="I161">
        <v>7.68</v>
      </c>
      <c r="J161" t="inlineStr">
        <is>
          <t>{"choices":[{"finish_reason":"stop","index":0,"logprobs":null,"message":{"annotations":[],"content":"Pigeon Run Black Graffiti Portrait Unisex Cotton T-Shirt","refusal":null,"role":"assistant"}}],"created":1776666266,"id":"chatcmpl-DWcLS1AdH1mAZZrf24JGRtSP0uSmt","model":"gpt-5-chat-latest","object":"chat.completion","service_tier":"default","system_fingerprint":"fp_ad66631dec","usage":{"completion_tokens":13,"completion_tokens_details":{"accepted_prediction_tokens":0,"audio_tokens":0,"reasoning_tokens":0,"rejected_prediction_tokens":0},"prompt_tokens":877,"prompt_tokens_details":{"audio_tokens":0,"cached_tokens":0},"total_tokens":890}}</t>
        </is>
      </c>
      <c r="K161" t="inlineStr">
        <is>
          <t>Pigeon Run Black Graffiti Portrait Unisex Cotton T-Shirt</t>
        </is>
      </c>
      <c r="L161" t="inlineStr">
        <is>
          <t>{"choices":[{"finish_reason":"stop","index":0,"logprobs":null,"message":{"annotations":[],"content":"Pigeon Run black cotton T-shirt with avant-garde portrait totem and graffiti logo print. Unisex streetwear style with classic crew neck, showing edgy attitude for urban fashion lovers.","refusal":null,"role":"assistant"}}],"created":1776658911,"id":"chatcmpl-DWaQpqW09kHb806aTmBAhnzsGrIO1","model":"gpt-5-chat-latest","object":"chat.completion","service_tier":"default","system_fingerprint":"fp_ad66631dec","usage":{"completion_tokens":37,"completion_tokens_details":{"accepted_prediction_tokens":0,"audio_tokens":0,"reasoning_tokens":0,"rejected_prediction_tokens":0},"prompt_tokens":930,"prompt_tokens_details":{"audio_tokens":0,"cached_tokens":0},"total_tokens":967}}</t>
        </is>
      </c>
      <c r="M161" t="inlineStr">
        <is>
          <t>{"alt-svc":"h3=\":443\"; ma=2592000","apim-request-id":"67932a8f-a33f-4ccc-a950-1198e2e3741d","azureml-model-session":"d20260402083108-57a85543","cache-control":"no-cache","connection":"close","content-length":"772","content-security-policy":"frame-ancestors 'self'","content-type":"application/json","date":"Mon, 20 Apr 2026 04:21:52 GMT","server":"nginx","skip-error-remapping":"true","strict-transport-security":"max-age=31536000; includeSubDomains; preload","via":"1.1 Caddy, 1.1 Caddy","x-api-request-id":"20260420122150873782461PC6WeTOG","x-content-type-options":"nosniff","x-frame-options":"SAMEORIGIN","x-ms-client-request-id":"Not-Set","x-ms-is-spilled-over":"false","x-ms-rai-invoked":"true","x-ms-region":"East US 2","x-new-api-version":"0.4.39","x-oneapi-request-id":"202604200421508083610598268d9d65JdxgvkW","x-ratelimit-abusepenalty-active":"False","x-ratelimit-limit-requests":"3850","x-ratelimit-limit-tokens":"3850000","x-ratelimit-remaining-requests":"3849","x-ratelimit-remaining-tokens":"3847769","x-ratelimit-renewalperiod-requests":"60","x-ratelimit-renewalperiod-tokens":"60","x-ratelimit-reset-requests":"15","x-ratelimit-reset-tokens":"34","x-request-id":"96609a20-d4e9-4231-8a51-bdeb1417f5a6"}</t>
        </is>
      </c>
      <c r="N161" t="inlineStr">
        <is>
          <t>Pigeon Run black cotton T-shirt with avant-garde portrait totem and graffiti logo print. Unisex streetwear style with classic crew neck, showing edgy attitude for urban fashion lovers.</t>
        </is>
      </c>
      <c r="O161" t="inlineStr">
        <is>
          <t>{"choices":[{"finish_reason":"stop","index":0,"logprobs":null,"message":{"annotations":[],"content":"Pigeon Run,T-Shirts,kakobuy,kakebuy2026,kekobuysheet,kakobuysheet2026,2026kakobuy,kakobuyspreadsheeet,kakobuylink,kakebuylist,Kakobuy MEGA Spreadsheet,kakobuysheetfind,kakobuysheetfind2026,2026kakobuysheetfind,kakobuysheet2026","refusal":null,"role":"assistant"}}],"created":1776668475,"id":"chatcmpl-DWcv5GyVfWaMEVSpE425QQTtp1L2T","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61" t="inlineStr">
        <is>
          <t>Pigeon Run,T-Shirts,kakobuy,kakebuy2026,kekobuysheet,kakobuysheet2026,2026kakobuy,kakobuyspreadsheeet,kakobuylink,kakebuylist,Kakobuy MEGA Spreadsheet,kakobuysheetfind,kakobuysheetfind2026,2026kakobuysheetfind,kakobuysheet2026</t>
        </is>
      </c>
      <c r="Q161" t="inlineStr">
        <is>
          <t>Black, Streetwear, Unisex, Edgy</t>
        </is>
      </c>
      <c r="R161" t="inlineStr">
        <is>
          <t>recvh6xFVjtv7l</t>
        </is>
      </c>
      <c r="S161" t="inlineStr">
        <is>
          <t>pigeon-run-black-graffiti-portrait-recvh6xfvjtv7l</t>
        </is>
      </c>
      <c r="T161"/>
      <c r="U161"/>
      <c r="V161"/>
      <c r="W161" t="inlineStr">
        <is>
          <t>{"choices":[{"finish_reason":"stop","index":0,"logprobs":null,"message":{"annotations":[],"content":"Pigeon Run：黑色艺术印花短袖T恤，采用柔软纯棉材质，胸前前卫人像图腾与立体涂鸦字体设计相映成趣，呈现先锋街头视觉风格。男女通穿版型，简约圆领剪裁，彰显独立个性与审美态度，适合都市休闲与潮流穿搭。","refusal":null,"role":"assistant"}}],"created":1776655453,"id":"chatcmpl-DWZX3DhkxlUqvpTMREbmmqgV0tAO9","model":"gpt-5-chat-latest","object":"chat.completion","service_tier":"default","system_fingerprint":"fp_ad66631dec","usage":{"completion_tokens":92,"completion_tokens_details":{"accepted_prediction_tokens":0,"audio_tokens":0,"reasoning_tokens":0,"rejected_prediction_tokens":0},"prompt_tokens":1321,"prompt_tokens_details":{"audio_tokens":0,"cached_tokens":0},"total_tokens":1413}}</t>
        </is>
      </c>
      <c r="X161" t="inlineStr">
        <is>
          <t>Pigeon Run：黑色艺术印花短袖T恤，采用柔软纯棉材质，胸前前卫人像图腾与立体涂鸦字体设计相映成趣，呈现先锋街头视觉风格。男女通穿版型，简约圆领剪裁，彰显独立个性与审美态度，适合都市休闲与潮流穿搭。</t>
        </is>
      </c>
    </row>
    <row r="162" ht="25.5" customHeight="1">
      <c r="A162">
        <v>1839115443</v>
      </c>
      <c r="B162">
        <v>7599239985</v>
      </c>
      <c r="C162" t="inlineStr">
        <is>
          <t>https://weidian.com/item.html?itemID=7599239985</t>
        </is>
      </c>
      <c r="D162"/>
      <c r="E162" s="2" t="str">
        <f>=HYPERLINK("https://si.geilicdn.com/open1832946205-252808396-104200000197e9b0610f0aa043f9_1080_1080.jpg?w=640&amp;h=640", "https://si.geilicdn.com/open1832946205-252808396-104200000197e9b0610f0aa043f9_1080_1080.jpg?w=640&amp;h=640")</f>
        <v>https://si.geilicdn.com/open1832946205-252808396-104200000197e9b0610f0aa043f9_1080_1080.jpg?w=640&amp;h=640</v>
      </c>
      <c r="F162" t="inlineStr">
        <is>
          <t>Hoodies</t>
        </is>
      </c>
      <c r="G162" t="inlineStr">
        <is>
          <t>Stone Island</t>
        </is>
      </c>
      <c r="H162" t="inlineStr">
        <is>
          <t>182.00</t>
        </is>
      </c>
      <c r="I162">
        <v>26.38</v>
      </c>
      <c r="J162" t="inlineStr">
        <is>
          <t>{"id":"chatcmpl-DWcNK7Wc9KBjNVCL3OuOeVWmMz2PY","object":"chat.completion","created":1776666382,"model":"gpt-5-chat-latest","choices":[{"index":0,"message":{"role":"assistant","content":"Stone Island Black Cotton Compass Badge Hoodie","refusal":null,"annotations":[]},"logprobs":null,"finish_reason":"stop"}],"usage":{"prompt_tokens":879,"completion_tokens":8,"total_tokens":887,"prompt_tokens_details":{"cached_tokens":0,"audio_tokens":0},"completion_tokens_details":{"reasoning_tokens":0,"audio_tokens":0,"accepted_prediction_tokens":0,"rejected_prediction_tokens":0}},"service_tier":"default","system_fingerprint":"fp_ad66631dec"}</t>
        </is>
      </c>
      <c r="K162" t="inlineStr">
        <is>
          <t>Stone Island Black Cotton Compass Badge Hoodie</t>
        </is>
      </c>
      <c r="L162" t="inlineStr">
        <is>
          <t>{"id":"chatcmpl-DWaN2CmW0NRXKMNIoy3QOeqfQ7uMV","object":"chat.completion","created":1776658676,"model":"gpt-5-chat-latest","choices":[{"index":0,"message":{"role":"assistant","content":"Stone Island black hoodie crafted from high-density cotton for comfort and breathability. Features the iconic compass badge on the sleeve, kangaroo pocket design, and unisex urban streetwear style.","refusal":null,"annotations":[]},"logprobs":null,"finish_reason":"stop"}],"usage":{"prompt_tokens":938,"completion_tokens":38,"total_tokens":976,"prompt_tokens_details":{"cached_tokens":0,"audio_tokens":0},"completion_tokens_details":{"reasoning_tokens":0,"audio_tokens":0,"accepted_prediction_tokens":0,"rejected_prediction_tokens":0}},"service_tier":"default","system_fingerprint":"fp_ad66631dec"}</t>
        </is>
      </c>
      <c r="M162"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ma=2592000","apim-request-id":"155d90d7-71eb-4734-87bc-ddd2c1f18d58","azureml-model-session":"d20260402075109-1fc5a0ec","cache-control":"no-cache, no-store, must-revalidate","connection":"close","content-length":"1001","content-security-policy":"frame-ancestors 'self'","content-type":"application/json","date":"Mon, 20 Apr 2026 04:17:58 GMT","server":"nginx","skip-error-remapping":"true","strict-transport-security":"max-age=31536000; includeSubDomains; preload","via":"1.1 Caddy, 1.1 Caddy","x-api-request-id":"20260420121755172698475sgqs8JV5","x-content-type-options":"nosniff","x-frame-options":"SAMEORIGIN","x-ms-is-spilled-over":"false","x-ms-rai-invoked":"false","x-ms-region":"Sweden Central","x-new-api-version":"0.4.39","x-oneapi-request-id":"20260420041755943369688268d9d6CfB4mdqx","x-ratelimit-abusepenalty-active":"False","x-ratelimit-limit-requests":"4993","x-ratelimit-limit-tokens":"4993000","x-ratelimit-remaining-requests":"4992","x-ratelimit-remaining-tokens":"4991300","x-ratelimit-renewalperiod-requests":"60","x-ratelimit-renewalperiod-tokens":"60","x-ratelimit-reset-requests":"12","x-ratelimit-reset-tokens":"20","x-request-id":"fa5a4e8c-5446-46fc-938d-c0b2043106bc"}</t>
        </is>
      </c>
      <c r="N162" t="inlineStr">
        <is>
          <t>Stone Island black hoodie crafted from high-density cotton for comfort and breathability. Features the iconic compass badge on the sleeve, kangaroo pocket design, and unisex urban streetwear style.</t>
        </is>
      </c>
      <c r="O162" t="inlineStr">
        <is>
          <t>{"choices":[{"finish_reason":"stop","index":0,"logprobs":null,"message":{"annotations":[],"content":"Stone Island, Hoodies, kakobuy, kakebuy2026, kekobuysheet, kakobuysheet2026, 2026kakobuy, kakobuyspreadsheeet, kakobuylink, kakebuylist, Kakobuy MEGA Spreadsheet, kakobuysheetfind, kakobuysheetfind2026, 2026kakobuysheetfind, kakobuysheet2026","refusal":null,"role":"assistant"}}],"created":1776667776,"id":"chatcmpl-DWcjoyH6gqbu58JDYoy1hexFAIUYT","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162" t="inlineStr">
        <is>
          <t>Stone Island, Hoodies, kakobuy, kakebuy2026, kekobuysheet, kakobuysheet2026, 2026kakobuy, kakobuyspreadsheeet, kakobuylink, kakebuylist, Kakobuy MEGA Spreadsheet, kakobuysheetfind, kakobuysheetfind2026, 2026kakobuysheetfind, kakobuysheet2026</t>
        </is>
      </c>
      <c r="Q162" t="inlineStr">
        <is>
          <t>Black, Breathable, Comfort, Streetwear, Unisex</t>
        </is>
      </c>
      <c r="R162" t="inlineStr">
        <is>
          <t>recvh6xFVjL481</t>
        </is>
      </c>
      <c r="S162" t="inlineStr">
        <is>
          <t>stone-island-black-cotton-compass-badge-hoodie-recvh6xFVjL481</t>
        </is>
      </c>
      <c r="T162"/>
      <c r="U162"/>
      <c r="V162"/>
      <c r="W162" t="inlineStr">
        <is>
          <t>{"id":"chatcmpl-DWZiYfanUx9dhOnVHfZzBFeVBqN4X","object":"chat.completion","created":1776656166,"model":"gpt-5-chat-latest","choices":[{"index":0,"message":{"role":"assistant","content":"Stone Island：黑色标志性连帽卫衣，采用高密度纯棉面料，舒适透气。右臂镶嵌经典罗盘徽章标识，展现品牌探险精神。简约挺括剪裁搭配前袋鼠口袋设计，兼具实用与街头美学。男女通穿，适合都市休闲及潮流混搭，彰显现代机能风格。","refusal":null,"annotations":[]},"logprobs":null,"finish_reason":"stop"}],"usage":{"prompt_tokens":1319,"completion_tokens":100,"total_tokens":1419,"prompt_tokens_details":{"cached_tokens":0,"audio_tokens":0},"completion_tokens_details":{"reasoning_tokens":0,"audio_tokens":0,"accepted_prediction_tokens":0,"rejected_prediction_tokens":0}},"service_tier":"default","system_fingerprint":"fp_ad66631dec"}</t>
        </is>
      </c>
      <c r="X162" t="inlineStr">
        <is>
          <t>Stone Island：黑色标志性连帽卫衣，采用高密度纯棉面料，舒适透气。右臂镶嵌经典罗盘徽章标识，展现品牌探险精神。简约挺括剪裁搭配前袋鼠口袋设计，兼具实用与街头美学。男女通穿，适合都市休闲及潮流混搭，彰显现代机能风格。</t>
        </is>
      </c>
    </row>
    <row r="163" ht="25.5" customHeight="1">
      <c r="A163">
        <v>1839115443</v>
      </c>
      <c r="B163">
        <v>7599251765</v>
      </c>
      <c r="C163" t="inlineStr">
        <is>
          <t>https://weidian.com/item.html?itemID=7599251765</t>
        </is>
      </c>
      <c r="D163"/>
      <c r="E163" s="2" t="str">
        <f>=HYPERLINK("https://si.geilicdn.com/open1832946205-252808396-79ce00000197e9725b650a23b491_1278_1278.jpg?w=640&amp;h=640", "https://si.geilicdn.com/open1832946205-252808396-79ce00000197e9725b650a23b491_1278_1278.jpg?w=640&amp;h=640")</f>
        <v>https://si.geilicdn.com/open1832946205-252808396-79ce00000197e9725b650a23b491_1278_1278.jpg?w=640&amp;h=640</v>
      </c>
      <c r="F163" t="inlineStr">
        <is>
          <t>T-Shirts</t>
        </is>
      </c>
      <c r="G163" t="inlineStr">
        <is>
          <t>Maison Margiela</t>
        </is>
      </c>
      <c r="H163" t="inlineStr">
        <is>
          <t>160.00</t>
        </is>
      </c>
      <c r="I163">
        <v>23.19</v>
      </c>
      <c r="J163" t="inlineStr">
        <is>
          <t>{"choices":[{"finish_reason":"stop","index":0,"logprobs":null,"message":{"annotations":[],"content":"Maison Margiela Beige Cotton Knit Zip Cardigan Sweater","refusal":null,"role":"assistant"}}],"created":1776666350,"id":"chatcmpl-DWcMoS5A0xqVqrvX7Jea1DCwjaLUX","model":"gpt-5-chat-latest","object":"chat.completion","service_tier":"default","system_fingerprint":"fp_ad66631dec","usage":{"completion_tokens":12,"completion_tokens_details":{"accepted_prediction_tokens":0,"audio_tokens":0,"reasoning_tokens":0,"rejected_prediction_tokens":0},"prompt_tokens":877,"prompt_tokens_details":{"audio_tokens":0,"cached_tokens":0},"total_tokens":889}}</t>
        </is>
      </c>
      <c r="K163" t="inlineStr">
        <is>
          <t>Maison Margiela Beige Cotton Knit Zip Cardigan Sweater</t>
        </is>
      </c>
      <c r="L163" t="inlineStr">
        <is>
          <t>{"choices":[{"finish_reason":"stop","index":0,"logprobs":null,"message":{"annotations":[],"content":"Maison Margiela beige cotton knit zip cardigan, featuring a minimalist stand collar and relaxed unisex fit for effortless French luxury and high-street comfort, perfect for fall and winter wear.","refusal":null,"role":"assistant"}}],"created":1776658344,"id":"chatcmpl-DWaHgLefNSB4Pq8TuuVH58Ds1j1ml","model":"gpt-5-chat-latest","object":"chat.completion","service_tier":"default","system_fingerprint":"fp_ad66631dec","usage":{"completion_tokens":37,"completion_tokens_details":{"accepted_prediction_tokens":0,"audio_tokens":0,"reasoning_tokens":0,"rejected_prediction_tokens":0},"prompt_tokens":931,"prompt_tokens_details":{"audio_tokens":0,"cached_tokens":0},"total_tokens":968}}</t>
        </is>
      </c>
      <c r="M163" t="inlineStr">
        <is>
          <t>{"alt-svc":"h3=\":443\"; ma=2592000","apim-request-id":"b5da468f-bf3a-4c11-aa96-265bb64a18d3","azureml-model-session":"d20260402083108-57a85543","cache-control":"no-cache","connection":"close","content-length":"782","content-security-policy":"frame-ancestors 'self'","content-type":"application/json","date":"Mon, 20 Apr 2026 04:12:25 GMT","server":"nginx","skip-error-remapping":"true","strict-transport-security":"max-age=31536000; includeSubDomains; preload","via":"1.1 Caddy, 1.1 Caddy","x-api-request-id":"20260420121223652161920KVB6NGh8","x-content-type-options":"nosniff","x-frame-options":"SAMEORIGIN","x-ms-client-request-id":"Not-Set","x-ms-is-spilled-over":"false","x-ms-rai-invoked":"true","x-ms-region":"East US 2","x-new-api-version":"0.4.39","x-oneapi-request-id":"202604200412235885422158268d9d63K1mVmcx","x-ratelimit-abusepenalty-active":"False","x-ratelimit-limit-requests":"3850","x-ratelimit-limit-tokens":"3850000","x-ratelimit-remaining-requests":"3849","x-ratelimit-remaining-tokens":"3848307","x-ratelimit-renewalperiod-requests":"60","x-ratelimit-renewalperiod-tokens":"60","x-ratelimit-reset-requests":"15","x-ratelimit-reset-tokens":"26","x-request-id":"09b963d4-370a-4e10-b615-c37a8e70557a"}</t>
        </is>
      </c>
      <c r="N163" t="inlineStr">
        <is>
          <t>Maison Margiela beige cotton knit zip cardigan, featuring a minimalist stand collar and relaxed unisex fit for effortless French luxury and high-street comfort, perfect for fall and winter wear.</t>
        </is>
      </c>
      <c r="O163" t="inlineStr">
        <is>
          <t>{"choices":[{"finish_reason":"stop","index":0,"logprobs":null,"message":{"annotations":[],"content":"Maison Margiela, T-Shirts, kakobuy, kakebuy2026, kekobuysheet, kakobuysheet2026, 2026kakobuy, kakobuyspreadsheeet, kakobuylink, kakebuylist, Kakobuy MEGA Spreadsheet, kakobuysheetfind, kakobuysheetfind2026, 2026kakobuysheetfind, kakobuysheet2026","refusal":null,"role":"assistant"}}],"created":1776668675,"id":"chatcmpl-DWcyJPP6VxIvJMRrhGiYyBRJyZaEw","model":"gpt-5-chat-latest","object":"chat.completion","service_tier":"default","system_fingerprint":"fp_ad66631dec","usage":{"completion_tokens":93,"completion_tokens_details":{"accepted_prediction_tokens":0,"audio_tokens":0,"reasoning_tokens":0,"rejected_prediction_tokens":0},"prompt_tokens":784,"prompt_tokens_details":{"audio_tokens":0,"cached_tokens":0},"total_tokens":877}}</t>
        </is>
      </c>
      <c r="P163" t="inlineStr">
        <is>
          <t>Maison Margiela, T-Shirts, kakobuy, kakebuy2026, kekobuysheet, kakobuysheet2026, 2026kakobuy, kakobuyspreadsheeet, kakobuylink, kakebuylist, Kakobuy MEGA Spreadsheet, kakobuysheetfind, kakobuysheetfind2026, 2026kakobuysheetfind, kakobuysheet2026</t>
        </is>
      </c>
      <c r="Q163" t="inlineStr">
        <is>
          <t>Beige, Knit, Minimalist, Unisex, Autumn And Winter, High Street</t>
        </is>
      </c>
      <c r="R163" t="inlineStr">
        <is>
          <t>recvh6xFVj8PjF</t>
        </is>
      </c>
      <c r="S163" t="inlineStr">
        <is>
          <t>maison-margiela-beige-cotton-knit-zip-cardigan-recvh6xFVj8PjF</t>
        </is>
      </c>
      <c r="T163"/>
      <c r="U163"/>
      <c r="V163"/>
      <c r="W163" t="inlineStr">
        <is>
          <t>{"id":"chatcmpl-DWZbMIa6ToUvL9EAheE4qbjtJdqPa","object":"chat.completion","created":1776655720,"model":"gpt-5-chat-latest","choices":[{"index":0,"message":{"role":"assistant","content":"Maison Margiela：米色针织开襟外套，以优质纯棉材质打造，质感细腻亲肤，简约立领与全拉链设计凸显极简主义美学。宽松剪裁适合男女皆可，展现品牌低调奢华的法式先锋风格，兼具舒适与高街时尚感，适合秋冬日常穿搭。","refusal":null,"annotations":[]},"logprobs":null,"finish_reason":"stop"}],"usage":{"prompt_tokens":1319,"completion_tokens":94,"total_tokens":1413,"prompt_tokens_details":{"cached_tokens":0,"audio_tokens":0},"completion_tokens_details":{"reasoning_tokens":0,"audio_tokens":0,"accepted_prediction_tokens":0,"rejected_prediction_tokens":0}},"service_tier":"default","system_fingerprint":"fp_ad66631dec"}</t>
        </is>
      </c>
      <c r="X163" t="inlineStr">
        <is>
          <t>Maison Margiela：米色针织开襟外套，以优质纯棉材质打造，质感细腻亲肤，简约立领与全拉链设计凸显极简主义美学。宽松剪裁适合男女皆可，展现品牌低调奢华的法式先锋风格，兼具舒适与高街时尚感，适合秋冬日常穿搭。</t>
        </is>
      </c>
    </row>
    <row r="164" ht="25.5" customHeight="1">
      <c r="A164">
        <v>1839115443</v>
      </c>
      <c r="B164">
        <v>7599218069</v>
      </c>
      <c r="C164" t="inlineStr">
        <is>
          <t>https://weidian.com/item.html?itemID=7599218069</t>
        </is>
      </c>
      <c r="D164"/>
      <c r="E164" s="2" t="str">
        <f>=HYPERLINK("https://si.geilicdn.com/open1832946205-252808396-678700000196ce8306a50a231226_800_800.jpg?w=640&amp;h=640", "https://si.geilicdn.com/open1832946205-252808396-678700000196ce8306a50a231226_800_800.jpg?w=640&amp;h=640")</f>
        <v>https://si.geilicdn.com/open1832946205-252808396-678700000196ce8306a50a231226_800_800.jpg?w=640&amp;h=640</v>
      </c>
      <c r="F164" t="inlineStr">
        <is>
          <t>Hoodies</t>
        </is>
      </c>
      <c r="G164" t="inlineStr">
        <is>
          <t>Sp5der</t>
        </is>
      </c>
      <c r="H164" t="inlineStr">
        <is>
          <t>119.00</t>
        </is>
      </c>
      <c r="I164">
        <v>17.25</v>
      </c>
      <c r="J164" t="inlineStr">
        <is>
          <t>{"id":"chatcmpl-DWcUoS7cXbcq9d9qx1GTqpLTnzJle","object":"chat.completion","created":1776666846,"model":"gpt-5-chat-latest","choices":[{"index":0,"message":{"role":"assistant","content":"Sp5der Blue Hoodie Unisex Streetwear Pullover Outfit","refusal":null,"annotations":[]},"logprobs":null,"finish_reason":"stop"}],"usage":{"prompt_tokens":884,"completion_tokens":13,"total_tokens":897,"prompt_tokens_details":{"cached_tokens":0,"audio_tokens":0},"completion_tokens_details":{"reasoning_tokens":0,"audio_tokens":0,"accepted_prediction_tokens":0,"rejected_prediction_tokens":0}},"service_tier":"default","system_fingerprint":"fp_ad66631dec"}</t>
        </is>
      </c>
      <c r="K164" t="inlineStr">
        <is>
          <t>Sp5der Blue Hoodie Unisex Streetwear Pullover Outfit</t>
        </is>
      </c>
      <c r="L164" t="inlineStr">
        <is>
          <t>{"id":"chatcmpl-DWaJj90d4fCbu1KaZRymaAb26o2Gq","object":"chat.completion","created":1776658471,"model":"gpt-5-chat-latest","choices":[{"index":0,"message":{"role":"assistant","content":"Sp5der Blue Pullover Hoodie, soft cotton fabric with black spiderweb and neon green logo, unisex streetwear style, loose fit for comfort and fashion, perfect for daily casual wear.","refusal":null,"annotations":[]},"logprobs":null,"finish_reason":"stop"}],"usage":{"prompt_tokens":900,"completion_tokens":40,"total_tokens":940,"prompt_tokens_details":{"cached_tokens":0,"audio_tokens":0},"completion_tokens_details":{"reasoning_tokens":0,"audio_tokens":0,"accepted_prediction_tokens":0,"rejected_prediction_tokens":0}},"service_tier":"default","system_fingerprint":"fp_ad66631dec"}</t>
        </is>
      </c>
      <c r="M164"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ma=2592000","apim-request-id":"6d8bd0de-7cd4-4d25-ba5b-90182ae2cd2b","azureml-model-session":"d20260402084046-4209e968","cache-control":"no-cache, no-store, must-revalidate","connection":"close","content-length":"984","content-security-policy":"frame-ancestors 'self'","content-type":"application/json","date":"Mon, 20 Apr 2026 04:14:33 GMT","server":"nginx","skip-error-remapping":"true","strict-transport-security":"max-age=31536000; includeSubDomains; preload","via":"1.1 Caddy, 1.1 Caddy","x-api-request-id":"20260420121430263390053NLNKYuct","x-content-type-options":"nosniff","x-frame-options":"SAMEORIGIN","x-ms-is-spilled-over":"false","x-ms-rai-invoked":"false","x-ms-region":"East US 2","x-new-api-version":"0.4.39","x-oneapi-request-id":"202604200414301454402588268d9d6nvnKyrGi","x-ratelimit-abusepenalty-active":"False","x-ratelimit-limit-requests":"4994","x-ratelimit-limit-tokens":"4994000","x-ratelimit-remaining-requests":"4993","x-ratelimit-remaining-tokens":"4992338","x-ratelimit-renewalperiod-requests":"60","x-ratelimit-renewalperiod-tokens":"60","x-ratelimit-reset-requests":"12","x-ratelimit-reset-tokens":"19","x-request-id":"baf2d7df-b05b-4191-b4ef-748c3d786401"}</t>
        </is>
      </c>
      <c r="N164" t="inlineStr">
        <is>
          <t>Sp5der Blue Pullover Hoodie, soft cotton fabric with black spiderweb and neon green logo, unisex streetwear style, loose fit for comfort and fashion, perfect for daily casual wear.</t>
        </is>
      </c>
      <c r="O164" t="inlineStr">
        <is>
          <t>{"choices":[{"finish_reason":"stop","index":0,"logprobs":null,"message":{"annotations":[],"content":"Sp5der,Hoodies,kakobuy,kakebuy2026,kekobuysheet,kakobuysheet2026,2026kakobuy,kakobuyspreadsheeet,kakobuylink,kakebuylist,Kakobuy MEGA Spreadsheet,kakobuysheetfind,kakobuysheetfind2026,2026kakobuysheetfind,kakobuysheet2026","refusal":null,"role":"assistant"}}],"created":1776668136,"id":"chatcmpl-DWcpcEFm0xCMQLBUWhRg64ZpWvH4Y","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is>
      </c>
      <c r="P164" t="inlineStr">
        <is>
          <t>Sp5der,Hoodies,kakobuy,kakebuy2026,kekobuysheet,kakobuysheet2026,2026kakobuy,kakobuyspreadsheeet,kakobuylink,kakebuylist,Kakobuy MEGA Spreadsheet,kakobuysheetfind,kakobuysheetfind2026,2026kakobuysheetfind,kakobuysheet2026</t>
        </is>
      </c>
      <c r="Q164" t="inlineStr">
        <is>
          <t>Blue, Streetwear, Unisex, Comfort</t>
        </is>
      </c>
      <c r="R164" t="inlineStr">
        <is>
          <t>recvh6xFVj0AiL</t>
        </is>
      </c>
      <c r="S164" t="inlineStr">
        <is>
          <t>sp5der-blue-hoodie-recvh6xFVj0AiL</t>
        </is>
      </c>
      <c r="T164"/>
      <c r="U164"/>
      <c r="V164"/>
      <c r="W164" t="inlineStr">
        <is>
          <t>{"id":"chatcmpl-DWZbKwS7yCuYmeFM8ni0Et8cQQFD4","object":"chat.completion","created":1776655718,"model":"gpt-5-chat-latest","choices":[{"index":0,"message":{"role":"assistant","content":"Sp5der：蓝色套头连帽卫衣，柔软棉质面料，正面蜘蛛网与荧光绿Logo设计，街头潮流风格，宽松版型兼具舒适与时尚，男女皆宜，适合日常休闲穿搭。","refusal":null,"annotations":[]},"logprobs":null,"finish_reason":"stop"}],"usage":{"prompt_tokens":1312,"completion_tokens":66,"total_tokens":1378,"prompt_tokens_details":{"cached_tokens":0,"audio_tokens":0},"completion_tokens_details":{"reasoning_tokens":0,"audio_tokens":0,"accepted_prediction_tokens":0,"rejected_prediction_tokens":0}},"service_tier":"default","system_fingerprint":"fp_ad66631dec"}</t>
        </is>
      </c>
      <c r="X164" t="inlineStr">
        <is>
          <t>Sp5der：蓝色套头连帽卫衣，柔软棉质面料，正面蜘蛛网与荧光绿Logo设计，街头潮流风格，宽松版型兼具舒适与时尚，男女皆宜，适合日常休闲穿搭。</t>
        </is>
      </c>
    </row>
    <row r="165" ht="25.5" customHeight="1">
      <c r="A165">
        <v>1839115443</v>
      </c>
      <c r="B165">
        <v>7601055328</v>
      </c>
      <c r="C165" t="inlineStr">
        <is>
          <t>https://weidian.com/item.html?itemID=7601055328</t>
        </is>
      </c>
      <c r="D165"/>
      <c r="E165" s="2" t="str">
        <f>=HYPERLINK("https://si.geilicdn.com/open1832946205-252808396-014e000001974414be380a23b491_1920_1920.jpg?w=640&amp;h=640", "https://si.geilicdn.com/open1832946205-252808396-014e000001974414be380a23b491_1920_1920.jpg?w=640&amp;h=640")</f>
        <v>https://si.geilicdn.com/open1832946205-252808396-014e000001974414be380a23b491_1920_1920.jpg?w=640&amp;h=640</v>
      </c>
      <c r="F165" t="inlineStr">
        <is>
          <t>Hoodies</t>
        </is>
      </c>
      <c r="G165" t="inlineStr">
        <is>
          <t>Stussy</t>
        </is>
      </c>
      <c r="H165" t="inlineStr">
        <is>
          <t>109.00</t>
        </is>
      </c>
      <c r="I165">
        <v>15.8</v>
      </c>
      <c r="J165" t="inlineStr">
        <is>
          <t>{"choices":[{"finish_reason":"stop","index":0,"logprobs":null,"message":{"annotations":[],"content":"Stussy Classic Badge Black Hoodie Unisex Streetwear Pullover","refusal":null,"role":"assistant"}}],"created":1776665838,"id":"chatcmpl-DWcEYgFCly1yl1GCuia8yCAGvr75m","model":"gpt-5-chat-latest","object":"chat.completion","service_tier":"default","system_fingerprint":"fp_ad66631dec","usage":{"completion_tokens":13,"completion_tokens_details":{"accepted_prediction_tokens":0,"audio_tokens":0,"reasoning_tokens":0,"rejected_prediction_tokens":0},"prompt_tokens":885,"prompt_tokens_details":{"audio_tokens":0,"cached_tokens":0},"total_tokens":898}}</t>
        </is>
      </c>
      <c r="K165" t="inlineStr">
        <is>
          <t>Stussy Classic Badge Black Hoodie Unisex Streetwear Pullover</t>
        </is>
      </c>
      <c r="L165" t="inlineStr">
        <is>
          <t>{"id":"chatcmpl-DWaIWcahqezJywUKXXEcGBzomGgBt","object":"chat.completion","created":1776658396,"model":"gpt-5-chat-latest","choices":[{"index":0,"message":{"role":"assistant","content":"Stussy Classic Badge Hoodie – black cotton pullover featuring golden crown emblem on back and iconic chest logo. Loose fit, drawstring hood, unisex streetwear inspired by ’90s skate culture.","refusal":null,"annotations":[]},"logprobs":null,"finish_reason":"stop"}],"usage":{"prompt_tokens":931,"completion_tokens":41,"total_tokens":972,"prompt_tokens_details":{"cached_tokens":0,"audio_tokens":0},"completion_tokens_details":{"reasoning_tokens":0,"audio_tokens":0,"accepted_prediction_tokens":0,"rejected_prediction_tokens":0}},"service_tier":"default","system_fingerprint":"fp_ad66631dec"}</t>
        </is>
      </c>
      <c r="M165"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ma=2592000","apim-request-id":"1afcd184-9c4b-45c9-98a2-70cb1fe1e488","azureml-model-session":"d20260402075109-1fc5a0ec","cache-control":"no-cache, no-store, must-revalidate","connection":"close","content-length":"998","content-security-policy":"frame-ancestors 'self'","content-type":"application/json","date":"Mon, 20 Apr 2026 04:13:18 GMT","server":"nginx","skip-error-remapping":"true","strict-transport-security":"max-age=31536000; includeSubDomains; preload","via":"1.1 Caddy, 1.1 Caddy","x-api-request-id":"20260420121316200504136LaHD7ROj","x-content-type-options":"nosniff","x-frame-options":"SAMEORIGIN","x-ms-is-spilled-over":"false","x-ms-rai-invoked":"false","x-ms-region":"East US 2","x-new-api-version":"0.4.39","x-oneapi-request-id":"202604200413161351261488268d9d6kL47LdrD","x-ratelimit-abusepenalty-active":"False","x-ratelimit-limit-requests":"4994","x-ratelimit-limit-tokens":"4994000","x-ratelimit-remaining-requests":"4993","x-ratelimit-remaining-tokens":"4992307","x-ratelimit-renewalperiod-requests":"60","x-ratelimit-renewalperiod-tokens":"60","x-ratelimit-reset-requests":"12","x-ratelimit-reset-tokens":"20","x-request-id":"f5e09652-ea24-4eaf-89f9-1db831f034d4"}</t>
        </is>
      </c>
      <c r="N165" t="inlineStr">
        <is>
          <t>Stussy Classic Badge Hoodie – black cotton pullover featuring golden crown emblem on back and iconic chest logo. Loose fit, drawstring hood, unisex streetwear inspired by ’90s skate culture.</t>
        </is>
      </c>
      <c r="O165" t="inlineStr">
        <is>
          <t>{"choices":[{"finish_reason":"stop","index":0,"logprobs":null,"message":{"annotations":[],"content":"Stussy,Hoodies,kakobuy,kakebuy2026,kekobuysheet,kakobuysheet2026,2026kakobuy,kakobuyspreadsheeet,kakobuylink,kakebuylist,Kakobuy MEGA Spreadsheet,kakobuysheetfind,kakobuysheetfind2026,2026kakobuysheetfind,kakobuysheet2026","refusal":null,"role":"assistant"}}],"created":1776667298,"id":"chatcmpl-DWcc6UWGACrCFsnpMYndwQIjppndP","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65" t="inlineStr">
        <is>
          <t>Stussy,Hoodies,kakobuy,kakebuy2026,kekobuysheet,kakobuysheet2026,2026kakobuy,kakobuyspreadsheeet,kakobuylink,kakebuylist,Kakobuy MEGA Spreadsheet,kakobuysheetfind,kakobuysheetfind2026,2026kakobuysheetfind,kakobuysheet2026</t>
        </is>
      </c>
      <c r="Q165" t="inlineStr">
        <is>
          <t>Stussy, Black, Unisex, Streetwear, Retro</t>
        </is>
      </c>
      <c r="R165" t="inlineStr">
        <is>
          <t>recvh6xFVj0An2</t>
        </is>
      </c>
      <c r="S165" t="inlineStr">
        <is>
          <t>stussy-classic-badge-black-hoodie-recvh6xfvj0an2</t>
        </is>
      </c>
      <c r="T165"/>
      <c r="U165"/>
      <c r="V165"/>
      <c r="W165" t="inlineStr">
        <is>
          <t>{"choices":[{"finish_reason":"stop","index":0,"logprobs":null,"message":{"annotations":[],"content":"Stussy：经典徽章系列黑色连帽卫衣，采用高品质纯棉材质，背面金黄色王冠徽章图腾彰显街头王者气场，前胸品牌标识点缀增添层次感，宽松版型与抽绳帽设计兼具舒适与潮流，男女皆宜，复古街头风格演绎90年代滑板文化魅力。","refusal":null,"role":"assistant"}}],"created":1776655211,"id":"chatcmpl-DWZT9sLfDo1bp5uo2sZ09oqEKCwEJ","model":"gpt-5-chat-latest","object":"chat.completion","service_tier":"default","system_fingerprint":"fp_ad66631dec","usage":{"completion_tokens":96,"completion_tokens_details":{"accepted_prediction_tokens":0,"audio_tokens":0,"reasoning_tokens":0,"rejected_prediction_tokens":0},"prompt_tokens":1313,"prompt_tokens_details":{"audio_tokens":0,"cached_tokens":0},"total_tokens":1409}}</t>
        </is>
      </c>
      <c r="X165" t="inlineStr">
        <is>
          <t>Stussy：经典徽章系列黑色连帽卫衣，采用高品质纯棉材质，背面金黄色王冠徽章图腾彰显街头王者气场，前胸品牌标识点缀增添层次感，宽松版型与抽绳帽设计兼具舒适与潮流，男女皆宜，复古街头风格演绎90年代滑板文化魅力。</t>
        </is>
      </c>
    </row>
    <row r="166" ht="25.5" customHeight="1">
      <c r="A166">
        <v>1839115443</v>
      </c>
      <c r="B166">
        <v>7601068660</v>
      </c>
      <c r="C166" t="inlineStr">
        <is>
          <t>https://weidian.com/item.html?itemID=7601068660</t>
        </is>
      </c>
      <c r="D166"/>
      <c r="E166" s="2" t="str">
        <f>=HYPERLINK("https://si.geilicdn.com/open1832946205-252808396-253b000001963d404d0e0a231226_765_2159.jpg?w=640&amp;h=640", "https://si.geilicdn.com/open1832946205-252808396-253b000001963d404d0e0a231226_765_2159.jpg?w=640&amp;h=640")</f>
        <v>https://si.geilicdn.com/open1832946205-252808396-253b000001963d404d0e0a231226_765_2159.jpg?w=640&amp;h=640</v>
      </c>
      <c r="F166" t="inlineStr">
        <is>
          <t>Hoodies</t>
        </is>
      </c>
      <c r="G166" t="inlineStr">
        <is>
          <t>Palm Angels</t>
        </is>
      </c>
      <c r="H166" t="inlineStr">
        <is>
          <t>139.00</t>
        </is>
      </c>
      <c r="I166">
        <v>20.14</v>
      </c>
      <c r="J166" t="inlineStr">
        <is>
          <t>{"choices":[{"finish_reason":"stop","index":0,"logprobs":null,"message":{"annotations":[],"content":"Palm Angels Black Teddy Bear Unisex Hoodie","refusal":null,"role":"assistant"}}],"created":1776666448,"id":"chatcmpl-DWcOOUZDMaoaAVtYf14BWBQX7JD8P","model":"gpt-5-chat-latest","object":"chat.completion","service_tier":"default","system_fingerprint":"fp_ad66631dec","usage":{"completion_tokens":9,"completion_tokens_details":{"accepted_prediction_tokens":0,"audio_tokens":0,"reasoning_tokens":0,"rejected_prediction_tokens":0},"prompt_tokens":1431,"prompt_tokens_details":{"audio_tokens":0,"cached_tokens":0},"total_tokens":1440}}</t>
        </is>
      </c>
      <c r="K166" t="inlineStr">
        <is>
          <t>Palm Angels Black Teddy Bear Unisex Hoodie</t>
        </is>
      </c>
      <c r="L166" t="inlineStr">
        <is>
          <t>{"choices":[{"finish_reason":"stop","index":0,"logprobs":null,"message":{"annotations":[],"content":"Palm Angels classic black teddy bear hoodie with signature decapitated bear embroidery, soft cotton fabric, streetwear unisex design expressing avant-garde aesthetics and bold fashion attitude.","refusal":null,"role":"assistant"}}],"created":1776659195,"id":"chatcmpl-DWaVPLKc2fJzYifdHmqjPebIXdqqb","model":"gpt-5-chat-latest","object":"chat.completion","service_tier":"default","system_fingerprint":"fp_ad66631dec","usage":{"completion_tokens":34,"completion_tokens_details":{"accepted_prediction_tokens":0,"audio_tokens":0,"reasoning_tokens":0,"rejected_prediction_tokens":0},"prompt_tokens":1458,"prompt_tokens_details":{"audio_tokens":0,"cached_tokens":0},"total_tokens":1492}}</t>
        </is>
      </c>
      <c r="M166" t="inlineStr">
        <is>
          <t>{"alt-svc":"h3=\":443\"; ma=2592000","apim-request-id":"129219ba-8005-4bb5-af8e-42186940d97c","azureml-model-session":"d20260405234249-f9874baf","cache-control":"no-cache","connection":"close","content-length":"783","content-security-policy":"frame-ancestors 'self'","content-type":"application/json","date":"Mon, 20 Apr 2026 04:26:36 GMT","server":"nginx","skip-error-remapping":"true","strict-transport-security":"max-age=31536000; includeSubDomains; preload","via":"1.1 Caddy, 1.1 Caddy","x-api-request-id":"20260420122632823074060R55QLyIL","x-content-type-options":"nosniff","x-frame-options":"SAMEORIGIN","x-ms-client-request-id":"Not-Set","x-ms-is-spilled-over":"false","x-ms-rai-invoked":"true","x-ms-region":"East US 2","x-new-api-version":"0.4.39","x-oneapi-request-id":"202604200426327548434718268d9d6DH6OMjmh","x-ratelimit-abusepenalty-active":"False","x-ratelimit-limit-requests":"3850","x-ratelimit-limit-tokens":"3850000","x-ratelimit-remaining-requests":"3848","x-ratelimit-remaining-tokens":"3845197","x-ratelimit-renewalperiod-requests":"60","x-ratelimit-renewalperiod-tokens":"60","x-ratelimit-reset-requests":"27","x-ratelimit-reset-tokens":"74","x-request-id":"a113c528-424a-44fd-86ed-e27fccf8ec91"}</t>
        </is>
      </c>
      <c r="N166" t="inlineStr">
        <is>
          <t>Palm Angels classic black teddy bear hoodie with signature decapitated bear embroidery, soft cotton fabric, streetwear unisex design expressing avant-garde aesthetics and bold fashion attitude.</t>
        </is>
      </c>
      <c r="O166" t="inlineStr">
        <is>
          <t>{"choices":[{"finish_reason":"stop","index":0,"logprobs":null,"message":{"annotations":[],"content":"Palm Angels,Hoodies,kakobuy,kakebuy2026,kekobuysheet,kakobuysheet2026,2026kakobuy,kakobuyspreadsheeet,kakobuylink,kakebuylist,Kakobuy MEGA Spreadsheet,kakobuysheetfind,kakobuysheetfind2026,2026kakobuysheetfind,kakobuysheet2026","refusal":null,"role":"assistant"}}],"created":1776668210,"id":"chatcmpl-DWcqoKi5T4P7thzDoZaGVU66m8UPY","model":"gpt-5-chat-latest","object":"chat.completion","service_tier":"default","system_fingerprint":"fp_ad66631dec","usage":{"completion_tokens":88,"completion_tokens_details":{"accepted_prediction_tokens":0,"audio_tokens":0,"reasoning_tokens":0,"rejected_prediction_tokens":0},"prompt_tokens":1344,"prompt_tokens_details":{"audio_tokens":0,"cached_tokens":0},"total_tokens":1432}}</t>
        </is>
      </c>
      <c r="P166" t="inlineStr">
        <is>
          <t>Palm Angels,Hoodies,kakobuy,kakebuy2026,kekobuysheet,kakobuysheet2026,2026kakobuy,kakobuyspreadsheeet,kakobuylink,kakebuylist,Kakobuy MEGA Spreadsheet,kakobuysheetfind,kakobuysheetfind2026,2026kakobuysheetfind,kakobuysheet2026</t>
        </is>
      </c>
      <c r="Q166" t="inlineStr">
        <is>
          <t>Streetwear, Unisex, Black, Classic</t>
        </is>
      </c>
      <c r="R166" t="inlineStr">
        <is>
          <t>recvh6xFVjKXAh</t>
        </is>
      </c>
      <c r="S166" t="inlineStr">
        <is>
          <t>palm-angels-black-teddy-bear-hoodie-recvh6xfvjkxah</t>
        </is>
      </c>
      <c r="T166"/>
      <c r="U166"/>
      <c r="V166"/>
      <c r="W166" t="inlineStr">
        <is>
          <t>{"id":"chatcmpl-DWZeySZIAmlwX2YWdfQMnBCMo0XVC","object":"chat.completion","created":1776655944,"model":"gpt-5-chat-latest","choices":[{"index":0,"message":{"role":"assistant","content":"Palm Angels：经典黑色泰迪熊连帽卫衣，柔软棉质面料打造，胸前标志性断头熊刺绣图腾，街头休闲风格，男女皆宜，展现品牌前卫美学与潮流态度。","refusal":null,"annotations":[]},"logprobs":null,"finish_reason":"stop"}],"usage":{"prompt_tokens":1875,"completion_tokens":62,"total_tokens":1937,"prompt_tokens_details":{"cached_tokens":1792,"audio_tokens":0},"completion_tokens_details":{"reasoning_tokens":0,"audio_tokens":0,"accepted_prediction_tokens":0,"rejected_prediction_tokens":0}},"service_tier":"default","system_fingerprint":"fp_ad66631dec"}</t>
        </is>
      </c>
      <c r="X166" t="inlineStr">
        <is>
          <t>Palm Angels：经典黑色泰迪熊连帽卫衣，柔软棉质面料打造，胸前标志性断头熊刺绣图腾，街头休闲风格，男女皆宜，展现品牌前卫美学与潮流态度。</t>
        </is>
      </c>
    </row>
    <row r="167" ht="25.5" customHeight="1">
      <c r="A167">
        <v>1839115443</v>
      </c>
      <c r="B167">
        <v>7599182549</v>
      </c>
      <c r="C167" t="inlineStr">
        <is>
          <t>https://weidian.com/item.html?itemID=7599182549</t>
        </is>
      </c>
      <c r="D167"/>
      <c r="E167" s="2" t="str">
        <f>=HYPERLINK("https://si.geilicdn.com/open1832946205-252808396-6d1400000197f3d4525d0aa043f9_800_800.jpg?w=640&amp;h=640", "https://si.geilicdn.com/open1832946205-252808396-6d1400000197f3d4525d0aa043f9_800_800.jpg?w=640&amp;h=640")</f>
        <v>https://si.geilicdn.com/open1832946205-252808396-6d1400000197f3d4525d0aa043f9_800_800.jpg?w=640&amp;h=640</v>
      </c>
      <c r="F167" t="inlineStr">
        <is>
          <t>Pants</t>
        </is>
      </c>
      <c r="G167" t="inlineStr">
        <is>
          <t>Chrome Hearts</t>
        </is>
      </c>
      <c r="H167" t="inlineStr">
        <is>
          <t>219.00</t>
        </is>
      </c>
      <c r="I167">
        <v>31.74</v>
      </c>
      <c r="J167" t="inlineStr">
        <is>
          <t>{"choices":[{"finish_reason":"stop","index":0,"logprobs":null,"message":{"annotations":[],"content":"Chrome Hearts Black Vintage Chengdu Cross Denim Pants","refusal":null,"role":"assistant"}}],"created":1776666179,"id":"chatcmpl-DWcK3J9vUHUh9ds4sXUOUZgm6fJAb","model":"gpt-5-chat-latest","object":"chat.completion","service_tier":"default","system_fingerprint":"fp_ad66631dec","usage":{"completion_tokens":10,"completion_tokens_details":{"accepted_prediction_tokens":0,"audio_tokens":0,"reasoning_tokens":0,"rejected_prediction_tokens":0},"prompt_tokens":878,"prompt_tokens_details":{"audio_tokens":0,"cached_tokens":0},"total_tokens":888}}</t>
        </is>
      </c>
      <c r="K167" t="inlineStr">
        <is>
          <t>Chrome Hearts Black Vintage Chengdu Cross Denim Pants</t>
        </is>
      </c>
      <c r="L167" t="inlineStr">
        <is>
          <t>{"choices":[{"finish_reason":"stop","index":0,"logprobs":null,"message":{"annotations":[],"content":"Chrome Hearts Black Vintage Denim Pants with blue-white cross embroidery, Gothic “CHENGDU” patch at back waist, straight-leg unisex fit, rebellious rock-luxury street style.","refusal":null,"role":"assistant"}}],"created":1776659548,"id":"chatcmpl-DWab6h2oCGyXNSPo6cNjqpfWkvVcV","model":"gpt-5-chat-latest","object":"chat.completion","service_tier":"default","system_fingerprint":"fp_ad66631dec","usage":{"completion_tokens":38,"completion_tokens_details":{"accepted_prediction_tokens":0,"audio_tokens":0,"reasoning_tokens":0,"rejected_prediction_tokens":0},"prompt_tokens":946,"prompt_tokens_details":{"audio_tokens":0,"cached_tokens":0},"total_tokens":984}}</t>
        </is>
      </c>
      <c r="M167" t="inlineStr">
        <is>
          <t>{"alt-svc":"h3=\":443\"; ma=2592000","apim-request-id":"d1d4b3de-7dad-4462-b2de-0c0adf62410b","azureml-model-session":"d20260405234249-f9874baf","cache-control":"no-cache","connection":"close","content-length":"765","content-security-policy":"frame-ancestors 'self'","content-type":"application/json","date":"Mon, 20 Apr 2026 04:32:29 GMT","server":"nginx","skip-error-remapping":"true","strict-transport-security":"max-age=31536000; includeSubDomains; preload","via":"1.1 Caddy, 1.1 Caddy","x-api-request-id":"20260420123227868413866iXejW4lU","x-content-type-options":"nosniff","x-frame-options":"SAMEORIGIN","x-ms-client-request-id":"Not-Set","x-ms-is-spilled-over":"false","x-ms-rai-invoked":"true","x-ms-region":"East US 2","x-new-api-version":"0.4.39","x-oneapi-request-id":"202604200432278008890998268d9d6Q3fIKqun","x-ratelimit-abusepenalty-active":"False","x-ratelimit-limit-requests":"3850","x-ratelimit-limit-tokens":"3850000","x-ratelimit-remaining-requests":"3849","x-ratelimit-remaining-tokens":"3848292","x-ratelimit-renewalperiod-requests":"60","x-ratelimit-renewalperiod-tokens":"60","x-ratelimit-reset-requests":"15","x-ratelimit-reset-tokens":"26","x-request-id":"0cb526e1-b354-44b3-835e-0ad63fd92cc8"}</t>
        </is>
      </c>
      <c r="N167" t="inlineStr">
        <is>
          <t>Chrome Hearts Black Vintage Denim Pants with blue-white cross embroidery, Gothic “CHENGDU” patch at back waist, straight-leg unisex fit, rebellious rock-luxury street style.</t>
        </is>
      </c>
      <c r="O167" t="inlineStr">
        <is>
          <t>{"choices":[{"finish_reason":"stop","index":0,"logprobs":null,"message":{"annotations":[],"content":"Chrome Hearts,Pants,kakobuy,kakebuy2026,kekobuysheet,kakobuysheet2026,2026kakobuy,kakobuyspreadsheeet,kakobuylink,kakebuylist,Kakobuy MEGA Spreadsheet,kakobuysheetfind,kakobuysheetfind2026,2026kakobuysheetfind,kakobuysheet2026","refusal":null,"role":"assistant"}}],"created":1776667320,"id":"chatcmpl-DWccSm9TFf55RmvO1VZ9AdORXc5v3","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is>
      </c>
      <c r="P167" t="inlineStr">
        <is>
          <t>Chrome Hearts,Pants,kakobuy,kakebuy2026,kekobuysheet,kakobuysheet2026,2026kakobuy,kakobuyspreadsheeet,kakobuylink,kakebuylist,Kakobuy MEGA Spreadsheet,kakobuysheetfind,kakobuysheetfind2026,2026kakobuysheetfind,kakobuysheet2026</t>
        </is>
      </c>
      <c r="Q167" t="inlineStr">
        <is>
          <t>Denim, Black, Gothic, Streetwear, Unisex</t>
        </is>
      </c>
      <c r="R167" t="inlineStr">
        <is>
          <t>recvh6xFVjsWdE</t>
        </is>
      </c>
      <c r="S167" t="inlineStr">
        <is>
          <t>chrome-hearts-black-vintage-chengdu-cross-denim-pants-recvh6xfvjswde</t>
        </is>
      </c>
      <c r="T167"/>
      <c r="U167"/>
      <c r="V167"/>
      <c r="W167" t="inlineStr">
        <is>
          <t>{"id":"chatcmpl-DWZQiDfQpoCDQYTWljEBw9MIyOP94","object":"chat.completion","created":1776655060,"model":"gpt-5-chat-latest","choices":[{"index":0,"message":{"role":"assistant","content":"Chrome Hearts：黑色复古牛仔裤，优选高密度棉质面料打造，质感厚实挺括。裤身饰以经典蓝白十字刺绣图腾，后腰拼贴哥特字体“CHENGDU”字样，展现品牌标志性叛逆美学。直筒剪裁兼顾舒适与街头风格，男女皆宜，尽显美式摇滚与奢潮融合的独特魅力。","refusal":null,"annotations":[]},"logprobs":null,"finish_reason":"stop"}],"usage":{"prompt_tokens":1318,"completion_tokens":109,"total_tokens":1427,"prompt_tokens_details":{"cached_tokens":0,"audio_tokens":0},"completion_tokens_details":{"reasoning_tokens":0,"audio_tokens":0,"accepted_prediction_tokens":0,"rejected_prediction_tokens":0}},"service_tier":"default","system_fingerprint":"fp_ad66631dec"}</t>
        </is>
      </c>
      <c r="X167" t="inlineStr">
        <is>
          <t>Chrome Hearts：黑色复古牛仔裤，优选高密度棉质面料打造，质感厚实挺括。裤身饰以经典蓝白十字刺绣图腾，后腰拼贴哥特字体“CHENGDU”字样，展现品牌标志性叛逆美学。直筒剪裁兼顾舒适与街头风格，男女皆宜，尽显美式摇滚与奢潮融合的独特魅力。</t>
        </is>
      </c>
    </row>
    <row r="168" ht="25.5" customHeight="1">
      <c r="A168">
        <v>1839115443</v>
      </c>
      <c r="B168">
        <v>7601110284</v>
      </c>
      <c r="C168" t="inlineStr">
        <is>
          <t>https://weidian.com/item.html?itemID=7601110284</t>
        </is>
      </c>
      <c r="D168"/>
      <c r="E168" s="2" t="str">
        <f>=HYPERLINK("https://si.geilicdn.com/open1832946205-252808396-41e1000001963d6813980aa0834c_578_578.jpg?w=640&amp;h=640", "https://si.geilicdn.com/open1832946205-252808396-41e1000001963d6813980aa0834c_578_578.jpg?w=640&amp;h=640")</f>
        <v>https://si.geilicdn.com/open1832946205-252808396-41e1000001963d6813980aa0834c_578_578.jpg?w=640&amp;h=640</v>
      </c>
      <c r="F168" t="inlineStr">
        <is>
          <t>Hoodies</t>
        </is>
      </c>
      <c r="G168" t="inlineStr">
        <is>
          <t>NOFS</t>
        </is>
      </c>
      <c r="H168" t="inlineStr">
        <is>
          <t>79.00</t>
        </is>
      </c>
      <c r="I168">
        <v>11.45</v>
      </c>
      <c r="J168" t="inlineStr">
        <is>
          <t>{"id":"chatcmpl-DWcPMchU5LACprN6RCwUlV1z6RpvG","object":"chat.completion","created":1776666508,"model":"gpt-5-chat-latest","choices":[{"index":0,"message":{"role":"assistant","content":"HoodiesNOFSNOFS Blue Star Logo Unisex Cotton Hoodie","refusal":null,"annotations":[]},"logprobs":null,"finish_reason":"stop"}],"usage":{"prompt_tokens":885,"completion_tokens":15,"total_tokens":900,"prompt_tokens_details":{"cached_tokens":0,"audio_tokens":0},"completion_tokens_details":{"reasoning_tokens":0,"audio_tokens":0,"accepted_prediction_tokens":0,"rejected_prediction_tokens":0}},"service_tier":"default","system_fingerprint":"fp_ad66631dec"}</t>
        </is>
      </c>
      <c r="K168" t="inlineStr">
        <is>
          <t>HoodiesNOFSNOFS Blue Star Logo Unisex Cotton Hoodie</t>
        </is>
      </c>
      <c r="L168" t="inlineStr">
        <is>
          <t>{"choices":[{"finish_reason":"stop","index":0,"logprobs":null,"message":{"annotations":[],"content":"HoodiesNOFSNOFS Blue Cotton Hoodie with White Star Logo, Unisex Loose Fit, Urban Street Style for Casual Wear and Travel, Show Your Energetic Youthful City Vibe.","refusal":null,"role":"assistant"}}],"created":1776659432,"id":"chatcmpl-DWaZE5ccTGuFjaCN6rTdINKcHh17p","model":"gpt-5-chat-latest","object":"chat.completion","service_tier":"default","system_fingerprint":"fp_ad66631dec","usage":{"completion_tokens":41,"completion_tokens_details":{"accepted_prediction_tokens":0,"audio_tokens":0,"reasoning_tokens":0,"rejected_prediction_tokens":0},"prompt_tokens":899,"prompt_tokens_details":{"audio_tokens":0,"cached_tokens":0},"total_tokens":940}}</t>
        </is>
      </c>
      <c r="M168" t="inlineStr">
        <is>
          <t>{"alt-svc":"h3=\":443\"; ma=2592000","apim-request-id":"23855a7f-0dbb-4fb3-97a8-aaac331d936d","azureml-model-session":"d20260405234249-f9874baf","cache-control":"no-cache","connection":"close","content-length":"749","content-security-policy":"frame-ancestors 'self'","content-type":"application/json","date":"Mon, 20 Apr 2026 04:30:33 GMT","server":"Caddy","skip-error-remapping":"true","strict-transport-security":"max-age=31536000; includeSubDomains; preload","via":"1.1 Caddy","x-api-request-id":"20260420123031514265462eXil33bk","x-content-type-options":"nosniff","x-frame-options":"SAMEORIGIN","x-ms-client-request-id":"Not-Set","x-ms-is-spilled-over":"false","x-ms-rai-invoked":"true","x-ms-region":"East US 2","x-new-api-version":"0.4.39","x-oneapi-request-id":"202604200430314454960998268d9d6gm6YpmA4","x-ratelimit-abusepenalty-active":"False","x-ratelimit-limit-requests":"3850","x-ratelimit-limit-tokens":"3850000","x-ratelimit-remaining-requests":"3849","x-ratelimit-remaining-tokens":"3848339","x-ratelimit-renewalperiod-requests":"60","x-ratelimit-renewalperiod-tokens":"60","x-ratelimit-reset-requests":"15","x-ratelimit-reset-tokens":"25","x-request-id":"da9ec3d3-a7f6-49bd-9a06-8acb958e59ae"}</t>
        </is>
      </c>
      <c r="N168" t="inlineStr">
        <is>
          <t>HoodiesNOFSNOFS Blue Cotton Hoodie with White Star Logo, Unisex Loose Fit, Urban Street Style for Casual Wear and Travel, Show Your Energetic Youthful City Vibe.</t>
        </is>
      </c>
      <c r="O168" t="inlineStr">
        <is>
          <t>{"choices":[{"finish_reason":"stop","index":0,"logprobs":null,"message":{"annotations":[],"content":"NOFS,Hoodies,kakobuy,kakebuy2026,kekobuysheet,kakobuysheet2026,2026kakobuy,kakobuyspreadsheeet,kakobuylink,kakebuylist,Kakobuy MEGA Spreadsheet,kakobuysheetfind,kakobuysheetfind2026,2026kakobuysheetfind,kakobuysheet2026","refusal":null,"role":"assistant"}}],"created":1776668555,"id":"chatcmpl-DWcwNTviDNp5S0mPkkwy1mHwsDW7N","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68" t="inlineStr">
        <is>
          <t>NOFS,Hoodies,kakobuy,kakebuy2026,kekobuysheet,kakobuysheet2026,2026kakobuy,kakobuyspreadsheeet,kakobuylink,kakebuylist,Kakobuy MEGA Spreadsheet,kakobuysheetfind,kakobuysheetfind2026,2026kakobuysheetfind,kakobuysheet2026</t>
        </is>
      </c>
      <c r="Q168" t="inlineStr">
        <is>
          <t>Blue, Streetwear, Unisex, Youth</t>
        </is>
      </c>
      <c r="R168" t="inlineStr">
        <is>
          <t>recvh6xFVjB6tP</t>
        </is>
      </c>
      <c r="S168" t="inlineStr">
        <is>
          <t>hoodiesnofsnofs-blue-star-logo-cotton-hoodie-recvh6xfvjb6tp</t>
        </is>
      </c>
      <c r="T168"/>
      <c r="U168"/>
      <c r="V168"/>
      <c r="W168" t="inlineStr">
        <is>
          <t>{"choices":[{"finish_reason":"stop","index":0,"logprobs":null,"message":{"annotations":[],"content":"NOFS：蓝色连帽卫衣，采用柔软纯棉面料，胸前印白色星形LOGO图腾，简约街头风格，宽松剪裁男女皆宜，适合休闲与出行穿搭，展现都市青春活力。","refusal":null,"role":"assistant"}}],"created":1776656037,"id":"chatcmpl-DWZgTGEOPATcsTffqvX7sM573Acxa","model":"gpt-5-chat-latest","object":"chat.completion","service_tier":"default","system_fingerprint":"fp_ad66631dec","usage":{"completion_tokens":64,"completion_tokens_details":{"accepted_prediction_tokens":0,"audio_tokens":0,"reasoning_tokens":0,"rejected_prediction_tokens":0},"prompt_tokens":1313,"prompt_tokens_details":{"audio_tokens":0,"cached_tokens":1280},"total_tokens":1377}}</t>
        </is>
      </c>
      <c r="X168" t="inlineStr">
        <is>
          <t>NOFS：蓝色连帽卫衣，采用柔软纯棉面料，胸前印白色星形LOGO图腾，简约街头风格，宽松剪裁男女皆宜，适合休闲与出行穿搭，展现都市青春活力。</t>
        </is>
      </c>
    </row>
    <row r="169" ht="25.5" customHeight="1">
      <c r="A169">
        <v>1839115443</v>
      </c>
      <c r="B169">
        <v>7599231885</v>
      </c>
      <c r="C169" t="inlineStr">
        <is>
          <t>https://weidian.com/item.html?itemID=7599231885</t>
        </is>
      </c>
      <c r="D169"/>
      <c r="E169" s="2" t="str">
        <f>=HYPERLINK("https://si.geilicdn.com/open1832946205-252808396-63bc000001963d59c4a20aa0834c_750_750.jpg?w=640&amp;h=640", "https://si.geilicdn.com/open1832946205-252808396-63bc000001963d59c4a20aa0834c_750_750.jpg?w=640&amp;h=640")</f>
        <v>https://si.geilicdn.com/open1832946205-252808396-63bc000001963d59c4a20aa0834c_750_750.jpg?w=640&amp;h=640</v>
      </c>
      <c r="F169" t="inlineStr">
        <is>
          <t>Hoodies</t>
        </is>
      </c>
      <c r="G169" t="inlineStr">
        <is>
          <t>Stussy</t>
        </is>
      </c>
      <c r="H169" t="inlineStr">
        <is>
          <t>236.00</t>
        </is>
      </c>
      <c r="I169">
        <v>34.2</v>
      </c>
      <c r="J169" t="inlineStr">
        <is>
          <t>{"choices":[{"finish_reason":"stop","index":0,"logprobs":null,"message":{"annotations":[],"content":"Stussy Grey Street Art Zip Hoodie Unisex","refusal":null,"role":"assistant"}}],"created":1776666553,"id":"chatcmpl-DWcQ5OiiO278Z6uXoRUfdxrshhCS6","model":"gpt-5-chat-latest","object":"chat.completion","service_tier":"default","system_fingerprint":"fp_ad66631dec","usage":{"completion_tokens":10,"completion_tokens_details":{"accepted_prediction_tokens":0,"audio_tokens":0,"reasoning_tokens":0,"rejected_prediction_tokens":0},"prompt_tokens":877,"prompt_tokens_details":{"audio_tokens":0,"cached_tokens":0},"total_tokens":887}}</t>
        </is>
      </c>
      <c r="K169" t="inlineStr">
        <is>
          <t>Stussy Grey Street Art Zip Hoodie Unisex</t>
        </is>
      </c>
      <c r="L169" t="inlineStr">
        <is>
          <t>{"id":"chatcmpl-DWaISUEELJZOSlVZM0AEjUNnjcJIw","object":"chat.completion","created":1776658392,"model":"gpt-5-chat-latest","choices":[{"index":0,"message":{"role":"assistant","content":"Stussy Grey Zip Hoodie crafted from soft cotton for comfort, featuring a colorful circular street art graphic on the back and classic front logo. Unisex style perfect for trendy urban wear.","refusal":null,"annotations":[]},"logprobs":null,"finish_reason":"stop"}],"usage":{"prompt_tokens":908,"completion_tokens":37,"total_tokens":945,"prompt_tokens_details":{"cached_tokens":0,"audio_tokens":0},"completion_tokens_details":{"reasoning_tokens":0,"audio_tokens":0,"accepted_prediction_tokens":0,"rejected_prediction_tokens":0}},"service_tier":"default","system_fingerprint":"fp_ad66631dec"}</t>
        </is>
      </c>
      <c r="M169"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ma=2592000","apim-request-id":"272e9c93-6b0d-4fab-a353-6619001ead71","azureml-model-session":"d20260402075109-1fc5a0ec","cache-control":"no-cache, no-store, must-revalidate","connection":"close","content-length":"993","content-security-policy":"frame-ancestors 'self'","content-type":"application/json","date":"Mon, 20 Apr 2026 04:13:13 GMT","server":"Caddy","skip-error-remapping":"true","strict-transport-security":"max-age=31536000; includeSubDomains; preload","via":"1.1 Caddy","x-api-request-id":"202604201213116170298210MztI35x","x-content-type-options":"nosniff","x-frame-options":"SAMEORIGIN","x-ms-is-spilled-over":"false","x-ms-rai-invoked":"false","x-ms-region":"East US 2","x-new-api-version":"0.4.39","x-oneapi-request-id":"202604200413115450063858268d9d6smYLRvRW","x-ratelimit-abusepenalty-active":"False","x-ratelimit-limit-requests":"4994","x-ratelimit-limit-tokens":"4994000","x-ratelimit-remaining-requests":"4993","x-ratelimit-remaining-tokens":"4992330","x-ratelimit-renewalperiod-requests":"60","x-ratelimit-renewalperiod-tokens":"60","x-ratelimit-reset-requests":"12","x-ratelimit-reset-tokens":"20","x-request-id":"d4d76e2b-b540-4896-9ea7-e2c5ab706f64"}</t>
        </is>
      </c>
      <c r="N169" t="inlineStr">
        <is>
          <t>Stussy Grey Zip Hoodie crafted from soft cotton for comfort, featuring a colorful circular street art graphic on the back and classic front logo. Unisex style perfect for trendy urban wear.</t>
        </is>
      </c>
      <c r="O169" t="inlineStr">
        <is>
          <t>{"choices":[{"finish_reason":"stop","index":0,"logprobs":null,"message":{"annotations":[],"content":"Stussy,Hoodies,kakobuy,kakebuy2026,kekobuysheet,kakobuysheet2026,2026kakobuy,kakobuyspreadsheeet,kakobuylink,kakebuylist,Kakobuy MEGA Spreadsheet,kakobuysheetfind,kakobuysheetfind2026,2026kakobuysheetfind,kakobuysheet2026","refusal":null,"role":"assistant"}}],"created":1776667234,"id":"chatcmpl-DWcb44ClOR0oEwulrRdRy69HhIk6t","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is>
      </c>
      <c r="P169" t="inlineStr">
        <is>
          <t>Stussy,Hoodies,kakobuy,kakebuy2026,kekobuysheet,kakobuysheet2026,2026kakobuy,kakobuyspreadsheeet,kakobuylink,kakebuylist,Kakobuy MEGA Spreadsheet,kakobuysheetfind,kakobuysheetfind2026,2026kakobuysheetfind,kakobuysheet2026</t>
        </is>
      </c>
      <c r="Q169" t="inlineStr">
        <is>
          <t>Stussy, Grey, Streetwear, Unisex</t>
        </is>
      </c>
      <c r="R169" t="inlineStr">
        <is>
          <t>recvh6xFVjffAT</t>
        </is>
      </c>
      <c r="S169" t="inlineStr">
        <is>
          <t>stussy-grey-street-art-zip-hoodie-recvh6xfvjffat</t>
        </is>
      </c>
      <c r="T169"/>
      <c r="U169"/>
      <c r="V169"/>
      <c r="W169" t="inlineStr">
        <is>
          <t>{"choices":[{"finish_reason":"stop","index":0,"logprobs":null,"message":{"annotations":[],"content":"Stussy灰色连帽拉链卫衣，柔软棉质面料打造舒适穿着体验，背部彩色圆形图腾彰显街头艺术风格，前胸经典Logo点缀，男女通用休闲款，融合潮流与个性，适合日常都市穿搭。","refusal":null,"role":"assistant"}}],"created":1776655421,"id":"chatcmpl-DWZWXxyZNsrvQzQSGCcDXeAzeD88w","model":"gpt-5-chat-latest","object":"chat.completion","service_tier":"default","system_fingerprint":"fp_ad66631dec","usage":{"completion_tokens":72,"completion_tokens_details":{"accepted_prediction_tokens":0,"audio_tokens":0,"reasoning_tokens":0,"rejected_prediction_tokens":0},"prompt_tokens":1315,"prompt_tokens_details":{"audio_tokens":0,"cached_tokens":0},"total_tokens":1387}}</t>
        </is>
      </c>
      <c r="X169" t="inlineStr">
        <is>
          <t>Stussy灰色连帽拉链卫衣，柔软棉质面料打造舒适穿着体验，背部彩色圆形图腾彰显街头艺术风格，前胸经典Logo点缀，男女通用休闲款，融合潮流与个性，适合日常都市穿搭。</t>
        </is>
      </c>
    </row>
    <row r="170" ht="25.5" customHeight="1">
      <c r="A170">
        <v>1839115443</v>
      </c>
      <c r="B170">
        <v>7599198391</v>
      </c>
      <c r="C170" t="inlineStr">
        <is>
          <t>https://weidian.com/item.html?itemID=7599198391</t>
        </is>
      </c>
      <c r="D170"/>
      <c r="E170" s="2" t="str">
        <f>=HYPERLINK("https://si.geilicdn.com/open1832946205-252808396-2dfe0000019753672e700a23b491_800_800.jpg?w=640&amp;h=640", "https://si.geilicdn.com/open1832946205-252808396-2dfe0000019753672e700a23b491_800_800.jpg?w=640&amp;h=640")</f>
        <v>https://si.geilicdn.com/open1832946205-252808396-2dfe0000019753672e700a23b491_800_800.jpg?w=640&amp;h=640</v>
      </c>
      <c r="F170" t="inlineStr">
        <is>
          <t>T-Shirts</t>
        </is>
      </c>
      <c r="G170" t="inlineStr">
        <is>
          <t>Balenciaga</t>
        </is>
      </c>
      <c r="H170" t="inlineStr">
        <is>
          <t>75.00</t>
        </is>
      </c>
      <c r="I170">
        <v>10.87</v>
      </c>
      <c r="J170" t="inlineStr">
        <is>
          <t>{"choices":[{"finish_reason":"stop","index":0,"logprobs":null,"message":{"annotations":[],"content":"Balenciaga White Cotton Unisex Wave Logo T-Shirt","refusal":null,"role":"assistant"}}],"created":1776666662,"id":"chatcmpl-DWcRqKlSm1FbdiV53TPLWCOB6wAAx","model":"gpt-5-chat-latest","object":"chat.completion","service_tier":"default","system_fingerprint":"fp_ad66631dec","usage":{"completion_tokens":12,"completion_tokens_details":{"accepted_prediction_tokens":0,"audio_tokens":0,"reasoning_tokens":0,"rejected_prediction_tokens":0},"prompt_tokens":885,"prompt_tokens_details":{"audio_tokens":0,"cached_tokens":0},"total_tokens":897}}</t>
        </is>
      </c>
      <c r="K170" t="inlineStr">
        <is>
          <t>Balenciaga White Cotton Unisex Wave Logo T-Shirt</t>
        </is>
      </c>
      <c r="L170" t="inlineStr">
        <is>
          <t>{"choices":[{"finish_reason":"stop","index":0,"logprobs":null,"message":{"annotations":[],"content":"Balenciaga white cotton T-shirt featuring minimalist logo print, soft fabric, loose fit, and black-red wave design on the back. Unisex streetwear style, perfect for casual and trendy looks.","refusal":null,"role":"assistant"}}],"created":1776659020,"id":"chatcmpl-DWaSaOnPZcycAIc2uGs26DkcTbje0","model":"gpt-5-chat-latest","object":"chat.completion","service_tier":"default","system_fingerprint":"fp_ad66631dec","usage":{"completion_tokens":41,"completion_tokens_details":{"accepted_prediction_tokens":0,"audio_tokens":0,"reasoning_tokens":0,"rejected_prediction_tokens":0},"prompt_tokens":900,"prompt_tokens_details":{"audio_tokens":0,"cached_tokens":0},"total_tokens":941}}</t>
        </is>
      </c>
      <c r="M170" t="inlineStr">
        <is>
          <t>{"alt-svc":"h3=\":443\"; ma=2592000","apim-request-id":"73ac58cf-7462-4dd1-b24a-a8bed212fe44","azureml-model-session":"d20260402074105-51db401e","cache-control":"no-cache","connection":"close","content-length":"777","content-security-policy":"frame-ancestors 'self'","content-type":"application/json","date":"Mon, 20 Apr 2026 04:23:41 GMT","server":"nginx","skip-error-remapping":"true","strict-transport-security":"max-age=31536000; includeSubDomains; preload","via":"1.1 Caddy, 1.1 Caddy","x-api-request-id":"20260420122339778352679SvYaAARy","x-content-type-options":"nosniff","x-frame-options":"SAMEORIGIN","x-ms-client-request-id":"Not-Set","x-ms-is-spilled-over":"false","x-ms-rai-invoked":"true","x-ms-region":"East US 2","x-new-api-version":"0.4.39","x-oneapi-request-id":"202604200423397127735468268d9d6SW1Xvc6p","x-ratelimit-abusepenalty-active":"False","x-ratelimit-limit-requests":"3850","x-ratelimit-limit-tokens":"3850000","x-ratelimit-remaining-requests":"3849","x-ratelimit-remaining-tokens":"3848338","x-ratelimit-renewalperiod-requests":"60","x-ratelimit-renewalperiod-tokens":"60","x-ratelimit-reset-requests":"15","x-ratelimit-reset-tokens":"25","x-request-id":"df095c06-5e23-4dd9-a328-9af0395a7381"}</t>
        </is>
      </c>
      <c r="N170" t="inlineStr">
        <is>
          <t>Balenciaga white cotton T-shirt featuring minimalist logo print, soft fabric, loose fit, and black-red wave design on the back. Unisex streetwear style, perfect for casual and trendy looks.</t>
        </is>
      </c>
      <c r="O170" t="inlineStr">
        <is>
          <t>{"choices":[{"finish_reason":"stop","index":0,"logprobs":null,"message":{"annotations":[],"content":"Balenciaga, T-Shirts, kakobuy, kakebuy2026, kekobuysheet, kakobuysheet2026, 2026kakobuy, kakobuyspreadsheeet, kakobuylink, kakebuylist, Kakobuy MEGA Spreadsheet, kakobuysheetfind, kakobuysheetfind2026, 2026kakobuysheetfind, kakobuysheet2026","refusal":null,"role":"assistant"}}],"created":1776668776,"id":"chatcmpl-DWczwrMuN08b1nlaoSpIeJ5nPd4vQ","model":"gpt-5-chat-latest","object":"chat.completion","service_tier":"default","system_fingerprint":"fp_ad66631dec","usage":{"completion_tokens":93,"completion_tokens_details":{"accepted_prediction_tokens":0,"audio_tokens":0,"reasoning_tokens":0,"rejected_prediction_tokens":0},"prompt_tokens":784,"prompt_tokens_details":{"audio_tokens":0,"cached_tokens":0},"total_tokens":877}}</t>
        </is>
      </c>
      <c r="P170" t="inlineStr">
        <is>
          <t>Balenciaga, T-Shirts, kakobuy, kakebuy2026, kekobuysheet, kakobuysheet2026, 2026kakobuy, kakobuyspreadsheeet, kakobuylink, kakebuylist, Kakobuy MEGA Spreadsheet, kakobuysheetfind, kakobuysheetfind2026, 2026kakobuysheetfind, kakobuysheet2026</t>
        </is>
      </c>
      <c r="Q170" t="inlineStr">
        <is>
          <t>Balenciaga, White, Black Red, Minimalist, Streetwear, Unisex</t>
        </is>
      </c>
      <c r="R170" t="inlineStr">
        <is>
          <t>recvh6xFVj3ctQ</t>
        </is>
      </c>
      <c r="S170" t="inlineStr">
        <is>
          <t>balenciaga-wave-logo-tshirt-recvh6xfvj3ctq</t>
        </is>
      </c>
      <c r="T170"/>
      <c r="U170"/>
      <c r="V170"/>
      <c r="W170" t="inlineStr">
        <is>
          <t>{"choices":[{"finish_reason":"stop","index":0,"logprobs":null,"message":{"annotations":[],"content":"Balenciaga：白色简约Logo印花T恤，甄选柔软纯棉面料，宽松剪裁，背部黑红波浪标识彰显街头时尚，男女同款，休闲百搭设计展现品牌先锋潮流态度。","refusal":null,"role":"assistant"}}],"created":1776655267,"id":"chatcmpl-DWZU3tnOQgb5R5o1juPoL8itXrHdX","model":"gpt-5-chat-latest","object":"chat.completion","service_tier":"default","system_fingerprint":"fp_ad66631dec","usage":{"completion_tokens":65,"completion_tokens_details":{"accepted_prediction_tokens":0,"audio_tokens":0,"reasoning_tokens":0,"rejected_prediction_tokens":0},"prompt_tokens":1315,"prompt_tokens_details":{"audio_tokens":0,"cached_tokens":0},"total_tokens":1380}}</t>
        </is>
      </c>
      <c r="X170" t="inlineStr">
        <is>
          <t>Balenciaga：白色简约Logo印花T恤，甄选柔软纯棉面料，宽松剪裁，背部黑红波浪标识彰显街头时尚，男女同款，休闲百搭设计展现品牌先锋潮流态度。</t>
        </is>
      </c>
    </row>
    <row r="171" ht="25.5" customHeight="1">
      <c r="A171">
        <v>1839115443</v>
      </c>
      <c r="B171">
        <v>7601053102</v>
      </c>
      <c r="C171" t="inlineStr">
        <is>
          <t>https://weidian.com/item.html?itemID=7601053102</t>
        </is>
      </c>
      <c r="D171"/>
      <c r="E171" s="2" t="str">
        <f>=HYPERLINK("https://si.geilicdn.com/open1832946205-252808396-513d00000197f363a4250a8115c2_1080_1080.jpg?w=640&amp;h=640", "https://si.geilicdn.com/open1832946205-252808396-513d00000197f363a4250a8115c2_1080_1080.jpg?w=640&amp;h=640")</f>
        <v>https://si.geilicdn.com/open1832946205-252808396-513d00000197f363a4250a8115c2_1080_1080.jpg?w=640&amp;h=640</v>
      </c>
      <c r="F171" t="inlineStr">
        <is>
          <t>Jackets</t>
        </is>
      </c>
      <c r="G171" t="inlineStr">
        <is>
          <t>The North Face</t>
        </is>
      </c>
      <c r="H171" t="inlineStr">
        <is>
          <t>429.00</t>
        </is>
      </c>
      <c r="I171">
        <v>62.17</v>
      </c>
      <c r="J171" t="inlineStr">
        <is>
          <t>{"choices":[{"finish_reason":"stop","index":0,"logprobs":null,"message":{"annotations":[],"content":"The North Face Black Goose Down Winter Jacket","refusal":null,"role":"assistant"}}],"created":1776666239,"id":"chatcmpl-DWcL1C0dHd77QWwBaj8EMtp82Krsd","model":"gpt-5-chat-latest","object":"chat.completion","service_tier":"default","system_fingerprint":"fp_ad66631dec","usage":{"completion_tokens":9,"completion_tokens_details":{"accepted_prediction_tokens":0,"audio_tokens":0,"reasoning_tokens":0,"rejected_prediction_tokens":0},"prompt_tokens":879,"prompt_tokens_details":{"audio_tokens":0,"cached_tokens":0},"total_tokens":888}}</t>
        </is>
      </c>
      <c r="K171" t="inlineStr">
        <is>
          <t>The North Face Black Goose Down Winter Jacket</t>
        </is>
      </c>
      <c r="L171" t="inlineStr">
        <is>
          <t>{"id":"chatcmpl-DWaRARRv8V2aki2U9laFBC5FtlMeg","object":"chat.completion","created":1776658932,"model":"gpt-5-chat-latest","choices":[{"index":0,"message":{"role":"assistant","content":"The North Face Black Goose Down Jacket features windproof waterproof nylon, lightweight yet ultra-warm, modern stand collar, unisex design for outdoor and city style, perfect for winter travel.","refusal":null,"annotations":[]},"logprobs":null,"finish_reason":"stop"}],"usage":{"prompt_tokens":923,"completion_tokens":38,"total_tokens":961,"prompt_tokens_details":{"cached_tokens":0,"audio_tokens":0},"completion_tokens_details":{"reasoning_tokens":0,"audio_tokens":0,"accepted_prediction_tokens":0,"rejected_prediction_tokens":0}},"service_tier":"default","system_fingerprint":"fp_ad66631dec"}</t>
        </is>
      </c>
      <c r="M171" t="inlineStr">
        <is>
          <t>{"access-control-allow-headers":"DNT,X-CustomHeader,Keep-Alive,User-Agent,X-Requested-With,If-Modified-Since,Cache-Control,Content-Type,Authorization,api-key,x-ms-client-request-id,x-ms-useragent","access-control-allow-methods":"GET, POST, PUT, DELETE, OPTIONS","access-control-allow-origin":"*","alt-svc":"h3=\":443\"; ma=2592000","apim-request-id":"f365d943-2117-40fa-96dd-a3498da5a7f9","azureml-model-session":"d20260402075109-1fc5a0ec","cache-control":"no-cache, no-store, must-revalidate","connection":"close","content-length":"997","content-security-policy":"frame-ancestors 'self'","content-type":"application/json","date":"Mon, 20 Apr 2026 04:22:13 GMT","server":"Caddy","skip-error-remapping":"true","strict-transport-security":"max-age=31536000; includeSubDomains; preload","via":"1.1 Caddy","x-api-request-id":"20260420122211152026290JYvQhg4F","x-content-type-options":"nosniff","x-frame-options":"SAMEORIGIN","x-ms-is-spilled-over":"false","x-ms-rai-invoked":"false","x-ms-region":"East US 2","x-new-api-version":"0.4.39","x-oneapi-request-id":"20260420042211853699958268d9d6RNx0roU4","x-ratelimit-abusepenalty-active":"False","x-ratelimit-limit-requests":"4994","x-ratelimit-limit-tokens":"4994000","x-ratelimit-remaining-requests":"4993","x-ratelimit-remaining-tokens":"4992315","x-ratelimit-renewalperiod-requests":"60","x-ratelimit-renewalperiod-tokens":"60","x-ratelimit-reset-requests":"12","x-ratelimit-reset-tokens":"20","x-request-id":"679f8377-aedb-470b-a880-882a369d7871"}</t>
        </is>
      </c>
      <c r="N171" t="inlineStr">
        <is>
          <t>The North Face Black Goose Down Jacket features windproof waterproof nylon, lightweight yet ultra-warm, modern stand collar, unisex design for outdoor and city style, perfect for winter travel.</t>
        </is>
      </c>
      <c r="O171" t="inlineStr">
        <is>
          <t>{"choices":[{"finish_reason":"stop","index":0,"logprobs":null,"message":{"annotations":[],"content":"The North Face, Jackets, kakobuy, kakebuy2026, kekobuysheet, kakobuysheet2026, 2026kakobuy, kakobuyspreadsheeet, kakobuylink, kakebuylist, Kakobuy MEGA Spreadsheet, kakobuysheetfind, kakobuysheetfind2026, 2026kakobuysheetfind, kakobuysheet2026","refusal":null,"role":"assistant"}}],"created":1776667198,"id":"chatcmpl-DWcaUWhRa3F0f4BiT0pm889yxwH7c","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171" t="inlineStr">
        <is>
          <t>The North Face, Jackets, kakobuy, kakebuy2026, kekobuysheet, kakobuysheet2026, 2026kakobuy, kakobuyspreadsheeet, kakobuylink, kakebuylist, Kakobuy MEGA Spreadsheet, kakobuysheetfind, kakobuysheetfind2026, 2026kakobuysheetfind, kakobuysheet2026</t>
        </is>
      </c>
      <c r="Q171" t="inlineStr">
        <is>
          <t>Unisex, Outdoor, Winter, Nylon, Windproof, Waterproof</t>
        </is>
      </c>
      <c r="R171" t="inlineStr">
        <is>
          <t>recvh6xFVjEDZL</t>
        </is>
      </c>
      <c r="S171" t="inlineStr">
        <is>
          <t>the-north-face-black-goose-down-winter-jacket-recvh6xfvjedzl</t>
        </is>
      </c>
      <c r="T171"/>
      <c r="U171"/>
      <c r="V171"/>
      <c r="W171" t="inlineStr">
        <is>
          <t>{"choices":[{"finish_reason":"stop","index":0,"logprobs":null,"message":{"annotations":[],"content":"The North Face 黑色鹅绒保暖羽绒服，采用高性能防风防水尼龙面料，蓬松轻盈却极具御寒力。立领设计与简约拼接结构展现现代都市风格，适合男女通用，兼具户外机能与城市休闲美感，冬季出行的理想之选。","refusal":null,"role":"assistant"}}],"created":1776655476,"id":"chatcmpl-DWZXQId4U27TpLFl3euUfVQCBmUjA","model":"gpt-5-chat-latest","object":"chat.completion","service_tier":"default","system_fingerprint":"fp_ad66631dec","usage":{"completion_tokens":85,"completion_tokens_details":{"accepted_prediction_tokens":0,"audio_tokens":0,"reasoning_tokens":0,"rejected_prediction_tokens":0},"prompt_tokens":1321,"prompt_tokens_details":{"audio_tokens":0,"cached_tokens":0},"total_tokens":1406}}</t>
        </is>
      </c>
      <c r="X171" t="inlineStr">
        <is>
          <t>The North Face 黑色鹅绒保暖羽绒服，采用高性能防风防水尼龙面料，蓬松轻盈却极具御寒力。立领设计与简约拼接结构展现现代都市风格，适合男女通用，兼具户外机能与城市休闲美感，冬季出行的理想之选。</t>
        </is>
      </c>
    </row>
    <row r="172" ht="25.5" customHeight="1">
      <c r="A172">
        <v>1839115443</v>
      </c>
      <c r="B172">
        <v>7601122192</v>
      </c>
      <c r="C172" t="inlineStr">
        <is>
          <t>https://weidian.com/item.html?itemID=7601122192</t>
        </is>
      </c>
      <c r="D172"/>
      <c r="E172" s="2" t="str">
        <f>=HYPERLINK("https://si.geilicdn.com/open1832946205-252808396-095300000197e9798e270a22d249_800_800.jpg?w=640&amp;h=640", "https://si.geilicdn.com/open1832946205-252808396-095300000197e9798e270a22d249_800_800.jpg?w=640&amp;h=640")</f>
        <v>https://si.geilicdn.com/open1832946205-252808396-095300000197e9798e270a22d249_800_800.jpg?w=640&amp;h=640</v>
      </c>
      <c r="F172" t="inlineStr">
        <is>
          <t>Hoodies</t>
        </is>
      </c>
      <c r="G172" t="inlineStr">
        <is>
          <t>Stussy</t>
        </is>
      </c>
      <c r="H172" t="inlineStr">
        <is>
          <t>185.00</t>
        </is>
      </c>
      <c r="I172">
        <v>26.81</v>
      </c>
      <c r="J172" t="inlineStr">
        <is>
          <t>{"choices":[{"finish_reason":"stop","index":0,"logprobs":null,"message":{"annotations":[],"content":"Stussy Blue 8 Ball Hoodie Unisex Streetwear Pullover","refusal":null,"role":"assistant"}}],"created":1776666148,"id":"chatcmpl-DWcJYI1y5vPNRt3CAoZDVVluNzxFf","model":"gpt-5-chat-latest","object":"chat.completion","service_tier":"default","system_fingerprint":"fp_ad66631dec","usage":{"completion_tokens":14,"completion_tokens_details":{"accepted_prediction_tokens":0,"audio_tokens":0,"reasoning_tokens":0,"rejected_prediction_tokens":0},"prompt_tokens":869,"prompt_tokens_details":{"audio_tokens":0,"cached_tokens":0},"total_tokens":883}}</t>
        </is>
      </c>
      <c r="K172" t="inlineStr">
        <is>
          <t>Stussy Blue 8 Ball Hoodie Unisex Streetwear Pullover</t>
        </is>
      </c>
      <c r="L172" t="inlineStr">
        <is>
          <t>{"choices":[{"finish_reason":"stop","index":0,"logprobs":null,"message":{"annotations":[],"content":"Stussy Blue Hoodie – Soft cotton streetwear with front logo print and bold back 8-ball graphic, unisex design for retro style and everyday casual comfort.","refusal":null,"role":"assistant"}}],"created":1776658413,"id":"chatcmpl-DWaIn6ya33fR4fP6HMu1syBhQIluD","model":"gpt-5-chat-latest","object":"chat.completion","service_tier":"default","system_fingerprint":"fp_ad66631dec","usage":{"completion_tokens":33,"completion_tokens_details":{"accepted_prediction_tokens":0,"audio_tokens":0,"reasoning_tokens":0,"rejected_prediction_tokens":0},"prompt_tokens":897,"prompt_tokens_details":{"audio_tokens":0,"cached_tokens":0},"total_tokens":930}}</t>
        </is>
      </c>
      <c r="M172" t="inlineStr">
        <is>
          <t>{"alt-svc":"h3=\":443\"; ma=2592000","apim-request-id":"b3981fb9-657c-494c-8234-c3a05f5c9c78","azureml-model-session":"d20260402083108-57a85543","cache-control":"no-cache","connection":"close","content-length":"744","content-security-policy":"frame-ancestors 'self'","content-type":"application/json","date":"Mon, 20 Apr 2026 04:13:34 GMT","server":"nginx","skip-error-remapping":"true","strict-transport-security":"max-age=31536000; includeSubDomains; preload","via":"1.1 Caddy, 1.1 Caddy","x-api-request-id":"20260420121332567687465qEiJypDn","x-content-type-options":"nosniff","x-frame-options":"SAMEORIGIN","x-ms-client-request-id":"Not-Set","x-ms-is-spilled-over":"false","x-ms-rai-invoked":"true","x-ms-region":"East US 2","x-new-api-version":"0.4.39","x-oneapi-request-id":"202604200413324546872248268d9d6y0wVdqMf","x-ratelimit-abusepenalty-active":"False","x-ratelimit-limit-requests":"3850","x-ratelimit-limit-tokens":"3850000","x-ratelimit-remaining-requests":"3849","x-ratelimit-remaining-tokens":"3848341","x-ratelimit-renewalperiod-requests":"60","x-ratelimit-renewalperiod-tokens":"60","x-ratelimit-reset-requests":"15","x-ratelimit-reset-tokens":"25","x-request-id":"302da80c-c053-448a-9668-10333f88e0aa"}</t>
        </is>
      </c>
      <c r="N172" t="inlineStr">
        <is>
          <t>Stussy Blue Hoodie – Soft cotton streetwear with front logo print and bold back 8-ball graphic, unisex design for retro style and everyday casual comfort.</t>
        </is>
      </c>
      <c r="O172" t="inlineStr">
        <is>
          <t>{"choices":[{"finish_reason":"stop","index":0,"logprobs":null,"message":{"annotations":[],"content":"Stussy, Hoodies, kakobuy, kakebuy2026, kekobuysheet, kakobuysheet2026, 2026kakobuy, kakobuyspreadsheeet, kakobuylink, kakebuylist, Kakobuy MEGA Spreadsheet, kakobuysheetfind, kakobuysheetfind2026, 2026kakobuysheetfind, kakobuysheet2026","refusal":null,"role":"assistant"}}],"created":1776668092,"id":"chatcmpl-DWcouo6OtiJf5WqIOIbVmUChlryAd","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is>
      </c>
      <c r="P172" t="inlineStr">
        <is>
          <t>Stussy, Hoodies, kakobuy, kakebuy2026, kekobuysheet, kakobuysheet2026, 2026kakobuy, kakobuyspreadsheeet, kakobuylink, kakebuylist, Kakobuy MEGA Spreadsheet, kakobuysheetfind, kakobuysheetfind2026, 2026kakobuysheetfind, kakobuysheet2026</t>
        </is>
      </c>
      <c r="Q172" t="inlineStr">
        <is>
          <t>Stussy, Blue, Streetwear, Retro, Unisex</t>
        </is>
      </c>
      <c r="R172" t="inlineStr">
        <is>
          <t>recvh6xFVjOVQc</t>
        </is>
      </c>
      <c r="S172" t="inlineStr">
        <is>
          <t>stussy-blue-8-ball-hoodie-recvh6xFVjOVQc</t>
        </is>
      </c>
      <c r="T172"/>
      <c r="U172"/>
      <c r="V172"/>
      <c r="W172" t="inlineStr">
        <is>
          <t>{"id":"chatcmpl-DWZdEb8FGVTO2JNpagx2GdlFpfTaL","object":"chat.completion","created":1776655836,"model":"gpt-5-chat-latest","choices":[{"index":0,"message":{"role":"assistant","content":"Stussy：蓝色潮流连帽卫衣，柔软棉质面料，正面品牌标识印花搭配背面撞色“8号球”图腾设计，展现街头复古风格，男女同款，休闲百搭之选。","refusal":null,"annotations":[]},"logprobs":null,"finish_reason":"stop"}],"usage":{"prompt_tokens":1311,"completion_tokens":63,"total_tokens":1374,"prompt_tokens_details":{"cached_tokens":0,"audio_tokens":0},"completion_tokens_details":{"reasoning_tokens":0,"audio_tokens":0,"accepted_prediction_tokens":0,"rejected_prediction_tokens":0}},"service_tier":"default","system_fingerprint":"fp_ad66631dec"}</t>
        </is>
      </c>
      <c r="X172" t="inlineStr">
        <is>
          <t>Stussy：蓝色潮流连帽卫衣，柔软棉质面料，正面品牌标识印花搭配背面撞色“8号球”图腾设计，展现街头复古风格，男女同款，休闲百搭之选。</t>
        </is>
      </c>
    </row>
    <row r="173" ht="25.5" customHeight="1">
      <c r="A173">
        <v>1839115443</v>
      </c>
      <c r="B173">
        <v>7599192555</v>
      </c>
      <c r="C173" t="inlineStr">
        <is>
          <t>https://weidian.com/item.html?itemID=7599192555</t>
        </is>
      </c>
      <c r="D173"/>
      <c r="E173" s="2" t="str">
        <f>=HYPERLINK("https://si.geilicdn.com/open1832946205-252808396-480800000196d1d793ac0a22d249_1000_1000.jpg?w=640&amp;h=640", "https://si.geilicdn.com/open1832946205-252808396-480800000196d1d793ac0a22d249_1000_1000.jpg?w=640&amp;h=640")</f>
        <v>https://si.geilicdn.com/open1832946205-252808396-480800000196d1d793ac0a22d249_1000_1000.jpg?w=640&amp;h=640</v>
      </c>
      <c r="F173" t="inlineStr">
        <is>
          <t>T-Shirts</t>
        </is>
      </c>
      <c r="G173" t="inlineStr">
        <is>
          <t>Destroy Lonely</t>
        </is>
      </c>
      <c r="H173" t="inlineStr">
        <is>
          <t>75.00</t>
        </is>
      </c>
      <c r="I173">
        <v>10.87</v>
      </c>
      <c r="J173" t="inlineStr">
        <is>
          <t>{"id":"chatcmpl-DWcW4mAAJo2JSNI0uq1tHYFiGBnYR","object":"chat.completion","created":1776666924,"model":"gpt-5-chat-latest","choices":[{"index":0,"message":{"role":"assistant","content":"Destroy Lonely No Stylist Tour Vintage Black T-Shirt","refusal":null,"annotations":[]},"logprobs":null,"finish_reason":"stop"}],"usage":{"prompt_tokens":884,"completion_tokens":11,"total_tokens":895,"prompt_tokens_details":{"cached_tokens":0,"audio_tokens":0},"completion_tokens_details":{"reasoning_tokens":0,"audio_tokens":0,"accepted_prediction_tokens":0,"rejected_prediction_tokens":0}},"service_tier":"default","system_fingerprint":"fp_ad66631dec"}</t>
        </is>
      </c>
      <c r="K173" t="inlineStr">
        <is>
          <t>Destroy Lonely No Stylist Tour Vintage Black T-Shirt</t>
        </is>
      </c>
      <c r="L173" t="inlineStr">
        <is>
          <t>{"choices":[{"finish_reason":"stop","index":0,"logprobs":null,"message":{"annotations":[],"content":"Destroy Lonely No Stylist Tour Vintage Black T-Shirt, high-quality washed cotton, metal logo, ghost face print, tour city list back, unisex oversized fit, Y2K street rock style.","refusal":null,"role":"assistant"}}],"created":1776658583,"id":"chatcmpl-DWaLXFQsJqkWRvmkF31EuX68tE9to","model":"gpt-5-chat-latest","object":"chat.completion","service_tier":"default","system_fingerprint":"fp_ad66631dec","usage":{"completion_tokens":41,"completion_tokens_details":{"accepted_prediction_tokens":0,"audio_tokens":0,"reasoning_tokens":0,"rejected_prediction_tokens":0},"prompt_tokens":922,"prompt_tokens_details":{"audio_tokens":0,"cached_tokens":0},"total_tokens":963}}</t>
        </is>
      </c>
      <c r="M173" t="inlineStr">
        <is>
          <t>{"alt-svc":"h3=\":443\"; ma=2592000","apim-request-id":"d72136b6-33af-4e3a-8482-53f1dd28ab78","azureml-model-session":"d20260405234249-f9874baf","cache-control":"no-cache","connection":"close","content-length":"765","content-security-policy":"frame-ancestors 'self'","content-type":"application/json","date":"Mon, 20 Apr 2026 04:16:25 GMT","server":"nginx","skip-error-remapping":"true","strict-transport-security":"max-age=31536000; includeSubDomains; preload","via":"1.1 Caddy, 1.1 Caddy","x-api-request-id":"202604201216232341474507oI3Hi8B","x-content-type-options":"nosniff","x-frame-options":"SAMEORIGIN","x-ms-client-request-id":"Not-Set","x-ms-is-spilled-over":"false","x-ms-rai-invoked":"true","x-ms-region":"East US 2","x-new-api-version":"0.4.39","x-oneapi-request-id":"202604200416231695515308268d9d6Usuer7y9","x-ratelimit-abusepenalty-active":"False","x-ratelimit-limit-requests":"3850","x-ratelimit-limit-tokens":"3850000","x-ratelimit-remaining-requests":"3849","x-ratelimit-remaining-tokens":"3848316","x-ratelimit-renewalperiod-requests":"60","x-ratelimit-renewalperiod-tokens":"60","x-ratelimit-reset-requests":"15","x-ratelimit-reset-tokens":"26","x-request-id":"74adf4c0-63b5-4c3f-b2d6-62ab0b382116"}</t>
        </is>
      </c>
      <c r="N173" t="inlineStr">
        <is>
          <t>Destroy Lonely No Stylist Tour Vintage Black T-Shirt, high-quality washed cotton, metal logo, ghost face print, tour city list back, unisex oversized fit, Y2K street rock style.</t>
        </is>
      </c>
      <c r="O173" t="inlineStr">
        <is>
          <t>{"id":"chatcmpl-DWcbTwRDwFuhJAkp5id24wivZJ3kd","object":"chat.completion","created":1776667259,"model":"gpt-5-chat-latest","choices":[{"index":0,"message":{"role":"assistant","content":"Destroy Lonely,T-Shirts,kakobuy,kakebuy2026,kekobuysheet,kakobuysheet2026,2026kakobuy,kakobuyspreadsheeet,kakobuylink,kakebuylist,Kakobuy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is>
      </c>
      <c r="P173" t="inlineStr">
        <is>
          <t>Destroy Lonely,T-Shirts,kakobuy,kakebuy2026,kekobuysheet,kakobuysheet2026,2026kakobuy,kakobuyspreadsheeet,kakobuylink,kakebuylist,Kakobuy MEGA Spreadsheet,kakobuysheetfind,kakobuysheetfind2026,2026kakobuysheetfind,kakobuysheet2026</t>
        </is>
      </c>
      <c r="Q173" t="inlineStr">
        <is>
          <t>Black, Unisex, Vintage, Streetwear</t>
        </is>
      </c>
      <c r="R173" t="inlineStr">
        <is>
          <t>recvh6xFVjrUWD</t>
        </is>
      </c>
      <c r="S173" t="inlineStr">
        <is>
          <t>destroy-lonely-no-stylist-tour-vintage-black-tshirt-recvh6xFVjrUWD</t>
        </is>
      </c>
      <c r="T173"/>
      <c r="U173"/>
      <c r="V173"/>
      <c r="W173" t="inlineStr">
        <is>
          <t>{"choices":[{"finish_reason":"stop","index":0,"logprobs":null,"message":{"annotations":[],"content":"Destroy Lonely：No Stylist Tour系列黑色复古短袖T恤，采用高品质纯棉水洗面料，正面炫酷鬼脸印花搭配金属字母Logo，背面巡演城市列表设计，呈现美式街头摇滚风格，宽松版型男女皆宜，彰显Y2K潮流与音乐态度。","refusal":null,"role":"assistant"}}],"created":1776655807,"id":"chatcmpl-DWZclAPzXOiWQyhDaIaK6xweyMqep","model":"gpt-5-chat-latest","object":"chat.completion","service_tier":"default","system_fingerprint":"fp_ad66631dec","usage":{"completion_tokens":86,"completion_tokens_details":{"accepted_prediction_tokens":0,"audio_tokens":0,"reasoning_tokens":0,"rejected_prediction_tokens":0},"prompt_tokens":1316,"prompt_tokens_details":{"audio_tokens":0,"cached_tokens":0},"total_tokens":1402}}</t>
        </is>
      </c>
      <c r="X173" t="inlineStr">
        <is>
          <t>Destroy Lonely：No Stylist Tour系列黑色复古短袖T恤，采用高品质纯棉水洗面料，正面炫酷鬼脸印花搭配金属字母Logo，背面巡演城市列表设计，呈现美式街头摇滚风格，宽松版型男女皆宜，彰显Y2K潮流与音乐态度。</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