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ttle Explorer Toys 商品导入 04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1654975475</v>
      </c>
      <c r="B2">
        <v>7617962821</v>
      </c>
      <c r="C2" s="2" t="str">
        <f>=HYPERLINK("https://weidian.com/item.html?itemID=7617962821", "https://weidian.com/item.html?itemID=7617962821")</f>
        <v>https://weidian.com/item.html?itemID=7617962821</v>
      </c>
      <c r="D2"/>
      <c r="E2" s="2" t="str">
        <f>=HYPERLINK("https://si.geilicdn.com/pcitem902014207253-7b430000019ac56b88a60a210256_1280_1706.jpg?w=640&amp;h=640", "https://si.geilicdn.com/pcitem902014207253-7b430000019ac56b88a60a210256_1280_1706.jpg?w=640&amp;h=640")</f>
        <v>https://si.geilicdn.com/pcitem902014207253-7b430000019ac56b88a60a210256_1280_1706.jpg?w=640&amp;h=640</v>
      </c>
      <c r="F2" t="inlineStr">
        <is>
          <t>Electronic</t>
        </is>
      </c>
      <c r="G2" t="inlineStr">
        <is>
          <t>Apple</t>
        </is>
      </c>
      <c r="H2">
        <v>290</v>
      </c>
      <c r="I2">
        <v>42.03</v>
      </c>
      <c r="J2" t="inlineStr">
        <is>
          <t>{"id":"chatcmpl-DY4qNS9LPFcZ8xKRIdPytWhUnm3qu","object":"chat.completion","created":1777014143,"model":"gpt-5-chat-latest","choices":[{"index":0,"message":{"role":"assistant","content":"Apple AirPods Max Silver Wireless Noise Canceling Headphones","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is>
      </c>
      <c r="K2" t="inlineStr">
        <is>
          <t>Apple AirPods Max Silver Wireless Noise Canceling Headphones</t>
        </is>
      </c>
      <c r="L2" t="inlineStr">
        <is>
          <t>{"choices":[{"finish_reason":"stop","index":0,"logprobs":null,"message":{"annotations":[],"content":"Apple AirPods Max Silver wireless noise-canceling headphones, with aluminum ear cups and knit mesh canopy for supreme comfort, delivering high-fidelity sound and sleek modern design for everyday and travel use.","refusal":null,"role":"assistant"}}],"created":1777013176,"id":"chatcmpl-DY4amVXMN6bzF4EdUAUlSntmzys0X","model":"gpt-5-chat-latest","object":"chat.completion","service_tier":"default","system_fingerprint":"fp_ad66631dec","usage":{"completion_tokens":40,"completion_tokens_details":{"accepted_prediction_tokens":0,"audio_tokens":0,"reasoning_tokens":0,"rejected_prediction_tokens":0},"prompt_tokens":913,"prompt_tokens_details":{"audio_tokens":0,"cached_tokens":0},"total_tokens":953}}</t>
        </is>
      </c>
      <c r="M2" t="inlineStr">
        <is>
          <t>{"alt-svc":"h3=\":443\"; ma=2592000","apim-request-id":"894109cf-bd25-48ef-b08e-0f9f49816b6e","azureml-model-session":"d20260405234249-f9874baf","cache-control":"no-cache","connection":"close","content-length":"798","content-security-policy":"frame-ancestors 'self'","content-type":"application/json","date":"Fri, 24 Apr 2026 06:46:17 GMT","server":"Caddy","skip-error-remapping":"true","strict-transport-security":"max-age=31536000; includeSubDomains; preload","via":"1.1 Caddy","x-api-request-id":"2026042414461496233430585dBebam","x-content-type-options":"nosniff","x-frame-options":"SAMEORIGIN","x-ms-client-request-id":"Not-Set","x-ms-is-spilled-over":"false","x-ms-rai-invoked":"true","x-ms-region":"East US 2","x-new-api-version":"0.4.39","x-oneapi-request-id":"202604240646144135027738268d9d6fesCi2pZ","x-ratelimit-abusepenalty-active":"False","x-ratelimit-limit-requests":"3850","x-ratelimit-limit-tokens":"3850000","x-ratelimit-remaining-requests":"3849","x-ratelimit-remaining-tokens":"3847105","x-ratelimit-renewalperiod-requests":"60","x-ratelimit-renewalperiod-tokens":"60","x-ratelimit-reset-requests":"22","x-ratelimit-reset-tokens":"45","x-request-id":"fd9601bf-d592-4cc3-85ff-231e21e965dd"}</t>
        </is>
      </c>
      <c r="N2" t="inlineStr">
        <is>
          <t>Apple AirPods Max Silver wireless noise-canceling headphones, with aluminum ear cups and knit mesh canopy for supreme comfort, delivering high-fidelity sound and sleek modern design for everyday and travel use.</t>
        </is>
      </c>
      <c r="O2" t="inlineStr">
        <is>
          <t>{"choices":[{"finish_reason":"stop","index":0,"logprobs":null,"message":{"annotations":[],"content":"Apple,AirPods MAX,kakobuy,kakebuy2026,kekobuysheet,kakobuysheet2026,2026kakobuy,kakobuyspreadsheeet,kakobuylink,kakebuylist,Kakobuy MEGA Spreadsheet,kakobuysheetfind,kakobuysheetfind2026,2026kakobuysheetfind,kakobuysheet2026","refusal":null,"role":"assistant"}}],"created":1777015076,"id":"chatcmpl-DY55QAhCTSzvcLDSIqlu2yMVWnWbm","model":"gpt-5-chat-latest","object":"chat.completion","service_tier":"default","system_fingerprint":"fp_ad66631dec","usage":{"completion_tokens":88,"completion_tokens_details":{"accepted_prediction_tokens":0,"audio_tokens":0,"reasoning_tokens":0,"rejected_prediction_tokens":0},"prompt_tokens":781,"prompt_tokens_details":{"audio_tokens":0,"cached_tokens":0},"total_tokens":869}}</t>
        </is>
      </c>
      <c r="P2" t="inlineStr">
        <is>
          <t>Apple,AirPods MAX,kakobuy,kakebuy2026,kekobuysheet,kakobuysheet2026,2026kakobuy,kakobuyspreadsheeet,kakobuylink,kakebuylist,Kakobuy MEGA Spreadsheet,kakobuysheetfind,kakobuysheetfind2026,2026kakobuysheetfind,kakobuysheet2026</t>
        </is>
      </c>
      <c r="Q2"/>
      <c r="R2" t="inlineStr">
        <is>
          <t>recvhjtOCvt9Jf</t>
        </is>
      </c>
      <c r="S2" t="inlineStr">
        <is>
          <t>apple-airpods-max-silver-recvhjtocvt9jf</t>
        </is>
      </c>
      <c r="T2"/>
      <c r="U2"/>
      <c r="V2"/>
      <c r="W2" t="inlineStr">
        <is>
          <t>{"choices":[{"finish_reason":"stop","index":0,"logprobs":null,"message":{"annotations":[],"content":"Apple：AirPods Max 银色无线降噪耳机，铝合金耳罩与针织网状头带结合，打造舒适佩戴体验。现代极简设计，兼具高保真音质与智能降噪功能，展现苹果一贯的精密工艺与时尚格调，适合男女日常与旅行使用。","refusal":null,"role":"assistant"}}],"created":1777011410,"id":"chatcmpl-DY48IrMYlfVkRCaFCrRIHR14nEJIV","model":"gpt-5-chat-latest","object":"chat.completion","service_tier":"default","system_fingerprint":"fp_ad66631dec","usage":{"completion_tokens":81,"completion_tokens_details":{"accepted_prediction_tokens":0,"audio_tokens":0,"reasoning_tokens":0,"rejected_prediction_tokens":0},"prompt_tokens":1297,"prompt_tokens_details":{"audio_tokens":0,"cached_tokens":0},"total_tokens":1378}}</t>
        </is>
      </c>
      <c r="X2" t="inlineStr">
        <is>
          <t>Apple：AirPods Max 银色无线降噪耳机，铝合金耳罩与针织网状头带结合，打造舒适佩戴体验。现代极简设计，兼具高保真音质与智能降噪功能，展现苹果一贯的精密工艺与时尚格调，适合男女日常与旅行使用。</t>
        </is>
      </c>
    </row>
    <row r="3" ht="25.5" customHeight="1">
      <c r="A3">
        <v>1654975475</v>
      </c>
      <c r="B3">
        <v>7620988326</v>
      </c>
      <c r="C3" s="2" t="str">
        <f>=HYPERLINK("https://weidian.com/item.html?itemID=7620988326", "https://weidian.com/item.html?itemID=7620988326")</f>
        <v>https://weidian.com/item.html?itemID=7620988326</v>
      </c>
      <c r="D3"/>
      <c r="E3" s="2" t="str">
        <f>=HYPERLINK("https://si.geilicdn.com/pcitem902014207253-7d8b0000019ac56bcebe0a8133cc_750_1000.jpg?w=640&amp;h=640", "https://si.geilicdn.com/pcitem902014207253-7d8b0000019ac56bcebe0a8133cc_750_1000.jpg?w=640&amp;h=640")</f>
        <v>https://si.geilicdn.com/pcitem902014207253-7d8b0000019ac56bcebe0a8133cc_750_1000.jpg?w=640&amp;h=640</v>
      </c>
      <c r="F3" t="inlineStr">
        <is>
          <t>Electronic</t>
        </is>
      </c>
      <c r="G3" t="inlineStr">
        <is>
          <t>Bose</t>
        </is>
      </c>
      <c r="H3">
        <v>300</v>
      </c>
      <c r="I3">
        <v>43.48</v>
      </c>
      <c r="J3" t="inlineStr">
        <is>
          <t>{"choices":[{"finish_reason":"stop","index":0,"logprobs":null,"message":{"annotations":[],"content":"Bose Burgundy Sport Wireless Noise Cancelling Earbuds","refusal":null,"role":"assistant"}}],"created":1777014123,"id":"chatcmpl-DY4q3GpEpEmPGCvjFAMYGQD5agt2b","model":"gpt-5-chat-latest","object":"chat.completion","service_tier":"default","system_fingerprint":"fp_ad66631dec","usage":{"completion_tokens":11,"completion_tokens_details":{"accepted_prediction_tokens":0,"audio_tokens":0,"reasoning_tokens":0,"rejected_prediction_tokens":0},"prompt_tokens":881,"prompt_tokens_details":{"audio_tokens":0,"cached_tokens":0},"total_tokens":892}}</t>
        </is>
      </c>
      <c r="K3" t="inlineStr">
        <is>
          <t>Bose Burgundy Sport Wireless Noise Cancelling Earbuds</t>
        </is>
      </c>
      <c r="L3" t="inlineStr">
        <is>
          <t>{"id":"chatcmpl-DY4aTpDUAp6YwWaJv9PIqjkbGl1t2","object":"chat.completion","created":1777013157,"model":"gpt-5-chat-latest","choices":[{"index":0,"message":{"role":"assistant","content":"ElectronicBoseBose Burgundy Sport True Wireless Noise Cancelling Earbuds with matte finish, ergonomic in-ear design, Hi-Fi sound, comfort fit, modern minimalist style for music and fitness lovers.","refusal":null,"annotations":[]},"logprobs":null,"finish_reason":"stop"}],"usage":{"prompt_tokens":902,"completion_tokens":40,"total_tokens":942,"prompt_tokens_details":{"cached_tokens":0,"audio_tokens":0},"completion_tokens_details":{"reasoning_tokens":0,"audio_tokens":0,"accepted_prediction_tokens":0,"rejected_prediction_tokens":0}},"service_tier":"default","system_fingerprint":"fp_ad66631dec"}</t>
        </is>
      </c>
      <c r="M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ma=2592000","apim-request-id":"b922f260-e199-42de-a6a8-6fbdf89c5788","azureml-model-session":"d20260405234249-f9874baf","cache-control":"no-cache, no-store, must-revalidate","connection":"close","content-length":"1000","content-security-policy":"frame-ancestors 'self'","content-type":"application/json","date":"Fri, 24 Apr 2026 06:45:59 GMT","server":"nginx","skip-error-remapping":"true","strict-transport-security":"max-age=31536000; includeSubDomains; preload","via":"1.1 Caddy, 1.1 Caddy","x-api-request-id":"20260424144555745928463ZHYWBwtp","x-content-type-options":"nosniff","x-frame-options":"SAMEORIGIN","x-ms-is-spilled-over":"false","x-ms-rai-invoked":"false","x-ms-region":"Sweden Central","x-new-api-version":"0.4.39","x-oneapi-request-id":"202604240645553926426298268d9d6IZiGTLqe","x-ratelimit-abusepenalty-active":"False","x-ratelimit-limit-requests":"4998","x-ratelimit-limit-tokens":"4998000","x-ratelimit-remaining-requests":"4997","x-ratelimit-remaining-tokens":"4996336","x-ratelimit-renewalperiod-requests":"60","x-ratelimit-renewalperiod-tokens":"60","x-ratelimit-reset-requests":"12","x-ratelimit-reset-tokens":"19","x-request-id":"fdd7c7fb-651c-4582-95cb-5b37b3b92f13"}</t>
        </is>
      </c>
      <c r="N3" t="inlineStr">
        <is>
          <t>ElectronicBoseBose Burgundy Sport True Wireless Noise Cancelling Earbuds with matte finish, ergonomic in-ear design, Hi-Fi sound, comfort fit, modern minimalist style for music and fitness lovers.</t>
        </is>
      </c>
      <c r="O3" t="inlineStr">
        <is>
          <t>{"choices":[{"finish_reason":"stop","index":0,"logprobs":null,"message":{"annotations":[],"content":"Bose,earphones,kakobuy,kakebuy2026,kekobuysheet,kakobuysheet2026,2026kakobuy,kakobuyspreadsheeet,kakobuylink,kakebuylist,Kakobuy MEGA Spreadsheet,kakobuysheetfind,kakobuysheetfind2026,2026kakobuysheetfind,kakobuysheet2026","refusal":null,"role":"assistant"}}],"created":1777015336,"id":"chatcmpl-DY59cnjQxxQF25Gu1cElR4tbAZDaH","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3" t="inlineStr">
        <is>
          <t>Bose,earphones,kakobuy,kakebuy2026,kekobuysheet,kakobuysheet2026,2026kakobuy,kakobuyspreadsheeet,kakobuylink,kakebuylist,Kakobuy MEGA Spreadsheet,kakobuysheetfind,kakobuysheetfind2026,2026kakobuysheetfind,kakobuysheet2026</t>
        </is>
      </c>
      <c r="Q3" t="inlineStr">
        <is>
          <t>Burgundy, Modern, Minimalist, Comfort, Unisex</t>
        </is>
      </c>
      <c r="R3" t="inlineStr">
        <is>
          <t>recvhju1Cryy05</t>
        </is>
      </c>
      <c r="S3" t="inlineStr">
        <is>
          <t>bose-burgundy-sport-wireless-noise-cancelling-earbuds-recvhju1cryy05</t>
        </is>
      </c>
      <c r="T3"/>
      <c r="U3"/>
      <c r="V3"/>
      <c r="W3" t="inlineStr">
        <is>
          <t>{"id":"chatcmpl-DY4F1CKz4EBkEZzngeymZ2bZSuu5s","object":"chat.completion","created":1777011827,"model":"gpt-5-chat-latest","choices":[{"index":0,"message":{"role":"assistant","content":"Bose：酒红色运动真无线降噪耳机，采用磨砂质感外壳与人体工学入耳设计，兼具高保真音质与舒适佩戴体验，男女皆宜，现代简约风格，专为热爱音乐与运动的用户打造。","refusal":null,"annotations":[]},"logprobs":null,"finish_reason":"stop"}],"usage":{"prompt_tokens":1303,"completion_tokens":67,"total_tokens":1370,"prompt_tokens_details":{"cached_tokens":1280,"audio_tokens":0},"completion_tokens_details":{"reasoning_tokens":0,"audio_tokens":0,"accepted_prediction_tokens":0,"rejected_prediction_tokens":0}},"service_tier":"default","system_fingerprint":"fp_ad66631dec"}</t>
        </is>
      </c>
      <c r="X3" t="inlineStr">
        <is>
          <t>Bose：酒红色运动真无线降噪耳机，采用磨砂质感外壳与人体工学入耳设计，兼具高保真音质与舒适佩戴体验，男女皆宜，现代简约风格，专为热爱音乐与运动的用户打造。</t>
        </is>
      </c>
    </row>
    <row r="4" ht="25.5" customHeight="1">
      <c r="A4">
        <v>1654975475</v>
      </c>
      <c r="B4">
        <v>7620885292</v>
      </c>
      <c r="C4" s="2" t="str">
        <f>=HYPERLINK("https://weidian.com/item.html?itemID=7620885292", "https://weidian.com/item.html?itemID=7620885292")</f>
        <v>https://weidian.com/item.html?itemID=7620885292</v>
      </c>
      <c r="D4"/>
      <c r="E4" s="2" t="str">
        <f>=HYPERLINK("https://si.geilicdn.com/pcitem902014207253-511d0000019ac56989ee0a2304aa_1080_1080.jpg?w=640&amp;h=640", "https://si.geilicdn.com/pcitem902014207253-511d0000019ac56989ee0a2304aa_1080_1080.jpg?w=640&amp;h=640")</f>
        <v>https://si.geilicdn.com/pcitem902014207253-511d0000019ac56989ee0a2304aa_1080_1080.jpg?w=640&amp;h=640</v>
      </c>
      <c r="F4" t="inlineStr">
        <is>
          <t>Electronic</t>
        </is>
      </c>
      <c r="G4" t="inlineStr">
        <is>
          <t>Beats</t>
        </is>
      </c>
      <c r="H4">
        <v>290</v>
      </c>
      <c r="I4">
        <v>42.03</v>
      </c>
      <c r="J4" t="inlineStr">
        <is>
          <t>{"choices":[{"finish_reason":"stop","index":0,"logprobs":null,"message":{"annotations":[],"content":"Beats Solo Pro LINE FRIENDS Black Headphones","refusal":null,"role":"assistant"}}],"created":1777014537,"id":"chatcmpl-DY4wjxEfsGEzmXZazVdSpabVGlTxm","model":"gpt-5-chat-latest","object":"chat.completion","service_tier":"default","system_fingerprint":"fp_ad66631dec","usage":{"completion_tokens":11,"completion_tokens_details":{"accepted_prediction_tokens":0,"audio_tokens":0,"reasoning_tokens":0,"rejected_prediction_tokens":0},"prompt_tokens":881,"prompt_tokens_details":{"audio_tokens":0,"cached_tokens":0},"total_tokens":892}}</t>
        </is>
      </c>
      <c r="K4" t="inlineStr">
        <is>
          <t>Beats Solo Pro LINE FRIENDS Black Headphones</t>
        </is>
      </c>
      <c r="L4" t="inlineStr">
        <is>
          <t>{"id":"chatcmpl-DY4eoeDjz3fKwRw5l0pjR1pmSbvip","object":"chat.completion","created":1777013426,"model":"gpt-5-chat-latest","choices":[{"index":0,"message":{"role":"assistant","content":"Beats Solo Pro LINE FRIENDS Special Edition Black—lightweight aluminum design, soft leather earcups, fun cartoon details, premium active noise cancelling, portable case, stylish high-fidelity sound.","refusal":null,"annotations":[]},"logprobs":null,"finish_reason":"stop"}],"usage":{"prompt_tokens":917,"completion_tokens":40,"total_tokens":957,"prompt_tokens_details":{"cached_tokens":0,"audio_tokens":0},"completion_tokens_details":{"reasoning_tokens":0,"audio_tokens":0,"accepted_prediction_tokens":0,"rejected_prediction_tokens":0}},"service_tier":"default","system_fingerprint":"fp_ad66631dec"}</t>
        </is>
      </c>
      <c r="M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ma=2592000","apim-request-id":"311279e2-9f6d-4fe1-a135-14baf6fd2400","azureml-model-session":"d20260405225800-40f19e54","cache-control":"no-cache, no-store, must-revalidate","connection":"close","content-length":"1004","content-security-policy":"frame-ancestors 'self'","content-type":"application/json","date":"Fri, 24 Apr 2026 06:50:28 GMT","server":"Caddy","skip-error-remapping":"true","strict-transport-security":"max-age=31536000; includeSubDomains; preload","via":"1.1 Caddy","x-api-request-id":"20260424145025722189094XidmmYa","x-content-type-options":"nosniff","x-frame-options":"SAMEORIGIN","x-ms-is-spilled-over":"false","x-ms-rai-invoked":"false","x-ms-region":"Sweden Central","x-new-api-version":"0.4.39","x-oneapi-request-id":"202604240650247952008068268d9d6n4VnYudO","x-ratelimit-abusepenalty-active":"False","x-ratelimit-limit-requests":"4998","x-ratelimit-limit-tokens":"4998000","x-ratelimit-remaining-requests":"4997","x-ratelimit-remaining-tokens":"4996321","x-ratelimit-renewalperiod-requests":"60","x-ratelimit-renewalperiod-tokens":"60","x-ratelimit-reset-requests":"12","x-ratelimit-reset-tokens":"20","x-request-id":"d247e682-1711-4d77-bb46-9b9974844e8b"}</t>
        </is>
      </c>
      <c r="N4" t="inlineStr">
        <is>
          <t>Beats Solo Pro LINE FRIENDS Special Edition Black—lightweight aluminum design, soft leather earcups, fun cartoon details, premium active noise cancelling, portable case, stylish high-fidelity sound.</t>
        </is>
      </c>
      <c r="O4" t="inlineStr">
        <is>
          <t>{"choices":[{"finish_reason":"stop","index":0,"logprobs":null,"message":{"annotations":[],"content":"Beats, Headphones, kakobuy, kakebuy2026, kekobuysheet, kakobuysheet2026, 2026kakobuy, kakobuyspreadsheeet, kakobuylink, kakebuylist, Kakobuy MEGA Spreadsheet, kakobuysheetfind, kakobuysheetfind2026, 2026kakobuysheetfind, kakobuysheet2026","refusal":null,"role":"assistant"}}],"created":1777015261,"id":"chatcmpl-DY58Pnxo38beDGsTZfKtcqIlFpBiG","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4" t="inlineStr">
        <is>
          <t>Beats, Headphones, kakobuy, kakebuy2026, kekobuysheet, kakobuysheet2026, 2026kakobuy, kakobuyspreadsheeet, kakobuylink, kakebuylist, Kakobuy MEGA Spreadsheet, kakobuysheetfind, kakobuysheetfind2026, 2026kakobuysheetfind, kakobuysheet2026</t>
        </is>
      </c>
      <c r="Q4"/>
      <c r="R4" t="inlineStr">
        <is>
          <t>recvhju1CrBl08</t>
        </is>
      </c>
      <c r="S4" t="inlineStr">
        <is>
          <t>beats-solo-pro-line-friends-black-recvhju1crbl08</t>
        </is>
      </c>
      <c r="T4"/>
      <c r="U4"/>
      <c r="V4"/>
      <c r="W4" t="inlineStr">
        <is>
          <t>{"id":"chatcmpl-DY4B8eUneFCOfUCGMn5lWgieOpW8M","object":"chat.completion","created":1777011586,"model":"gpt-5-chat-latest","choices":[{"index":0,"message":{"role":"assistant","content":"Beats：Solo Pro LINE FRIENDS特别款黑色主动降噪蓝牙耳机，轻盈铝合金结构结合柔软皮质耳罩，俏皮卡通图腾彰显潮玩格调，现代极简设计适合男女通用，便携收纳盒搭配高保真音质，尽显科技与时尚融合魅力。","refusal":null,"annotations":[]},"logprobs":null,"finish_reason":"stop"}],"usage":{"prompt_tokens":1299,"completion_tokens":84,"total_tokens":1383,"prompt_tokens_details":{"cached_tokens":0,"audio_tokens":0},"completion_tokens_details":{"reasoning_tokens":0,"audio_tokens":0,"accepted_prediction_tokens":0,"rejected_prediction_tokens":0}},"service_tier":"default","system_fingerprint":"fp_ad66631dec"}</t>
        </is>
      </c>
      <c r="X4" t="inlineStr">
        <is>
          <t>Beats：Solo Pro LINE FRIENDS特别款黑色主动降噪蓝牙耳机，轻盈铝合金结构结合柔软皮质耳罩，俏皮卡通图腾彰显潮玩格调，现代极简设计适合男女通用，便携收纳盒搭配高保真音质，尽显科技与时尚融合魅力。</t>
        </is>
      </c>
    </row>
    <row r="5" ht="25.5" customHeight="1">
      <c r="A5">
        <v>1654975475</v>
      </c>
      <c r="B5">
        <v>7617905277</v>
      </c>
      <c r="C5" s="2" t="str">
        <f>=HYPERLINK("https://weidian.com/item.html?itemID=7617905277", "https://weidian.com/item.html?itemID=7617905277")</f>
        <v>https://weidian.com/item.html?itemID=7617905277</v>
      </c>
      <c r="D5"/>
      <c r="E5" s="2" t="str">
        <f>=HYPERLINK("https://si.geilicdn.com/pcitem902014207253-41c60000019ac5694b4d0a231316_1080_1080.jpg?w=640&amp;h=640", "https://si.geilicdn.com/pcitem902014207253-41c60000019ac5694b4d0a231316_1080_1080.jpg?w=640&amp;h=640")</f>
        <v>https://si.geilicdn.com/pcitem902014207253-41c60000019ac5694b4d0a231316_1080_1080.jpg?w=640&amp;h=640</v>
      </c>
      <c r="F5" t="inlineStr">
        <is>
          <t>Electronic</t>
        </is>
      </c>
      <c r="G5" t="inlineStr">
        <is>
          <t>Beats</t>
        </is>
      </c>
      <c r="H5">
        <v>290</v>
      </c>
      <c r="I5">
        <v>42.03</v>
      </c>
      <c r="J5" t="inlineStr">
        <is>
          <t>{"id":"chatcmpl-DY4vlqUzzRR8mlOp8sVCJaTqVK7BE","object":"chat.completion","created":1777014477,"model":"gpt-5-chat-latest","choices":[{"index":0,"message":{"role":"assistant","content":"ElectronicBeats Hello Kitty Cream Noise Canceling Bluetooth Headphones","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5" t="inlineStr">
        <is>
          <t>ElectronicBeats Hello Kitty Cream Noise Canceling Bluetooth Headphones</t>
        </is>
      </c>
      <c r="L5" t="inlineStr">
        <is>
          <t>{"choices":[{"finish_reason":"stop","index":0,"logprobs":null,"message":{"annotations":[],"content":"ElectronicBeatsBeats Hello Kitty Special Edition cream noise-canceling Bluetooth headphones with cute print design, soft leather cushions, foldable for portability, stylish and comfortable for all.","refusal":null,"role":"assistant"}}],"created":1777013400,"id":"chatcmpl-DY4eOoIGudchUN6ixmhsNzgjWCSrI","model":"gpt-5-chat-latest","object":"chat.completion","service_tier":"default","system_fingerprint":"fp_ad66631dec","usage":{"completion_tokens":37,"completion_tokens_details":{"accepted_prediction_tokens":0,"audio_tokens":0,"reasoning_tokens":0,"rejected_prediction_tokens":0},"prompt_tokens":899,"prompt_tokens_details":{"audio_tokens":0,"cached_tokens":0},"total_tokens":936}}</t>
        </is>
      </c>
      <c r="M5" t="inlineStr">
        <is>
          <t>{"alt-svc":"h3=\":443\"; ma=2592000","apim-request-id":"06d9add7-f809-48b9-b1a0-8aac5ee1c460","azureml-model-session":"d20260402083108-57a85543","cache-control":"no-cache","connection":"close","content-length":"785","content-security-policy":"frame-ancestors 'self'","content-type":"application/json","date":"Fri, 24 Apr 2026 06:50:03 GMT","server":"nginx","skip-error-remapping":"true","strict-transport-security":"max-age=31536000; includeSubDomains; preload","via":"1.1 Caddy, 1.1 Caddy","x-api-request-id":"20260424145000118361865D4j8lpHd","x-content-type-options":"nosniff","x-frame-options":"SAMEORIGIN","x-ms-client-request-id":"Not-Set","x-ms-is-spilled-over":"false","x-ms-rai-invoked":"true","x-ms-region":"East US 2","x-new-api-version":"0.4.39","x-oneapi-request-id":"202604240649597883123358268d9d6oFRx4QYV","x-ratelimit-abusepenalty-active":"False","x-ratelimit-limit-requests":"3850","x-ratelimit-limit-tokens":"3850000","x-ratelimit-remaining-requests":"3849","x-ratelimit-remaining-tokens":"3747186","x-ratelimit-renewalperiod-requests":"60","x-ratelimit-renewalperiod-tokens":"60","x-ratelimit-reset-requests":"20","x-ratelimit-reset-tokens":"1602","x-request-id":"ba353b7c-4186-4269-9d1f-1a33fce2e146"}</t>
        </is>
      </c>
      <c r="N5" t="inlineStr">
        <is>
          <t>ElectronicBeatsBeats Hello Kitty Special Edition cream noise-canceling Bluetooth headphones with cute print design, soft leather cushions, foldable for portability, stylish and comfortable for all.</t>
        </is>
      </c>
      <c r="O5" t="inlineStr">
        <is>
          <t>{"choices":[{"finish_reason":"stop","index":0,"logprobs":null,"message":{"annotations":[],"content":"Beats,Headphones,kakobuy,kakebuy2026,kekobuysheet,kakobuysheet2026,2026kakobuy,kakobuyspreadsheeet,kakobuylink,kakebuylist,Kakobuy MEGA Spreadsheet,kakobuysheetfind,kakobuysheetfind2026,2026kakobuysheetfind,kakobuysheet2026","refusal":null,"role":"assistant"}}],"created":1777014938,"id":"chatcmpl-DY53CqmmVQdJUdDFqEnEHYQgfhUb5","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5" t="inlineStr">
        <is>
          <t>Beats,Headphones,kakobuy,kakebuy2026,kekobuysheet,kakobuysheet2026,2026kakobuy,kakobuyspreadsheeet,kakobuylink,kakebuylist,Kakobuy MEGA Spreadsheet,kakobuysheetfind,kakobuysheetfind2026,2026kakobuysheetfind,kakobuysheet2026</t>
        </is>
      </c>
      <c r="Q5" t="inlineStr">
        <is>
          <t>Cream, Cute, Leather, Foldable, All Seasons, Women</t>
        </is>
      </c>
      <c r="R5" t="inlineStr">
        <is>
          <t>recvhju1CrdFc9</t>
        </is>
      </c>
      <c r="S5" t="inlineStr">
        <is>
          <t>electronicbeats-hello-kitty-cream-noise-canceling-bluetooth-headphones-recvhju1crdfc9</t>
        </is>
      </c>
      <c r="T5"/>
      <c r="U5"/>
      <c r="V5"/>
      <c r="W5" t="inlineStr">
        <is>
          <t>{"choices":[{"finish_reason":"stop","index":0,"logprobs":null,"message":{"annotations":[],"content":"Beats：Hello Kitty特别款米白色降噪蓝牙耳机，精致印花设计融合可爱卡通图腾，柔软皮质耳垫兼具舒适与时尚，折叠便携结构，男女皆宜，潮流科技感十足。","refusal":null,"role":"assistant"}}],"created":1777011898,"id":"chatcmpl-DY4GAsiuIEK3Gbt10xWI664qVyOsv","model":"gpt-5-chat-latest","object":"chat.completion","service_tier":"default","system_fingerprint":"fp_ad66631dec","usage":{"completion_tokens":65,"completion_tokens_details":{"accepted_prediction_tokens":0,"audio_tokens":0,"reasoning_tokens":0,"rejected_prediction_tokens":0},"prompt_tokens":1301,"prompt_tokens_details":{"audio_tokens":0,"cached_tokens":1280},"total_tokens":1366}}</t>
        </is>
      </c>
      <c r="X5" t="inlineStr">
        <is>
          <t>Beats：Hello Kitty特别款米白色降噪蓝牙耳机，精致印花设计融合可爱卡通图腾，柔软皮质耳垫兼具舒适与时尚，折叠便携结构，男女皆宜，潮流科技感十足。</t>
        </is>
      </c>
    </row>
    <row r="6" ht="25.5" customHeight="1">
      <c r="A6">
        <v>1654975475</v>
      </c>
      <c r="B6">
        <v>7617923133</v>
      </c>
      <c r="C6" s="2" t="str">
        <f>=HYPERLINK("https://weidian.com/item.html?itemID=7617923133", "https://weidian.com/item.html?itemID=7617923133")</f>
        <v>https://weidian.com/item.html?itemID=7617923133</v>
      </c>
      <c r="D6"/>
      <c r="E6" s="2" t="str">
        <f>=HYPERLINK("https://si.geilicdn.com/pcitem902014207253-7f2d0000019ac56b100c0a23057e_1440_1920.jpg?w=640&amp;h=640", "https://si.geilicdn.com/pcitem902014207253-7f2d0000019ac56b100c0a23057e_1440_1920.jpg?w=640&amp;h=640")</f>
        <v>https://si.geilicdn.com/pcitem902014207253-7f2d0000019ac56b100c0a23057e_1440_1920.jpg?w=640&amp;h=640</v>
      </c>
      <c r="F6" t="inlineStr">
        <is>
          <t>Electronic</t>
        </is>
      </c>
      <c r="G6" t="inlineStr">
        <is>
          <t>Marshall</t>
        </is>
      </c>
      <c r="H6">
        <v>680</v>
      </c>
      <c r="I6">
        <v>98.55</v>
      </c>
      <c r="J6" t="inlineStr">
        <is>
          <t>{"choices":[{"finish_reason":"stop","index":0,"logprobs":null,"message":{"annotations":[],"content":"Marshall Major IV Black Bluetooth Headphones 80H Playtime","refusal":null,"role":"assistant"}}],"created":1777014307,"id":"chatcmpl-DY4t1PRqUVJrhjA5KnUhjKozisdyZ","model":"gpt-5-chat-latest","object":"chat.completion","service_tier":"default","system_fingerprint":"fp_ad66631dec","usage":{"completion_tokens":13,"completion_tokens_details":{"accepted_prediction_tokens":0,"audio_tokens":0,"reasoning_tokens":0,"rejected_prediction_tokens":0},"prompt_tokens":884,"prompt_tokens_details":{"audio_tokens":0,"cached_tokens":0},"total_tokens":897}}</t>
        </is>
      </c>
      <c r="K6" t="inlineStr">
        <is>
          <t>Marshall Major IV Black Bluetooth Headphones 80H Playtime</t>
        </is>
      </c>
      <c r="L6" t="inlineStr">
        <is>
          <t>{"id":"chatcmpl-DY4hdE8bsOBNTV5dBAmLHomx6nNBX","object":"chat.completion","created":1777013601,"model":"gpt-5-chat-latest","choices":[{"index":0,"message":{"role":"assistant","content":"Marshall Major IV Black Bluetooth Headphones – premium leather feel, iconic rock design, 80-hour wireless playtime, comfort over-ear fit, retro-modern style for men and women, perfect for music lovers.","refusal":null,"annotations":[]},"logprobs":null,"finish_reason":"stop"}],"usage":{"prompt_tokens":898,"completion_tokens":42,"total_tokens":940,"prompt_tokens_details":{"cached_tokens":0,"audio_tokens":0},"completion_tokens_details":{"reasoning_tokens":0,"audio_tokens":0,"accepted_prediction_tokens":0,"rejected_prediction_tokens":0}},"service_tier":"default","system_fingerprint":"fp_ad66631dec"}</t>
        </is>
      </c>
      <c r="M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ma=2592000","apim-request-id":"fa914dac-2560-47cd-84a9-65ef09dc0173","azureml-model-session":"d20260402083108-57a85543","cache-control":"no-cache, no-store, must-revalidate","connection":"close","content-length":"1007","content-security-policy":"frame-ancestors 'self'","content-type":"application/json","date":"Fri, 24 Apr 2026 06:53:23 GMT","server":"nginx","skip-error-remapping":"true","strict-transport-security":"max-age=31536000; includeSubDomains; preload","via":"1.1 Caddy, 1.1 Caddy","x-api-request-id":"2026042414531975625304532z8HAk4","x-content-type-options":"nosniff","x-frame-options":"SAMEORIGIN","x-ms-is-spilled-over":"false","x-ms-rai-invoked":"false","x-ms-region":"East US 2","x-new-api-version":"0.4.39","x-oneapi-request-id":"202604240653194606062248268d9d6s07WUjbO","x-ratelimit-abusepenalty-active":"False","x-ratelimit-limit-requests":"4992","x-ratelimit-limit-tokens":"4992000","x-ratelimit-remaining-requests":"4991","x-ratelimit-remaining-tokens":"4990340","x-ratelimit-renewalperiod-requests":"60","x-ratelimit-renewalperiod-tokens":"60","x-ratelimit-reset-requests":"12","x-ratelimit-reset-tokens":"19","x-request-id":"034b870b-46d2-441d-ab20-8e35bf748e67"}</t>
        </is>
      </c>
      <c r="N6" t="inlineStr">
        <is>
          <t>Marshall Major IV Black Bluetooth Headphones – premium leather feel, iconic rock design, 80-hour wireless playtime, comfort over-ear fit, retro-modern style for men and women, perfect for music lovers.</t>
        </is>
      </c>
      <c r="O6" t="inlineStr">
        <is>
          <t>{"id":"chatcmpl-DY580BwKdlT2IATmXLB7bsfk1blSt","object":"chat.completion","created":1777015236,"model":"gpt-5-chat-latest","choices":[{"index":0,"message":{"role":"assistant","content":"Marshall,Headphon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6" t="inlineStr">
        <is>
          <t>Marshall,Headphones,kakobuy,kakebuy2026,kekobuysheet,kakobuysheet2026,2026kakobuy,kakobuyspreadsheeet,kakobuylink,kakebuylist,Kakobuy MEGA Spreadsheet,kakobuysheetfind,kakobuysheetfind2026,2026kakobuysheetfind,kakobuysheet2026</t>
        </is>
      </c>
      <c r="Q6" t="inlineStr">
        <is>
          <t>Marshall, Leather, Retro, Unisex, Comfort</t>
        </is>
      </c>
      <c r="R6" t="inlineStr">
        <is>
          <t>recvhju1Cru2pf</t>
        </is>
      </c>
      <c r="S6" t="inlineStr">
        <is>
          <t>marshall-major-iv-black-bluetooth-headphones-80h-recvhju1cru2pf</t>
        </is>
      </c>
      <c r="T6"/>
      <c r="U6"/>
      <c r="V6"/>
      <c r="W6" t="inlineStr">
        <is>
          <t>{"choices":[{"finish_reason":"stop","index":0,"logprobs":null,"message":{"annotations":[],"content":"Marshall：Major IV 黑色无线蓝牙耳机，采用优质皮革质感与经典摇滚设计，舒适包耳结构搭配80小时续航，复古与现代结合，男女皆宜，潮流音乐爱好者必备随身聆听装备。","refusal":null,"role":"assistant"}}],"created":1777011522,"id":"chatcmpl-DY4A6oGw7kWyMc0Gu68rcUZcFyFJG","model":"gpt-5-chat-latest","object":"chat.completion","service_tier":"default","system_fingerprint":"fp_ad66631dec","usage":{"completion_tokens":63,"completion_tokens_details":{"accepted_prediction_tokens":0,"audio_tokens":0,"reasoning_tokens":0,"rejected_prediction_tokens":0},"prompt_tokens":1303,"prompt_tokens_details":{"audio_tokens":0,"cached_tokens":0},"total_tokens":1366}}</t>
        </is>
      </c>
      <c r="X6" t="inlineStr">
        <is>
          <t>Marshall：Major IV 黑色无线蓝牙耳机，采用优质皮革质感与经典摇滚设计，舒适包耳结构搭配80小时续航，复古与现代结合，男女皆宜，潮流音乐爱好者必备随身聆听装备。</t>
        </is>
      </c>
    </row>
    <row r="7" ht="25.5" customHeight="1">
      <c r="A7">
        <v>1654975475</v>
      </c>
      <c r="B7">
        <v>7620958712</v>
      </c>
      <c r="C7" s="2" t="str">
        <f>=HYPERLINK("https://weidian.com/item.html?itemID=7620958712", "https://weidian.com/item.html?itemID=7620958712")</f>
        <v>https://weidian.com/item.html?itemID=7620958712</v>
      </c>
      <c r="D7"/>
      <c r="E7" s="2" t="str">
        <f>=HYPERLINK("https://si.geilicdn.com/pcitem902014207253-7a890000019ac568ed470a23037f_1442_1922.jpg?w=640&amp;h=640", "https://si.geilicdn.com/pcitem902014207253-7a890000019ac568ed470a23037f_1442_1922.jpg?w=640&amp;h=640")</f>
        <v>https://si.geilicdn.com/pcitem902014207253-7a890000019ac568ed470a23037f_1442_1922.jpg?w=640&amp;h=640</v>
      </c>
      <c r="F7" t="inlineStr">
        <is>
          <t>Electronic</t>
        </is>
      </c>
      <c r="G7" t="inlineStr">
        <is>
          <t>JBL</t>
        </is>
      </c>
      <c r="H7">
        <v>200</v>
      </c>
      <c r="I7">
        <v>28.99</v>
      </c>
      <c r="J7" t="inlineStr">
        <is>
          <t>{"id":"chatcmpl-DY4sg8QuvKVXDIZFCTswAWWwUPXiT","object":"chat.completion","created":1777014286,"model":"gpt-5-chat-latest","choices":[{"index":0,"message":{"role":"assistant","content":"JBL White LED Bluetooth Earbuds Wireless Noise Canceling","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7" t="inlineStr">
        <is>
          <t>JBL White LED Bluetooth Earbuds Wireless Noise Canceling</t>
        </is>
      </c>
      <c r="L7" t="inlineStr">
        <is>
          <t>{"choices":[{"finish_reason":"stop","index":0,"logprobs":null,"message":{"annotations":[],"content":"JBL White True Wireless Bluetooth Earbuds with transparent charging case, colorful LED lights, immersive stereo sound, ergonomic in-ear design, stable connection, noise reduction, perfect for commute or sport.","refusal":null,"role":"assistant"}}],"created":1777013629,"id":"chatcmpl-DY4i5MJnCyDVSfRvW2g56uTr0n66S","model":"gpt-5-chat-latest","object":"chat.completion","service_tier":"default","system_fingerprint":"fp_ad66631dec","usage":{"completion_tokens":39,"completion_tokens_details":{"accepted_prediction_tokens":0,"audio_tokens":0,"reasoning_tokens":0,"rejected_prediction_tokens":0},"prompt_tokens":906,"prompt_tokens_details":{"audio_tokens":0,"cached_tokens":0},"total_tokens":945}}</t>
        </is>
      </c>
      <c r="M7" t="inlineStr">
        <is>
          <t>{"alt-svc":"h3=\":443\"; ma=2592000","apim-request-id":"65352f73-8724-4b0e-836e-741a70f35337","azureml-model-session":"d20260405212659-a9daa006","cache-control":"no-cache","connection":"close","content-length":"797","content-security-policy":"frame-ancestors 'self'","content-type":"application/json","date":"Fri, 24 Apr 2026 06:53:50 GMT","server":"nginx","skip-error-remapping":"true","strict-transport-security":"max-age=31536000; includeSubDomains; preload","via":"1.1 Caddy, 1.1 Caddy","x-api-request-id":"20260424145348331074553HgA2ZvL7","x-content-type-options":"nosniff","x-frame-options":"SAMEORIGIN","x-ms-client-request-id":"Not-Set","x-ms-is-spilled-over":"false","x-ms-rai-invoked":"true","x-ms-region":"East US 2","x-new-api-version":"0.4.39","x-oneapi-request-id":"20260424065348124204308268d9d6ynKq8APM","x-ratelimit-abusepenalty-active":"False","x-ratelimit-limit-requests":"3850","x-ratelimit-limit-tokens":"3850000","x-ratelimit-remaining-requests":"3849","x-ratelimit-remaining-tokens":"3847112","x-ratelimit-renewalperiod-requests":"60","x-ratelimit-renewalperiod-tokens":"60","x-ratelimit-reset-requests":"22","x-ratelimit-reset-tokens":"45","x-request-id":"98a5be7c-219e-48da-b9d3-ab5af6fab6b4"}</t>
        </is>
      </c>
      <c r="N7" t="inlineStr">
        <is>
          <t>JBL White True Wireless Bluetooth Earbuds with transparent charging case, colorful LED lights, immersive stereo sound, ergonomic in-ear design, stable connection, noise reduction, perfect for commute or sport.</t>
        </is>
      </c>
      <c r="O7" t="inlineStr">
        <is>
          <t>{"choices":[{"finish_reason":"stop","index":0,"logprobs":null,"message":{"annotations":[],"content":"JBL,earphones,kakobuy,kakebuy2026,kekobuysheet,kakobuysheet2026,2026kakobuy,kakobuyspreadsheeet,kakobuylink,kakebuylist,Kakobuy MEGA Spreadsheet,kakobuysheetfind,kakobuysheetfind2026,2026kakobuysheetfind,kakobuysheet2026","refusal":null,"role":"assistant"}}],"created":1777015297,"id":"chatcmpl-DY58zXLFr3r4pgmBaHYkfjY5EPdh4","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7" t="inlineStr">
        <is>
          <t>JBL,earphones,kakobuy,kakebuy2026,kekobuysheet,kakobuysheet2026,2026kakobuy,kakobuyspreadsheeet,kakobuylink,kakebuylist,Kakobuy MEGA Spreadsheet,kakobuysheetfind,kakobuysheetfind2026,2026kakobuysheetfind,kakobuysheet2026</t>
        </is>
      </c>
      <c r="Q7"/>
      <c r="R7" t="inlineStr">
        <is>
          <t>recvhju1CrbL13</t>
        </is>
      </c>
      <c r="S7" t="inlineStr">
        <is>
          <t>jbl-white-led-bluetooth-earbuds-recvhju1crbl13</t>
        </is>
      </c>
      <c r="T7"/>
      <c r="U7"/>
      <c r="V7"/>
      <c r="W7" t="inlineStr">
        <is>
          <t>{"choices":[{"finish_reason":"stop","index":0,"logprobs":null,"message":{"annotations":[],"content":"JBL：白色真无线蓝牙耳机，透明充电仓设计，炫彩LED灯效，立体环绕音质，人体工学入耳式结构，稳定连接与降噪功能兼具，时尚科技风格，男女皆宜，日常通勤与运动佩戴皆舒适自在。","refusal":null,"role":"assistant"}}],"created":1777011346,"id":"chatcmpl-DY47GTkC2Xu1JqahEqZGMd1k0NUWR","model":"gpt-5-chat-latest","object":"chat.completion","service_tier":"default","system_fingerprint":"fp_ad66631dec","usage":{"completion_tokens":74,"completion_tokens_details":{"accepted_prediction_tokens":0,"audio_tokens":0,"reasoning_tokens":0,"rejected_prediction_tokens":0},"prompt_tokens":1297,"prompt_tokens_details":{"audio_tokens":0,"cached_tokens":1280},"total_tokens":1371}}</t>
        </is>
      </c>
      <c r="X7" t="inlineStr">
        <is>
          <t>JBL：白色真无线蓝牙耳机，透明充电仓设计，炫彩LED灯效，立体环绕音质，人体工学入耳式结构，稳定连接与降噪功能兼具，时尚科技风格，男女皆宜，日常通勤与运动佩戴皆舒适自在。</t>
        </is>
      </c>
    </row>
    <row r="8" ht="25.5" customHeight="1">
      <c r="A8">
        <v>1654975475</v>
      </c>
      <c r="B8">
        <v>7620881344</v>
      </c>
      <c r="C8" s="2" t="str">
        <f>=HYPERLINK("https://weidian.com/item.html?itemID=7620881344", "https://weidian.com/item.html?itemID=7620881344")</f>
        <v>https://weidian.com/item.html?itemID=7620881344</v>
      </c>
      <c r="D8"/>
      <c r="E8" s="2" t="str">
        <f>=HYPERLINK("https://si.geilicdn.com/pcitem902014207253-760a0000019ac569bcde0a8134f0_1080_1080.jpg?w=640&amp;h=640", "https://si.geilicdn.com/pcitem902014207253-760a0000019ac569bcde0a8134f0_1080_1080.jpg?w=640&amp;h=640")</f>
        <v>https://si.geilicdn.com/pcitem902014207253-760a0000019ac569bcde0a8134f0_1080_1080.jpg?w=640&amp;h=640</v>
      </c>
      <c r="F8" t="inlineStr">
        <is>
          <t>Electronic</t>
        </is>
      </c>
      <c r="G8" t="inlineStr">
        <is>
          <t>Beats</t>
        </is>
      </c>
      <c r="H8">
        <v>290</v>
      </c>
      <c r="I8">
        <v>42.03</v>
      </c>
      <c r="J8" t="inlineStr">
        <is>
          <t>{"choices":[{"finish_reason":"stop","index":0,"logprobs":null,"message":{"annotations":[],"content":"Beats Solo Pro Mickey 90th Wireless Headphones","refusal":null,"role":"assistant"}}],"created":1777014300,"id":"chatcmpl-DY4suzX889RaJxisMlQahPCjyD8j9","model":"gpt-5-chat-latest","object":"chat.completion","service_tier":"default","system_fingerprint":"fp_ad66631dec","usage":{"completion_tokens":12,"completion_tokens_details":{"accepted_prediction_tokens":0,"audio_tokens":0,"reasoning_tokens":0,"rejected_prediction_tokens":0},"prompt_tokens":887,"prompt_tokens_details":{"audio_tokens":0,"cached_tokens":0},"total_tokens":899}}</t>
        </is>
      </c>
      <c r="K8" t="inlineStr">
        <is>
          <t>Beats Solo Pro Mickey 90th Wireless Headphones</t>
        </is>
      </c>
      <c r="L8" t="inlineStr">
        <is>
          <t>{"id":"chatcmpl-DY4gVmE2cZF3Ag6WQISMymMVRQ3Ii","object":"chat.completion","created":1777013531,"model":"gpt-5-chat-latest","choices":[{"index":0,"message":{"role":"assistant","content":"Beats Solo Pro Mickey 90th Anniversary Edition wireless noise‑canceling headphones, off‑white with colorful cartoon print, lightweight aluminum design, foldable, high‑fidelity sound, trendy retro style.","refusal":null,"annotations":[]},"logprobs":null,"finish_reason":"stop"}],"usage":{"prompt_tokens":915,"completion_tokens":43,"total_tokens":958,"prompt_tokens_details":{"cached_tokens":0,"audio_tokens":0},"completion_tokens_details":{"reasoning_tokens":0,"audio_tokens":0,"accepted_prediction_tokens":0,"rejected_prediction_tokens":0}},"service_tier":"default","system_fingerprint":"fp_ad66631dec"}</t>
        </is>
      </c>
      <c r="M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ma=2592000","apim-request-id":"61abee68-58c6-4901-9f41-050982a16594","azureml-model-session":"d20260405234249-f9874baf","cache-control":"no-cache, no-store, must-revalidate","connection":"close","content-length":"1012","content-security-policy":"frame-ancestors 'self'","content-type":"application/json","date":"Fri, 24 Apr 2026 06:52:12 GMT","server":"Caddy","skip-error-remapping":"true","strict-transport-security":"max-age=31536000; includeSubDomains; preload","via":"1.1 Caddy","x-api-request-id":"20260424145210172701440IiAwWbRr","x-content-type-options":"nosniff","x-frame-options":"SAMEORIGIN","x-ms-is-spilled-over":"false","x-ms-rai-invoked":"false","x-ms-region":"East US 2","x-new-api-version":"0.4.39","x-oneapi-request-id":"202604240652097402501348268d9d68S4V19Ev","x-ratelimit-abusepenalty-active":"False","x-ratelimit-limit-requests":"4992","x-ratelimit-limit-tokens":"4992000","x-ratelimit-remaining-requests":"4991","x-ratelimit-remaining-tokens":"4990323","x-ratelimit-renewalperiod-requests":"60","x-ratelimit-renewalperiod-tokens":"60","x-ratelimit-reset-requests":"12","x-ratelimit-reset-tokens":"20","x-request-id":"6b2e5950-4cd1-4999-9ee5-6e8f660d6b40"}</t>
        </is>
      </c>
      <c r="N8" t="inlineStr">
        <is>
          <t>Beats Solo Pro Mickey 90th Anniversary Edition wireless noise‑canceling headphones, off‑white with colorful cartoon print, lightweight aluminum design, foldable, high‑fidelity sound, trendy retro style.</t>
        </is>
      </c>
      <c r="O8" t="inlineStr">
        <is>
          <t>{"choices":[{"finish_reason":"stop","index":0,"logprobs":null,"message":{"annotations":[],"content":"Beats,Headphones,kakobuy,kakebuy2026,kekobuysheet,kakobuysheet2026,2026kakobuy,kakobuyspreadsheeet,kakobuylink,kakebuylist,Kakobuy MEGA Spreadsheet,kakobuysheetfind,kakobuysheetfind2026,2026kakobuysheetfind,kakobuysheet2026","refusal":null,"role":"assistant"}}],"created":1777015133,"id":"chatcmpl-DY56LLyHfXYINzwPm8k0B0q1C788m","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8" t="inlineStr">
        <is>
          <t>Beats,Headphones,kakobuy,kakebuy2026,kekobuysheet,kakobuysheet2026,2026kakobuy,kakobuyspreadsheeet,kakobuylink,kakebuylist,Kakobuy MEGA Spreadsheet,kakobuysheetfind,kakobuysheetfind2026,2026kakobuysheetfind,kakobuysheet2026</t>
        </is>
      </c>
      <c r="Q8" t="inlineStr">
        <is>
          <t>Disney, Off-White, Colorful, Retro, Lightweight, Foldable</t>
        </is>
      </c>
      <c r="R8" t="inlineStr">
        <is>
          <t>recvhju1CrzIGv</t>
        </is>
      </c>
      <c r="S8" t="inlineStr">
        <is>
          <t>beats-solo-pro-mickey-90th-recvhju1crzigv</t>
        </is>
      </c>
      <c r="T8"/>
      <c r="U8"/>
      <c r="V8"/>
      <c r="W8" t="inlineStr">
        <is>
          <t>{"choices":[{"finish_reason":"stop","index":0,"logprobs":null,"message":{"annotations":[],"content":"Beats：Solo Pro 米奇90周年限量版降噪耳机，米白配彩色卡通印花设计，轻盈铝合金材质，折叠便携，蓝牙无线连接，男女通用，潮流复古风格，匠心打造高保真音质，尽显个性与时尚科技感。","refusal":null,"role":"assistant"}}],"created":1777011736,"id":"chatcmpl-DY4DYJV9I20cn9ozDt3NGkOKDSmpr","model":"gpt-5-chat-latest","object":"chat.completion","service_tier":"default","system_fingerprint":"fp_ad66631dec","usage":{"completion_tokens":81,"completion_tokens_details":{"accepted_prediction_tokens":0,"audio_tokens":0,"reasoning_tokens":0,"rejected_prediction_tokens":0},"prompt_tokens":1301,"prompt_tokens_details":{"audio_tokens":0,"cached_tokens":1280},"total_tokens":1382}}</t>
        </is>
      </c>
      <c r="X8" t="inlineStr">
        <is>
          <t>Beats：Solo Pro 米奇90周年限量版降噪耳机，米白配彩色卡通印花设计，轻盈铝合金材质，折叠便携，蓝牙无线连接，男女通用，潮流复古风格，匠心打造高保真音质，尽显个性与时尚科技感。</t>
        </is>
      </c>
    </row>
    <row r="9" ht="25.5" customHeight="1">
      <c r="A9">
        <v>1654975475</v>
      </c>
      <c r="B9">
        <v>7620979228</v>
      </c>
      <c r="C9" s="2" t="str">
        <f>=HYPERLINK("https://weidian.com/item.html?itemID=7620979228", "https://weidian.com/item.html?itemID=7620979228")</f>
        <v>https://weidian.com/item.html?itemID=7620979228</v>
      </c>
      <c r="D9"/>
      <c r="E9" s="2" t="str">
        <f>=HYPERLINK("https://si.geilicdn.com/pcitem902014207253-7ab80000019ac56a004d0a2301b4_1442_1922.jpg?w=640&amp;h=640", "https://si.geilicdn.com/pcitem902014207253-7ab80000019ac56a004d0a2301b4_1442_1922.jpg?w=640&amp;h=640")</f>
        <v>https://si.geilicdn.com/pcitem902014207253-7ab80000019ac56a004d0a2301b4_1442_1922.jpg?w=640&amp;h=640</v>
      </c>
      <c r="F9" t="inlineStr">
        <is>
          <t>Electronic</t>
        </is>
      </c>
      <c r="G9" t="inlineStr">
        <is>
          <t>Bose</t>
        </is>
      </c>
      <c r="H9">
        <v>240</v>
      </c>
      <c r="I9">
        <v>34.78</v>
      </c>
      <c r="J9" t="inlineStr">
        <is>
          <t>{"choices":[{"finish_reason":"stop","index":0,"logprobs":null,"message":{"annotations":[],"content":"Bose QuietComfort Earbuds II Black Wireless Headphones","refusal":null,"role":"assistant"}}],"created":1777014466,"id":"chatcmpl-DY4vauvofKNBLUOjK7mxYj7a3a76p","model":"gpt-5-chat-latest","object":"chat.completion","service_tier":"default","system_fingerprint":"fp_ad66631dec","usage":{"completion_tokens":12,"completion_tokens_details":{"accepted_prediction_tokens":0,"audio_tokens":0,"reasoning_tokens":0,"rejected_prediction_tokens":0},"prompt_tokens":879,"prompt_tokens_details":{"audio_tokens":0,"cached_tokens":0},"total_tokens":891}}</t>
        </is>
      </c>
      <c r="K9" t="inlineStr">
        <is>
          <t>Bose QuietComfort Earbuds II Black Wireless Headphones</t>
        </is>
      </c>
      <c r="L9" t="inlineStr">
        <is>
          <t>{"choices":[{"finish_reason":"stop","index":0,"logprobs":null,"message":{"annotations":[],"content":"Bose QuietComfort Earbuds II Black – True Wireless Active Noise Cancelling Earphones, lightweight in-ear design, Bluetooth connectivity, touch control, immersive sound, perfect for commute and leisure.","refusal":null,"role":"assistant"}}],"created":1777013480,"id":"chatcmpl-DY4fgakBLx2TDrOEvolxIKFj6PD1i","model":"gpt-5-chat-latest","object":"chat.completion","service_tier":"default","system_fingerprint":"fp_ad66631dec","usage":{"completion_tokens":39,"completion_tokens_details":{"accepted_prediction_tokens":0,"audio_tokens":0,"reasoning_tokens":0,"rejected_prediction_tokens":0},"prompt_tokens":906,"prompt_tokens_details":{"audio_tokens":0,"cached_tokens":0},"total_tokens":945}}</t>
        </is>
      </c>
      <c r="M9" t="inlineStr">
        <is>
          <t>{"alt-svc":"h3=\":443\"; ma=2592000","apim-request-id":"6f456b1f-ffd6-47f4-bbb3-5fcb4c61e2e7","azureml-model-session":"d20260405225800-40f19e54","cache-control":"no-cache","connection":"close","content-length":"791","content-security-policy":"frame-ancestors 'self'","content-type":"application/json","date":"Fri, 24 Apr 2026 06:51:22 GMT","server":"Caddy","skip-error-remapping":"true","strict-transport-security":"max-age=31536000; includeSubDomains; preload","via":"1.1 Caddy","x-api-request-id":"202604241451205750995975aKRKAu","x-content-type-options":"nosniff","x-frame-options":"SAMEORIGIN","x-ms-client-request-id":"Not-Set","x-ms-is-spilled-over":"false","x-ms-rai-invoked":"true","x-ms-region":"East US 2","x-new-api-version":"0.4.39","x-oneapi-request-id":"202604240651199374125098268d9d6uPHuuP5o","x-ratelimit-abusepenalty-active":"False","x-ratelimit-limit-requests":"3850","x-ratelimit-limit-tokens":"3850000","x-ratelimit-remaining-requests":"3849","x-ratelimit-remaining-tokens":"3848332","x-ratelimit-renewalperiod-requests":"60","x-ratelimit-renewalperiod-tokens":"60","x-ratelimit-reset-requests":"15","x-ratelimit-reset-tokens":"25","x-request-id":"31ddbdbe-20f5-43ee-b15b-6a6ea8b5afb8"}</t>
        </is>
      </c>
      <c r="N9" t="inlineStr">
        <is>
          <t>Bose QuietComfort Earbuds II Black – True Wireless Active Noise Cancelling Earphones, lightweight in-ear design, Bluetooth connectivity, touch control, immersive sound, perfect for commute and leisure.</t>
        </is>
      </c>
      <c r="O9" t="inlineStr">
        <is>
          <t>{"choices":[{"finish_reason":"stop","index":0,"logprobs":null,"message":{"annotations":[],"content":"Bose, earbuds, kakobuy, kakebuy2026, kekobuysheet, kakobuysheet2026, 2026kakobuy, kakobuyspreadsheeet, kakobuylink, kakebuylist, Kakobuy MEGA Spreadsheet, kakobuysheetfind, kakobuysheetfind2026, 2026kakobuysheetfind, kakobuysheet2026","refusal":null,"role":"assistant"}}],"created":1777015082,"id":"chatcmpl-DY55WLEB1k5yZUzkFj1esEUuW2FF1","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9" t="inlineStr">
        <is>
          <t>Bose, earbuds, kakobuy, kakebuy2026, kekobuysheet, kakobuysheet2026, 2026kakobuy, kakobuyspreadsheeet, kakobuylink, kakebuylist, Kakobuy MEGA Spreadsheet, kakobuysheetfind, kakobuysheetfind2026, 2026kakobuysheetfind, kakobuysheet2026</t>
        </is>
      </c>
      <c r="Q9"/>
      <c r="R9" t="inlineStr">
        <is>
          <t>recvhju1CrLFc9</t>
        </is>
      </c>
      <c r="S9" t="inlineStr">
        <is>
          <t>bose-quietcomfort-earbuds-ii-black-recvhju1crlfc9</t>
        </is>
      </c>
      <c r="T9"/>
      <c r="U9"/>
      <c r="V9"/>
      <c r="W9" t="inlineStr">
        <is>
          <t>{"choices":[{"finish_reason":"stop","index":0,"logprobs":null,"message":{"annotations":[],"content":"Bose：QuietComfort Earbuds II 黑色真无线主动降噪耳机，轻盈质感机身搭载入耳式设计，支持蓝牙连接与触控操作，呈现沉浸式音效体验，简约现代风格，通勤休闲皆宜，男女皆可佩戴。","refusal":null,"role":"assistant"}}],"created":1777011817,"id":"chatcmpl-DY4Er9i0dIoumqtD38otZshtzc02z","model":"gpt-5-chat-latest","object":"chat.completion","service_tier":"default","system_fingerprint":"fp_ad66631dec","usage":{"completion_tokens":71,"completion_tokens_details":{"accepted_prediction_tokens":0,"audio_tokens":0,"reasoning_tokens":0,"rejected_prediction_tokens":0},"prompt_tokens":1303,"prompt_tokens_details":{"audio_tokens":0,"cached_tokens":0},"total_tokens":1374}}</t>
        </is>
      </c>
      <c r="X9" t="inlineStr">
        <is>
          <t>Bose：QuietComfort Earbuds II 黑色真无线主动降噪耳机，轻盈质感机身搭载入耳式设计，支持蓝牙连接与触控操作，呈现沉浸式音效体验，简约现代风格，通勤休闲皆宜，男女皆可佩戴。</t>
        </is>
      </c>
    </row>
    <row r="10" ht="25.5" customHeight="1">
      <c r="A10">
        <v>1654975475</v>
      </c>
      <c r="B10">
        <v>7618993582</v>
      </c>
      <c r="C10" s="2" t="str">
        <f>=HYPERLINK("https://weidian.com/item.html?itemID=7618993582", "https://weidian.com/item.html?itemID=7618993582")</f>
        <v>https://weidian.com/item.html?itemID=7618993582</v>
      </c>
      <c r="D10"/>
      <c r="E10" s="2" t="str">
        <f>=HYPERLINK("https://si.geilicdn.com/pcitem2014204438-09d70000019abaaf18b40a207569_1080_1080.jpg?w=640&amp;h=640", "https://si.geilicdn.com/pcitem2014204438-09d70000019abaaf18b40a207569_1080_1080.jpg?w=640&amp;h=640")</f>
        <v>https://si.geilicdn.com/pcitem2014204438-09d70000019abaaf18b40a207569_1080_1080.jpg?w=640&amp;h=640</v>
      </c>
      <c r="F10" t="inlineStr">
        <is>
          <t>Other</t>
        </is>
      </c>
      <c r="G10" t="inlineStr">
        <is>
          <t>Mont Blanc</t>
        </is>
      </c>
      <c r="H10">
        <v>460</v>
      </c>
      <c r="I10">
        <v>66.67</v>
      </c>
      <c r="J10" t="inlineStr">
        <is>
          <t>{"choices":[{"finish_reason":"stop","index":0,"logprobs":null,"message":{"annotations":[],"content":"Montblanc Black Gold Limited Edition Luxury Pen","refusal":null,"role":"assistant"}}],"created":1777014455,"id":"chatcmpl-DY4vPt3lURDOAtzJTpQGkZmWW5qi0","model":"gpt-5-chat-latest","object":"chat.completion","service_tier":"default","system_fingerprint":"fp_ad66631dec","usage":{"completion_tokens":10,"completion_tokens_details":{"accepted_prediction_tokens":0,"audio_tokens":0,"reasoning_tokens":0,"rejected_prediction_tokens":0},"prompt_tokens":881,"prompt_tokens_details":{"audio_tokens":0,"cached_tokens":0},"total_tokens":891}}</t>
        </is>
      </c>
      <c r="K10" t="inlineStr">
        <is>
          <t>Montblanc Black Gold Limited Edition Luxury Pen</t>
        </is>
      </c>
      <c r="L10" t="inlineStr">
        <is>
          <t>{"choices":[{"finish_reason":"stop","index":0,"logprobs":null,"message":{"annotations":[],"content":"Montblanc Black Gold Limited Edition Signature Pen, crafted from high-gloss resin and gold-plated metal, featuring the iconic snow peak emblem. Elegant German design for luxury collectors and business professionals.","refusal":null,"role":"assistant"}}],"created":1777013279,"id":"chatcmpl-DY4cROjx3PEe8bcdDcBY5y3KYUhzQ","model":"gpt-5-chat-latest","object":"chat.completion","service_tier":"default","system_fingerprint":"fp_ad66631dec","usage":{"completion_tokens":40,"completion_tokens_details":{"accepted_prediction_tokens":0,"audio_tokens":0,"reasoning_tokens":0,"rejected_prediction_tokens":0},"prompt_tokens":916,"prompt_tokens_details":{"audio_tokens":0,"cached_tokens":0},"total_tokens":956}}</t>
        </is>
      </c>
      <c r="M10" t="inlineStr">
        <is>
          <t>{"alt-svc":"h3=\":443\"; ma=2592000","apim-request-id":"edd28c33-4b59-40de-9ac7-bea3548bfa06","azureml-model-session":"d20260405234249-f9874baf","cache-control":"no-cache","connection":"close","content-length":"803","content-security-policy":"frame-ancestors 'self'","content-type":"application/json","date":"Fri, 24 Apr 2026 06:48:00 GMT","server":"Caddy","skip-error-remapping":"true","strict-transport-security":"max-age=31536000; includeSubDomains; preload","via":"1.1 Caddy","x-api-request-id":"20260424144758488148188DW6tneBS","x-content-type-options":"nosniff","x-frame-options":"SAMEORIGIN","x-ms-client-request-id":"Not-Set","x-ms-is-spilled-over":"false","x-ms-rai-invoked":"true","x-ms-region":"East US 2","x-new-api-version":"0.4.39","x-oneapi-request-id":"202604240647577023431418268d9d6hhJ4qAJb","x-ratelimit-abusepenalty-active":"False","x-ratelimit-limit-requests":"3850","x-ratelimit-limit-tokens":"3850000","x-ratelimit-remaining-requests":"3849","x-ratelimit-remaining-tokens":"3847879","x-ratelimit-renewalperiod-requests":"60","x-ratelimit-renewalperiod-tokens":"60","x-ratelimit-reset-requests":"22","x-ratelimit-reset-tokens":"33","x-request-id":"4b1f8108-dfae-4b9e-8c6f-5a6a8c8d651a"}</t>
        </is>
      </c>
      <c r="N10" t="inlineStr">
        <is>
          <t>Montblanc Black Gold Limited Edition Signature Pen, crafted from high-gloss resin and gold-plated metal, featuring the iconic snow peak emblem. Elegant German design for luxury collectors and business professionals.</t>
        </is>
      </c>
      <c r="O10" t="inlineStr">
        <is>
          <t>{"id":"chatcmpl-DY55344ZAhcsCkZ6xHrecqz2qbFNq","object":"chat.completion","created":1777015053,"model":"gpt-5-chat-latest","choices":[{"index":0,"message":{"role":"assistant","content":"Mont Blanc,pen,kakobuy,kakebuy2026,kekobuysheet,kakobuysheet2026,2026kakobuy,kakobuyspreadsheeet,kakobuylink,kakebuylist,Kakobuy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 t="inlineStr">
        <is>
          <t>Mont Blanc,pen,kakobuy,kakebuy2026,kekobuysheet,kakobuysheet2026,2026kakobuy,kakobuyspreadsheeet,kakobuylink,kakebuylist,Kakobuy MEGA Spreadsheet,kakobuysheetfind,kakobuysheetfind2026,2026kakobuysheetfind,kakobuysheet2026</t>
        </is>
      </c>
      <c r="Q10"/>
      <c r="R10" t="inlineStr">
        <is>
          <t>recvhju1CrYqLv</t>
        </is>
      </c>
      <c r="S10" t="inlineStr">
        <is>
          <t>montblanc-black-gold-pen-recvhju1cryqlv</t>
        </is>
      </c>
      <c r="T10"/>
      <c r="U10"/>
      <c r="V10"/>
      <c r="W10" t="inlineStr">
        <is>
          <t>{"choices":[{"finish_reason":"stop","index":0,"logprobs":null,"message":{"annotations":[],"content":"Mont Blanc：黑金经典限量款签字笔，甄选高光树脂与镀金金属材质，笔帽顶端镶嵌雪峰徽标，线条优雅沉稳。德式精工设计兼具收藏与书写功能，商务绅士必备，尽显奢华格调与时代艺术气息。","refusal":null,"role":"assistant"}}],"created":1777011752,"id":"chatcmpl-DY4Dop774r5S9swiijGXGX2Wpk1cT","model":"gpt-5-chat-latest","object":"chat.completion","service_tier":"default","system_fingerprint":"fp_ad66631dec","usage":{"completion_tokens":84,"completion_tokens_details":{"accepted_prediction_tokens":0,"audio_tokens":0,"reasoning_tokens":0,"rejected_prediction_tokens":0},"prompt_tokens":1298,"prompt_tokens_details":{"audio_tokens":0,"cached_tokens":0},"total_tokens":1382}}</t>
        </is>
      </c>
      <c r="X10" t="inlineStr">
        <is>
          <t>Mont Blanc：黑金经典限量款签字笔，甄选高光树脂与镀金金属材质，笔帽顶端镶嵌雪峰徽标，线条优雅沉稳。德式精工设计兼具收藏与书写功能，商务绅士必备，尽显奢华格调与时代艺术气息。</t>
        </is>
      </c>
    </row>
    <row r="11" ht="25.5" customHeight="1">
      <c r="A11">
        <v>1654975475</v>
      </c>
      <c r="B11">
        <v>7619174990</v>
      </c>
      <c r="C11" s="2" t="str">
        <f>=HYPERLINK("https://weidian.com/item.html?itemID=7619174990", "https://weidian.com/item.html?itemID=7619174990")</f>
        <v>https://weidian.com/item.html?itemID=7619174990</v>
      </c>
      <c r="D11"/>
      <c r="E11" s="2" t="str">
        <f>=HYPERLINK("https://si.geilicdn.com/pcitem2014204438-1ac10000019abdd598000a23057e_1179_1584.jpg?w=640&amp;h=640", "https://si.geilicdn.com/pcitem2014204438-1ac10000019abdd598000a23057e_1179_1584.jpg?w=640&amp;h=640")</f>
        <v>https://si.geilicdn.com/pcitem2014204438-1ac10000019abdd598000a23057e_1179_1584.jpg?w=640&amp;h=640</v>
      </c>
      <c r="F11" t="inlineStr">
        <is>
          <t>Toys</t>
        </is>
      </c>
      <c r="G11" t="inlineStr">
        <is>
          <t>Lego</t>
        </is>
      </c>
      <c r="H11">
        <v>370</v>
      </c>
      <c r="I11">
        <v>53.62</v>
      </c>
      <c r="J11" t="inlineStr">
        <is>
          <t>{"choices":[{"finish_reason":"stop","index":0,"logprobs":null,"message":{"annotations":[],"content":"LEGO Mercedes-AMG F1 W14 Race Car Set Black","refusal":null,"role":"assistant"}}],"created":1777014452,"id":"chatcmpl-DY4vMIfXnRkc6oW9UnlM7d7DXeBpa","model":"gpt-5-chat-latest","object":"chat.completion","service_tier":"default","system_fingerprint":"fp_ad66631dec","usage":{"completion_tokens":14,"completion_tokens_details":{"accepted_prediction_tokens":0,"audio_tokens":0,"reasoning_tokens":0,"rejected_prediction_tokens":0},"prompt_tokens":892,"prompt_tokens_details":{"audio_tokens":0,"cached_tokens":0},"total_tokens":906}}</t>
        </is>
      </c>
      <c r="K11" t="inlineStr">
        <is>
          <t>LEGO Mercedes-AMG F1 W14 Race Car Set Black</t>
        </is>
      </c>
      <c r="L11" t="inlineStr">
        <is>
          <t>{"id":"chatcmpl-DY4dQKSnhBK2EpeyqrkzHYcKkG25y","object":"chat.completion","created":1777013340,"model":"gpt-5-chat-latest","choices":[{"index":0,"message":{"role":"assistant","content":"LEGO Mercedes-AMG F1 W14 Race Car Set, black high-performance design with premium ABS bricks, precise engineering, realistic F1 details, ideal for adult collectors, modern tech style, display and play model.","refusal":null,"annotations":[]},"logprobs":null,"finish_reason":"stop"}],"usage":{"prompt_tokens":921,"completion_tokens":45,"total_tokens":966,"prompt_tokens_details":{"cached_tokens":0,"audio_tokens":0},"completion_tokens_details":{"reasoning_tokens":0,"audio_tokens":0,"accepted_prediction_tokens":0,"rejected_prediction_tokens":0}},"service_tier":"default","system_fingerprint":"fp_ad66631dec"}</t>
        </is>
      </c>
      <c r="M1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ma=2592000","apim-request-id":"e6c042ca-f7af-4d70-a511-10993db4a4dc","azureml-model-session":"d20260405221325-2e8d5e76","cache-control":"no-cache, no-store, must-revalidate","connection":"close","content-length":"1011","content-security-policy":"frame-ancestors 'self'","content-type":"application/json","date":"Fri, 24 Apr 2026 06:49:01 GMT","server":"Caddy","skip-error-remapping":"true","strict-transport-security":"max-age=31536000; includeSubDomains; preload","via":"1.1 Caddy","x-api-request-id":"20260424144859259903573HK81ZCTb","x-content-type-options":"nosniff","x-frame-options":"SAMEORIGIN","x-ms-is-spilled-over":"false","x-ms-rai-invoked":"false","x-ms-region":"East US 2","x-new-api-version":"0.4.39","x-oneapi-request-id":"20260424064859199198138268d9d6TlSMhnMl","x-ratelimit-abusepenalty-active":"False","x-ratelimit-limit-requests":"4992","x-ratelimit-limit-tokens":"4992000","x-ratelimit-remaining-requests":"4991","x-ratelimit-remaining-tokens":"4990317","x-ratelimit-renewalperiod-requests":"60","x-ratelimit-renewalperiod-tokens":"60","x-ratelimit-reset-requests":"12","x-ratelimit-reset-tokens":"20","x-request-id":"1325cef6-9d1b-462e-8374-3da487c85bf0"}</t>
        </is>
      </c>
      <c r="N11" t="inlineStr">
        <is>
          <t>LEGO Mercedes-AMG F1 W14 Race Car Set, black high-performance design with premium ABS bricks, precise engineering, realistic F1 details, ideal for adult collectors, modern tech style, display and play model.</t>
        </is>
      </c>
      <c r="O11" t="inlineStr">
        <is>
          <t>{"choices":[{"finish_reason":"stop","index":0,"logprobs":null,"message":{"annotations":[],"content":"Lego,Toy,kakobuy,kakebuy2026,kekobuysheet,kakobuysheet2026,2026kakobuy,kakobuyspreadsheeet,kakobuylink,kakebuylist,Kakobuy MEGA Spreadsheet,kakobuysheetfind,kakobuysheetfind2026,2026kakobuysheetfind,kakobuysheet2026","refusal":null,"role":"assistant"}}],"created":1777014824,"id":"chatcmpl-DY51M0ImZWMAQ5QJi0YwfZYhat2Fo","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1" t="inlineStr">
        <is>
          <t>Lego,Toy,kakobuy,kakebuy2026,kekobuysheet,kakobuysheet2026,2026kakobuy,kakobuyspreadsheeet,kakobuylink,kakebuylist,Kakobuy MEGA Spreadsheet,kakobuysheetfind,kakobuysheetfind2026,2026kakobuysheetfind,kakobuysheet2026</t>
        </is>
      </c>
      <c r="Q11"/>
      <c r="R11" t="inlineStr">
        <is>
          <t>recvhju1CrFOi1</t>
        </is>
      </c>
      <c r="S11" t="inlineStr">
        <is>
          <t>lego-mercedes-amg-f1-w14-race-car-recvhju1crfoi1</t>
        </is>
      </c>
      <c r="T11"/>
      <c r="U11"/>
      <c r="V11"/>
      <c r="W11" t="inlineStr">
        <is>
          <t>{"choices":[{"finish_reason":"stop","index":0,"logprobs":null,"message":{"annotations":[],"content":"LEGO：梅赛德斯-AMG F1 W14 赛车系列，黑色高性能机械风设计，采用优质ABS积木材质，结构精密还原真实F1赛车细节，彰显速度与力量的科技美感。适合成人拼搭收藏，现代科技潮流风格，兼具展示与娱乐功能，极具收藏价值的机械系列模型玩具。","refusal":null,"role":"assistant"}}],"created":1777011349,"id":"chatcmpl-DY47JJtWTKxK91xotsFnPlyh9ju3u","model":"gpt-5-chat-latest","object":"chat.completion","service_tier":"default","system_fingerprint":"fp_ad66631dec","usage":{"completion_tokens":88,"completion_tokens_details":{"accepted_prediction_tokens":0,"audio_tokens":0,"reasoning_tokens":0,"rejected_prediction_tokens":0},"prompt_tokens":1298,"prompt_tokens_details":{"audio_tokens":0,"cached_tokens":0},"total_tokens":1386}}</t>
        </is>
      </c>
      <c r="X11" t="inlineStr">
        <is>
          <t>LEGO：梅赛德斯-AMG F1 W14 赛车系列，黑色高性能机械风设计，采用优质ABS积木材质，结构精密还原真实F1赛车细节，彰显速度与力量的科技美感。适合成人拼搭收藏，现代科技潮流风格，兼具展示与娱乐功能，极具收藏价值的机械系列模型玩具。</t>
        </is>
      </c>
    </row>
    <row r="12" ht="25.5" customHeight="1">
      <c r="A12">
        <v>1654975475</v>
      </c>
      <c r="B12">
        <v>7616193287</v>
      </c>
      <c r="C12" s="2" t="str">
        <f>=HYPERLINK("https://weidian.com/item.html?itemID=7616193287", "https://weidian.com/item.html?itemID=7616193287")</f>
        <v>https://weidian.com/item.html?itemID=7616193287</v>
      </c>
      <c r="D12"/>
      <c r="E12" s="2" t="str">
        <f>=HYPERLINK("https://si.geilicdn.com/pcitem2014204438-184d0000019abdd50a280a2301b4_1440_1920.jpg?w=640&amp;h=640", "https://si.geilicdn.com/pcitem2014204438-184d0000019abdd50a280a2301b4_1440_1920.jpg?w=640&amp;h=640")</f>
        <v>https://si.geilicdn.com/pcitem2014204438-184d0000019abdd50a280a2301b4_1440_1920.jpg?w=640&amp;h=640</v>
      </c>
      <c r="F12" t="inlineStr">
        <is>
          <t>Toys</t>
        </is>
      </c>
      <c r="G12" t="inlineStr">
        <is>
          <t>Lego</t>
        </is>
      </c>
      <c r="H12">
        <v>440</v>
      </c>
      <c r="I12">
        <v>63.77</v>
      </c>
      <c r="J12" t="inlineStr">
        <is>
          <t>{"choices":[{"finish_reason":"stop","index":0,"logprobs":null,"message":{"annotations":[],"content":"Lego Harry Potter Hedwig White Owl Building Set","refusal":null,"role":"assistant"}}],"created":1777014209,"id":"chatcmpl-DY4rRPrn89opaQAiRlabZDbixCl2U","model":"gpt-5-chat-latest","object":"chat.completion","service_tier":"default","system_fingerprint":"fp_ad66631dec","usage":{"completion_tokens":11,"completion_tokens_details":{"accepted_prediction_tokens":0,"audio_tokens":0,"reasoning_tokens":0,"rejected_prediction_tokens":0},"prompt_tokens":880,"prompt_tokens_details":{"audio_tokens":0,"cached_tokens":0},"total_tokens":891}}</t>
        </is>
      </c>
      <c r="K12" t="inlineStr">
        <is>
          <t>Lego Harry Potter Hedwig White Owl Building Set</t>
        </is>
      </c>
      <c r="L12" t="inlineStr">
        <is>
          <t>{"id":"chatcmpl-DY4i1wxgptapGBMGSfj9jHlWPAU3U","object":"chat.completion","created":1777013625,"model":"gpt-5-chat-latest","choices":[{"index":0,"message":{"role":"assistant","content":"ToysLego Harry Potter White Hedwig Building Set made of eco-friendly ABS, detailed mechanical design, vivid wings, collectible for teens and adults, perfect for decor and magical world fans.","refusal":null,"annotations":[]},"logprobs":null,"finish_reason":"stop"}],"usage":{"prompt_tokens":907,"completion_tokens":39,"total_tokens":946,"prompt_tokens_details":{"cached_tokens":0,"audio_tokens":0},"completion_tokens_details":{"reasoning_tokens":0,"audio_tokens":0,"accepted_prediction_tokens":0,"rejected_prediction_tokens":0}},"service_tier":"default","system_fingerprint":"fp_ad66631dec"}</t>
        </is>
      </c>
      <c r="M1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ma=2592000","apim-request-id":"40005c6e-b139-4fbf-bdef-0d9edbce0717","azureml-model-session":"d20260402083108-57a85543","cache-control":"no-cache, no-store, must-revalidate","connection":"close","content-length":"994","content-security-policy":"frame-ancestors 'self'","content-type":"application/json","date":"Fri, 24 Apr 2026 06:53:48 GMT","server":"Caddy","skip-error-remapping":"true","strict-transport-security":"max-age=31536000; includeSubDomains; preload","via":"1.1 Caddy","x-api-request-id":"20260424145343389325366PmmxanM4","x-content-type-options":"nosniff","x-frame-options":"SAMEORIGIN","x-ms-is-spilled-over":"false","x-ms-rai-invoked":"false","x-ms-region":"Sweden Central","x-new-api-version":"0.4.39","x-oneapi-request-id":"202604240653425809160858268d9d6tgFmGf71","x-ratelimit-abusepenalty-active":"False","x-ratelimit-limit-requests":"4998","x-ratelimit-limit-tokens":"4998000","x-ratelimit-remaining-requests":"4997","x-ratelimit-remaining-tokens":"4996331","x-ratelimit-renewalperiod-requests":"60","x-ratelimit-renewalperiod-tokens":"60","x-ratelimit-reset-requests":"12","x-ratelimit-reset-tokens":"20","x-request-id":"9eb66872-60a5-49b9-8690-45ba49ba4a20"}</t>
        </is>
      </c>
      <c r="N12" t="inlineStr">
        <is>
          <t>ToysLego Harry Potter White Hedwig Building Set made of eco-friendly ABS, detailed mechanical design, vivid wings, collectible for teens and adults, perfect for decor and magical world fans.</t>
        </is>
      </c>
      <c r="O12" t="inlineStr">
        <is>
          <t>{"choices":[{"finish_reason":"stop","index":0,"logprobs":null,"message":{"annotations":[],"content":"Lego,Toys,kakobuy,kakebuy2026,kekobuysheet,kakobuysheet2026,2026kakobuy,kakobuyspreadsheeet,kakobuylink,kakebuylist,Kakobuy MEGA Spreadsheet,kakobuysheetfind,kakobuysheetfind2026,2026kakobuysheetfind,kakobuysheet2026","refusal":null,"role":"assistant"}}],"created":1777015366,"id":"chatcmpl-DY5A6K6CsCWWWvy5yJKKVTEfg7sJ6","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2" t="inlineStr">
        <is>
          <t>Lego,Toys,kakobuy,kakebuy2026,kekobuysheet,kakobuysheet2026,2026kakobuy,kakobuyspreadsheeet,kakobuylink,kakebuylist,Kakobuy MEGA Spreadsheet,kakobuysheetfind,kakobuysheetfind2026,2026kakobuysheetfind,kakobuysheet2026</t>
        </is>
      </c>
      <c r="Q12"/>
      <c r="R12" t="inlineStr">
        <is>
          <t>recvhju1CroOD1</t>
        </is>
      </c>
      <c r="S12" t="inlineStr">
        <is>
          <t>lego-harry-potter-hedwig-white-owl-recvhju1crood1</t>
        </is>
      </c>
      <c r="T12"/>
      <c r="U12"/>
      <c r="V12"/>
      <c r="W12" t="inlineStr">
        <is>
          <t>{"choices":[{"finish_reason":"stop","index":0,"logprobs":null,"message":{"annotations":[],"content":"Lego：哈利波特系列白色海德薇积木模型，精选ABS环保材质打造，精细机械拼装设计，展翼造型生动立体，收藏级风格适合青少年与成人，兼具装饰与收藏功能，展现魔法世界的独特魅力。","refusal":null,"role":"assistant"}}],"created":1777011450,"id":"chatcmpl-DY48wI1uO10LsKavw9j7L8ekrLyop","model":"gpt-5-chat-latest","object":"chat.completion","service_tier":"default","system_fingerprint":"fp_ad66631dec","usage":{"completion_tokens":72,"completion_tokens_details":{"accepted_prediction_tokens":0,"audio_tokens":0,"reasoning_tokens":0,"rejected_prediction_tokens":0},"prompt_tokens":1302,"prompt_tokens_details":{"audio_tokens":0,"cached_tokens":1280},"total_tokens":1374}}</t>
        </is>
      </c>
      <c r="X12" t="inlineStr">
        <is>
          <t>Lego：哈利波特系列白色海德薇积木模型，精选ABS环保材质打造，精细机械拼装设计，展翼造型生动立体，收藏级风格适合青少年与成人，兼具装饰与收藏功能，展现魔法世界的独特魅力。</t>
        </is>
      </c>
    </row>
    <row r="13" ht="25.5" customHeight="1">
      <c r="A13">
        <v>1654975475</v>
      </c>
      <c r="B13">
        <v>7619260260</v>
      </c>
      <c r="C13" s="2" t="str">
        <f>=HYPERLINK("https://weidian.com/item.html?itemID=7619260260", "https://weidian.com/item.html?itemID=7619260260")</f>
        <v>https://weidian.com/item.html?itemID=7619260260</v>
      </c>
      <c r="D13"/>
      <c r="E13" s="2" t="str">
        <f>=HYPERLINK("https://si.geilicdn.com/pcitem2014204438-0d400000019abdd2dd8f0a2396f4_800_800.jpg?w=640&amp;h=640", "https://si.geilicdn.com/pcitem2014204438-0d400000019abdd2dd8f0a2396f4_800_800.jpg?w=640&amp;h=640")</f>
        <v>https://si.geilicdn.com/pcitem2014204438-0d400000019abdd2dd8f0a2396f4_800_800.jpg?w=640&amp;h=640</v>
      </c>
      <c r="F13" t="inlineStr">
        <is>
          <t>Toys</t>
        </is>
      </c>
      <c r="G13" t="inlineStr">
        <is>
          <t>Lego</t>
        </is>
      </c>
      <c r="H13">
        <v>600</v>
      </c>
      <c r="I13">
        <v>86.96</v>
      </c>
      <c r="J13" t="inlineStr">
        <is>
          <t>{"choices":[{"finish_reason":"stop","index":0,"logprobs":null,"message":{"annotations":[],"content":"Lego Technic Rescue Helicopter Red White Yellow Set","refusal":null,"role":"assistant"}}],"created":1777014470,"id":"chatcmpl-DY4ve2tJ5QaW6HLaxMNeWhJiZwQFc","model":"gpt-5-chat-latest","object":"chat.completion","service_tier":"default","system_fingerprint":"fp_ad66631dec","usage":{"completion_tokens":12,"completion_tokens_details":{"accepted_prediction_tokens":0,"audio_tokens":0,"reasoning_tokens":0,"rejected_prediction_tokens":0},"prompt_tokens":888,"prompt_tokens_details":{"audio_tokens":0,"cached_tokens":0},"total_tokens":900}}</t>
        </is>
      </c>
      <c r="K13" t="inlineStr">
        <is>
          <t>Lego Technic Rescue Helicopter Red White Yellow Set</t>
        </is>
      </c>
      <c r="L13" t="inlineStr">
        <is>
          <t>{"choices":[{"finish_reason":"stop","index":0,"logprobs":null,"message":{"annotations":[],"content":"ToysLego Technic Red White Yellow Rescue Helicopter – realistic cockpit, rotors, and movable parts for authentic flight simulation; perfect for adult and teen builders, showcasing mechanical design and creative engineering fun.","refusal":null,"role":"assistant"}}],"created":1777013436,"id":"chatcmpl-DY4eyGgGzVHRiJNpkTXQEOdTNyX0S","model":"gpt-5-chat-latest","object":"chat.completion","service_tier":"default","system_fingerprint":"fp_ad66631dec","usage":{"completion_tokens":43,"completion_tokens_details":{"accepted_prediction_tokens":0,"audio_tokens":0,"reasoning_tokens":0,"rejected_prediction_tokens":0},"prompt_tokens":899,"prompt_tokens_details":{"audio_tokens":0,"cached_tokens":0},"total_tokens":942}}</t>
        </is>
      </c>
      <c r="M13" t="inlineStr">
        <is>
          <t>{"alt-svc":"h3=\":443\"; ma=2592000","apim-request-id":"d94c3a7a-a172-4c5a-8448-8280bc787329","azureml-model-session":"d20260405234249-f9874baf","cache-control":"no-cache","connection":"close","content-length":"817","content-security-policy":"frame-ancestors 'self'","content-type":"application/json","date":"Fri, 24 Apr 2026 06:50:37 GMT","server":"nginx","skip-error-remapping":"true","strict-transport-security":"max-age=31536000; includeSubDomains; preload","via":"1.1 Caddy, 1.1 Caddy","x-api-request-id":"20260424145035423914417B90SuDxO","x-content-type-options":"nosniff","x-frame-options":"SAMEORIGIN","x-ms-client-request-id":"Not-Set","x-ms-is-spilled-over":"false","x-ms-rai-invoked":"true","x-ms-region":"East US 2","x-new-api-version":"0.4.39","x-oneapi-request-id":"202604240650352211227928268d9d6I19RTKwm","x-ratelimit-abusepenalty-active":"False","x-ratelimit-limit-requests":"3850","x-ratelimit-limit-tokens":"3850000","x-ratelimit-remaining-requests":"3849","x-ratelimit-remaining-tokens":"3828570","x-ratelimit-renewalperiod-requests":"60","x-ratelimit-renewalperiod-tokens":"60","x-ratelimit-reset-requests":"15","x-ratelimit-reset-tokens":"333","x-request-id":"0d8592c2-d5c0-4542-a94d-d6600e90525a"}</t>
        </is>
      </c>
      <c r="N13" t="inlineStr">
        <is>
          <t>ToysLego Technic Red White Yellow Rescue Helicopter – realistic cockpit, rotors, and movable parts for authentic flight simulation; perfect for adult and teen builders, showcasing mechanical design and creative engineering fun.</t>
        </is>
      </c>
      <c r="O13" t="inlineStr">
        <is>
          <t>{"choices":[{"finish_reason":"stop","index":0,"logprobs":null,"message":{"annotations":[],"content":"Lego, Helicopter, kakobuy, kakebuy2026, kekobuysheet, kakobuysheet2026, 2026kakobuy, kakobuyspreadsheeet, kakobuylink, kakebuylist, Kakobuy MEGA Spreadsheet, kakobuysheetfind, kakobuysheetfind2026, 2026kakobuysheetfind, kakobuysheet2026","refusal":null,"role":"assistant"}}],"created":1777015014,"id":"chatcmpl-DY54QkBdXUrgx2wbg4Pf4kVZHobNm","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13" t="inlineStr">
        <is>
          <t>Lego, Helicopter, kakobuy, kakebuy2026, kekobuysheet, kakobuysheet2026, 2026kakobuy, kakobuyspreadsheeet, kakobuylink, kakebuylist, Kakobuy MEGA Spreadsheet, kakobuysheetfind, kakobuysheetfind2026, 2026kakobuysheetfind, kakobuysheet2026</t>
        </is>
      </c>
      <c r="Q13"/>
      <c r="R13" t="inlineStr">
        <is>
          <t>recvhju1CrnaRi</t>
        </is>
      </c>
      <c r="S13" t="inlineStr">
        <is>
          <t>lego-technic-rescue-helicopter-recvhju1crnari</t>
        </is>
      </c>
      <c r="T13"/>
      <c r="U13"/>
      <c r="V13"/>
      <c r="W13" t="inlineStr">
        <is>
          <t>{"choices":[{"finish_reason":"stop","index":0,"logprobs":null,"message":{"annotations":[],"content":"Lego：科技系列红白黄三色救援直升机模型，机械感结构设计，逼真旋翼与驾驶舱，可动部件还原真实飞行体验，适合成人与青少年收藏与拼搭，展现工程美学与创意乐趣。","refusal":null,"role":"assistant"}}],"created":1777011321,"id":"chatcmpl-DY46rkbTIHxt6b9qc0VOFBm76gMpS","model":"gpt-5-chat-latest","object":"chat.completion","service_tier":"default","system_fingerprint":"fp_ad66631dec","usage":{"completion_tokens":64,"completion_tokens_details":{"accepted_prediction_tokens":0,"audio_tokens":0,"reasoning_tokens":0,"rejected_prediction_tokens":0},"prompt_tokens":1302,"prompt_tokens_details":{"audio_tokens":0,"cached_tokens":1280},"total_tokens":1366}}</t>
        </is>
      </c>
      <c r="X13" t="inlineStr">
        <is>
          <t>Lego：科技系列红白黄三色救援直升机模型，机械感结构设计，逼真旋翼与驾驶舱，可动部件还原真实飞行体验，适合成人与青少年收藏与拼搭，展现工程美学与创意乐趣。</t>
        </is>
      </c>
    </row>
    <row r="14" ht="25.5" customHeight="1">
      <c r="A14">
        <v>1654975475</v>
      </c>
      <c r="B14">
        <v>7616177399</v>
      </c>
      <c r="C14" s="2" t="str">
        <f>=HYPERLINK("https://weidian.com/item.html?itemID=7616177399", "https://weidian.com/item.html?itemID=7616177399")</f>
        <v>https://weidian.com/item.html?itemID=7616177399</v>
      </c>
      <c r="D14"/>
      <c r="E14" s="2" t="str">
        <f>=HYPERLINK("https://si.geilicdn.com/pcitem2014204438-20ef0000019abdd0680b0a2315ef_1444_1926.jpg?w=640&amp;h=640", "https://si.geilicdn.com/pcitem2014204438-20ef0000019abdd0680b0a2315ef_1444_1926.jpg?w=640&amp;h=640")</f>
        <v>https://si.geilicdn.com/pcitem2014204438-20ef0000019abdd0680b0a2315ef_1444_1926.jpg?w=640&amp;h=640</v>
      </c>
      <c r="F14" t="inlineStr">
        <is>
          <t>Toys</t>
        </is>
      </c>
      <c r="G14" t="inlineStr">
        <is>
          <t>BE@RBRICK</t>
        </is>
      </c>
      <c r="H14">
        <v>1120</v>
      </c>
      <c r="I14">
        <v>162.32</v>
      </c>
      <c r="J14" t="inlineStr">
        <is>
          <t>{"id":"chatcmpl-DY4wwfhLYAKMb12aTUWx1mhJgoGpu","object":"chat.completion","created":1777014550,"model":"gpt-5-chat-latest","choices":[{"index":0,"message":{"role":"assistant","content":"BE@RBRICK Audio Smoky Black Transparent Bluetooth Speaker Toy","refusal":null,"annotations":[]},"logprobs":null,"finish_reason":"stop"}],"usage":{"prompt_tokens":875,"completion_tokens":14,"total_tokens":889,"prompt_tokens_details":{"cached_tokens":0,"audio_tokens":0},"completion_tokens_details":{"reasoning_tokens":0,"audio_tokens":0,"accepted_prediction_tokens":0,"rejected_prediction_tokens":0}},"service_tier":"default","system_fingerprint":"fp_ad66631dec"}</t>
        </is>
      </c>
      <c r="K14" t="inlineStr">
        <is>
          <t>BE@RBRICK Audio Smoky Black Transparent Bluetooth Speaker Toy</t>
        </is>
      </c>
      <c r="L14" t="inlineStr">
        <is>
          <t>{"choices":[{"finish_reason":"stop","index":0,"logprobs":null,"message":{"annotations":[],"content":"BE@RBRICK AUDIO Series Smoky Black Transparent Bluetooth Speaker Figure, ABS resin, futuristic mechanical design, unisex collectible art toy for home decor and music enjoyment.","refusal":null,"role":"assistant"}}],"created":1777013185,"id":"chatcmpl-DY4av3Elv8VqPqbPlushFRKELqadw","model":"gpt-5-chat-latest","object":"chat.completion","service_tier":"default","system_fingerprint":"fp_ad66631dec","usage":{"completion_tokens":35,"completion_tokens_details":{"accepted_prediction_tokens":0,"audio_tokens":0,"reasoning_tokens":0,"rejected_prediction_tokens":0},"prompt_tokens":895,"prompt_tokens_details":{"audio_tokens":0,"cached_tokens":0},"total_tokens":930}}</t>
        </is>
      </c>
      <c r="M14" t="inlineStr">
        <is>
          <t>{"alt-svc":"h3=\":443\"; ma=2592000","apim-request-id":"bd83237d-9858-4d39-bc86-b765a0b7d719","azureml-model-session":"d20260405221325-2e8d5e76","cache-control":"no-cache","connection":"close","content-length":"764","content-security-policy":"frame-ancestors 'self'","content-type":"application/json","date":"Fri, 24 Apr 2026 06:46:27 GMT","server":"nginx","skip-error-remapping":"true","strict-transport-security":"max-age=31536000; includeSubDomains; preload","via":"1.1 Caddy, 1.1 Caddy","x-api-request-id":"20260424144624873216303DIout4QX","x-content-type-options":"nosniff","x-frame-options":"SAMEORIGIN","x-ms-client-request-id":"Not-Set","x-ms-is-spilled-over":"false","x-ms-rai-invoked":"true","x-ms-region":"East US 2","x-new-api-version":"0.4.39","x-oneapi-request-id":"202604240646247105209858268d9d6rxihspZw","x-ratelimit-abusepenalty-active":"False","x-ratelimit-limit-requests":"3850","x-ratelimit-limit-tokens":"3850000","x-ratelimit-remaining-requests":"3849","x-ratelimit-remaining-tokens":"3848343","x-ratelimit-renewalperiod-requests":"60","x-ratelimit-renewalperiod-tokens":"60","x-ratelimit-reset-requests":"15","x-ratelimit-reset-tokens":"25","x-request-id":"04f493f7-bf0c-4191-ba9d-7ce3d32eea34"}</t>
        </is>
      </c>
      <c r="N14" t="inlineStr">
        <is>
          <t>BE@RBRICK AUDIO Series Smoky Black Transparent Bluetooth Speaker Figure, ABS resin, futuristic mechanical design, unisex collectible art toy for home decor and music enjoyment.</t>
        </is>
      </c>
      <c r="O14" t="inlineStr">
        <is>
          <t>{"id":"chatcmpl-DY555TWakEMeRmh3wMseqAbvM5IN9","object":"chat.completion","created":1777015055,"model":"gpt-5-chat-latest","choices":[{"index":0,"message":{"role":"assistant","content":"Bearbrick,Toy,kakobuy,kakebuy2026,kekobuysheet,kakobuysheet2026,2026kakobuy,kakobuyspreadsheeet,kakobuylink,kakebuylist,Kakobuy MEGA Spreadsheet,kakobuysheetfind,kakobuysheetfind2026,2026kakobuysheetfind,kakobuysheet2026","refusal":null,"annotations":[]},"logprobs":null,"finish_reason":"stop"}],"usage":{"prompt_tokens":786,"completion_tokens":87,"total_tokens":873,"prompt_tokens_details":{"cached_tokens":0,"audio_tokens":0},"completion_tokens_details":{"reasoning_tokens":0,"audio_tokens":0,"accepted_prediction_tokens":0,"rejected_prediction_tokens":0}},"service_tier":"default","system_fingerprint":"fp_ad66631dec"}</t>
        </is>
      </c>
      <c r="P14" t="inlineStr">
        <is>
          <t>Bearbrick,Toy,kakobuy,kakebuy2026,kekobuysheet,kakobuysheet2026,2026kakobuy,kakobuyspreadsheeet,kakobuylink,kakebuylist,Kakobuy MEGA Spreadsheet,kakobuysheetfind,kakobuysheetfind2026,2026kakobuysheetfind,kakobuysheet2026</t>
        </is>
      </c>
      <c r="Q14"/>
      <c r="R14" t="inlineStr">
        <is>
          <t>recvhju1CrJUIF</t>
        </is>
      </c>
      <c r="S14" t="inlineStr">
        <is>
          <t>bearbrick-audio-smoky-black-transparent-bluetooth-speaker-toy-recvhju1crjuif</t>
        </is>
      </c>
      <c r="T14"/>
      <c r="U14"/>
      <c r="V14"/>
      <c r="W14" t="inlineStr">
        <is>
          <t>{"choices":[{"finish_reason":"stop","index":0,"logprobs":null,"message":{"annotations":[],"content":"BE@RBRICK: AUDIO系列烟熏黑透明蓝牙音箱公仔，ABS树脂材质打造，机械透视设计融合未来主义潮流风格，男女皆宜，现代家居收藏与音乐播放两用艺术玩具。","refusal":null,"role":"assistant"}}],"created":1777011626,"id":"chatcmpl-DY4Bmq6GPtT6B0nvQfjj9EDVw6BXw","model":"gpt-5-chat-latest","object":"chat.completion","service_tier":"default","system_fingerprint":"fp_ad66631dec","usage":{"completion_tokens":57,"completion_tokens_details":{"accepted_prediction_tokens":0,"audio_tokens":0,"reasoning_tokens":0,"rejected_prediction_tokens":0},"prompt_tokens":1308,"prompt_tokens_details":{"audio_tokens":0,"cached_tokens":1280},"total_tokens":1365}}</t>
        </is>
      </c>
      <c r="X14" t="inlineStr">
        <is>
          <t>BE@RBRICK: AUDIO系列烟熏黑透明蓝牙音箱公仔，ABS树脂材质打造，机械透视设计融合未来主义潮流风格，男女皆宜，现代家居收藏与音乐播放两用艺术玩具。</t>
        </is>
      </c>
    </row>
    <row r="15" ht="25.5" customHeight="1">
      <c r="A15">
        <v>1654975475</v>
      </c>
      <c r="B15">
        <v>7616289725</v>
      </c>
      <c r="C15" s="2" t="str">
        <f>=HYPERLINK("https://weidian.com/item.html?itemID=7616289725", "https://weidian.com/item.html?itemID=7616289725")</f>
        <v>https://weidian.com/item.html?itemID=7616289725</v>
      </c>
      <c r="D15"/>
      <c r="E15" s="2" t="str">
        <f>=HYPERLINK("https://si.geilicdn.com/pcitem2014204438-392d0000019abdcb23740a2103bd_780_585.jpg?w=640&amp;h=640", "https://si.geilicdn.com/pcitem2014204438-392d0000019abdcb23740a2103bd_780_585.jpg?w=640&amp;h=640")</f>
        <v>https://si.geilicdn.com/pcitem2014204438-392d0000019abdcb23740a2103bd_780_585.jpg?w=640&amp;h=640</v>
      </c>
      <c r="F15" t="inlineStr">
        <is>
          <t>Toys</t>
        </is>
      </c>
      <c r="G15" t="inlineStr">
        <is>
          <t>Lego</t>
        </is>
      </c>
      <c r="H15">
        <v>1000</v>
      </c>
      <c r="I15">
        <v>144.93</v>
      </c>
      <c r="J15" t="inlineStr">
        <is>
          <t>{"choices":[{"finish_reason":"stop","index":0,"logprobs":null,"message":{"annotations":[],"content":"Lego Super Mario Red Gray Castle Building Set","refusal":null,"role":"assistant"}}],"created":1777014448,"id":"chatcmpl-DY4vIiJl1SkS4q7pcvMkBohoyZfDs","model":"gpt-5-chat-latest","object":"chat.completion","service_tier":"default","system_fingerprint":"fp_ad66631dec","usage":{"completion_tokens":10,"completion_tokens_details":{"accepted_prediction_tokens":0,"audio_tokens":0,"reasoning_tokens":0,"rejected_prediction_tokens":0},"prompt_tokens":602,"prompt_tokens_details":{"audio_tokens":0,"cached_tokens":0},"total_tokens":612}}</t>
        </is>
      </c>
      <c r="K15" t="inlineStr">
        <is>
          <t>Lego Super Mario Red Gray Castle Building Set</t>
        </is>
      </c>
      <c r="L15" t="inlineStr">
        <is>
          <t>{"id":"chatcmpl-DY4hCwwvfIMQBUnTNSORMsdA5ah95","object":"chat.completion","created":1777013574,"model":"gpt-5-chat-latest","choices":[{"index":0,"message":{"role":"assistant","content":"ToysLego Lego Super Mario Red &amp; Gray Castle Set, made of premium eco-friendly ABS, sturdy and creative retro game scene design, perfect for kids and collectors, fun educational building toy.","refusal":null,"annotations":[]},"logprobs":null,"finish_reason":"stop"}],"usage":{"prompt_tokens":608,"completion_tokens":40,"total_tokens":648,"prompt_tokens_details":{"cached_tokens":0,"audio_tokens":0},"completion_tokens_details":{"reasoning_tokens":0,"audio_tokens":0,"accepted_prediction_tokens":0,"rejected_prediction_tokens":0}},"service_tier":"default","system_fingerprint":"fp_ad66631dec"}</t>
        </is>
      </c>
      <c r="M1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ma=2592000","apim-request-id":"f61109f3-c7ae-43d8-8141-4ee6cec0bf90","azureml-model-session":"d20260405225800-40f19e54","cache-control":"no-cache, no-store, must-revalidate","connection":"close","content-length":"994","content-security-policy":"frame-ancestors 'self'","content-type":"application/json","date":"Fri, 24 Apr 2026 06:52:56 GMT","server":"nginx","skip-error-remapping":"true","strict-transport-security":"max-age=31536000; includeSubDomains; preload","via":"1.1 Caddy, 1.1 Caddy","x-api-request-id":"20260424145253239798266uFTbC4cU","x-content-type-options":"nosniff","x-frame-options":"SAMEORIGIN","x-ms-is-spilled-over":"false","x-ms-rai-invoked":"false","x-ms-region":"Sweden Central","x-new-api-version":"0.4.39","x-oneapi-request-id":"202604240652529298268178268d9d6iLBAJe1k","x-ratelimit-abusepenalty-active":"False","x-ratelimit-limit-requests":"4998","x-ratelimit-limit-tokens":"4998000","x-ratelimit-remaining-requests":"4997","x-ratelimit-remaining-tokens":"4996628","x-ratelimit-renewalperiod-requests":"60","x-ratelimit-renewalperiod-tokens":"60","x-ratelimit-reset-requests":"12","x-ratelimit-reset-tokens":"16","x-request-id":"17ce60f5-ccd2-4472-a4ca-0bfe5e8b5050"}</t>
        </is>
      </c>
      <c r="N15" t="inlineStr">
        <is>
          <t>ToysLego Lego Super Mario Red &amp; Gray Castle Set, made of premium eco-friendly ABS, sturdy and creative retro game scene design, perfect for kids and collectors, fun educational building toy.</t>
        </is>
      </c>
      <c r="O15" t="inlineStr">
        <is>
          <t>{"id":"chatcmpl-DY51RgaMu8VrrxJsMeLvQFp41rArT","object":"chat.completion","created":1777014829,"model":"gpt-5-chat-latest","choices":[{"index":0,"message":{"role":"assistant","content":"Lego,Toys,kakobuy,kakebuy2026,kekobuysheet,kakobuysheet2026,2026kakobuy,kakobuyspreadsheeet,kakobuylink,kakebuylist,Kakobuy MEGA Spreadsheet,kakobuysheetfind,kakobuysheetfind2026,2026kakobuysheetfind,kakobuysheet2026","refusal":null,"annotations":[]},"logprobs":null,"finish_reason":"stop"}],"usage":{"prompt_tokens":503,"completion_tokens":87,"total_tokens":590,"prompt_tokens_details":{"cached_tokens":0,"audio_tokens":0},"completion_tokens_details":{"reasoning_tokens":0,"audio_tokens":0,"accepted_prediction_tokens":0,"rejected_prediction_tokens":0}},"service_tier":"default","system_fingerprint":"fp_ad66631dec"}</t>
        </is>
      </c>
      <c r="P15" t="inlineStr">
        <is>
          <t>Lego,Toys,kakobuy,kakebuy2026,kekobuysheet,kakobuysheet2026,2026kakobuy,kakobuyspreadsheeet,kakobuylink,kakebuylist,Kakobuy MEGA Spreadsheet,kakobuysheetfind,kakobuysheetfind2026,2026kakobuysheetfind,kakobuysheet2026</t>
        </is>
      </c>
      <c r="Q15"/>
      <c r="R15" t="inlineStr">
        <is>
          <t>recvhju1Cr8wES</t>
        </is>
      </c>
      <c r="S15" t="inlineStr">
        <is>
          <t>lego-super-mario-red-gray-castle-recvhju1cr8wes</t>
        </is>
      </c>
      <c r="T15"/>
      <c r="U15"/>
      <c r="V15"/>
      <c r="W15" t="inlineStr">
        <is>
          <t>{"choices":[{"finish_reason":"stop","index":0,"logprobs":null,"message":{"annotations":[],"content":"Lego：超级玛丽系列红灰色积木城堡套装，采用高品质ABS环保材质，拼搭结构稳固，创意复古游戏场景设计，男女皆宜，趣味收藏与儿童益智玩具兼具。","refusal":null,"role":"assistant"}}],"created":1777011353,"id":"chatcmpl-DY47NLjgLmOr8pvGnJ9PeG4UUk7AR","model":"gpt-5-chat-latest","object":"chat.completion","service_tier":"default","system_fingerprint":"fp_ad66631dec","usage":{"completion_tokens":57,"completion_tokens_details":{"accepted_prediction_tokens":0,"audio_tokens":0,"reasoning_tokens":0,"rejected_prediction_tokens":0},"prompt_tokens":1014,"prompt_tokens_details":{"audio_tokens":0,"cached_tokens":0},"total_tokens":1071}}</t>
        </is>
      </c>
      <c r="X15" t="inlineStr">
        <is>
          <t>Lego：超级玛丽系列红灰色积木城堡套装，采用高品质ABS环保材质，拼搭结构稳固，创意复古游戏场景设计，男女皆宜，趣味收藏与儿童益智玩具兼具。</t>
        </is>
      </c>
    </row>
    <row r="16" ht="25.5" customHeight="1">
      <c r="A16">
        <v>1654975475</v>
      </c>
      <c r="B16">
        <v>7616402177</v>
      </c>
      <c r="C16" s="2" t="str">
        <f>=HYPERLINK("https://weidian.com/item.html?itemID=7616402177", "https://weidian.com/item.html?itemID=7616402177")</f>
        <v>https://weidian.com/item.html?itemID=7616402177</v>
      </c>
      <c r="D16"/>
      <c r="E16" s="2" t="str">
        <f>=HYPERLINK("https://si.geilicdn.com/pcitem2014204438-2e1f0000019abe143df80a23041a_912_684.jpg?w=640&amp;h=640", "https://si.geilicdn.com/pcitem2014204438-2e1f0000019abe143df80a23041a_912_684.jpg?w=640&amp;h=640")</f>
        <v>https://si.geilicdn.com/pcitem2014204438-2e1f0000019abe143df80a23041a_912_684.jpg?w=640&amp;h=640</v>
      </c>
      <c r="F16" t="inlineStr">
        <is>
          <t>Toys</t>
        </is>
      </c>
      <c r="G16" t="inlineStr">
        <is>
          <t>Lego</t>
        </is>
      </c>
      <c r="H16">
        <v>360</v>
      </c>
      <c r="I16">
        <v>52.17</v>
      </c>
      <c r="J16" t="inlineStr">
        <is>
          <t>{"id":"chatcmpl-DY4tU77SeyF2vB9utGZpFYKc3nMeU","object":"chat.completion","created":1777014336,"model":"gpt-5-chat-latest","choices":[{"index":0,"message":{"role":"assistant","content":"LEGO Speed Champions Ferrari Red Racing Car Model","refusal":null,"annotations":[]},"logprobs":null,"finish_reason":"stop"}],"usage":{"prompt_tokens":594,"completion_tokens":10,"total_tokens":604,"prompt_tokens_details":{"cached_tokens":0,"audio_tokens":0},"completion_tokens_details":{"reasoning_tokens":0,"audio_tokens":0,"accepted_prediction_tokens":0,"rejected_prediction_tokens":0}},"service_tier":"default","system_fingerprint":"fp_ad66631dec"}</t>
        </is>
      </c>
      <c r="K16" t="inlineStr">
        <is>
          <t>LEGO Speed Champions Ferrari Red Racing Car Model</t>
        </is>
      </c>
      <c r="L16" t="inlineStr">
        <is>
          <t>{"choices":[{"finish_reason":"stop","index":0,"logprobs":null,"message":{"annotations":[],"content":"LEGO Speed Champions Ferrari red race car model, featuring precision engineering, high-quality ABS bricks, sleek aerodynamic design, and Italian racing aesthetics—perfect for adult collectors and display.","refusal":null,"role":"assistant"}}],"created":1777013532,"id":"chatcmpl-DY4gWYXQ0bTNA0YuoJOYM8jiGqgSM","model":"gpt-5-chat-latest","object":"chat.completion","service_tier":"default","system_fingerprint":"fp_ad66631dec","usage":{"completion_tokens":36,"completion_tokens_details":{"accepted_prediction_tokens":0,"audio_tokens":0,"reasoning_tokens":0,"rejected_prediction_tokens":0},"prompt_tokens":620,"prompt_tokens_details":{"audio_tokens":0,"cached_tokens":0},"total_tokens":656}}</t>
        </is>
      </c>
      <c r="M16" t="inlineStr">
        <is>
          <t>{"alt-svc":"h3=\":443\"; ma=2592000","apim-request-id":"8a1485c6-4a13-4c66-90b5-6234ccf74bcf","azureml-model-session":"d20260402083108-57a85543","cache-control":"no-cache","connection":"close","content-length":"794","content-security-policy":"frame-ancestors 'self'","content-type":"application/json","date":"Fri, 24 Apr 2026 06:52:14 GMT","server":"Caddy","skip-error-remapping":"true","strict-transport-security":"max-age=31536000; includeSubDomains; preload","via":"1.1 Caddy","x-api-request-id":"20260424145212324880759c8ByKJb2","x-content-type-options":"nosniff","x-frame-options":"SAMEORIGIN","x-ms-client-request-id":"Not-Set","x-ms-is-spilled-over":"false","x-ms-rai-invoked":"true","x-ms-region":"East US 2","x-new-api-version":"0.4.39","x-oneapi-request-id":"202604240652121909892178268d9d6QzqdBWjH","x-ratelimit-abusepenalty-active":"False","x-ratelimit-limit-requests":"3850","x-ratelimit-limit-tokens":"3850000","x-ratelimit-remaining-requests":"3849","x-ratelimit-remaining-tokens":"3848616","x-ratelimit-renewalperiod-requests":"60","x-ratelimit-renewalperiod-tokens":"60","x-ratelimit-reset-requests":"15","x-ratelimit-reset-tokens":"21","x-request-id":"940ed110-d800-4f3e-b46f-184f06735228"}</t>
        </is>
      </c>
      <c r="N16" t="inlineStr">
        <is>
          <t>LEGO Speed Champions Ferrari red race car model, featuring precision engineering, high-quality ABS bricks, sleek aerodynamic design, and Italian racing aesthetics—perfect for adult collectors and display.</t>
        </is>
      </c>
      <c r="O16" t="inlineStr">
        <is>
          <t>{"choices":[{"finish_reason":"stop","index":0,"logprobs":null,"message":{"annotations":[],"content":"Lego,Toy,kakobuy,kakebuy2026,kekobuysheet,kakobuysheet2026,2026kakobuy,kakobuyspreadsheeet,kakobuylink,kakebuylist,Kakobuy MEGA Spreadsheet,kakobuysheetfind,kakobuysheetfind2026,2026kakobuysheetfind,kakobuysheet2026","refusal":null,"role":"assistant"}}],"created":1777015196,"id":"chatcmpl-DY57Mn82e9RGSGq6VlZM2znoGGpxI","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is>
      </c>
      <c r="P16" t="inlineStr">
        <is>
          <t>Lego,Toy,kakobuy,kakebuy2026,kekobuysheet,kakobuysheet2026,2026kakobuy,kakobuyspreadsheeet,kakobuylink,kakebuylist,Kakobuy MEGA Spreadsheet,kakobuysheetfind,kakobuysheetfind2026,2026kakobuysheetfind,kakobuysheet2026</t>
        </is>
      </c>
      <c r="Q16"/>
      <c r="R16" t="inlineStr">
        <is>
          <t>recvhju1CrjHlX</t>
        </is>
      </c>
      <c r="S16" t="inlineStr">
        <is>
          <t>ferrari-red-racing-car-recvhju1crjhlx</t>
        </is>
      </c>
      <c r="T16"/>
      <c r="U16"/>
      <c r="V16"/>
      <c r="W16" t="inlineStr">
        <is>
          <t>{"choices":[{"finish_reason":"stop","index":0,"logprobs":null,"message":{"annotations":[],"content":"LEGO：Speed Champions系列红色法拉利赛车模型，精密机械结构，采用高品质ABS拼插积木材质，流线型竞速设计，蕴含意大利赛车美学，适合成人收藏与展示，复古赛道风格彰显品牌速度与激情。","refusal":null,"role":"assistant"}}],"created":1777011708,"id":"chatcmpl-DY4D6yYmdnOfJcwOUJNhX62kqVUIr","model":"gpt-5-chat-latest","object":"chat.completion","service_tier":"default","system_fingerprint":"fp_ad66631dec","usage":{"completion_tokens":67,"completion_tokens_details":{"accepted_prediction_tokens":0,"audio_tokens":0,"reasoning_tokens":0,"rejected_prediction_tokens":0},"prompt_tokens":1018,"prompt_tokens_details":{"audio_tokens":0,"cached_tokens":0},"total_tokens":1085}}</t>
        </is>
      </c>
      <c r="X16" t="inlineStr">
        <is>
          <t>LEGO：Speed Champions系列红色法拉利赛车模型，精密机械结构，采用高品质ABS拼插积木材质，流线型竞速设计，蕴含意大利赛车美学，适合成人收藏与展示，复古赛道风格彰显品牌速度与激情。</t>
        </is>
      </c>
    </row>
    <row r="17" ht="25.5" customHeight="1">
      <c r="A17">
        <v>1654975475</v>
      </c>
      <c r="B17">
        <v>7619322778</v>
      </c>
      <c r="C17" s="2" t="str">
        <f>=HYPERLINK("https://weidian.com/item.html?itemID=7619322778", "https://weidian.com/item.html?itemID=7619322778")</f>
        <v>https://weidian.com/item.html?itemID=7619322778</v>
      </c>
      <c r="D17"/>
      <c r="E17" s="2" t="str">
        <f>=HYPERLINK("https://si.geilicdn.com/pcitem2014204438-33cb0000019abe136a300a23111a_750_1631.jpg?w=640&amp;h=640", "https://si.geilicdn.com/pcitem2014204438-33cb0000019abe136a300a23111a_750_1631.jpg?w=640&amp;h=640")</f>
        <v>https://si.geilicdn.com/pcitem2014204438-33cb0000019abe136a300a23111a_750_1631.jpg?w=640&amp;h=640</v>
      </c>
      <c r="F17" t="inlineStr">
        <is>
          <t>Toys</t>
        </is>
      </c>
      <c r="G17" t="inlineStr">
        <is>
          <t>Lego</t>
        </is>
      </c>
      <c r="H17">
        <v>330</v>
      </c>
      <c r="I17">
        <v>47.83</v>
      </c>
      <c r="J17" t="inlineStr">
        <is>
          <t>{"choices":[{"finish_reason":"stop","index":0,"logprobs":null,"message":{"annotations":[],"content":"LEGO Technic Porsche 911 RSR White Racing Car Model","refusal":null,"role":"assistant"}}],"created":1777014364,"id":"chatcmpl-DY4twBTHtuyyPnNzNa5rLbYgJUShO","model":"gpt-5-chat-latest","object":"chat.completion","service_tier":"default","system_fingerprint":"fp_ad66631dec","usage":{"completion_tokens":14,"completion_tokens_details":{"accepted_prediction_tokens":0,"audio_tokens":0,"reasoning_tokens":0,"rejected_prediction_tokens":0},"prompt_tokens":1160,"prompt_tokens_details":{"audio_tokens":0,"cached_tokens":1152},"total_tokens":1174}}</t>
        </is>
      </c>
      <c r="K17" t="inlineStr">
        <is>
          <t>LEGO Technic Porsche 911 RSR White Racing Car Model</t>
        </is>
      </c>
      <c r="L17" t="inlineStr">
        <is>
          <t>{"choices":[{"finish_reason":"stop","index":0,"logprobs":null,"message":{"annotations":[],"content":"LEGO Technic Porsche 911 RSR white racing car model, made with premium ABS plastic, featuring intricate mechanical design, dynamic sporty look, and collectible build inspired by modern motorsport.","refusal":null,"role":"assistant"}}],"created":1777013204,"id":"chatcmpl-DY4bEtSUjhMxCsdrvapTnumQrOosO","model":"gpt-5-chat-latest","object":"chat.completion","service_tier":"default","system_fingerprint":"fp_ad66631dec","usage":{"completion_tokens":39,"completion_tokens_details":{"accepted_prediction_tokens":0,"audio_tokens":0,"reasoning_tokens":0,"rejected_prediction_tokens":0},"prompt_tokens":1175,"prompt_tokens_details":{"audio_tokens":0,"cached_tokens":0},"total_tokens":1214}}</t>
        </is>
      </c>
      <c r="M17" t="inlineStr">
        <is>
          <t>{"alt-svc":"h3=\":443\"; ma=2592000","apim-request-id":"8040b701-c9eb-48cd-9251-2835493f53ab","azureml-model-session":"d20260405221325-2e8d5e76","cache-control":"no-cache","connection":"close","content-length":"786","content-security-policy":"frame-ancestors 'self'","content-type":"application/json","date":"Fri, 24 Apr 2026 06:46:45 GMT","server":"nginx","skip-error-remapping":"true","strict-transport-security":"max-age=31536000; includeSubDomains; preload","via":"1.1 Caddy, 1.1 Caddy","x-api-request-id":"202604241446421441270535YAAeoCv","x-content-type-options":"nosniff","x-frame-options":"SAMEORIGIN","x-ms-client-request-id":"Not-Set","x-ms-is-spilled-over":"false","x-ms-rai-invoked":"true","x-ms-region":"East US 2","x-new-api-version":"0.4.39","x-oneapi-request-id":"202604240646413853360398268d9d6UXYsVcsx","x-ratelimit-abusepenalty-active":"False","x-ratelimit-limit-requests":"3850","x-ratelimit-limit-tokens":"3850000","x-ratelimit-remaining-requests":"3849","x-ratelimit-remaining-tokens":"3848062","x-ratelimit-renewalperiod-requests":"60","x-ratelimit-renewalperiod-tokens":"60","x-ratelimit-reset-requests":"15","x-ratelimit-reset-tokens":"30","x-request-id":"9a249735-f0ef-4e7c-87b0-d9dcece669b9"}</t>
        </is>
      </c>
      <c r="N17" t="inlineStr">
        <is>
          <t>LEGO Technic Porsche 911 RSR white racing car model, made with premium ABS plastic, featuring intricate mechanical design, dynamic sporty look, and collectible build inspired by modern motorsport.</t>
        </is>
      </c>
      <c r="O17" t="inlineStr">
        <is>
          <t>{"choices":[{"finish_reason":"stop","index":0,"logprobs":null,"message":{"annotations":[],"content":"Lego,Toys,kakobuy,kakebuy2026,kekobuysheet,kakobuysheet2026,2026kakobuy,kakobuyspreadsheeet,kakobuylink,kakebuylist,Kakobuy MEGA Spreadsheet,kakobuysheetfind,kakobuysheetfind2026,2026kakobuysheetfind,kakobuysheet2026","refusal":null,"role":"assistant"}}],"created":1777015047,"id":"chatcmpl-DY54xPG2si7263Lpp2h2J087jlKkM","model":"gpt-5-chat-latest","object":"chat.completion","service_tier":"default","system_fingerprint":"fp_ad66631dec","usage":{"completion_tokens":87,"completion_tokens_details":{"accepted_prediction_tokens":0,"audio_tokens":0,"reasoning_tokens":0,"rejected_prediction_tokens":0},"prompt_tokens":1063,"prompt_tokens_details":{"audio_tokens":0,"cached_tokens":0},"total_tokens":1150}}</t>
        </is>
      </c>
      <c r="P17" t="inlineStr">
        <is>
          <t>Lego,Toys,kakobuy,kakebuy2026,kekobuysheet,kakobuysheet2026,2026kakobuy,kakobuyspreadsheeet,kakobuylink,kakebuylist,Kakobuy MEGA Spreadsheet,kakobuysheetfind,kakobuysheetfind2026,2026kakobuysheetfind,kakobuysheet2026</t>
        </is>
      </c>
      <c r="Q17"/>
      <c r="R17" t="inlineStr">
        <is>
          <t>recvhju1CrsnBo</t>
        </is>
      </c>
      <c r="S17" t="inlineStr">
        <is>
          <t>lego-porsche-911-rsr-white-racing-recvhju1crsnbo</t>
        </is>
      </c>
      <c r="T17"/>
      <c r="U17"/>
      <c r="V17"/>
      <c r="W17" t="inlineStr">
        <is>
          <t>{"choices":[{"finish_reason":"stop","index":0,"logprobs":null,"message":{"annotations":[],"content":"LEGO：Technic系列白色保时捷911 RSR赛车拼装模型，采用高品质ABS塑料结构，精致机械设计与赛车风格结合，动感酷炫造型，男女皆宜，现代竞速灵感打造收藏级拼装玩具。","refusal":null,"role":"assistant"}}],"created":1777011855,"id":"chatcmpl-DY4FTFNbMABU9IrkGvuPKHsG5awr9","model":"gpt-5-chat-latest","object":"chat.completion","service_tier":"default","system_fingerprint":"fp_ad66631dec","usage":{"completion_tokens":63,"completion_tokens_details":{"accepted_prediction_tokens":0,"audio_tokens":0,"reasoning_tokens":0,"rejected_prediction_tokens":0},"prompt_tokens":1576,"prompt_tokens_details":{"audio_tokens":0,"cached_tokens":0},"total_tokens":1639}}</t>
        </is>
      </c>
      <c r="X17" t="inlineStr">
        <is>
          <t>LEGO：Technic系列白色保时捷911 RSR赛车拼装模型，采用高品质ABS塑料结构，精致机械设计与赛车风格结合，动感酷炫造型，男女皆宜，现代竞速灵感打造收藏级拼装玩具。</t>
        </is>
      </c>
    </row>
    <row r="18" ht="25.5" customHeight="1">
      <c r="A18">
        <v>1654975475</v>
      </c>
      <c r="B18">
        <v>7616167187</v>
      </c>
      <c r="C18" s="2" t="str">
        <f>=HYPERLINK("https://weidian.com/item.html?itemID=7616167187", "https://weidian.com/item.html?itemID=7616167187")</f>
        <v>https://weidian.com/item.html?itemID=7616167187</v>
      </c>
      <c r="D18"/>
      <c r="E18" s="2" t="str">
        <f>=HYPERLINK("https://si.geilicdn.com/pcitem2014204438-17af0000019abdd364320a23037f_829_829.jpg?w=640&amp;h=640", "https://si.geilicdn.com/pcitem2014204438-17af0000019abdd364320a23037f_829_829.jpg?w=640&amp;h=640")</f>
        <v>https://si.geilicdn.com/pcitem2014204438-17af0000019abdd364320a23037f_829_829.jpg?w=640&amp;h=640</v>
      </c>
      <c r="F18" t="inlineStr">
        <is>
          <t>Toys</t>
        </is>
      </c>
      <c r="G18" t="inlineStr">
        <is>
          <t>Lego</t>
        </is>
      </c>
      <c r="H18">
        <v>470</v>
      </c>
      <c r="I18">
        <v>68.12</v>
      </c>
      <c r="J18" t="inlineStr">
        <is>
          <t>{"id":"chatcmpl-DY4uCYw33OvuQmDIzCg8HqAH8pWFV","object":"chat.completion","created":1777014380,"model":"gpt-5-chat-latest","choices":[{"index":0,"message":{"role":"assistant","content":"Lego Technic Orange Off-Road SUV Building Set","refusal":null,"annotations":[]},"logprobs":null,"finish_reason":"stop"}],"usage":{"prompt_tokens":888,"completion_tokens":12,"total_tokens":900,"prompt_tokens_details":{"cached_tokens":0,"audio_tokens":0},"completion_tokens_details":{"reasoning_tokens":0,"audio_tokens":0,"accepted_prediction_tokens":0,"rejected_prediction_tokens":0}},"service_tier":"default","system_fingerprint":"fp_ad66631dec"}</t>
        </is>
      </c>
      <c r="K18" t="inlineStr">
        <is>
          <t>Lego Technic Orange Off-Road SUV Building Set</t>
        </is>
      </c>
      <c r="L18" t="inlineStr">
        <is>
          <t>{"choices":[{"finish_reason":"stop","index":0,"logprobs":null,"message":{"annotations":[],"content":"ToysLego Technic Orange Off-Road SUV Model, made of premium eco-friendly ABS, features realistic details and precise mechanics—perfect for adults and teens to build, display, and admire modern engineering.","refusal":null,"role":"assistant"}}],"created":1777013391,"id":"chatcmpl-DY4eFpyms4HNKuJXmxPu2ewp2XO7Q","model":"gpt-5-chat-latest","object":"chat.completion","service_tier":"default","system_fingerprint":"fp_ad66631dec","usage":{"completion_tokens":43,"completion_tokens_details":{"accepted_prediction_tokens":0,"audio_tokens":0,"reasoning_tokens":0,"rejected_prediction_tokens":0},"prompt_tokens":890,"prompt_tokens_details":{"audio_tokens":0,"cached_tokens":0},"total_tokens":933}}</t>
        </is>
      </c>
      <c r="M18" t="inlineStr">
        <is>
          <t>{"alt-svc":"h3=\":443\"; ma=2592000","apim-request-id":"07c2b000-9471-4112-95be-8a2227f3c29c","azureml-model-session":"d20260405234249-f9874baf","cache-control":"no-cache","connection":"close","content-length":"795","content-security-policy":"frame-ancestors 'self'","content-type":"application/json","date":"Fri, 24 Apr 2026 06:49:52 GMT","server":"Caddy","skip-error-remapping":"true","strict-transport-security":"max-age=31536000; includeSubDomains; preload","via":"1.1 Caddy","x-api-request-id":"20260424144950401817192nO5okb2o","x-content-type-options":"nosniff","x-frame-options":"SAMEORIGIN","x-ms-client-request-id":"Not-Set","x-ms-is-spilled-over":"false","x-ms-rai-invoked":"true","x-ms-region":"East US 2","x-new-api-version":"0.4.39","x-oneapi-request-id":"20260424064950276199328268d9d6XO7uCbzx","x-ratelimit-abusepenalty-active":"False","x-ratelimit-limit-requests":"3850","x-ratelimit-limit-tokens":"3850000","x-ratelimit-remaining-requests":"3849","x-ratelimit-remaining-tokens":"3848348","x-ratelimit-renewalperiod-requests":"60","x-ratelimit-renewalperiod-tokens":"60","x-ratelimit-reset-requests":"15","x-ratelimit-reset-tokens":"25","x-request-id":"ea9dae65-12f3-4972-ace9-fef65a75eb7e"}</t>
        </is>
      </c>
      <c r="N18" t="inlineStr">
        <is>
          <t>ToysLego Technic Orange Off-Road SUV Model, made of premium eco-friendly ABS, features realistic details and precise mechanics—perfect for adults and teens to build, display, and admire modern engineering.</t>
        </is>
      </c>
      <c r="O18" t="inlineStr">
        <is>
          <t>{"choices":[{"finish_reason":"stop","index":0,"logprobs":null,"message":{"annotations":[],"content":"Lego,Toy Car,kakobuy,kakebuy2026,kekobuysheet,kakobuysheet2026,2026kakobuy,kakobuyspreadsheeet,kakobuylink,kakebuylist,Kakobuy MEGA Spreadsheet,kakobuysheetfind,kakobuysheetfind2026,2026kakobuysheetfind,kakobuysheet2026","refusal":null,"role":"assistant"}}],"created":1777015247,"id":"chatcmpl-DY58B3vl5pP8D2ihanXOjj3Pmwnj5","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8" t="inlineStr">
        <is>
          <t>Lego,Toy Car,kakobuy,kakebuy2026,kekobuysheet,kakobuysheet2026,2026kakobuy,kakobuyspreadsheeet,kakobuylink,kakebuylist,Kakobuy MEGA Spreadsheet,kakobuysheetfind,kakobuysheetfind2026,2026kakobuysheetfind,kakobuysheet2026</t>
        </is>
      </c>
      <c r="Q18"/>
      <c r="R18" t="inlineStr">
        <is>
          <t>recvhju1Cr72ws</t>
        </is>
      </c>
      <c r="S18" t="inlineStr">
        <is>
          <t>lego-technic-orange-off-road-suv-recvhju1cr72ws</t>
        </is>
      </c>
      <c r="T18"/>
      <c r="U18"/>
      <c r="V18"/>
      <c r="W18" t="inlineStr">
        <is>
          <t>{"choices":[{"finish_reason":"stop","index":0,"logprobs":null,"message":{"annotations":[],"content":"Lego：科技系列橙色越野车模型，采用高品质ABS环保材质，细节逼真，机械结构精密，彰显硬派越野风格，适合成人与青少年拼搭收藏，展现现代工程设计之美。","refusal":null,"role":"assistant"}}],"created":1777011453,"id":"chatcmpl-DY48zrD9gQfBLA3SfP1bUCEojZCSD","model":"gpt-5-chat-latest","object":"chat.completion","service_tier":"default","system_fingerprint":"fp_ad66631dec","usage":{"completion_tokens":59,"completion_tokens_details":{"accepted_prediction_tokens":0,"audio_tokens":0,"reasoning_tokens":0,"rejected_prediction_tokens":0},"prompt_tokens":1294,"prompt_tokens_details":{"audio_tokens":0,"cached_tokens":0},"total_tokens":1353}}</t>
        </is>
      </c>
      <c r="X18" t="inlineStr">
        <is>
          <t>Lego：科技系列橙色越野车模型，采用高品质ABS环保材质，细节逼真，机械结构精密，彰显硬派越野风格，适合成人与青少年拼搭收藏，展现现代工程设计之美。</t>
        </is>
      </c>
    </row>
    <row r="19" ht="25.5" customHeight="1">
      <c r="A19">
        <v>1654975475</v>
      </c>
      <c r="B19">
        <v>7616173447</v>
      </c>
      <c r="C19" s="2" t="str">
        <f>=HYPERLINK("https://weidian.com/item.html?itemID=7616173447", "https://weidian.com/item.html?itemID=7616173447")</f>
        <v>https://weidian.com/item.html?itemID=7616173447</v>
      </c>
      <c r="D19"/>
      <c r="E19" s="2" t="str">
        <f>=HYPERLINK("https://si.geilicdn.com/pcitem2014204438-16890000019abdd277d00a23047e_800_800.jpg?w=640&amp;h=640", "https://si.geilicdn.com/pcitem2014204438-16890000019abdd277d00a23047e_800_800.jpg?w=640&amp;h=640")</f>
        <v>https://si.geilicdn.com/pcitem2014204438-16890000019abdd277d00a23047e_800_800.jpg?w=640&amp;h=640</v>
      </c>
      <c r="F19" t="inlineStr">
        <is>
          <t>Toys</t>
        </is>
      </c>
      <c r="G19" t="inlineStr">
        <is>
          <t>Lego</t>
        </is>
      </c>
      <c r="H19">
        <v>560</v>
      </c>
      <c r="I19">
        <v>81.16</v>
      </c>
      <c r="J19" t="inlineStr">
        <is>
          <t>{"id":"chatcmpl-DY4x7HtfBzVjurxsxWBg2VAPF2LvU","object":"chat.completion","created":1777014561,"model":"gpt-5-chat-latest","choices":[{"index":0,"message":{"role":"assistant","content":"Lego Technic Orange Sports Car Building Set","refusal":null,"annotations":[]},"logprobs":null,"finish_reason":"stop"}],"usage":{"prompt_tokens":876,"completion_tokens":10,"total_tokens":886,"prompt_tokens_details":{"cached_tokens":0,"audio_tokens":0},"completion_tokens_details":{"reasoning_tokens":0,"audio_tokens":0,"accepted_prediction_tokens":0,"rejected_prediction_tokens":0}},"service_tier":"default","system_fingerprint":"fp_ad66631dec"}</t>
        </is>
      </c>
      <c r="K19" t="inlineStr">
        <is>
          <t>Lego Technic Orange Sports Car Building Set</t>
        </is>
      </c>
      <c r="L19" t="inlineStr">
        <is>
          <t>{"choices":[{"finish_reason":"stop","index":0,"logprobs":null,"message":{"annotations":[],"content":"Lego Technic Orange Sports Car Model – high-precision mechanical design, eco-friendly ABS plastic, realistic movable parts, dynamic racing style, perfect for adult collectors and engineering enthusiasts.","refusal":null,"role":"assistant"}}],"created":1777013377,"id":"chatcmpl-DY4e1JMgyEWftTbHEgIYf0KQwAV2N","model":"gpt-5-chat-latest","object":"chat.completion","service_tier":"default","system_fingerprint":"fp_ad66631dec","usage":{"completion_tokens":37,"completion_tokens_details":{"accepted_prediction_tokens":0,"audio_tokens":0,"reasoning_tokens":0,"rejected_prediction_tokens":0},"prompt_tokens":892,"prompt_tokens_details":{"audio_tokens":0,"cached_tokens":0},"total_tokens":929}}</t>
        </is>
      </c>
      <c r="M19" t="inlineStr">
        <is>
          <t>{"alt-svc":"h3=\":443\"; ma=2592000","apim-request-id":"cfac502e-5ffe-4280-a03b-50fa548c0806","azureml-model-session":"d20260405221325-2e8d5e76","cache-control":"no-cache","connection":"close","content-length":"793","content-security-policy":"frame-ancestors 'self'","content-type":"application/json","date":"Fri, 24 Apr 2026 06:49:39 GMT","server":"nginx","skip-error-remapping":"true","strict-transport-security":"max-age=31536000; includeSubDomains; preload","via":"1.1 Caddy, 1.1 Caddy","x-api-request-id":"20260424144937184291996Rx9NnOjJ","x-content-type-options":"nosniff","x-frame-options":"SAMEORIGIN","x-ms-client-request-id":"Not-Set","x-ms-is-spilled-over":"false","x-ms-rai-invoked":"true","x-ms-region":"East US 2","x-new-api-version":"0.4.39","x-oneapi-request-id":"20260424064937785437128268d9d6lkhsILfk","x-ratelimit-abusepenalty-active":"False","x-ratelimit-limit-requests":"3850","x-ratelimit-limit-tokens":"3850000","x-ratelimit-remaining-requests":"3849","x-ratelimit-remaining-tokens":"3847772","x-ratelimit-renewalperiod-requests":"60","x-ratelimit-renewalperiod-tokens":"60","x-ratelimit-reset-requests":"15","x-ratelimit-reset-tokens":"34","x-request-id":"2526ce40-ea87-4437-b389-80a74f9ea6f8"}</t>
        </is>
      </c>
      <c r="N19" t="inlineStr">
        <is>
          <t>Lego Technic Orange Sports Car Model – high-precision mechanical design, eco-friendly ABS plastic, realistic movable parts, dynamic racing style, perfect for adult collectors and engineering enthusiasts.</t>
        </is>
      </c>
      <c r="O19" t="inlineStr">
        <is>
          <t>{"choices":[{"finish_reason":"stop","index":0,"logprobs":null,"message":{"annotations":[],"content":"Lego,Toy Car,kakobuy,kakebuy2026,kekobuysheet,kakobuysheet2026,2026kakobuy,kakobuyspreadsheeet,kakobuylink,kakebuylist,Kakobuy MEGA Spreadsheet,kakobuysheetfind,kakobuysheetfind2026,2026kakobuysheetfind,kakobuysheet2026","refusal":null,"role":"assistant"}}],"created":1777015274,"id":"chatcmpl-DY58c44sxeO99TTMPpkGpsw0HcNzM","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9" t="inlineStr">
        <is>
          <t>Lego,Toy Car,kakobuy,kakebuy2026,kekobuysheet,kakobuysheet2026,2026kakobuy,kakobuyspreadsheeet,kakobuylink,kakebuylist,Kakobuy MEGA Spreadsheet,kakobuysheetfind,kakobuysheetfind2026,2026kakobuysheetfind,kakobuysheet2026</t>
        </is>
      </c>
      <c r="Q19"/>
      <c r="R19" t="inlineStr">
        <is>
          <t>recvhju1CrAIRr</t>
        </is>
      </c>
      <c r="S19" t="inlineStr">
        <is>
          <t>lego-technic-orange-sports-car-recvhju1crairr</t>
        </is>
      </c>
      <c r="T19"/>
      <c r="U19"/>
      <c r="V19"/>
      <c r="W19" t="inlineStr">
        <is>
          <t>{"id":"chatcmpl-DY4ApfNMQ8wOVo17BPkzPMpzdTP1c","object":"chat.completion","created":1777011567,"model":"gpt-5-chat-latest","choices":[{"index":0,"message":{"role":"assistant","content":"Lego：Technic系列橙色跑车积木模型，高精度机械结构设计，ABS环保塑料打造，细节逼真可动零件，动感赛车风格，适合成人收藏与拼搭，展现工程美学与速度魅力。","refusal":null,"annotations":[]},"logprobs":null,"finish_reason":"stop"}],"usage":{"prompt_tokens":1294,"completion_tokens":62,"total_tokens":1356,"prompt_tokens_details":{"cached_tokens":0,"audio_tokens":0},"completion_tokens_details":{"reasoning_tokens":0,"audio_tokens":0,"accepted_prediction_tokens":0,"rejected_prediction_tokens":0}},"service_tier":"default","system_fingerprint":"fp_ad66631dec"}</t>
        </is>
      </c>
      <c r="X19" t="inlineStr">
        <is>
          <t>Lego：Technic系列橙色跑车积木模型，高精度机械结构设计，ABS环保塑料打造，细节逼真可动零件，动感赛车风格，适合成人收藏与拼搭，展现工程美学与速度魅力。</t>
        </is>
      </c>
    </row>
    <row r="20" ht="25.5" customHeight="1">
      <c r="A20">
        <v>1654975475</v>
      </c>
      <c r="B20">
        <v>7619213054</v>
      </c>
      <c r="C20" s="2" t="str">
        <f>=HYPERLINK("https://weidian.com/item.html?itemID=7619213054", "https://weidian.com/item.html?itemID=7619213054")</f>
        <v>https://weidian.com/item.html?itemID=7619213054</v>
      </c>
      <c r="D20"/>
      <c r="E20" s="2" t="str">
        <f>=HYPERLINK("https://si.geilicdn.com/pcitem2014204438-11ff0000019abdd10eae0a8134f0_1280_1707.jpg?w=640&amp;h=640", "https://si.geilicdn.com/pcitem2014204438-11ff0000019abdd10eae0a8134f0_1280_1707.jpg?w=640&amp;h=640")</f>
        <v>https://si.geilicdn.com/pcitem2014204438-11ff0000019abdd10eae0a8134f0_1280_1707.jpg?w=640&amp;h=640</v>
      </c>
      <c r="F20" t="inlineStr">
        <is>
          <t>Toys</t>
        </is>
      </c>
      <c r="G20" t="inlineStr">
        <is>
          <t>Lego</t>
        </is>
      </c>
      <c r="H20">
        <v>330</v>
      </c>
      <c r="I20">
        <v>47.83</v>
      </c>
      <c r="J20" t="inlineStr">
        <is>
          <t>{"id":"chatcmpl-DY4tFHfIHCrHHOPCeOm8NklCcqaXh","object":"chat.completion","created":1777014321,"model":"gpt-5-chat-latest","choices":[{"index":0,"message":{"role":"assistant","content":"LEGO Technic BMW M1000RR Motorcycle Model Toy 1920pcs","refusal":null,"annotations":[]},"logprobs":null,"finish_reason":"stop"}],"usage":{"prompt_tokens":880,"completion_tokens":17,"total_tokens":897,"prompt_tokens_details":{"cached_tokens":0,"audio_tokens":0},"completion_tokens_details":{"reasoning_tokens":0,"audio_tokens":0,"accepted_prediction_tokens":0,"rejected_prediction_tokens":0}},"service_tier":"default","system_fingerprint":"fp_ad66631dec"}</t>
        </is>
      </c>
      <c r="K20" t="inlineStr">
        <is>
          <t>LEGO Technic BMW M1000RR Motorcycle Model Toy 1920pcs</t>
        </is>
      </c>
      <c r="L20" t="inlineStr">
        <is>
          <t>{"choices":[{"finish_reason":"stop","index":0,"logprobs":null,"message":{"annotations":[],"content":"LEGO Technic BMW M 1000 RR Motorcycle Model, blue-white-red design, high-quality ABS, detailed mechanical build, realistic riding features, perfect for adult collectors and engineering enthusiasts.","refusal":null,"role":"assistant"}}],"created":1777013284,"id":"chatcmpl-DY4cWBic5NI0ruXdfN4lYR8jmtCVu","model":"gpt-5-chat-latest","object":"chat.completion","service_tier":"default","system_fingerprint":"fp_ad66631dec","usage":{"completion_tokens":39,"completion_tokens_details":{"accepted_prediction_tokens":0,"audio_tokens":0,"reasoning_tokens":0,"rejected_prediction_tokens":0},"prompt_tokens":902,"prompt_tokens_details":{"audio_tokens":0,"cached_tokens":0},"total_tokens":941}}</t>
        </is>
      </c>
      <c r="M20" t="inlineStr">
        <is>
          <t>{"alt-svc":"h3=\":443\"; ma=2592000","apim-request-id":"3d34d1ad-fdc4-45d9-b37c-d3f1436a1818","azureml-model-session":"d20260405212659-a9daa006","cache-control":"no-cache","connection":"close","content-length":"785","content-security-policy":"frame-ancestors 'self'","content-type":"application/json","date":"Fri, 24 Apr 2026 06:48:06 GMT","server":"nginx","skip-error-remapping":"true","strict-transport-security":"max-age=31536000; includeSubDomains; preload","via":"1.1 Caddy, 1.1 Caddy","x-api-request-id":"20260424144803469219933ekB5pgNn","x-content-type-options":"nosniff","x-frame-options":"SAMEORIGIN","x-ms-client-request-id":"Not-Set","x-ms-is-spilled-over":"false","x-ms-rai-invoked":"true","x-ms-region":"East US 2","x-new-api-version":"0.4.39","x-oneapi-request-id":"202604240648032898584818268d9d6MoKZOr6I","x-ratelimit-abusepenalty-active":"False","x-ratelimit-limit-requests":"3850","x-ratelimit-limit-tokens":"3850000","x-ratelimit-remaining-requests":"3849","x-ratelimit-remaining-tokens":"3746415","x-ratelimit-renewalperiod-requests":"60","x-ratelimit-renewalperiod-tokens":"60","x-ratelimit-reset-requests":"15","x-ratelimit-reset-tokens":"1614","x-request-id":"8c5efbbd-064d-4c33-a1b1-9fbdf2c3bdbc"}</t>
        </is>
      </c>
      <c r="N20" t="inlineStr">
        <is>
          <t>LEGO Technic BMW M 1000 RR Motorcycle Model, blue-white-red design, high-quality ABS, detailed mechanical build, realistic riding features, perfect for adult collectors and engineering enthusiasts.</t>
        </is>
      </c>
      <c r="O20" t="inlineStr">
        <is>
          <t>{"id":"chatcmpl-DY57ZgtzzxuzxLcO0QIwAeK3ep05m","object":"chat.completion","created":1777015209,"model":"gpt-5-chat-latest","choices":[{"index":0,"message":{"role":"assistant","content":"Lego,Motorcycle,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0" t="inlineStr">
        <is>
          <t>Lego,Motorcycle,kakobuy,kakebuy2026,kekobuysheet,kakobuysheet2026,2026kakobuy,kakobuyspreadsheeet,kakobuylink,kakebuylist,Kakobuy MEGA Spreadsheet,kakobuysheetfind,kakobuysheetfind2026,2026kakobuysheetfind,kakobuysheet2026</t>
        </is>
      </c>
      <c r="Q20"/>
      <c r="R20" t="inlineStr">
        <is>
          <t>recvhju1CrxwN1</t>
        </is>
      </c>
      <c r="S20" t="inlineStr">
        <is>
          <t>lego-technic-bmw-m1000rr-motorcycle-recvhju1crxwn1</t>
        </is>
      </c>
      <c r="T20"/>
      <c r="U20"/>
      <c r="V20"/>
      <c r="W20" t="inlineStr">
        <is>
          <t>{"choices":[{"finish_reason":"stop","index":0,"logprobs":null,"message":{"annotations":[],"content":"Lego：Technic系列蓝白红配色BMW M 1000 RR机车模型，精密机械结构，采用高品质ABS材质，展现真实驾驶细节，成人收藏级设计风格，适合机车爱好者与工程迷，彰显现代科技美感。","refusal":null,"role":"assistant"}}],"created":1777011572,"id":"chatcmpl-DY4AuTvWR50wDY0VxlGSI5vvr6Nx1","model":"gpt-5-chat-latest","object":"chat.completion","service_tier":"default","system_fingerprint":"fp_ad66631dec","usage":{"completion_tokens":66,"completion_tokens_details":{"accepted_prediction_tokens":0,"audio_tokens":0,"reasoning_tokens":0,"rejected_prediction_tokens":0},"prompt_tokens":1304,"prompt_tokens_details":{"audio_tokens":0,"cached_tokens":0},"total_tokens":1370}}</t>
        </is>
      </c>
      <c r="X20" t="inlineStr">
        <is>
          <t>Lego：Technic系列蓝白红配色BMW M 1000 RR机车模型，精密机械结构，采用高品质ABS材质，展现真实驾驶细节，成人收藏级设计风格，适合机车爱好者与工程迷，彰显现代科技美感。</t>
        </is>
      </c>
    </row>
    <row r="21" ht="25.5" customHeight="1">
      <c r="A21">
        <v>1654975475</v>
      </c>
      <c r="B21">
        <v>7619257844</v>
      </c>
      <c r="C21" s="2" t="str">
        <f>=HYPERLINK("https://weidian.com/item.html?itemID=7619257844", "https://weidian.com/item.html?itemID=7619257844")</f>
        <v>https://weidian.com/item.html?itemID=7619257844</v>
      </c>
      <c r="D21"/>
      <c r="E21" s="2" t="str">
        <f>=HYPERLINK("https://si.geilicdn.com/pcitem2014204438-12900000019abdd191be0a2102c5_1080_726.jpg?w=640&amp;h=640", "https://si.geilicdn.com/pcitem2014204438-12900000019abdd191be0a2102c5_1080_726.jpg?w=640&amp;h=640")</f>
        <v>https://si.geilicdn.com/pcitem2014204438-12900000019abdd191be0a2102c5_1080_726.jpg?w=640&amp;h=640</v>
      </c>
      <c r="F21" t="inlineStr">
        <is>
          <t>Toys</t>
        </is>
      </c>
      <c r="G21" t="inlineStr">
        <is>
          <t>Lego</t>
        </is>
      </c>
      <c r="H21">
        <v>360</v>
      </c>
      <c r="I21">
        <v>52.17</v>
      </c>
      <c r="J21" t="inlineStr">
        <is>
          <t>{"choices":[{"finish_reason":"stop","index":0,"logprobs":null,"message":{"annotations":[],"content":"Lego Ferrari Racing Car Building Set for Adults","refusal":null,"role":"assistant"}}],"created":1777014568,"id":"chatcmpl-DY4xEP78rzWMSMRjAfjxWwgmGyYhv","model":"gpt-5-chat-latest","object":"chat.completion","service_tier":"default","system_fingerprint":"fp_ad66631dec","usage":{"completion_tokens":10,"completion_tokens_details":{"accepted_prediction_tokens":0,"audio_tokens":0,"reasoning_tokens":0,"rejected_prediction_tokens":0},"prompt_tokens":600,"prompt_tokens_details":{"audio_tokens":0,"cached_tokens":0},"total_tokens":610}}</t>
        </is>
      </c>
      <c r="K21" t="inlineStr">
        <is>
          <t>Lego Ferrari Racing Car Building Set for Adults</t>
        </is>
      </c>
      <c r="L21" t="inlineStr">
        <is>
          <t>{"choices":[{"finish_reason":"stop","index":0,"logprobs":null,"message":{"annotations":[],"content":"ToysLegoLego Ferrari Racing Car Building Set – high-quality ABS blocks, realistic design, dynamic decals, collectible tech model for adults, embodying modern speed aesthetics and engineering excellence.","refusal":null,"role":"assistant"}}],"created":1777013635,"id":"chatcmpl-DY4iBYkdeHL5EMWjqCalmlSXKf2si","model":"gpt-5-chat-latest","object":"chat.completion","service_tier":"default","system_fingerprint":"fp_ad66631dec","usage":{"completion_tokens":39,"completion_tokens_details":{"accepted_prediction_tokens":0,"audio_tokens":0,"reasoning_tokens":0,"rejected_prediction_tokens":0},"prompt_tokens":628,"prompt_tokens_details":{"audio_tokens":0,"cached_tokens":0},"total_tokens":667}}</t>
        </is>
      </c>
      <c r="M21" t="inlineStr">
        <is>
          <t>{"alt-svc":"h3=\":443\"; ma=2592000","apim-request-id":"60fb8fb1-ac09-48b4-adc3-9ba7e2a5a3d3","azureml-model-session":"d20260405221325-2e8d5e76","cache-control":"no-cache","connection":"close","content-length":"792","content-security-policy":"frame-ancestors 'self'","content-type":"application/json","date":"Fri, 24 Apr 2026 06:53:57 GMT","server":"nginx","skip-error-remapping":"true","strict-transport-security":"max-age=31536000; includeSubDomains; preload","via":"1.1 Caddy, 1.1 Caddy","x-api-request-id":"20260424145354823062117QZcvuqK4","x-content-type-options":"nosniff","x-frame-options":"SAMEORIGIN","x-ms-client-request-id":"Not-Set","x-ms-is-spilled-over":"false","x-ms-rai-invoked":"true","x-ms-region":"East US 2","x-new-api-version":"0.4.39","x-oneapi-request-id":"202604240653546439610888268d9d6ilHjFi0g","x-ratelimit-abusepenalty-active":"False","x-ratelimit-limit-requests":"3850","x-ratelimit-limit-tokens":"3850000","x-ratelimit-remaining-requests":"3849","x-ratelimit-remaining-tokens":"3848608","x-ratelimit-renewalperiod-requests":"60","x-ratelimit-renewalperiod-tokens":"60","x-ratelimit-reset-requests":"15","x-ratelimit-reset-tokens":"21","x-request-id":"2ee2c611-cd60-49f7-b0df-afb10c218d0f"}</t>
        </is>
      </c>
      <c r="N21" t="inlineStr">
        <is>
          <t>ToysLegoLego Ferrari Racing Car Building Set – high-quality ABS blocks, realistic design, dynamic decals, collectible tech model for adults, embodying modern speed aesthetics and engineering excellence.</t>
        </is>
      </c>
      <c r="O21" t="inlineStr">
        <is>
          <t>{"choices":[{"finish_reason":"stop","index":0,"logprobs":null,"message":{"annotations":[],"content":"Lego,Toy Car,kakobuy,kakebuy2026,kekobuysheet,kakobuysheet2026,2026kakobuy,kakobuyspreadsheeet,kakobuylink,kakebuylist,Kakobuy MEGA Spreadsheet,kakobuysheetfind,kakobuysheetfind2026,2026kakobuysheetfind,kakobuysheet2026","refusal":null,"role":"assistant"}}],"created":1777014944,"id":"chatcmpl-DY53ImvMhbnCx2wOTLCjD48zih563","model":"gpt-5-chat-latest","object":"chat.completion","service_tier":"default","system_fingerprint":"fp_ad66631dec","usage":{"completion_tokens":88,"completion_tokens_details":{"accepted_prediction_tokens":0,"audio_tokens":0,"reasoning_tokens":0,"rejected_prediction_tokens":0},"prompt_tokens":503,"prompt_tokens_details":{"audio_tokens":0,"cached_tokens":0},"total_tokens":591}}</t>
        </is>
      </c>
      <c r="P21" t="inlineStr">
        <is>
          <t>Lego,Toy Car,kakobuy,kakebuy2026,kekobuysheet,kakobuysheet2026,2026kakobuy,kakobuyspreadsheeet,kakobuylink,kakebuylist,Kakobuy MEGA Spreadsheet,kakobuysheetfind,kakobuysheetfind2026,2026kakobuysheetfind,kakobuysheet2026</t>
        </is>
      </c>
      <c r="Q21"/>
      <c r="R21" t="inlineStr">
        <is>
          <t>recvhju1CrNRsH</t>
        </is>
      </c>
      <c r="S21" t="inlineStr">
        <is>
          <t>lego-ferrari-racing-car-building-set-recvhju1crnrs</t>
        </is>
      </c>
      <c r="T21"/>
      <c r="U21"/>
      <c r="V21"/>
      <c r="W21" t="inlineStr">
        <is>
          <t>{"choices":[{"finish_reason":"stop","index":0,"logprobs":null,"message":{"annotations":[],"content":"Lego：科技系列红色法拉利赛车积木套装，采用高品质ABS材质，逼真设计还原赛车结构，动感贴花印饰展现速度美学，兼具收藏与拼搭乐趣，适合成人玩家与赛车爱好者，现代科技感十足的竞技风格精品模型。","refusal":null,"role":"assistant"}}],"created":1777011440,"id":"chatcmpl-DY48miI0L399CuzGAk1wLfRt6KlCC","model":"gpt-5-chat-latest","object":"chat.completion","service_tier":"default","system_fingerprint":"fp_ad66631dec","usage":{"completion_tokens":75,"completion_tokens_details":{"accepted_prediction_tokens":0,"audio_tokens":0,"reasoning_tokens":0,"rejected_prediction_tokens":0},"prompt_tokens":1018,"prompt_tokens_details":{"audio_tokens":0,"cached_tokens":0},"total_tokens":1093}}</t>
        </is>
      </c>
      <c r="X21" t="inlineStr">
        <is>
          <t>Lego：科技系列红色法拉利赛车积木套装，采用高品质ABS材质，逼真设计还原赛车结构，动感贴花印饰展现速度美学，兼具收藏与拼搭乐趣，适合成人玩家与赛车爱好者，现代科技感十足的竞技风格精品模型。</t>
        </is>
      </c>
    </row>
    <row r="22" ht="25.5" customHeight="1">
      <c r="A22">
        <v>1654975475</v>
      </c>
      <c r="B22">
        <v>7619165366</v>
      </c>
      <c r="C22" s="2" t="str">
        <f>=HYPERLINK("https://weidian.com/item.html?itemID=7619165366", "https://weidian.com/item.html?itemID=7619165366")</f>
        <v>https://weidian.com/item.html?itemID=7619165366</v>
      </c>
      <c r="D22"/>
      <c r="E22" s="2" t="str">
        <f>=HYPERLINK("https://si.geilicdn.com/pcitem2014204438-5ca90000019abdcfb7160a231316_1179_2556.jpg?w=640&amp;h=640", "https://si.geilicdn.com/pcitem2014204438-5ca90000019abdcfb7160a231316_1179_2556.jpg?w=640&amp;h=640")</f>
        <v>https://si.geilicdn.com/pcitem2014204438-5ca90000019abdcfb7160a231316_1179_2556.jpg?w=640&amp;h=640</v>
      </c>
      <c r="F22" t="inlineStr">
        <is>
          <t>Toys</t>
        </is>
      </c>
      <c r="G22" t="inlineStr">
        <is>
          <t>BE@RBRICK</t>
        </is>
      </c>
      <c r="H22">
        <v>1120</v>
      </c>
      <c r="I22">
        <v>162.32</v>
      </c>
      <c r="J22" t="inlineStr">
        <is>
          <t>{"id":"chatcmpl-DY4trMRGPI0VhOGgmXN4jhIAzBCyr","object":"chat.completion","created":1777014359,"model":"gpt-5-chat-latest","choices":[{"index":0,"message":{"role":"assistant","content":"ToysBE@RBRICK Transparent Mechanical Art Collectible Toy","refusal":null,"annotations":[]},"logprobs":null,"finish_reason":"stop"}],"usage":{"prompt_tokens":1163,"completion_tokens":14,"total_tokens":1177,"prompt_tokens_details":{"cached_tokens":0,"audio_tokens":0},"completion_tokens_details":{"reasoning_tokens":0,"audio_tokens":0,"accepted_prediction_tokens":0,"rejected_prediction_tokens":0}},"service_tier":"default","system_fingerprint":"fp_ad66631dec"}</t>
        </is>
      </c>
      <c r="K22" t="inlineStr">
        <is>
          <t>ToysBE@RBRICK Transparent Mechanical Art Collectible Toy</t>
        </is>
      </c>
      <c r="L22" t="inlineStr">
        <is>
          <t>{"choices":[{"finish_reason":"stop","index":0,"logprobs":null,"message":{"annotations":[],"content":"ToysBE@RBRICK Transparent Assembly Series Art Toy – High-clarity plastic design with futuristic mechanical details, perfect for collectors, unisex decor, and modern artistic home display.","refusal":null,"role":"assistant"}}],"created":1777013259,"id":"chatcmpl-DY4c7dpQJ21eOdlwaf4x1GRwBAbxw","model":"gpt-5-chat-latest","object":"chat.completion","service_tier":"default","system_fingerprint":"fp_ad66631dec","usage":{"completion_tokens":39,"completion_tokens_details":{"accepted_prediction_tokens":0,"audio_tokens":0,"reasoning_tokens":0,"rejected_prediction_tokens":0},"prompt_tokens":1169,"prompt_tokens_details":{"audio_tokens":0,"cached_tokens":0},"total_tokens":1208}}</t>
        </is>
      </c>
      <c r="M22" t="inlineStr">
        <is>
          <t>{"alt-svc":"h3=\":443\"; ma=2592000","apim-request-id":"53ccebd1-7db0-4982-baa6-2976d1f84f57","azureml-model-session":"d20260402074105-51db401e","cache-control":"no-cache","connection":"close","content-length":"779","content-security-policy":"frame-ancestors 'self'","content-type":"application/json","date":"Fri, 24 Apr 2026 06:47:41 GMT","server":"nginx","skip-error-remapping":"true","strict-transport-security":"max-age=31536000; includeSubDomains; preload","via":"1.1 Caddy, 1.1 Caddy","x-api-request-id":"2026042414473849604729BmFLM8g0","x-content-type-options":"nosniff","x-frame-options":"SAMEORIGIN","x-ms-client-request-id":"Not-Set","x-ms-is-spilled-over":"false","x-ms-rai-invoked":"true","x-ms-region":"East US 2","x-new-api-version":"0.4.39","x-oneapi-request-id":"202604240647378295442188268d9d6zc0vISD5","x-ratelimit-abusepenalty-active":"False","x-ratelimit-limit-requests":"3850","x-ratelimit-limit-tokens":"3850000","x-ratelimit-remaining-requests":"3849","x-ratelimit-remaining-tokens":"3848068","x-ratelimit-renewalperiod-requests":"60","x-ratelimit-renewalperiod-tokens":"60","x-ratelimit-reset-requests":"15","x-ratelimit-reset-tokens":"30","x-request-id":"9022fa89-2dad-4a07-b974-22554c292b79"}</t>
        </is>
      </c>
      <c r="N22" t="inlineStr">
        <is>
          <t>ToysBE@RBRICK Transparent Assembly Series Art Toy – High-clarity plastic design with futuristic mechanical details, perfect for collectors, unisex decor, and modern artistic home display.</t>
        </is>
      </c>
      <c r="O22" t="inlineStr">
        <is>
          <t>{"choices":[{"finish_reason":"stop","index":0,"logprobs":null,"message":{"annotations":[],"content":"BE@RBRICK,Toys,kakobuy,kakebuy2026,kekobuysheet,kakobuysheet2026,2026kakobuy,kakobuyspreadsheeet,kakobuylink,kakebuylist,Kakobuy MEGA Spreadsheet,kakobuysheetfind,kakobuysheetfind2026,2026kakobuysheetfind,kakobuysheet2026","refusal":null,"role":"assistant"}}],"created":1777015197,"id":"chatcmpl-DY57NAar4k164x9ZdRLcrOjOZezut","model":"gpt-5-chat-latest","object":"chat.completion","service_tier":"default","system_fingerprint":"fp_ad66631dec","usage":{"completion_tokens":90,"completion_tokens_details":{"accepted_prediction_tokens":0,"audio_tokens":0,"reasoning_tokens":0,"rejected_prediction_tokens":0},"prompt_tokens":1066,"prompt_tokens_details":{"audio_tokens":0,"cached_tokens":0},"total_tokens":1156}}</t>
        </is>
      </c>
      <c r="P22" t="inlineStr">
        <is>
          <t>BE@RBRICK,Toys,kakobuy,kakebuy2026,kekobuysheet,kakobuysheet2026,2026kakobuy,kakobuyspreadsheeet,kakobuylink,kakebuylist,Kakobuy MEGA Spreadsheet,kakobuysheetfind,kakobuysheetfind2026,2026kakobuysheetfind,kakobuysheet2026</t>
        </is>
      </c>
      <c r="Q22"/>
      <c r="R22" t="inlineStr">
        <is>
          <t>recvhju1CrMydV</t>
        </is>
      </c>
      <c r="S22" t="inlineStr">
        <is>
          <t>toysbearbrick-transparent-mechanical-art-collectible-toy-recvhju1crmydv</t>
        </is>
      </c>
      <c r="T22"/>
      <c r="U22"/>
      <c r="V22"/>
      <c r="W22" t="inlineStr">
        <is>
          <t>{"choices":[{"finish_reason":"stop","index":0,"logprobs":null,"message":{"annotations":[],"content":"BE@RBRICK：透明拼装系列潮流艺术公仔，采用高透亮塑料材质，机械结构设计彰显未来感与收藏价值，男女皆宜，现代装饰风格典藏玩具艺术品。","refusal":null,"role":"assistant"}}],"created":1777011774,"id":"chatcmpl-DY4EApbc7M2Ua563nzZ7DYMHcAdXg","model":"gpt-5-chat-latest","object":"chat.completion","service_tier":"default","system_fingerprint":"fp_ad66631dec","usage":{"completion_tokens":53,"completion_tokens_details":{"accepted_prediction_tokens":0,"audio_tokens":0,"reasoning_tokens":0,"rejected_prediction_tokens":0},"prompt_tokens":1584,"prompt_tokens_details":{"audio_tokens":0,"cached_tokens":0},"total_tokens":1637}}</t>
        </is>
      </c>
      <c r="X22" t="inlineStr">
        <is>
          <t>BE@RBRICK：透明拼装系列潮流艺术公仔，采用高透亮塑料材质，机械结构设计彰显未来感与收藏价值，男女皆宜，现代装饰风格典藏玩具艺术品。</t>
        </is>
      </c>
    </row>
    <row r="23" ht="25.5" customHeight="1">
      <c r="A23">
        <v>1654975475</v>
      </c>
      <c r="B23">
        <v>7619297196</v>
      </c>
      <c r="C23" s="2" t="str">
        <f>=HYPERLINK("https://weidian.com/item.html?itemID=7619297196", "https://weidian.com/item.html?itemID=7619297196")</f>
        <v>https://weidian.com/item.html?itemID=7619297196</v>
      </c>
      <c r="D23"/>
      <c r="E23" s="2" t="str">
        <f>=HYPERLINK("https://si.geilicdn.com/pcitem2014204438-2e600000019abe179e6f0a23057e_962_720.jpg?w=640&amp;h=640", "https://si.geilicdn.com/pcitem2014204438-2e600000019abe179e6f0a23057e_962_720.jpg?w=640&amp;h=640")</f>
        <v>https://si.geilicdn.com/pcitem2014204438-2e600000019abe179e6f0a23057e_962_720.jpg?w=640&amp;h=640</v>
      </c>
      <c r="F23" t="inlineStr">
        <is>
          <t>Toys</t>
        </is>
      </c>
      <c r="G23" t="inlineStr">
        <is>
          <t>Lego</t>
        </is>
      </c>
      <c r="H23">
        <v>370</v>
      </c>
      <c r="I23">
        <v>53.62</v>
      </c>
      <c r="J23" t="inlineStr">
        <is>
          <t>{"choices":[{"finish_reason":"stop","index":0,"logprobs":null,"message":{"annotations":[],"content":"Lego Technic Blue Sports Car Model 16+ Building Toy","refusal":null,"role":"assistant"}}],"created":1777014395,"id":"chatcmpl-DY4uR8BMC4a4U6X2Y9YwLMKMGHIwF","model":"gpt-5-chat-latest","object":"chat.completion","service_tier":"default","system_fingerprint":"fp_ad66631dec","usage":{"completion_tokens":14,"completion_tokens_details":{"accepted_prediction_tokens":0,"audio_tokens":0,"reasoning_tokens":0,"rejected_prediction_tokens":0},"prompt_tokens":606,"prompt_tokens_details":{"audio_tokens":0,"cached_tokens":0},"total_tokens":620}}</t>
        </is>
      </c>
      <c r="K23" t="inlineStr">
        <is>
          <t>Lego Technic Blue Sports Car Model 16+ Building Toy</t>
        </is>
      </c>
      <c r="L23" t="inlineStr">
        <is>
          <t>{"id":"chatcmpl-DY4c4sBgvPdpzyRK9FEJ0z5N31UJn","object":"chat.completion","created":1777013256,"model":"gpt-5-chat-latest","choices":[{"index":0,"message":{"role":"assistant","content":"ToysLegoLego Technic Blue Sports Car Model made of premium eco-friendly ABS, features opening doors and a movable engine, showcasing mechanical beauty and futuristic design. Perfect for 16+ builders.","refusal":null,"annotations":[]},"logprobs":null,"finish_reason":"stop"}],"usage":{"prompt_tokens":631,"completion_tokens":42,"total_tokens":673,"prompt_tokens_details":{"cached_tokens":0,"audio_tokens":0},"completion_tokens_details":{"reasoning_tokens":0,"audio_tokens":0,"accepted_prediction_tokens":0,"rejected_prediction_tokens":0}},"service_tier":"default","system_fingerprint":"fp_ad66631dec"}</t>
        </is>
      </c>
      <c r="M2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ma=2592000","apim-request-id":"bb487f80-bf22-44b0-8c39-505c721a85f0","azureml-model-session":"d20260402075109-1fc5a0ec","cache-control":"no-cache, no-store, must-revalidate","connection":"close","content-length":"1003","content-security-policy":"frame-ancestors 'self'","content-type":"application/json","date":"Fri, 24 Apr 2026 06:47:38 GMT","server":"Caddy","skip-error-remapping":"true","strict-transport-security":"max-age=31536000; includeSubDomains; preload","via":"1.1 Caddy","x-api-request-id":"20260424144735683296594RyBdapU8","x-content-type-options":"nosniff","x-frame-options":"SAMEORIGIN","x-ms-is-spilled-over":"false","x-ms-rai-invoked":"false","x-ms-region":"East US 2","x-new-api-version":"0.4.39","x-oneapi-request-id":"202604240647349687945928268d9d6EA6EvdcD","x-ratelimit-abusepenalty-active":"False","x-ratelimit-limit-requests":"4992","x-ratelimit-limit-tokens":"4992000","x-ratelimit-remaining-requests":"4991","x-ratelimit-remaining-tokens":"4990605","x-ratelimit-renewalperiod-requests":"60","x-ratelimit-renewalperiod-tokens":"60","x-ratelimit-reset-requests":"12","x-ratelimit-reset-tokens":"16","x-request-id":"8d80ea40-786d-4de2-b573-1366c18411f7"}</t>
        </is>
      </c>
      <c r="N23" t="inlineStr">
        <is>
          <t>ToysLegoLego Technic Blue Sports Car Model made of premium eco-friendly ABS, features opening doors and a movable engine, showcasing mechanical beauty and futuristic design. Perfect for 16+ builders.</t>
        </is>
      </c>
      <c r="O23" t="inlineStr">
        <is>
          <t>{"choices":[{"finish_reason":"stop","index":0,"logprobs":null,"message":{"annotations":[],"content":"Lego,Technic,kakobuy,kakebuy2026,kekobuysheet,kakobuysheet2026,2026kakobuy,kakobuyspreadsheeet,kakobuylink,kakebuylist,Kakobuy MEGA Spreadsheet,kakobuysheetfind,kakobuysheetfind2026,2026kakobuysheetfind,kakobuysheet2026","refusal":null,"role":"assistant"}}],"created":1777015275,"id":"chatcmpl-DY58dMKaKi5GmjqRSujADS3Vil7t2","model":"gpt-5-chat-latest","object":"chat.completion","service_tier":"default","system_fingerprint":"fp_ad66631dec","usage":{"completion_tokens":88,"completion_tokens_details":{"accepted_prediction_tokens":0,"audio_tokens":0,"reasoning_tokens":0,"rejected_prediction_tokens":0},"prompt_tokens":503,"prompt_tokens_details":{"audio_tokens":0,"cached_tokens":0},"total_tokens":591}}</t>
        </is>
      </c>
      <c r="P23" t="inlineStr">
        <is>
          <t>Lego,Technic,kakobuy,kakebuy2026,kekobuysheet,kakobuysheet2026,2026kakobuy,kakobuyspreadsheeet,kakobuylink,kakebuylist,Kakobuy MEGA Spreadsheet,kakobuysheetfind,kakobuysheetfind2026,2026kakobuysheetfind,kakobuysheet2026</t>
        </is>
      </c>
      <c r="Q23"/>
      <c r="R23" t="inlineStr">
        <is>
          <t>recvhju1Cr5YU8</t>
        </is>
      </c>
      <c r="S23" t="inlineStr">
        <is>
          <t>lego-technic-blue-sports-car-16-recvhju1cr5yu8</t>
        </is>
      </c>
      <c r="T23"/>
      <c r="U23"/>
      <c r="V23"/>
      <c r="W23" t="inlineStr">
        <is>
          <t>{"choices":[{"finish_reason":"stop","index":0,"logprobs":null,"message":{"annotations":[],"content":"Lego：科技系列蓝色跑车模型，采用高品质ABS环保塑料材质，精妙还原真实汽车结构，具备可开启车门与可动引擎设计，展现现代机械魅力与速度美学。适合16岁以上玩家拼搭收藏，彰显极致工艺与未来感设计风格。","refusal":null,"role":"assistant"}}],"created":1777011555,"id":"chatcmpl-DY4AdXiAMUXGLJz4izkHT6wZc4e2t","model":"gpt-5-chat-latest","object":"chat.completion","service_tier":"default","system_fingerprint":"fp_ad66631dec","usage":{"completion_tokens":78,"completion_tokens_details":{"accepted_prediction_tokens":0,"audio_tokens":0,"reasoning_tokens":0,"rejected_prediction_tokens":0},"prompt_tokens":1018,"prompt_tokens_details":{"audio_tokens":0,"cached_tokens":0},"total_tokens":1096}}</t>
        </is>
      </c>
      <c r="X23" t="inlineStr">
        <is>
          <t>Lego：科技系列蓝色跑车模型，采用高品质ABS环保塑料材质，精妙还原真实汽车结构，具备可开启车门与可动引擎设计，展现现代机械魅力与速度美学。适合16岁以上玩家拼搭收藏，彰显极致工艺与未来感设计风格。</t>
        </is>
      </c>
    </row>
    <row r="24" ht="25.5" customHeight="1">
      <c r="A24">
        <v>1654975475</v>
      </c>
      <c r="B24">
        <v>7616305221</v>
      </c>
      <c r="C24" s="2" t="str">
        <f>=HYPERLINK("https://weidian.com/item.html?itemID=7616305221", "https://weidian.com/item.html?itemID=7616305221")</f>
        <v>https://weidian.com/item.html?itemID=7616305221</v>
      </c>
      <c r="D24"/>
      <c r="E24" s="2" t="str">
        <f>=HYPERLINK("https://si.geilicdn.com/pcitem2014204438-2e630000019abe14fe050a23041a_790_459.jpg?w=640&amp;h=640", "https://si.geilicdn.com/pcitem2014204438-2e630000019abe14fe050a23041a_790_459.jpg?w=640&amp;h=640")</f>
        <v>https://si.geilicdn.com/pcitem2014204438-2e630000019abe14fe050a23041a_790_459.jpg?w=640&amp;h=640</v>
      </c>
      <c r="F24" t="inlineStr">
        <is>
          <t>Toys</t>
        </is>
      </c>
      <c r="G24" t="inlineStr">
        <is>
          <t>Lego</t>
        </is>
      </c>
      <c r="H24">
        <v>330</v>
      </c>
      <c r="I24">
        <v>47.83</v>
      </c>
      <c r="J24" t="inlineStr">
        <is>
          <t>{"choices":[{"content_filter_result":{"error":{"code":"content_filter_error","message":"The contents are not filtered"}},"finish_reason":"stop","index":0,"logprobs":null,"message":{"annotations":[],"content":"LEGO McLaren F1 2022 Orange Blue Race Car Set","refusal":null,"role":"assistant"}}],"created":1777014308,"id":"chatcmpl-DY4t2JaqZaEbpQuC6mpJtlcKKQPaw","model":"gpt-5-chat-latest","object":"chat.completion","service_tier":"default","system_fingerprint":"fp_ad66631dec","usage":{"completion_tokens":15,"completion_tokens_details":{"accepted_prediction_tokens":0,"audio_tokens":0,"reasoning_tokens":0,"rejected_prediction_tokens":0},"prompt_tokens":606,"prompt_tokens_details":{"audio_tokens":0,"cached_tokens":0},"total_tokens":621}}</t>
        </is>
      </c>
      <c r="K24" t="inlineStr">
        <is>
          <t>LEGO McLaren F1 2022 Orange Blue Race Car Set</t>
        </is>
      </c>
      <c r="L24" t="inlineStr">
        <is>
          <t>{"choices":[{"finish_reason":"stop","index":0,"logprobs":null,"message":{"annotations":[],"content":"LEGO McLaren F1 Race Car Orange Blue Edition, inspired by 2022 season design; precision mechanical build, eco-friendly ABS parts, sleek aerodynamic shape, ideal for adult collectors and creative builders.","refusal":null,"role":"assistant"}}],"created":1777013627,"id":"chatcmpl-DY4i3H8MV3CExBXkrNTM4ckc3mN6D","model":"gpt-5-chat-latest","object":"chat.completion","service_tier":"default","system_fingerprint":"fp_ad66631dec","usage":{"completion_tokens":42,"completion_tokens_details":{"accepted_prediction_tokens":0,"audio_tokens":0,"reasoning_tokens":0,"rejected_prediction_tokens":0},"prompt_tokens":629,"prompt_tokens_details":{"audio_tokens":0,"cached_tokens":0},"total_tokens":671}}</t>
        </is>
      </c>
      <c r="M24" t="inlineStr">
        <is>
          <t>{"alt-svc":"h3=\":443\"; ma=2592000","apim-request-id":"e67abda3-767c-4f94-8d66-4e61b0ad81a5","azureml-model-session":"d20260402083108-57a85543","cache-control":"no-cache","connection":"close","content-length":"792","content-security-policy":"frame-ancestors 'self'","content-type":"application/json","date":"Fri, 24 Apr 2026 06:53:49 GMT","server":"Caddy","skip-error-remapping":"true","strict-transport-security":"max-age=31536000; includeSubDomains; preload","via":"1.1 Caddy","x-api-request-id":"20260424145346809011241FM9hK4UA","x-content-type-options":"nosniff","x-frame-options":"SAMEORIGIN","x-ms-client-request-id":"Not-Set","x-ms-is-spilled-over":"false","x-ms-rai-invoked":"true","x-ms-region":"East US 2","x-new-api-version":"0.4.39","x-oneapi-request-id":"202604240653466779095418268d9d6Z4TbMP3I","x-ratelimit-abusepenalty-active":"False","x-ratelimit-limit-requests":"3850","x-ratelimit-limit-tokens":"3850000","x-ratelimit-remaining-requests":"3849","x-ratelimit-remaining-tokens":"3848607","x-ratelimit-renewalperiod-requests":"60","x-ratelimit-renewalperiod-tokens":"60","x-ratelimit-reset-requests":"15","x-ratelimit-reset-tokens":"21","x-request-id":"44af7953-8708-4b74-9d24-138584e3a114"}</t>
        </is>
      </c>
      <c r="N24" t="inlineStr">
        <is>
          <t>LEGO McLaren F1 Race Car Orange Blue Edition, inspired by 2022 season design; precision mechanical build, eco-friendly ABS parts, sleek aerodynamic shape, ideal for adult collectors and creative builders.</t>
        </is>
      </c>
      <c r="O24" t="inlineStr">
        <is>
          <t>{"id":"chatcmpl-DY51niteKu5wGbEN1f4gvUGdGw91y","object":"chat.completion","created":1777014851,"model":"gpt-5-chat-latest","choices":[{"index":0,"message":{"role":"assistant","content":"Lego,Toy,kakobuy,kakebuy2026,kekobuysheet,kakobuysheet2026,2026kakobuy,kakobuyspreadsheeet,kakobuylink,kakebuylist,Kakobuy MEGA Spreadsheet,kakobuysheetfind,kakobuysheetfind2026,2026kakobuysheetfind,kakobuysheet2026","refusal":null,"annotations":[]},"logprobs":null,"finish_reason":"stop"}],"usage":{"prompt_tokens":503,"completion_tokens":87,"total_tokens":590,"prompt_tokens_details":{"cached_tokens":0,"audio_tokens":0},"completion_tokens_details":{"reasoning_tokens":0,"audio_tokens":0,"accepted_prediction_tokens":0,"rejected_prediction_tokens":0}},"service_tier":"default","system_fingerprint":"fp_ad66631dec"}</t>
        </is>
      </c>
      <c r="P24" t="inlineStr">
        <is>
          <t>Lego,Toy,kakobuy,kakebuy2026,kekobuysheet,kakobuysheet2026,2026kakobuy,kakobuyspreadsheeet,kakobuylink,kakebuylist,Kakobuy MEGA Spreadsheet,kakobuysheetfind,kakobuysheetfind2026,2026kakobuysheetfind,kakobuysheet2026</t>
        </is>
      </c>
      <c r="Q24"/>
      <c r="R24" t="inlineStr">
        <is>
          <t>recvhju1CrkKzz</t>
        </is>
      </c>
      <c r="S24" t="inlineStr">
        <is>
          <t>lego-mclaren-f1-2022-orange-blue-race-car-recvhju1crkzz</t>
        </is>
      </c>
      <c r="T24"/>
      <c r="U24"/>
      <c r="V24"/>
      <c r="W24" t="inlineStr">
        <is>
          <t>{"choices":[{"finish_reason":"stop","index":0,"logprobs":null,"message":{"annotations":[],"content":"Lego：迈凯伦F1赛车系列橙蓝版，科技机械拼装结构，ABS环保塑料材质，流线型赛车设计灵感源自2022赛季，精密可动部件彰显工程美学，适合成人收藏与男女拼搭体验，呈现现代速度与创新融合的潮流模型品。","refusal":null,"role":"assistant"}}],"created":1777011510,"id":"chatcmpl-DY49uq3t5NWJfa5GDKT3epq6RmYCg","model":"gpt-5-chat-latest","object":"chat.completion","service_tier":"default","system_fingerprint":"fp_ad66631dec","usage":{"completion_tokens":78,"completion_tokens_details":{"accepted_prediction_tokens":0,"audio_tokens":0,"reasoning_tokens":0,"rejected_prediction_tokens":0},"prompt_tokens":1014,"prompt_tokens_details":{"audio_tokens":0,"cached_tokens":0},"total_tokens":1092}}</t>
        </is>
      </c>
      <c r="X24" t="inlineStr">
        <is>
          <t>Lego：迈凯伦F1赛车系列橙蓝版，科技机械拼装结构，ABS环保塑料材质，流线型赛车设计灵感源自2022赛季，精密可动部件彰显工程美学，适合成人收藏与男女拼搭体验，呈现现代速度与创新融合的潮流模型品。</t>
        </is>
      </c>
    </row>
    <row r="25" ht="25.5" customHeight="1">
      <c r="A25">
        <v>1654975475</v>
      </c>
      <c r="B25">
        <v>7619187264</v>
      </c>
      <c r="C25" s="2" t="str">
        <f>=HYPERLINK("https://weidian.com/item.html?itemID=7619187264", "https://weidian.com/item.html?itemID=7619187264")</f>
        <v>https://weidian.com/item.html?itemID=7619187264</v>
      </c>
      <c r="D25"/>
      <c r="E25" s="2" t="str">
        <f>=HYPERLINK("https://si.geilicdn.com/pcitem2014204438-0bdc0000019abdd4741e0a239846_1080_608.jpg?w=640&amp;h=640", "https://si.geilicdn.com/pcitem2014204438-0bdc0000019abdd4741e0a239846_1080_608.jpg?w=640&amp;h=640")</f>
        <v>https://si.geilicdn.com/pcitem2014204438-0bdc0000019abdd4741e0a239846_1080_608.jpg?w=640&amp;h=640</v>
      </c>
      <c r="F25" t="inlineStr">
        <is>
          <t>Toys</t>
        </is>
      </c>
      <c r="G25" t="inlineStr">
        <is>
          <t>Lego</t>
        </is>
      </c>
      <c r="H25">
        <v>330</v>
      </c>
      <c r="I25">
        <v>47.83</v>
      </c>
      <c r="J25" t="inlineStr">
        <is>
          <t>{"choices":[{"finish_reason":"stop","index":0,"logprobs":null,"message":{"annotations":[],"content":"ToysLego TECHNIE Red White Racing Car Set 14+","refusal":null,"role":"assistant"}}],"created":1777014212,"id":"chatcmpl-DY4rUSMFsnngRFEO3KAd1IA1pbPg3","model":"gpt-5-chat-latest","object":"chat.completion","service_tier":"default","system_fingerprint":"fp_ad66631dec","usage":{"completion_tokens":16,"completion_tokens_details":{"accepted_prediction_tokens":0,"audio_tokens":0,"reasoning_tokens":0,"rejected_prediction_tokens":0},"prompt_tokens":612,"prompt_tokens_details":{"audio_tokens":0,"cached_tokens":0},"total_tokens":628}}</t>
        </is>
      </c>
      <c r="K25" t="inlineStr">
        <is>
          <t>ToysLego TECHNIE Red White Racing Car Set 14+</t>
        </is>
      </c>
      <c r="L25" t="inlineStr">
        <is>
          <t>{"choices":[{"finish_reason":"stop","index":0,"logprobs":null,"message":{"annotations":[],"content":"ToysLego TECHNIE Red-White Racing Car Building Set, realistic mechanical design, made of eco-friendly ABS, ideal for ages 14+, showcasing modern sports car style, perfect for racing fans and collectors.","refusal":null,"role":"assistant"}}],"created":1777013611,"id":"chatcmpl-DY4hn20wzJ1C1upFGRWqC6wElXUPP","model":"gpt-5-chat-latest","object":"chat.completion","service_tier":"default","system_fingerprint":"fp_ad66631dec","usage":{"completion_tokens":45,"completion_tokens_details":{"accepted_prediction_tokens":0,"audio_tokens":0,"reasoning_tokens":0,"rejected_prediction_tokens":0},"prompt_tokens":612,"prompt_tokens_details":{"audio_tokens":0,"cached_tokens":0},"total_tokens":657}}</t>
        </is>
      </c>
      <c r="M25" t="inlineStr">
        <is>
          <t>{"alt-svc":"h3=\":443\"; ma=2592000","apim-request-id":"4844194c-fd2b-4bcc-a01b-8d3ca9801b29","azureml-model-session":"d20260405234249-f9874baf","cache-control":"no-cache","connection":"close","content-length":"790","content-security-policy":"frame-ancestors 'self'","content-type":"application/json","date":"Fri, 24 Apr 2026 06:53:32 GMT","server":"Caddy","skip-error-remapping":"true","strict-transport-security":"max-age=31536000; includeSubDomains; preload","via":"1.1 Caddy","x-api-request-id":"20260424145330270663329v3vP9OSw","x-content-type-options":"nosniff","x-frame-options":"SAMEORIGIN","x-ms-client-request-id":"Not-Set","x-ms-is-spilled-over":"false","x-ms-rai-invoked":"true","x-ms-region":"East US 2","x-new-api-version":"0.4.39","x-oneapi-request-id":"202604240653296894243378268d9d6PvkjdUWE","x-ratelimit-abusepenalty-active":"False","x-ratelimit-limit-requests":"3850","x-ratelimit-limit-tokens":"3850000","x-ratelimit-remaining-requests":"3849","x-ratelimit-remaining-tokens":"3848624","x-ratelimit-renewalperiod-requests":"60","x-ratelimit-renewalperiod-tokens":"60","x-ratelimit-reset-requests":"15","x-ratelimit-reset-tokens":"21","x-request-id":"89fbbcc7-b352-4778-bbce-cce8ab49290c"}</t>
        </is>
      </c>
      <c r="N25" t="inlineStr">
        <is>
          <t>ToysLego TECHNIE Red-White Racing Car Building Set, realistic mechanical design, made of eco-friendly ABS, ideal for ages 14+, showcasing modern sports car style, perfect for racing fans and collectors.</t>
        </is>
      </c>
      <c r="O25" t="inlineStr">
        <is>
          <t>{"id":"chatcmpl-DY53deu9hnSlMSscKvtlBKw5OLItj","object":"chat.completion","created":1777014965,"model":"gpt-5-chat-latest","choices":[{"index":0,"message":{"role":"assistant","content":"Lego, Technic Car,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93,"total_tokens":596,"prompt_tokens_details":{"cached_tokens":0,"audio_tokens":0},"completion_tokens_details":{"reasoning_tokens":0,"audio_tokens":0,"accepted_prediction_tokens":0,"rejected_prediction_tokens":0}},"service_tier":"default","system_fingerprint":"fp_ad66631dec"}</t>
        </is>
      </c>
      <c r="P25" t="inlineStr">
        <is>
          <t>Lego, Technic Car, kakobuy, kakebuy2026, kekobuysheet, kakobuysheet2026, 2026kakobuy, kakobuyspreadsheeet, kakobuylink, kakebuylist, Kakobuy MEGA Spreadsheet, kakobuysheetfind, kakobuysheetfind2026, 2026kakobuysheetfind, kakobuysheet2026</t>
        </is>
      </c>
      <c r="Q25"/>
      <c r="R25" t="inlineStr">
        <is>
          <t>recvhju1CrZf4H</t>
        </is>
      </c>
      <c r="S25" t="inlineStr">
        <is>
          <t>toyslego-technie-red-white-racing-car-recvhju1crzf4h</t>
        </is>
      </c>
      <c r="T25"/>
      <c r="U25"/>
      <c r="V25"/>
      <c r="W25" t="inlineStr">
        <is>
          <t>{"choices":[{"finish_reason":"stop","index":0,"logprobs":null,"message":{"annotations":[],"content":"Lego：TECHNIE系列白红赛车积木套装，高仿真机械结构设计，采用ABS环保材质，适合14岁以上玩家，展现现代跑车竞技风格，动感十足兼具收藏与拼装乐趣。","refusal":null,"role":"assistant"}}],"created":1777011697,"id":"chatcmpl-DY4CvhkZKT2VKxPt9CPaPp8aFLyLG","model":"gpt-5-chat-latest","object":"chat.completion","service_tier":"default","system_fingerprint":"fp_ad66631dec","usage":{"completion_tokens":59,"completion_tokens_details":{"accepted_prediction_tokens":0,"audio_tokens":0,"reasoning_tokens":0,"rejected_prediction_tokens":0},"prompt_tokens":1020,"prompt_tokens_details":{"audio_tokens":0,"cached_tokens":0},"total_tokens":1079}}</t>
        </is>
      </c>
      <c r="X25" t="inlineStr">
        <is>
          <t>Lego：TECHNIE系列白红赛车积木套装，高仿真机械结构设计，采用ABS环保材质，适合14岁以上玩家，展现现代跑车竞技风格，动感十足兼具收藏与拼装乐趣。</t>
        </is>
      </c>
    </row>
    <row r="26" ht="25.5" customHeight="1">
      <c r="A26">
        <v>1654975475</v>
      </c>
      <c r="B26">
        <v>7619267732</v>
      </c>
      <c r="C26" s="2" t="str">
        <f>=HYPERLINK("https://weidian.com/item.html?itemID=7619267732", "https://weidian.com/item.html?itemID=7619267732")</f>
        <v>https://weidian.com/item.html?itemID=7619267732</v>
      </c>
      <c r="D26"/>
      <c r="E26" s="2" t="str">
        <f>=HYPERLINK("https://si.geilicdn.com/pcitem2014204438-16a50000019abdd1f5cc0a207569_1290_1290.jpg?w=640&amp;h=640", "https://si.geilicdn.com/pcitem2014204438-16a50000019abdd1f5cc0a207569_1290_1290.jpg?w=640&amp;h=640")</f>
        <v>https://si.geilicdn.com/pcitem2014204438-16a50000019abdd1f5cc0a207569_1290_1290.jpg?w=640&amp;h=640</v>
      </c>
      <c r="F26" t="inlineStr">
        <is>
          <t>Toys</t>
        </is>
      </c>
      <c r="G26" t="inlineStr">
        <is>
          <t>Lego</t>
        </is>
      </c>
      <c r="H26">
        <v>560</v>
      </c>
      <c r="I26">
        <v>81.16</v>
      </c>
      <c r="J26" t="inlineStr">
        <is>
          <t>{"choices":[{"finish_reason":"stop","index":0,"logprobs":null,"message":{"annotations":[],"content":"Lego Technic Yellow McLaren P1 Supercar Model Toy","refusal":null,"role":"assistant"}}],"created":1777014433,"id":"chatcmpl-DY4v3t80GWHdkRx7u7MN2bUsVTQa7","model":"gpt-5-chat-latest","object":"chat.completion","service_tier":"default","system_fingerprint":"fp_ad66631dec","usage":{"completion_tokens":14,"completion_tokens_details":{"accepted_prediction_tokens":0,"audio_tokens":0,"reasoning_tokens":0,"rejected_prediction_tokens":0},"prompt_tokens":878,"prompt_tokens_details":{"audio_tokens":0,"cached_tokens":0},"total_tokens":892}}</t>
        </is>
      </c>
      <c r="K26" t="inlineStr">
        <is>
          <t>Lego Technic Yellow McLaren P1 Supercar Model Toy</t>
        </is>
      </c>
      <c r="L26" t="inlineStr">
        <is>
          <t>{"choices":[{"finish_reason":"stop","index":0,"logprobs":null,"message":{"annotations":[],"content":"ToysLego Technic Yellow McLaren P1 Model – advanced mechanical structure, opening wing doors, realistic supercar details, perfect for adult collectors, showcasing speed and engineering beauty.","refusal":null,"role":"assistant"}}],"created":1777013348,"id":"chatcmpl-DY4dYr8IX8bsPfZxYOm5Z4XSV3OzW","model":"gpt-5-chat-latest","object":"chat.completion","service_tier":"default","system_fingerprint":"fp_ad66631dec","usage":{"completion_tokens":38,"completion_tokens_details":{"accepted_prediction_tokens":0,"audio_tokens":0,"reasoning_tokens":0,"rejected_prediction_tokens":0},"prompt_tokens":886,"prompt_tokens_details":{"audio_tokens":0,"cached_tokens":0},"total_tokens":924}}</t>
        </is>
      </c>
      <c r="M26" t="inlineStr">
        <is>
          <t>{"alt-svc":"h3=\":443\"; ma=2592000","apim-request-id":"d1a819c9-f788-4415-96f5-d510c34d1a37","azureml-model-session":"d20260405225800-40f19e54","cache-control":"no-cache","connection":"close","content-length":"782","content-security-policy":"frame-ancestors 'self'","content-type":"application/json","date":"Fri, 24 Apr 2026 06:49:09 GMT","server":"Caddy","skip-error-remapping":"true","strict-transport-security":"max-age=31536000; includeSubDomains; preload","via":"1.1 Caddy","x-api-request-id":"2026042414490755653202557Xjis3p","x-content-type-options":"nosniff","x-frame-options":"SAMEORIGIN","x-ms-client-request-id":"Not-Set","x-ms-is-spilled-over":"false","x-ms-rai-invoked":"true","x-ms-region":"East US 2","x-new-api-version":"0.4.39","x-oneapi-request-id":"202604240649074857907668268d9d6JQPyMYOA","x-ratelimit-abusepenalty-active":"False","x-ratelimit-limit-requests":"3850","x-ratelimit-limit-tokens":"3850000","x-ratelimit-remaining-requests":"3849","x-ratelimit-remaining-tokens":"3848352","x-ratelimit-renewalperiod-requests":"60","x-ratelimit-renewalperiod-tokens":"60","x-ratelimit-reset-requests":"15","x-ratelimit-reset-tokens":"25","x-request-id":"1916754a-fe4e-40ea-bec1-9e93a3747d80"}</t>
        </is>
      </c>
      <c r="N26" t="inlineStr">
        <is>
          <t>ToysLego Technic Yellow McLaren P1 Model – advanced mechanical structure, opening wing doors, realistic supercar details, perfect for adult collectors, showcasing speed and engineering beauty.</t>
        </is>
      </c>
      <c r="O26" t="inlineStr">
        <is>
          <t>{"choices":[{"finish_reason":"stop","index":0,"logprobs":null,"message":{"annotations":[],"content":"Lego, Car, kakobuy, kakebuy2026, kekobuysheet, kakobuysheet2026, 2026kakobuy, kakobuyspreadsheeet, kakobuylink, kakebuylist, Kakobuy MEGA Spreadsheet, kakobuysheetfind, kakobuysheetfind2026, 2026kakobuysheetfind, kakobuysheet2026","refusal":null,"role":"assistant"}}],"created":1777015166,"id":"chatcmpl-DY56sX267TcB4JtMIzu6PeTVIkZm7","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26" t="inlineStr">
        <is>
          <t>Lego, Car, kakobuy, kakebuy2026, kekobuysheet, kakobuysheet2026, 2026kakobuy, kakobuyspreadsheeet, kakobuylink, kakebuylist, Kakobuy MEGA Spreadsheet, kakobuysheetfind, kakobuysheetfind2026, 2026kakobuysheetfind, kakobuysheet2026</t>
        </is>
      </c>
      <c r="Q26"/>
      <c r="R26" t="inlineStr">
        <is>
          <t>recvhju1CrJOiX</t>
        </is>
      </c>
      <c r="S26" t="inlineStr">
        <is>
          <t>lego-mclaren-p1-supercar-recvhju1crjoix</t>
        </is>
      </c>
      <c r="T26"/>
      <c r="U26"/>
      <c r="V26"/>
      <c r="W26" t="inlineStr">
        <is>
          <t>{"choices":[{"finish_reason":"stop","index":0,"logprobs":null,"message":{"annotations":[],"content":"Lego：Technic系列黄色McLaren P1跑车积木模型，精密机械结构，可动翼门设计，高度还原真车细节，适合成年收藏与展示，彰显速度与工程美学。","refusal":null,"role":"assistant"}}],"created":1777011534,"id":"chatcmpl-DY4AISjEgL068zEHpYgVhnP3aJYLf","model":"gpt-5-chat-latest","object":"chat.completion","service_tier":"default","system_fingerprint":"fp_ad66631dec","usage":{"completion_tokens":51,"completion_tokens_details":{"accepted_prediction_tokens":0,"audio_tokens":0,"reasoning_tokens":0,"rejected_prediction_tokens":0},"prompt_tokens":1302,"prompt_tokens_details":{"audio_tokens":0,"cached_tokens":0},"total_tokens":1353}}</t>
        </is>
      </c>
      <c r="X26" t="inlineStr">
        <is>
          <t>Lego：Technic系列黄色McLaren P1跑车积木模型，精密机械结构，可动翼门设计，高度还原真车细节，适合成年收藏与展示，彰显速度与工程美学。</t>
        </is>
      </c>
    </row>
    <row r="27" ht="25.5" customHeight="1">
      <c r="A27">
        <v>1654975475</v>
      </c>
      <c r="B27">
        <v>7616177395</v>
      </c>
      <c r="C27" s="2" t="str">
        <f>=HYPERLINK("https://weidian.com/item.html?itemID=7616177395", "https://weidian.com/item.html?itemID=7616177395")</f>
        <v>https://weidian.com/item.html?itemID=7616177395</v>
      </c>
      <c r="D27"/>
      <c r="E27" s="2" t="str">
        <f>=HYPERLINK("https://si.geilicdn.com/pcitem2014204438-16a00000019abdcef0f70a2301b4_1442_1922.jpg?w=640&amp;h=640", "https://si.geilicdn.com/pcitem2014204438-16a00000019abdcef0f70a2301b4_1442_1922.jpg?w=640&amp;h=640")</f>
        <v>https://si.geilicdn.com/pcitem2014204438-16a00000019abdcef0f70a2301b4_1442_1922.jpg?w=640&amp;h=640</v>
      </c>
      <c r="F27" t="inlineStr">
        <is>
          <t>Toys</t>
        </is>
      </c>
      <c r="G27" t="inlineStr">
        <is>
          <t>Lego</t>
        </is>
      </c>
      <c r="H27">
        <v>480</v>
      </c>
      <c r="I27">
        <v>69.5797101449275</v>
      </c>
      <c r="J27" t="inlineStr">
        <is>
          <t>{"choices":[{"finish_reason":"stop","index":0,"logprobs":null,"message":{"annotations":[],"content":"LEGO Technic Racing Car White Black Red Model 10+","refusal":null,"role":"assistant"}}],"created":1777014257,"id":"chatcmpl-DY4sDFh1sopiInSQmOibVyrTlc4hN","model":"gpt-5-chat-latest","object":"chat.completion","service_tier":"default","system_fingerprint":"fp_ad66631dec","usage":{"completion_tokens":14,"completion_tokens_details":{"accepted_prediction_tokens":0,"audio_tokens":0,"reasoning_tokens":0,"rejected_prediction_tokens":0},"prompt_tokens":887,"prompt_tokens_details":{"audio_tokens":0,"cached_tokens":0},"total_tokens":901}}</t>
        </is>
      </c>
      <c r="K27" t="inlineStr">
        <is>
          <t>LEGO Technic Racing Car White Black Red Model 10+</t>
        </is>
      </c>
      <c r="L27" t="inlineStr">
        <is>
          <t>{"choices":[{"finish_reason":"stop","index":0,"logprobs":null,"message":{"annotations":[],"content":"LEGO Technic white, black &amp; red racing car model with high-precision ABS build, realistic mechanical design, modern sporty look &amp; dynamic speed style, ideal for car fans &amp; collectors age 10+.","refusal":null,"role":"assistant"}}],"created":1777013152,"id":"chatcmpl-DY4aOb6EhPXXu7NUE65ZHwOLYe7Vv","model":"gpt-5-chat-latest","object":"chat.completion","service_tier":"default","system_fingerprint":"fp_ad66631dec","usage":{"completion_tokens":42,"completion_tokens_details":{"accepted_prediction_tokens":0,"audio_tokens":0,"reasoning_tokens":0,"rejected_prediction_tokens":0},"prompt_tokens":900,"prompt_tokens_details":{"audio_tokens":0,"cached_tokens":0},"total_tokens":942}}</t>
        </is>
      </c>
      <c r="M27" t="inlineStr">
        <is>
          <t>{"alt-svc":"h3=\":443\"; ma=2592000","apim-request-id":"cd4a83ef-9f61-4ba6-ae2d-820c16342fa3","azureml-model-session":"d20260402084046-4209e968","cache-control":"no-cache","connection":"close","content-length":"794","content-security-policy":"frame-ancestors 'self'","content-type":"application/json","date":"Fri, 24 Apr 2026 06:45:53 GMT","server":"Caddy","skip-error-remapping":"true","strict-transport-security":"max-age=31536000; includeSubDomains; preload","via":"1.1 Caddy","x-api-request-id":"2026042414455191845317bPyy30NF","x-content-type-options":"nosniff","x-frame-options":"SAMEORIGIN","x-ms-client-request-id":"Not-Set","x-ms-is-spilled-over":"false","x-ms-rai-invoked":"true","x-ms-region":"East US 2","x-new-api-version":"0.4.39","x-oneapi-request-id":"202604240645508845557428268d9d6KzyVVCT0","x-ratelimit-abusepenalty-active":"False","x-ratelimit-limit-requests":"3850","x-ratelimit-limit-tokens":"3850000","x-ratelimit-remaining-requests":"3849","x-ratelimit-remaining-tokens":"3848338","x-ratelimit-renewalperiod-requests":"60","x-ratelimit-renewalperiod-tokens":"60","x-ratelimit-reset-requests":"15","x-ratelimit-reset-tokens":"25","x-request-id":"0a8f5ba9-23e7-488b-a683-0a6de54e00c6"}</t>
        </is>
      </c>
      <c r="N27" t="inlineStr">
        <is>
          <t>LEGO Technic white, black &amp; red racing car model with high-precision ABS build, realistic mechanical design, modern sporty look &amp; dynamic speed style, ideal for car fans &amp; collectors age 10+.</t>
        </is>
      </c>
      <c r="O27" t="inlineStr">
        <is>
          <t>{"id":"chatcmpl-DY58TnIh8QXXhJe5y33I74xrTzoav","object":"chat.completion","created":1777015265,"model":"gpt-5-chat-latest","choices":[{"index":0,"message":{"role":"assistant","content":"Lego,Toy,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27" t="inlineStr">
        <is>
          <t>Lego,Toy,kakobuy,kakebuy2026,kekobuysheet,kakobuysheet2026,2026kakobuy,kakobuyspreadsheeet,kakobuylink,kakebuylist,Kakobuy MEGA Spreadsheet,kakobuysheetfind,kakobuysheetfind2026,2026kakobuysheetfind,kakobuysheet2026</t>
        </is>
      </c>
      <c r="Q27"/>
      <c r="R27" t="inlineStr">
        <is>
          <t>recvhju1CrmMgR</t>
        </is>
      </c>
      <c r="S27" t="inlineStr">
        <is>
          <t>lego-technic-racing-car-white-black-red-10-recvhju1crmg</t>
        </is>
      </c>
      <c r="T27"/>
      <c r="U27"/>
      <c r="V27"/>
      <c r="W27" t="inlineStr">
        <is>
          <t>{"choices":[{"finish_reason":"stop","index":0,"logprobs":null,"message":{"annotations":[],"content":"Lego：Technic系列白黑红赛车模型套装，采用高精度ABS拼插材质，逼真机械设计呈现赛车结构之美，科技感与速度感融合，适合10岁以上车迷及收藏人士，展现现代竞技风格与动感设计。","refusal":null,"role":"assistant"}}],"created":1777011679,"id":"chatcmpl-DY4CdCmLDOMJIdlzebafaQU74vzgG","model":"gpt-5-chat-latest","object":"chat.completion","service_tier":"default","system_fingerprint":"fp_ad66631dec","usage":{"completion_tokens":65,"completion_tokens_details":{"accepted_prediction_tokens":0,"audio_tokens":0,"reasoning_tokens":0,"rejected_prediction_tokens":0},"prompt_tokens":1302,"prompt_tokens_details":{"audio_tokens":0,"cached_tokens":1280},"total_tokens":1367}}</t>
        </is>
      </c>
      <c r="X27" t="inlineStr">
        <is>
          <t>Lego：Technic系列白黑红赛车模型套装，采用高精度ABS拼插材质，逼真机械设计呈现赛车结构之美，科技感与速度感融合，适合10岁以上车迷及收藏人士，展现现代竞技风格与动感设计。</t>
        </is>
      </c>
    </row>
    <row r="28" ht="25.5" customHeight="1">
      <c r="A28">
        <v>1654975475</v>
      </c>
      <c r="B28">
        <v>7616278423</v>
      </c>
      <c r="C28" s="2" t="str">
        <f>=HYPERLINK("https://weidian.com/item.html?itemID=7616278423", "https://weidian.com/item.html?itemID=7616278423")</f>
        <v>https://weidian.com/item.html?itemID=7616278423</v>
      </c>
      <c r="D28"/>
      <c r="E28" s="2" t="str">
        <f>=HYPERLINK("https://si.geilicdn.com/pcitem2014204438-10650000019abdcb7f870a8134f0_1200_898.jpg?w=640&amp;h=640", "https://si.geilicdn.com/pcitem2014204438-10650000019abdcb7f870a8134f0_1200_898.jpg?w=640&amp;h=640")</f>
        <v>https://si.geilicdn.com/pcitem2014204438-10650000019abdcb7f870a8134f0_1200_898.jpg?w=640&amp;h=640</v>
      </c>
      <c r="F28" t="inlineStr">
        <is>
          <t>Toys</t>
        </is>
      </c>
      <c r="G28" t="inlineStr">
        <is>
          <t>Lego</t>
        </is>
      </c>
      <c r="H28">
        <v>1000</v>
      </c>
      <c r="I28">
        <v>144.93</v>
      </c>
      <c r="J28" t="inlineStr">
        <is>
          <t>{"choices":[{"finish_reason":"stop","index":0,"logprobs":null,"message":{"annotations":[],"content":"Lego Technic Blue Bugatti Racing Car Model 16+ Collectible","refusal":null,"role":"assistant"}}],"created":1777014455,"id":"chatcmpl-DY4vPdeZZsEg5Ju2pzqoJwVlQrA3U","model":"gpt-5-chat-latest","object":"chat.completion","service_tier":"default","system_fingerprint":"fp_ad66631dec","usage":{"completion_tokens":16,"completion_tokens_details":{"accepted_prediction_tokens":0,"audio_tokens":0,"reasoning_tokens":0,"rejected_prediction_tokens":0},"prompt_tokens":602,"prompt_tokens_details":{"audio_tokens":0,"cached_tokens":0},"total_tokens":618}}</t>
        </is>
      </c>
      <c r="K28" t="inlineStr">
        <is>
          <t>Lego Technic Blue Bugatti Racing Car Model 16+ Collectible</t>
        </is>
      </c>
      <c r="L28" t="inlineStr">
        <is>
          <t>{"choices":[{"finish_reason":"stop","index":0,"logprobs":null,"message":{"annotations":[],"content":"ToysLego Technology Series Blue Bugatti Racing Car Model, premium ABS material, realistic mechanical design, movable details, perfect collectible for 16+ builders, showcasing modern craftsmanship and speed passion.","refusal":null,"role":"assistant"}}],"created":1777013201,"id":"chatcmpl-DY4bBYZ5IUH4BjNfXpNCT0j5a1qJc","model":"gpt-5-chat-latest","object":"chat.completion","service_tier":"default","system_fingerprint":"fp_ad66631dec","usage":{"completion_tokens":40,"completion_tokens_details":{"accepted_prediction_tokens":0,"audio_tokens":0,"reasoning_tokens":0,"rejected_prediction_tokens":0},"prompt_tokens":619,"prompt_tokens_details":{"audio_tokens":0,"cached_tokens":0},"total_tokens":659}}</t>
        </is>
      </c>
      <c r="M28" t="inlineStr">
        <is>
          <t>{"alt-svc":"h3=\":443\"; ma=2592000","apim-request-id":"d6470044-e117-410a-baaf-df01630fe8e3","azureml-model-session":"d20260405234249-f9874baf","cache-control":"no-cache","connection":"close","content-length":"802","content-security-policy":"frame-ancestors 'self'","content-type":"application/json","date":"Fri, 24 Apr 2026 06:46:42 GMT","server":"Caddy","skip-error-remapping":"true","strict-transport-security":"max-age=31536000; includeSubDomains; preload","via":"1.1 Caddy","x-api-request-id":"20260424144640283035456TXsVgH9H","x-content-type-options":"nosniff","x-frame-options":"SAMEORIGIN","x-ms-client-request-id":"Not-Set","x-ms-is-spilled-over":"false","x-ms-rai-invoked":"true","x-ms-region":"East US 2","x-new-api-version":"0.4.39","x-oneapi-request-id":"202604240646401411878278268d9d6Di4ktjfA","x-ratelimit-abusepenalty-active":"False","x-ratelimit-limit-requests":"3850","x-ratelimit-limit-tokens":"3850000","x-ratelimit-remaining-requests":"3849","x-ratelimit-remaining-tokens":"3848617","x-ratelimit-renewalperiod-requests":"60","x-ratelimit-renewalperiod-tokens":"60","x-ratelimit-reset-requests":"15","x-ratelimit-reset-tokens":"21","x-request-id":"79792723-b57d-4f5e-869d-436216c201a1"}</t>
        </is>
      </c>
      <c r="N28" t="inlineStr">
        <is>
          <t>ToysLego Technology Series Blue Bugatti Racing Car Model, premium ABS material, realistic mechanical design, movable details, perfect collectible for 16+ builders, showcasing modern craftsmanship and speed passion.</t>
        </is>
      </c>
      <c r="O28" t="inlineStr">
        <is>
          <t>{"choices":[{"finish_reason":"stop","index":0,"logprobs":null,"message":{"annotations":[],"content":"Lego,Technic,kakobuy,kakebuy2026,kekobuysheet,kakobuysheet2026,2026kakobuy,kakobuyspreadsheeet,kakobuylink,kakebuylist,Kakobuy MEGA Spreadsheet,kakobuysheetfind,kakobuysheetfind2026,2026kakobuysheetfind,kakobuysheet2026","refusal":null,"role":"assistant"}}],"created":1777015360,"id":"chatcmpl-DY5A0FrY2RhO5gPJOlawbWdM5Ib7E","model":"gpt-5-chat-latest","object":"chat.completion","service_tier":"default","system_fingerprint":"fp_ad66631dec","usage":{"completion_tokens":88,"completion_tokens_details":{"accepted_prediction_tokens":0,"audio_tokens":0,"reasoning_tokens":0,"rejected_prediction_tokens":0},"prompt_tokens":503,"prompt_tokens_details":{"audio_tokens":0,"cached_tokens":0},"total_tokens":591}}</t>
        </is>
      </c>
      <c r="P28" t="inlineStr">
        <is>
          <t>Lego,Technic,kakobuy,kakebuy2026,kekobuysheet,kakobuysheet2026,2026kakobuy,kakobuyspreadsheeet,kakobuylink,kakebuylist,Kakobuy MEGA Spreadsheet,kakobuysheetfind,kakobuysheetfind2026,2026kakobuysheetfind,kakobuysheet2026</t>
        </is>
      </c>
      <c r="Q28"/>
      <c r="R28" t="inlineStr">
        <is>
          <t>recvhju1CrzSNY</t>
        </is>
      </c>
      <c r="S28" t="inlineStr">
        <is>
          <t>lego-technic-blue-bugatti-racing-car-model-16-recvhju1crzsny</t>
        </is>
      </c>
      <c r="T28"/>
      <c r="U28"/>
      <c r="V28"/>
      <c r="W28" t="inlineStr">
        <is>
          <t>{"choices":[{"finish_reason":"stop","index":0,"logprobs":null,"message":{"annotations":[],"content":"Lego：科技系列蓝色布加迪跑车积木模型，精密机械结构设计，细节逼真可动，优质ABS材质打造，赛车风格收藏佳品，适合16岁以上拼搭爱好者，彰显现代工艺美学与速度激情。","refusal":null,"role":"assistant"}}],"created":1777011406,"id":"chatcmpl-DY48EJTXK9SJtgQdw91WBzLnZCHza","model":"gpt-5-chat-latest","object":"chat.completion","service_tier":"default","system_fingerprint":"fp_ad66631dec","usage":{"completion_tokens":66,"completion_tokens_details":{"accepted_prediction_tokens":0,"audio_tokens":0,"reasoning_tokens":0,"rejected_prediction_tokens":0},"prompt_tokens":1018,"prompt_tokens_details":{"audio_tokens":0,"cached_tokens":0},"total_tokens":1084}}</t>
        </is>
      </c>
      <c r="X28" t="inlineStr">
        <is>
          <t>Lego：科技系列蓝色布加迪跑车积木模型，精密机械结构设计，细节逼真可动，优质ABS材质打造，赛车风格收藏佳品，适合16岁以上拼搭爱好者，彰显现代工艺美学与速度激情。</t>
        </is>
      </c>
    </row>
    <row r="29" ht="25.5" customHeight="1">
      <c r="A29">
        <v>1654975475</v>
      </c>
      <c r="B29">
        <v>7619254522</v>
      </c>
      <c r="C29" s="2" t="str">
        <f>=HYPERLINK("https://weidian.com/item.html?itemID=7619254522", "https://weidian.com/item.html?itemID=7619254522")</f>
        <v>https://weidian.com/item.html?itemID=7619254522</v>
      </c>
      <c r="D29"/>
      <c r="E29" s="2" t="str">
        <f>=HYPERLINK("https://si.geilicdn.com/pcitem2014204438-0f0b0000019abdca47eb0a20e672_1512_2019.jpg?w=640&amp;h=640", "https://si.geilicdn.com/pcitem2014204438-0f0b0000019abdca47eb0a20e672_1512_2019.jpg?w=640&amp;h=640")</f>
        <v>https://si.geilicdn.com/pcitem2014204438-0f0b0000019abdca47eb0a20e672_1512_2019.jpg?w=640&amp;h=640</v>
      </c>
      <c r="F29" t="inlineStr">
        <is>
          <t>Toys</t>
        </is>
      </c>
      <c r="G29" t="inlineStr">
        <is>
          <t>Lego</t>
        </is>
      </c>
      <c r="H29">
        <v>1000</v>
      </c>
      <c r="I29">
        <v>144.93</v>
      </c>
      <c r="J29" t="inlineStr">
        <is>
          <t>{"choices":[{"finish_reason":"stop","index":0,"logprobs":null,"message":{"annotations":[],"content":"Lego Ferrari Daytona SP3 Red 1:14 Technic Car","refusal":null,"role":"assistant"}}],"created":1777014160,"id":"chatcmpl-DY4qeJUobBHFfKizxBD9bR4oS3tdD","model":"gpt-5-chat-latest","object":"chat.completion","service_tier":"default","system_fingerprint":"fp_ad66631dec","usage":{"completion_tokens":15,"completion_tokens_details":{"accepted_prediction_tokens":0,"audio_tokens":0,"reasoning_tokens":0,"rejected_prediction_tokens":0},"prompt_tokens":880,"prompt_tokens_details":{"audio_tokens":0,"cached_tokens":0},"total_tokens":895}}</t>
        </is>
      </c>
      <c r="K29" t="inlineStr">
        <is>
          <t>Lego Ferrari Daytona SP3 Red 1:14 Technic Car</t>
        </is>
      </c>
      <c r="L29" t="inlineStr">
        <is>
          <t>{"id":"chatcmpl-DY4eYT0oboIXOi9CFG2WGy7dRzcfp","object":"chat.completion","created":1777013410,"model":"gpt-5-chat-latest","choices":[{"index":0,"message":{"role":"assistant","content":"Lego Ferrari Daytona SP3 Red 1:14 Scale Racing Car Model, Technic Series with precise mechanical structure, realistic details, premium ABS material, perfect for adult collectors and display.","refusal":null,"annotations":[]},"logprobs":null,"finish_reason":"stop"}],"usage":{"prompt_tokens":920,"completion_tokens":39,"total_tokens":959,"prompt_tokens_details":{"cached_tokens":0,"audio_tokens":0},"completion_tokens_details":{"reasoning_tokens":0,"audio_tokens":0,"accepted_prediction_tokens":0,"rejected_prediction_tokens":0}},"service_tier":"default","system_fingerprint":"fp_ad66631dec"}</t>
        </is>
      </c>
      <c r="M2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ma=2592000","apim-request-id":"139f9b82-a043-44c0-9458-d2c587749a88","azureml-model-session":"d20260402083108-57a85543","cache-control":"no-cache, no-store, must-revalidate","connection":"close","content-length":"994","content-security-policy":"frame-ancestors 'self'","content-type":"application/json","date":"Fri, 24 Apr 2026 06:50:12 GMT","server":"nginx","skip-error-remapping":"true","strict-transport-security":"max-age=31536000; includeSubDomains; preload","via":"1.1 Caddy, 1.1 Caddy","x-api-request-id":"20260424145008969229849VHe8j6iY","x-content-type-options":"nosniff","x-frame-options":"SAMEORIGIN","x-ms-is-spilled-over":"false","x-ms-rai-invoked":"false","x-ms-region":"East US 2","x-new-api-version":"0.4.39","x-oneapi-request-id":"202604240650088821062778268d9d6n1T9YcpD","x-ratelimit-abusepenalty-active":"False","x-ratelimit-limit-requests":"4992","x-ratelimit-limit-tokens":"4992000","x-ratelimit-remaining-requests":"4991","x-ratelimit-remaining-tokens":"4990318","x-ratelimit-renewalperiod-requests":"60","x-ratelimit-renewalperiod-tokens":"60","x-ratelimit-reset-requests":"12","x-ratelimit-reset-tokens":"20","x-request-id":"7b660596-c1eb-40e3-94e6-d802aabb652e"}</t>
        </is>
      </c>
      <c r="N29" t="inlineStr">
        <is>
          <t>Lego Ferrari Daytona SP3 Red 1:14 Scale Racing Car Model, Technic Series with precise mechanical structure, realistic details, premium ABS material, perfect for adult collectors and display.</t>
        </is>
      </c>
      <c r="O29" t="inlineStr">
        <is>
          <t>{"choices":[{"finish_reason":"stop","index":0,"logprobs":null,"message":{"annotations":[],"content":"Lego, Toy Car, kakobuy, kakebuy2026, kekobuysheet, kakobuysheet2026, 2026kakobuy, kakobuyspreadsheeet, kakobuylink, kakebuylist, Kakobuy MEGA Spreadsheet, kakobuysheetfind, kakobuysheetfind2026, 2026kakobuysheetfind, kakobuysheet2026","refusal":null,"role":"assistant"}}],"created":1777015182,"id":"chatcmpl-DY578q71mTFc3zcDqpDhi2RULrah4","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29" t="inlineStr">
        <is>
          <t>Lego, Toy Car, kakobuy, kakebuy2026, kekobuysheet, kakobuysheet2026, 2026kakobuy, kakobuyspreadsheeet, kakobuylink, kakebuylist, Kakobuy MEGA Spreadsheet, kakobuysheetfind, kakobuysheetfind2026, 2026kakobuysheetfind, kakobuysheet2026</t>
        </is>
      </c>
      <c r="Q29"/>
      <c r="R29" t="inlineStr">
        <is>
          <t>recvhju1CrNRnm</t>
        </is>
      </c>
      <c r="S29" t="inlineStr">
        <is>
          <t>lego-ferrari-daytona-sp3-red-1-14-technic-car-recvhju1crnrn</t>
        </is>
      </c>
      <c r="T29"/>
      <c r="U29"/>
      <c r="V29"/>
      <c r="W29" t="inlineStr">
        <is>
          <t>{"choices":[{"finish_reason":"stop","index":0,"logprobs":null,"message":{"annotations":[],"content":"Lego：法拉利Daytona SP3红色仿真跑车积木，1:14比例设计，科技系列高精度拼装结构，采用优质ABS环保材质，机械传动与车身细节还原真实赛车质感，兼具收藏与展示功能，适合成人与青少年玩家，展现现代工业美学与赛车激情。","refusal":null,"role":"assistant"}}],"created":1777011453,"id":"chatcmpl-DY48zgKToVqpZlShjSVmJmh7dBJpd","model":"gpt-5-chat-latest","object":"chat.completion","service_tier":"default","system_fingerprint":"fp_ad66631dec","usage":{"completion_tokens":84,"completion_tokens_details":{"accepted_prediction_tokens":0,"audio_tokens":0,"reasoning_tokens":0,"rejected_prediction_tokens":0},"prompt_tokens":1304,"prompt_tokens_details":{"audio_tokens":0,"cached_tokens":1280},"total_tokens":1388}}</t>
        </is>
      </c>
      <c r="X29" t="inlineStr">
        <is>
          <t>Lego：法拉利Daytona SP3红色仿真跑车积木，1:14比例设计，科技系列高精度拼装结构，采用优质ABS环保材质，机械传动与车身细节还原真实赛车质感，兼具收藏与展示功能，适合成人与青少年玩家，展现现代工业美学与赛车激情。</t>
        </is>
      </c>
    </row>
    <row r="30" ht="25.5" customHeight="1">
      <c r="A30">
        <v>1654975475</v>
      </c>
      <c r="B30">
        <v>7619312890</v>
      </c>
      <c r="C30" s="2" t="str">
        <f>=HYPERLINK("https://weidian.com/item.html?itemID=7619312890", "https://weidian.com/item.html?itemID=7619312890")</f>
        <v>https://weidian.com/item.html?itemID=7619312890</v>
      </c>
      <c r="D30"/>
      <c r="E30" s="2" t="str">
        <f>=HYPERLINK("https://si.geilicdn.com/pcitem2014204438-2e7d0000019abe153cc20a2303ee_800_800.jpg?w=640&amp;h=640", "https://si.geilicdn.com/pcitem2014204438-2e7d0000019abe153cc20a2303ee_800_800.jpg?w=640&amp;h=640")</f>
        <v>https://si.geilicdn.com/pcitem2014204438-2e7d0000019abe153cc20a2303ee_800_800.jpg?w=640&amp;h=640</v>
      </c>
      <c r="F30" t="inlineStr">
        <is>
          <t>Toys</t>
        </is>
      </c>
      <c r="G30" t="inlineStr">
        <is>
          <t>Lego</t>
        </is>
      </c>
      <c r="H30">
        <v>330</v>
      </c>
      <c r="I30">
        <v>47.83</v>
      </c>
      <c r="J30" t="inlineStr">
        <is>
          <t>{"id":"chatcmpl-DY4ufuwbjK1Wz8aumRYfZWOpGAQZW","object":"chat.completion","created":1777014409,"model":"gpt-5-chat-latest","choices":[{"index":0,"message":{"role":"assistant","content":"ToysLego Army Green Mechanical Sports Car Building Set","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is>
      </c>
      <c r="K30" t="inlineStr">
        <is>
          <t>ToysLego Army Green Mechanical Sports Car Building Set</t>
        </is>
      </c>
      <c r="L30" t="inlineStr">
        <is>
          <t>{"choices":[{"finish_reason":"stop","index":0,"logprobs":null,"message":{"annotations":[],"content":"ToysLego Mechanical Series Army Green Sports Car Building Set – made of eco-friendly ABS, with realistic engine design and movable parts. Futuristic style, perfect for teens and adult collectors.","refusal":null,"role":"assistant"}}],"created":1777013624,"id":"chatcmpl-DY4i0wFxefVyamoKt3riubHw9zRRN","model":"gpt-5-chat-latest","object":"chat.completion","service_tier":"default","system_fingerprint":"fp_ad66631dec","usage":{"completion_tokens":39,"completion_tokens_details":{"accepted_prediction_tokens":0,"audio_tokens":0,"reasoning_tokens":0,"rejected_prediction_tokens":0},"prompt_tokens":887,"prompt_tokens_details":{"audio_tokens":0,"cached_tokens":0},"total_tokens":926}}</t>
        </is>
      </c>
      <c r="M30" t="inlineStr">
        <is>
          <t>{"alt-svc":"h3=\":443\"; ma=2592000","apim-request-id":"561af243-a5d5-4be7-86bf-86aec70722c1","azureml-model-session":"d20260405234249-f9874baf","cache-control":"no-cache","connection":"close","content-length":"785","content-security-policy":"frame-ancestors 'self'","content-type":"application/json","date":"Fri, 24 Apr 2026 06:53:46 GMT","server":"Caddy","skip-error-remapping":"true","strict-transport-security":"max-age=31536000; includeSubDomains; preload","via":"1.1 Caddy","x-api-request-id":"202604241453438558172680F2TuChO","x-content-type-options":"nosniff","x-frame-options":"SAMEORIGIN","x-ms-client-request-id":"Not-Set","x-ms-is-spilled-over":"false","x-ms-rai-invoked":"true","x-ms-region":"East US 2","x-new-api-version":"0.4.39","x-oneapi-request-id":"202604240653435930765588268d9d64jntfjUS","x-ratelimit-abusepenalty-active":"False","x-ratelimit-limit-requests":"3850","x-ratelimit-limit-tokens":"3850000","x-ratelimit-remaining-requests":"3849","x-ratelimit-remaining-tokens":"3848351","x-ratelimit-renewalperiod-requests":"60","x-ratelimit-renewalperiod-tokens":"60","x-ratelimit-reset-requests":"15","x-ratelimit-reset-tokens":"25","x-request-id":"ae306ee6-137d-479f-82c1-87fcaf4d3e1d"}</t>
        </is>
      </c>
      <c r="N30" t="inlineStr">
        <is>
          <t>ToysLego Mechanical Series Army Green Sports Car Building Set – made of eco-friendly ABS, with realistic engine design and movable parts. Futuristic style, perfect for teens and adult collectors.</t>
        </is>
      </c>
      <c r="O30" t="inlineStr">
        <is>
          <t>{"choices":[{"finish_reason":"stop","index":0,"logprobs":null,"message":{"annotations":[],"content":"Lego,Toy Car,kakobuy,kakebuy2026,kekobuysheet,kakobuysheet2026,2026kakobuy,kakobuyspreadsheeet,kakobuylink,kakebuylist,Kakobuy MEGA Spreadsheet,kakobuysheetfind,kakobuysheetfind2026,2026kakobuysheetfind,kakobuysheet2026","refusal":null,"role":"assistant"}}],"created":1777015183,"id":"chatcmpl-DY579JTiS87eTKefyZyOaIEvfoeN3","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30" t="inlineStr">
        <is>
          <t>Lego,Toy Car,kakobuy,kakebuy2026,kekobuysheet,kakobuysheet2026,2026kakobuy,kakobuyspreadsheeet,kakobuylink,kakebuylist,Kakobuy MEGA Spreadsheet,kakobuysheetfind,kakobuysheetfind2026,2026kakobuysheetfind,kakobuysheet2026</t>
        </is>
      </c>
      <c r="Q30"/>
      <c r="R30" t="inlineStr">
        <is>
          <t>recvhju1Cr5zF8</t>
        </is>
      </c>
      <c r="S30" t="inlineStr">
        <is>
          <t>toyslego-army-green-mech-sports-car-recvhju1cr5zf8</t>
        </is>
      </c>
      <c r="T30"/>
      <c r="U30"/>
      <c r="V30"/>
      <c r="W30" t="inlineStr">
        <is>
          <t>{"choices":[{"finish_reason":"stop","index":0,"logprobs":null,"message":{"annotations":[],"content":"Lego：机械系列军绿色跑车积木模型，采用ABS环保材质，仿真引擎设计与可动部件，展现未来科幻赛车风格，适合青少年及成人收藏与组装体验。","refusal":null,"role":"assistant"}}],"created":1777011739,"id":"chatcmpl-DY4DbhkMNtpA75I4eJfoWLOh405O7","model":"gpt-5-chat-latest","object":"chat.completion","service_tier":"default","system_fingerprint":"fp_ad66631dec","usage":{"completion_tokens":54,"completion_tokens_details":{"accepted_prediction_tokens":0,"audio_tokens":0,"reasoning_tokens":0,"rejected_prediction_tokens":0},"prompt_tokens":1298,"prompt_tokens_details":{"audio_tokens":0,"cached_tokens":0},"total_tokens":1352}}</t>
        </is>
      </c>
      <c r="X30" t="inlineStr">
        <is>
          <t>Lego：机械系列军绿色跑车积木模型，采用ABS环保材质，仿真引擎设计与可动部件，展现未来科幻赛车风格，适合青少年及成人收藏与组装体验。</t>
        </is>
      </c>
    </row>
    <row r="31" ht="25.5" customHeight="1">
      <c r="A31">
        <v>1654975475</v>
      </c>
      <c r="B31">
        <v>7616366569</v>
      </c>
      <c r="C31" s="2" t="str">
        <f>=HYPERLINK("https://weidian.com/item.html?itemID=7616366569", "https://weidian.com/item.html?itemID=7616366569")</f>
        <v>https://weidian.com/item.html?itemID=7616366569</v>
      </c>
      <c r="D31"/>
      <c r="E31" s="2" t="str">
        <f>=HYPERLINK("https://si.geilicdn.com/pcitem2014204438-19f40000019abe1486e80a231177_800_800.jpg?w=640&amp;h=640", "https://si.geilicdn.com/pcitem2014204438-19f40000019abe1486e80a231177_800_800.jpg?w=640&amp;h=640")</f>
        <v>https://si.geilicdn.com/pcitem2014204438-19f40000019abe1486e80a231177_800_800.jpg?w=640&amp;h=640</v>
      </c>
      <c r="F31" t="inlineStr">
        <is>
          <t>Toys</t>
        </is>
      </c>
      <c r="G31" t="inlineStr">
        <is>
          <t>Lego</t>
        </is>
      </c>
      <c r="H31">
        <v>320</v>
      </c>
      <c r="I31">
        <v>46.38</v>
      </c>
      <c r="J31" t="inlineStr">
        <is>
          <t>{"id":"chatcmpl-DY4sIv7FBBKRxEEr6VvHWkOi8x8rR","object":"chat.completion","created":1777014262,"model":"gpt-5-chat-latest","choices":[{"index":0,"message":{"role":"assistant","content":"Lego Technic Orange Pickup Truck Toy Model","refusal":null,"annotations":[]},"logprobs":null,"finish_reason":"stop"}],"usage":{"prompt_tokens":876,"completion_tokens":10,"total_tokens":886,"prompt_tokens_details":{"cached_tokens":0,"audio_tokens":0},"completion_tokens_details":{"reasoning_tokens":0,"audio_tokens":0,"accepted_prediction_tokens":0,"rejected_prediction_tokens":0}},"service_tier":"default","system_fingerprint":"fp_ad66631dec"}</t>
        </is>
      </c>
      <c r="K31" t="inlineStr">
        <is>
          <t>Lego Technic Orange Pickup Truck Toy Model</t>
        </is>
      </c>
      <c r="L31" t="inlineStr">
        <is>
          <t>{"choices":[{"finish_reason":"stop","index":0,"logprobs":null,"message":{"annotations":[],"content":"ToysLegoLego Technic Orange Pickup Truck Model, made of premium ABS blocks, features realistic mechanical design and rugged off-road style, ideal for adult builders and collectors.","refusal":null,"role":"assistant"}}],"created":1777013599,"id":"chatcmpl-DY4hbsMTJd9EbNScJgOZAjvliUmwp","model":"gpt-5-chat-latest","object":"chat.completion","service_tier":"default","system_fingerprint":"fp_ad66631dec","usage":{"completion_tokens":37,"completion_tokens_details":{"accepted_prediction_tokens":0,"audio_tokens":0,"reasoning_tokens":0,"rejected_prediction_tokens":0},"prompt_tokens":898,"prompt_tokens_details":{"audio_tokens":0,"cached_tokens":0},"total_tokens":935}}</t>
        </is>
      </c>
      <c r="M31" t="inlineStr">
        <is>
          <t>{"alt-svc":"h3=\":443\"; ma=2592000","apim-request-id":"a6b9fc7a-b3b8-435a-900e-c055122b9d5e","azureml-model-session":"d20260405234249-f9874baf","cache-control":"no-cache","connection":"close","content-length":"768","content-security-policy":"frame-ancestors 'self'","content-type":"application/json","date":"Fri, 24 Apr 2026 06:53:21 GMT","server":"Caddy","skip-error-remapping":"true","strict-transport-security":"max-age=31536000; includeSubDomains; preload","via":"1.1 Caddy","x-api-request-id":"20260424145318955984452dQB6GH72","x-content-type-options":"nosniff","x-frame-options":"SAMEORIGIN","x-ms-client-request-id":"Not-Set","x-ms-is-spilled-over":"false","x-ms-rai-invoked":"true","x-ms-region":"East US 2","x-new-api-version":"0.4.39","x-oneapi-request-id":"202604240653184818661158268d9d6lLpjXEB3","x-ratelimit-abusepenalty-active":"False","x-ratelimit-limit-requests":"3850","x-ratelimit-limit-tokens":"3850000","x-ratelimit-remaining-requests":"3849","x-ratelimit-remaining-tokens":"3848340","x-ratelimit-renewalperiod-requests":"60","x-ratelimit-renewalperiod-tokens":"60","x-ratelimit-reset-requests":"15","x-ratelimit-reset-tokens":"25","x-request-id":"a8cc506e-cf53-40de-91bf-b149dd90c0da"}</t>
        </is>
      </c>
      <c r="N31" t="inlineStr">
        <is>
          <t>ToysLegoLego Technic Orange Pickup Truck Model, made of premium ABS blocks, features realistic mechanical design and rugged off-road style, ideal for adult builders and collectors.</t>
        </is>
      </c>
      <c r="O31" t="inlineStr">
        <is>
          <t>{"id":"chatcmpl-DY57nlP4biWr8eJZrBxtGy6fuTSYJ","object":"chat.completion","created":1777015223,"model":"gpt-5-chat-latest","choices":[{"index":0,"message":{"role":"assistant","content":"Lego,Toy Car,kakobuy,kakebuy2026,kekobuysheet,kakobuysheet2026,2026kakobuy,kakobuyspreadsheeet,kakobuylink,kakebuylist,Kakobuy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31" t="inlineStr">
        <is>
          <t>Lego,Toy Car,kakobuy,kakebuy2026,kekobuysheet,kakobuysheet2026,2026kakobuy,kakobuyspreadsheeet,kakobuylink,kakebuylist,Kakobuy MEGA Spreadsheet,kakobuysheetfind,kakobuysheetfind2026,2026kakobuysheetfind,kakobuysheet2026</t>
        </is>
      </c>
      <c r="Q31"/>
      <c r="R31" t="inlineStr">
        <is>
          <t>recvhju1Cr9fXm</t>
        </is>
      </c>
      <c r="S31" t="inlineStr">
        <is>
          <t>lego-technic-orange-pickup-truck-recvhju1cr9fxm</t>
        </is>
      </c>
      <c r="T31"/>
      <c r="U31"/>
      <c r="V31"/>
      <c r="W31" t="inlineStr">
        <is>
          <t>{"choices":[{"finish_reason":"stop","index":0,"logprobs":null,"message":{"annotations":[],"content":"Lego：科技系列橙色皮卡模型，采用高品质ABS颗粒拼装材质，机械结构设计还原真实越野卡车造型，动感硬核风格，适合成年玩家与收藏爱好者，展现经典工程机械美学与拼搭乐趣。","refusal":null,"role":"assistant"}}],"created":1777011714,"id":"chatcmpl-DY4DCIEEsO8NvclaMjy0pOCv2mm6C","model":"gpt-5-chat-latest","object":"chat.completion","service_tier":"default","system_fingerprint":"fp_ad66631dec","usage":{"completion_tokens":67,"completion_tokens_details":{"accepted_prediction_tokens":0,"audio_tokens":0,"reasoning_tokens":0,"rejected_prediction_tokens":0},"prompt_tokens":1294,"prompt_tokens_details":{"audio_tokens":0,"cached_tokens":1280},"total_tokens":1361}}</t>
        </is>
      </c>
      <c r="X31" t="inlineStr">
        <is>
          <t>Lego：科技系列橙色皮卡模型，采用高品质ABS颗粒拼装材质，机械结构设计还原真实越野卡车造型，动感硬核风格，适合成年玩家与收藏爱好者，展现经典工程机械美学与拼搭乐趣。</t>
        </is>
      </c>
    </row>
    <row r="32" ht="25.5" customHeight="1">
      <c r="A32">
        <v>1654975475</v>
      </c>
      <c r="B32">
        <v>7619211070</v>
      </c>
      <c r="C32" s="2" t="str">
        <f>=HYPERLINK("https://weidian.com/item.html?itemID=7619211070", "https://weidian.com/item.html?itemID=7619211070")</f>
        <v>https://weidian.com/item.html?itemID=7619211070</v>
      </c>
      <c r="D32"/>
      <c r="E32" s="2" t="str">
        <f>=HYPERLINK("https://si.geilicdn.com/pcitem2014204438-143e0000019abdcac1dc0a23047e_1086_816.jpg?w=640&amp;h=640", "https://si.geilicdn.com/pcitem2014204438-143e0000019abdcac1dc0a23047e_1086_816.jpg?w=640&amp;h=640")</f>
        <v>https://si.geilicdn.com/pcitem2014204438-143e0000019abdcac1dc0a23047e_1086_816.jpg?w=640&amp;h=640</v>
      </c>
      <c r="F32" t="inlineStr">
        <is>
          <t>Toys</t>
        </is>
      </c>
      <c r="G32" t="inlineStr">
        <is>
          <t>Lego</t>
        </is>
      </c>
      <c r="H32">
        <v>1000</v>
      </c>
      <c r="I32">
        <v>144.93</v>
      </c>
      <c r="J32" t="inlineStr">
        <is>
          <t>{"choices":[{"finish_reason":"stop","index":0,"logprobs":null,"message":{"annotations":[],"content":"Lego Technic Blue Red Motorcycle Model Toy","refusal":null,"role":"assistant"}}],"created":1777014480,"id":"chatcmpl-DY4vo6wB0JzGgUswo4N3zSl9EjMtL","model":"gpt-5-chat-latest","object":"chat.completion","service_tier":"default","system_fingerprint":"fp_ad66631dec","usage":{"completion_tokens":10,"completion_tokens_details":{"accepted_prediction_tokens":0,"audio_tokens":0,"reasoning_tokens":0,"rejected_prediction_tokens":0},"prompt_tokens":592,"prompt_tokens_details":{"audio_tokens":0,"cached_tokens":0},"total_tokens":602}}</t>
        </is>
      </c>
      <c r="K32" t="inlineStr">
        <is>
          <t>Lego Technic Blue Red Motorcycle Model Toy</t>
        </is>
      </c>
      <c r="L32" t="inlineStr">
        <is>
          <t>{"id":"chatcmpl-DY4gD9gFLhRxLVKeTXpLJcTME29Xy","object":"chat.completion","created":1777013513,"model":"gpt-5-chat-latest","choices":[{"index":0,"message":{"role":"assistant","content":"ToysLego Technic Blue Red White Motorcycle Model, crafted from premium ABS material with precise mechanical structure, showcases modern performance aesthetics, perfect for adult collectors and display.","refusal":null,"annotations":[]},"logprobs":null,"finish_reason":"stop"}],"usage":{"prompt_tokens":611,"completion_tokens":35,"total_tokens":646,"prompt_tokens_details":{"cached_tokens":0,"audio_tokens":0},"completion_tokens_details":{"reasoning_tokens":0,"audio_tokens":0,"accepted_prediction_tokens":0,"rejected_prediction_tokens":0}},"service_tier":"default","system_fingerprint":"fp_ad66631dec"}</t>
        </is>
      </c>
      <c r="M3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ma=2592000","apim-request-id":"d6b5fe33-dece-46f7-8b60-5e44f0a26c9e","azureml-model-session":"d20260402083108-57a85543","cache-control":"no-cache, no-store, must-revalidate","connection":"close","content-length":"1005","content-security-policy":"frame-ancestors 'self'","content-type":"application/json","date":"Fri, 24 Apr 2026 06:51:55 GMT","server":"Caddy","skip-error-remapping":"true","strict-transport-security":"max-age=31536000; includeSubDomains; preload","via":"1.1 Caddy","x-api-request-id":"2026042414515245852091ZQqpKGSH","x-content-type-options":"nosniff","x-frame-options":"SAMEORIGIN","x-ms-is-spilled-over":"false","x-ms-rai-invoked":"false","x-ms-region":"Sweden Central","x-new-api-version":"0.4.39","x-oneapi-request-id":"202604240651518622389498268d9d61DqtkWIT","x-ratelimit-abusepenalty-active":"False","x-ratelimit-limit-requests":"4998","x-ratelimit-limit-tokens":"4998000","x-ratelimit-remaining-requests":"4997","x-ratelimit-remaining-tokens":"4996625","x-ratelimit-renewalperiod-requests":"60","x-ratelimit-renewalperiod-tokens":"60","x-ratelimit-reset-requests":"12","x-ratelimit-reset-tokens":"16","x-request-id":"d7c3dadd-03bc-4799-98eb-fa381f3f163a"}</t>
        </is>
      </c>
      <c r="N32" t="inlineStr">
        <is>
          <t>ToysLego Technic Blue Red White Motorcycle Model, crafted from premium ABS material with precise mechanical structure, showcases modern performance aesthetics, perfect for adult collectors and display.</t>
        </is>
      </c>
      <c r="O32" t="inlineStr">
        <is>
          <t>{"id":"chatcmpl-DY56jKF10HINGV2w9yhydYZbyxTXg","object":"chat.completion","created":1777015157,"model":"gpt-5-chat-latest","choices":[{"index":0,"message":{"role":"assistant","content":"Lego, Motorcycle,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is>
      </c>
      <c r="P32" t="inlineStr">
        <is>
          <t>Lego, Motorcycle, kakobuy, kakebuy2026, kekobuysheet, kakobuysheet2026, 2026kakobuy, kakobuyspreadsheeet, kakobuylink, kakebuylist, Kakobuy MEGA Spreadsheet, kakobuysheetfind, kakobuysheetfind2026, 2026kakobuysheetfind, kakobuysheet2026</t>
        </is>
      </c>
      <c r="Q32"/>
      <c r="R32" t="inlineStr">
        <is>
          <t>recvhju1Cr0GzV</t>
        </is>
      </c>
      <c r="S32" t="inlineStr">
        <is>
          <t>lego-technic-blue-red-motorcycle-recvhju1cr0gz</t>
        </is>
      </c>
      <c r="T32"/>
      <c r="U32"/>
      <c r="V32"/>
      <c r="W32" t="inlineStr">
        <is>
          <t>{"id":"chatcmpl-DY49hgUnzxp4pFYH57AOu2hn16hYb","object":"chat.completion","created":1777011497,"model":"gpt-5-chat-latest","choices":[{"index":0,"message":{"role":"assistant","content":"Lego：科技系列蓝红白配色仿真摩托模型，采用优质ABS拼插材质，机械结构精密还原，运动造型前卫硬核，适合成人收藏与展示，彰显现代机能美学。","refusal":null,"annotations":[]},"logprobs":null,"finish_reason":"stop"}],"usage":{"prompt_tokens":1020,"completion_tokens":57,"total_tokens":1077,"prompt_tokens_details":{"cached_tokens":0,"audio_tokens":0},"completion_tokens_details":{"reasoning_tokens":0,"audio_tokens":0,"accepted_prediction_tokens":0,"rejected_prediction_tokens":0}},"service_tier":"default","system_fingerprint":"fp_ad66631dec"}</t>
        </is>
      </c>
      <c r="X32" t="inlineStr">
        <is>
          <t>Lego：科技系列蓝红白配色仿真摩托模型，采用优质ABS拼插材质，机械结构精密还原，运动造型前卫硬核，适合成人收藏与展示，彰显现代机能美学。</t>
        </is>
      </c>
    </row>
    <row r="33" ht="25.5" customHeight="1">
      <c r="A33">
        <v>1654975475</v>
      </c>
      <c r="B33">
        <v>7619251980</v>
      </c>
      <c r="C33" s="2" t="str">
        <f>=HYPERLINK("https://weidian.com/item.html?itemID=7619251980", "https://weidian.com/item.html?itemID=7619251980")</f>
        <v>https://weidian.com/item.html?itemID=7619251980</v>
      </c>
      <c r="D33"/>
      <c r="E33" s="2" t="str">
        <f>=HYPERLINK("https://si.geilicdn.com/pcitem2014204438-2ac20000019abe173ebb0a23047e_1080_726.jpg?w=640&amp;h=640", "https://si.geilicdn.com/pcitem2014204438-2ac20000019abe173ebb0a23047e_1080_726.jpg?w=640&amp;h=640")</f>
        <v>https://si.geilicdn.com/pcitem2014204438-2ac20000019abe173ebb0a23047e_1080_726.jpg?w=640&amp;h=640</v>
      </c>
      <c r="F33" t="inlineStr">
        <is>
          <t>Toys</t>
        </is>
      </c>
      <c r="G33" t="inlineStr">
        <is>
          <t>Lego</t>
        </is>
      </c>
      <c r="H33">
        <v>360</v>
      </c>
      <c r="I33">
        <v>52.17</v>
      </c>
      <c r="J33" t="inlineStr">
        <is>
          <t>{"choices":[{"finish_reason":"stop","index":0,"logprobs":null,"message":{"annotations":[],"content":"Lego Ferrari Red Racing Car Model Toy Set","refusal":null,"role":"assistant"}}],"created":1777014529,"id":"chatcmpl-DY4wbrPNbyVy4IyVmEU04xGmgDfbq","model":"gpt-5-chat-latest","object":"chat.completion","service_tier":"default","system_fingerprint":"fp_ad66631dec","usage":{"completion_tokens":10,"completion_tokens_details":{"accepted_prediction_tokens":0,"audio_tokens":0,"reasoning_tokens":0,"rejected_prediction_tokens":0},"prompt_tokens":590,"prompt_tokens_details":{"audio_tokens":0,"cached_tokens":0},"total_tokens":600}}</t>
        </is>
      </c>
      <c r="K33" t="inlineStr">
        <is>
          <t>Lego Ferrari Red Racing Car Model Toy Set</t>
        </is>
      </c>
      <c r="L33" t="inlineStr">
        <is>
          <t>{"choices":[{"finish_reason":"stop","index":0,"logprobs":null,"message":{"annotations":[],"content":"Lego Ferrari Red Racing Car Series model uses premium eco-friendly ABS, realistic scale design, dynamic streamlined body, and racing paint for adults collection or family building fun.","refusal":null,"role":"assistant"}}],"created":1777013362,"id":"chatcmpl-DY4dmNCMxa9eysTt5Sd9acDi9xcdM","model":"gpt-5-chat-latest","object":"chat.completion","service_tier":"default","system_fingerprint":"fp_ad66631dec","usage":{"completion_tokens":34,"completion_tokens_details":{"accepted_prediction_tokens":0,"audio_tokens":0,"reasoning_tokens":0,"rejected_prediction_tokens":0},"prompt_tokens":629,"prompt_tokens_details":{"audio_tokens":0,"cached_tokens":0},"total_tokens":663}}</t>
        </is>
      </c>
      <c r="M33" t="inlineStr">
        <is>
          <t>{"alt-svc":"h3=\":443\"; ma=2592000","apim-request-id":"1e13709e-fc14-4010-b93b-b6e0e5a7fd0a","azureml-model-session":"d20260402075109-1fc5a0ec","cache-control":"no-cache","connection":"close","content-length":"772","content-security-policy":"frame-ancestors 'self'","content-type":"application/json","date":"Fri, 24 Apr 2026 06:49:23 GMT","server":"nginx","skip-error-remapping":"true","strict-transport-security":"max-age=31536000; includeSubDomains; preload","via":"1.1 Caddy, 1.1 Caddy","x-api-request-id":"20260424144921229839236XK6prZjx","x-content-type-options":"nosniff","x-frame-options":"SAMEORIGIN","x-ms-client-request-id":"Not-Set","x-ms-is-spilled-over":"false","x-ms-rai-invoked":"true","x-ms-region":"East US 2","x-new-api-version":"0.4.39","x-oneapi-request-id":"202604240649211541756128268d9d67hDZARkX","x-ratelimit-abusepenalty-active":"False","x-ratelimit-limit-requests":"3850","x-ratelimit-limit-tokens":"3850000","x-ratelimit-remaining-requests":"3849","x-ratelimit-remaining-tokens":"3848607","x-ratelimit-renewalperiod-requests":"60","x-ratelimit-renewalperiod-tokens":"60","x-ratelimit-reset-requests":"15","x-ratelimit-reset-tokens":"21","x-request-id":"bec58329-95d6-4362-80b7-ee4ee65ae1b3"}</t>
        </is>
      </c>
      <c r="N33" t="inlineStr">
        <is>
          <t>Lego Ferrari Red Racing Car Series model uses premium eco-friendly ABS, realistic scale design, dynamic streamlined body, and racing paint for adults collection or family building fun.</t>
        </is>
      </c>
      <c r="O33" t="inlineStr">
        <is>
          <t>{"choices":[{"finish_reason":"stop","index":0,"logprobs":null,"message":{"annotations":[],"content":"Lego,Toy Car,kakobuy,kakebuy2026,kekobuysheet,kakobuysheet2026,2026kakobuy,kakobuyspreadsheeet,kakobuylink,kakebuylist,Kakobuy MEGA Spreadsheet,kakobuysheetfind,kakobuysheetfind2026,2026kakobuysheetfind,kakobuysheet2026","refusal":null,"role":"assistant"}}],"created":1777015285,"id":"chatcmpl-DY58n6ECaVZ372E9IxEXo1TBLGLRI","model":"gpt-5-chat-latest","object":"chat.completion","service_tier":"default","system_fingerprint":"fp_ad66631dec","usage":{"completion_tokens":88,"completion_tokens_details":{"accepted_prediction_tokens":0,"audio_tokens":0,"reasoning_tokens":0,"rejected_prediction_tokens":0},"prompt_tokens":503,"prompt_tokens_details":{"audio_tokens":0,"cached_tokens":0},"total_tokens":591}}</t>
        </is>
      </c>
      <c r="P33" t="inlineStr">
        <is>
          <t>Lego,Toy Car,kakobuy,kakebuy2026,kekobuysheet,kakobuysheet2026,2026kakobuy,kakobuyspreadsheeet,kakobuylink,kakebuylist,Kakobuy MEGA Spreadsheet,kakobuysheetfind,kakobuysheetfind2026,2026kakobuysheetfind,kakobuysheet2026</t>
        </is>
      </c>
      <c r="Q33"/>
      <c r="R33" t="inlineStr">
        <is>
          <t>recvhju1CrXIfz</t>
        </is>
      </c>
      <c r="S33" t="inlineStr">
        <is>
          <t>ferrari-red-racing-car-recvhju1crxifz</t>
        </is>
      </c>
      <c r="T33"/>
      <c r="U33"/>
      <c r="V33"/>
      <c r="W33" t="inlineStr">
        <is>
          <t>{"id":"chatcmpl-DY47sqCEVBwDfZMUIdhZiai9BjVue","object":"chat.completion","created":1777011384,"model":"gpt-5-chat-latest","choices":[{"index":0,"message":{"role":"assistant","content":"Lego：法拉利红色赛车系列拼装模型，采用高品质ABS环保材质，逼真比例还原创新设计，展现赛车机械美学。动感流线造型与赛车涂装相融合，适合成年收藏与亲子搭建体验，科技感十足的经典竞速风格展示佳品。","refusal":null,"annotations":[]},"logprobs":null,"finish_reason":"stop"}],"usage":{"prompt_tokens":1016,"completion_tokens":77,"total_tokens":1093,"prompt_tokens_details":{"cached_tokens":0,"audio_tokens":0},"completion_tokens_details":{"reasoning_tokens":0,"audio_tokens":0,"accepted_prediction_tokens":0,"rejected_prediction_tokens":0}},"service_tier":"default","system_fingerprint":"fp_ad66631dec"}</t>
        </is>
      </c>
      <c r="X33" t="inlineStr">
        <is>
          <t>Lego：法拉利红色赛车系列拼装模型，采用高品质ABS环保材质，逼真比例还原创新设计，展现赛车机械美学。动感流线造型与赛车涂装相融合，适合成年收藏与亲子搭建体验，科技感十足的经典竞速风格展示佳品。</t>
        </is>
      </c>
    </row>
    <row r="34" ht="25.5" customHeight="1">
      <c r="A34">
        <v>1654975475</v>
      </c>
      <c r="B34">
        <v>7619297176</v>
      </c>
      <c r="C34" s="2" t="str">
        <f>=HYPERLINK("https://weidian.com/item.html?itemID=7619297176", "https://weidian.com/item.html?itemID=7619297176")</f>
        <v>https://weidian.com/item.html?itemID=7619297176</v>
      </c>
      <c r="D34"/>
      <c r="E34" s="2" t="str">
        <f>=HYPERLINK("https://si.geilicdn.com/pcitem2014204438-71620000019abe16b24a0a231316_1512_2016.jpg?w=640&amp;h=640", "https://si.geilicdn.com/pcitem2014204438-71620000019abe16b24a0a231316_1512_2016.jpg?w=640&amp;h=640")</f>
        <v>https://si.geilicdn.com/pcitem2014204438-71620000019abe16b24a0a231316_1512_2016.jpg?w=640&amp;h=640</v>
      </c>
      <c r="F34" t="inlineStr">
        <is>
          <t>Toys</t>
        </is>
      </c>
      <c r="G34" t="inlineStr">
        <is>
          <t>Lego</t>
        </is>
      </c>
      <c r="H34">
        <v>330</v>
      </c>
      <c r="I34">
        <v>47.83</v>
      </c>
      <c r="J34" t="inlineStr">
        <is>
          <t>{"id":"chatcmpl-DY4vFCbOmzznwc4RXILtbKk9GuXfz","object":"chat.completion","created":1777014445,"model":"gpt-5-chat-latest","choices":[{"index":0,"message":{"role":"assistant","content":"Lego Technic Blue White Racing Motorcycle Model Toy ","refusal":null,"annotations":[]},"logprobs":null,"finish_reason":"stop"}],"usage":{"prompt_tokens":890,"completion_tokens":12,"total_tokens":902,"prompt_tokens_details":{"cached_tokens":0,"audio_tokens":0},"completion_tokens_details":{"reasoning_tokens":0,"audio_tokens":0,"accepted_prediction_tokens":0,"rejected_prediction_tokens":0}},"service_tier":"default","system_fingerprint":"fp_ad66631dec"}</t>
        </is>
      </c>
      <c r="K34" t="inlineStr">
        <is>
          <t xml:space="preserve">Lego Technic Blue White Racing Motorcycle Model Toy </t>
        </is>
      </c>
      <c r="L34" t="inlineStr">
        <is>
          <t>{"id":"chatcmpl-DY4c2SyOo81WP3KTMOjweQA3h48dj","object":"chat.completion","created":1777013254,"model":"gpt-5-chat-latest","choices":[{"index":0,"message":{"role":"assistant","content":"ToysLegoLego Technic Blue White Racing Motorcycle Model, made of high-precision ABS blocks, features mechanical realism, dynamic sports bike design, ideal for men and women, perfect for display and collection.","refusal":null,"annotations":[]},"logprobs":null,"finish_reason":"stop"}],"usage":{"prompt_tokens":890,"completion_tokens":44,"total_tokens":934,"prompt_tokens_details":{"cached_tokens":0,"audio_tokens":0},"completion_tokens_details":{"reasoning_tokens":0,"audio_tokens":0,"accepted_prediction_tokens":0,"rejected_prediction_tokens":0}},"service_tier":"default","system_fingerprint":"fp_ad66631dec"}</t>
        </is>
      </c>
      <c r="M3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ma=2592000","apim-request-id":"0324dfa8-d3cf-41a3-9cb2-45c88ac77311","azureml-model-session":"d20260402083108-57a85543","cache-control":"no-cache, no-store, must-revalidate","connection":"close","content-length":"1013","content-security-policy":"frame-ancestors 'self'","content-type":"application/json","date":"Fri, 24 Apr 2026 06:47:36 GMT","server":"Caddy","skip-error-remapping":"true","strict-transport-security":"max-age=31536000; includeSubDomains; preload","via":"1.1 Caddy","x-api-request-id":"20260424144733644712700wIYa7UNe","x-content-type-options":"nosniff","x-frame-options":"SAMEORIGIN","x-ms-is-spilled-over":"false","x-ms-rai-invoked":"false","x-ms-region":"East US 2","x-new-api-version":"0.4.39","x-oneapi-request-id":"202604240647334451735658268d9d6iRy2NY1O","x-ratelimit-abusepenalty-active":"False","x-ratelimit-limit-requests":"4992","x-ratelimit-limit-tokens":"4992000","x-ratelimit-remaining-requests":"4991","x-ratelimit-remaining-tokens":"4990348","x-ratelimit-renewalperiod-requests":"60","x-ratelimit-renewalperiod-tokens":"60","x-ratelimit-reset-requests":"12","x-ratelimit-reset-tokens":"19","x-request-id":"fcf3d818-2cda-492b-8de5-cb345a036723"}</t>
        </is>
      </c>
      <c r="N34" t="inlineStr">
        <is>
          <t>ToysLegoLego Technic Blue White Racing Motorcycle Model, made of high-precision ABS blocks, features mechanical realism, dynamic sports bike design, ideal for men and women, perfect for display and collection.</t>
        </is>
      </c>
      <c r="O34" t="inlineStr">
        <is>
          <t>{"choices":[{"finish_reason":"stop","index":0,"logprobs":null,"message":{"annotations":[],"content":"Lego,Motorcycle,kakobuy,kakebuy2026,kekobuysheet,kakobuysheet2026,2026kakobuy,kakobuyspreadsheeet,kakobuylink,kakebuylist,Kakobuy MEGA Spreadsheet,kakobuysheetfind,kakobuysheetfind2026,2026kakobuysheetfind,kakobuysheet2026","refusal":null,"role":"assistant"}}],"created":1777015280,"id":"chatcmpl-DY58ivnN43deutoETE9tABs63f2yc","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34" t="inlineStr">
        <is>
          <t>Lego,Motorcycle,kakobuy,kakebuy2026,kekobuysheet,kakobuysheet2026,2026kakobuy,kakobuyspreadsheeet,kakobuylink,kakebuylist,Kakobuy MEGA Spreadsheet,kakobuysheetfind,kakobuysheetfind2026,2026kakobuysheetfind,kakobuysheet2026</t>
        </is>
      </c>
      <c r="Q34"/>
      <c r="R34" t="inlineStr">
        <is>
          <t>recvhju1CrkFXB</t>
        </is>
      </c>
      <c r="S34" t="inlineStr">
        <is>
          <t>lego-technic-blue-white-racing-motorcycle-recvhju1crkfxb</t>
        </is>
      </c>
      <c r="T34"/>
      <c r="U34"/>
      <c r="V34"/>
      <c r="W34" t="inlineStr">
        <is>
          <t>{"id":"chatcmpl-DY4H8MUxe9vnah1VnTPl7na9yE2EH","object":"chat.completion","created":1777011958,"model":"gpt-5-chat-latest","choices":[{"index":0,"message":{"role":"assistant","content":"Lego：科技系列蓝白赛车摩托模型，采用高精度ABS积木材质，机械仿真设计，动感跑车风格，男女皆宜，现代机车造型，收藏与展示兼具的拼装玩具。","refusal":null,"annotations":[]},"logprobs":null,"finish_reason":"stop"}],"usage":{"prompt_tokens":1298,"completion_tokens":57,"total_tokens":1355,"prompt_tokens_details":{"cached_tokens":1280,"audio_tokens":0},"completion_tokens_details":{"reasoning_tokens":0,"audio_tokens":0,"accepted_prediction_tokens":0,"rejected_prediction_tokens":0}},"service_tier":"default","system_fingerprint":"fp_ad66631dec"}</t>
        </is>
      </c>
      <c r="X34" t="inlineStr">
        <is>
          <t>Lego：科技系列蓝白赛车摩托模型，采用高精度ABS积木材质，机械仿真设计，动感跑车风格，男女皆宜，现代机车造型，收藏与展示兼具的拼装玩具。</t>
        </is>
      </c>
    </row>
    <row r="35" ht="25.5" customHeight="1">
      <c r="A35">
        <v>1654975475</v>
      </c>
      <c r="B35">
        <v>7619344614</v>
      </c>
      <c r="C35" s="2" t="str">
        <f>=HYPERLINK("https://weidian.com/item.html?itemID=7619344614", "https://weidian.com/item.html?itemID=7619344614")</f>
        <v>https://weidian.com/item.html?itemID=7619344614</v>
      </c>
      <c r="D35"/>
      <c r="E35" s="2" t="str">
        <f>=HYPERLINK("https://si.geilicdn.com/pcitem2014204438-6f9b0000019abe15909c0a811411_752_669.jpg?w=640&amp;h=640", "https://si.geilicdn.com/pcitem2014204438-6f9b0000019abe15909c0a811411_752_669.jpg?w=640&amp;h=640")</f>
        <v>https://si.geilicdn.com/pcitem2014204438-6f9b0000019abe15909c0a811411_752_669.jpg?w=640&amp;h=640</v>
      </c>
      <c r="F35" t="inlineStr">
        <is>
          <t>Toys</t>
        </is>
      </c>
      <c r="G35" t="inlineStr">
        <is>
          <t>Lego</t>
        </is>
      </c>
      <c r="H35">
        <v>340</v>
      </c>
      <c r="I35">
        <v>49.2898550724637</v>
      </c>
      <c r="J35" t="inlineStr">
        <is>
          <t>{"choices":[{"finish_reason":"stop","index":0,"logprobs":null,"message":{"annotations":[],"content":"LEGO Technic Ducati Red Racing Motorcycle Toy Model","refusal":null,"role":"assistant"}}],"created":1777014212,"id":"chatcmpl-DY4rUCsOKz9rWlcWxWEIUWTVSb18d","model":"gpt-5-chat-latest","object":"chat.completion","service_tier":"default","system_fingerprint":"fp_ad66631dec","usage":{"completion_tokens":11,"completion_tokens_details":{"accepted_prediction_tokens":0,"audio_tokens":0,"reasoning_tokens":0,"rejected_prediction_tokens":0},"prompt_tokens":870,"prompt_tokens_details":{"audio_tokens":0,"cached_tokens":0},"total_tokens":881}}</t>
        </is>
      </c>
      <c r="K35" t="inlineStr">
        <is>
          <t>LEGO Technic Ducati Red Racing Motorcycle Toy Model</t>
        </is>
      </c>
      <c r="L35" t="inlineStr">
        <is>
          <t>{"id":"chatcmpl-DY4hU58zMLfFhSEGeAg1zU8rh89WP","object":"chat.completion","created":1777013592,"model":"gpt-5-chat-latest","choices":[{"index":0,"message":{"role":"assistant","content":"LEGO Technic Ducati Red Racing Motorcycle – detailed mechanical design, eco-friendly ABS material, authentic moto features, dynamic sporty style, perfect for collectors and engineering lovers.","refusal":null,"annotations":[]},"logprobs":null,"finish_reason":"stop"}],"usage":{"prompt_tokens":890,"completion_tokens":34,"total_tokens":924,"prompt_tokens_details":{"cached_tokens":0,"audio_tokens":0},"completion_tokens_details":{"reasoning_tokens":0,"audio_tokens":0,"accepted_prediction_tokens":0,"rejected_prediction_tokens":0}},"service_tier":"default","system_fingerprint":"fp_ad66631dec"}</t>
        </is>
      </c>
      <c r="M3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ma=2592000","apim-request-id":"ce3f4639-26c5-4382-9e3c-a5a4f3aaa6fd","azureml-model-session":"d20260405225800-40f19e54","cache-control":"no-cache, no-store, must-revalidate","connection":"close","content-length":"998","content-security-policy":"frame-ancestors 'self'","content-type":"application/json","date":"Fri, 24 Apr 2026 06:53:14 GMT","server":"nginx","skip-error-remapping":"true","strict-transport-security":"max-age=31536000; includeSubDomains; preload","via":"1.1 Caddy, 1.1 Caddy","x-api-request-id":"20260424145311581998357VtmiGbbO","x-content-type-options":"nosniff","x-frame-options":"SAMEORIGIN","x-ms-is-spilled-over":"false","x-ms-rai-invoked":"false","x-ms-region":"East US 2","x-new-api-version":"0.4.39","x-oneapi-request-id":"202604240653115104680298268d9d6F4hZkdDw","x-ratelimit-abusepenalty-active":"False","x-ratelimit-limit-requests":"4992","x-ratelimit-limit-tokens":"4992000","x-ratelimit-remaining-requests":"4991","x-ratelimit-remaining-tokens":"4990348","x-ratelimit-renewalperiod-requests":"60","x-ratelimit-renewalperiod-tokens":"60","x-ratelimit-reset-requests":"12","x-ratelimit-reset-tokens":"19","x-request-id":"74f64aa9-7566-4758-9681-a0116e0e0780"}</t>
        </is>
      </c>
      <c r="N35" t="inlineStr">
        <is>
          <t>LEGO Technic Ducati Red Racing Motorcycle – detailed mechanical design, eco-friendly ABS material, authentic moto features, dynamic sporty style, perfect for collectors and engineering lovers.</t>
        </is>
      </c>
      <c r="O35" t="inlineStr">
        <is>
          <t>{"id":"chatcmpl-DY52f5WNLoADa8R6SdO6GSZSnUEVF","object":"chat.completion","created":1777014905,"model":"gpt-5-chat-latest","choices":[{"index":0,"message":{"role":"assistant","content":"Lego, Motorcycle,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35" t="inlineStr">
        <is>
          <t>Lego, Motorcycle, kakobuy, kakebuy2026, kekobuysheet, kakobuysheet2026, 2026kakobuy, kakobuyspreadsheeet, kakobuylink, kakebuylist, Kakobuy MEGA Spreadsheet, kakobuysheetfind, kakobuysheetfind2026, 2026kakobuysheetfind, kakobuysheet2026</t>
        </is>
      </c>
      <c r="Q35"/>
      <c r="R35" t="inlineStr">
        <is>
          <t>recvhju1CrwdNL</t>
        </is>
      </c>
      <c r="S35" t="inlineStr">
        <is>
          <t>lego-technic-ducati-red-racing-motorcycle-recvhju1crwdnl</t>
        </is>
      </c>
      <c r="T35"/>
      <c r="U35"/>
      <c r="V35"/>
      <c r="W35" t="inlineStr">
        <is>
          <t>{"id":"chatcmpl-DY46kYETTNQcccRwlgW3NTdu5kmmA","object":"chat.completion","created":1777011314,"model":"gpt-5-chat-latest","choices":[{"index":0,"message":{"role":"assistant","content":"Lego：Technic系列红色Ducati赛车模型，精密机械结构设计，ABS环保塑料材质，还原真实摩托细节，动感运动风格，男女皆宜收藏佳品，展现工程美学与速度激情。","refusal":null,"annotations":[]},"logprobs":null,"finish_reason":"stop"}],"usage":{"prompt_tokens":1298,"completion_tokens":57,"total_tokens":1355,"prompt_tokens_details":{"cached_tokens":0,"audio_tokens":0},"completion_tokens_details":{"reasoning_tokens":0,"audio_tokens":0,"accepted_prediction_tokens":0,"rejected_prediction_tokens":0}},"service_tier":"default","system_fingerprint":"fp_ad66631dec"}</t>
        </is>
      </c>
      <c r="X35" t="inlineStr">
        <is>
          <t>Lego：Technic系列红色Ducati赛车模型，精密机械结构设计，ABS环保塑料材质，还原真实摩托细节，动感运动风格，男女皆宜收藏佳品，展现工程美学与速度激情。</t>
        </is>
      </c>
    </row>
    <row r="36" ht="25.5" customHeight="1">
      <c r="A36">
        <v>1654975475</v>
      </c>
      <c r="B36">
        <v>7619382316</v>
      </c>
      <c r="C36" s="2" t="str">
        <f>=HYPERLINK("https://weidian.com/item.html?itemID=7619382316", "https://weidian.com/item.html?itemID=7619382316")</f>
        <v>https://weidian.com/item.html?itemID=7619382316</v>
      </c>
      <c r="D36"/>
      <c r="E36" s="2" t="str">
        <f>=HYPERLINK("https://si.geilicdn.com/pcitem2014204438-4e430000019abe13ce1e0a2103bd_800_800.jpg?w=640&amp;h=640", "https://si.geilicdn.com/pcitem2014204438-4e430000019abe13ce1e0a2103bd_800_800.jpg?w=640&amp;h=640")</f>
        <v>https://si.geilicdn.com/pcitem2014204438-4e430000019abe13ce1e0a2103bd_800_800.jpg?w=640&amp;h=640</v>
      </c>
      <c r="F36" t="inlineStr">
        <is>
          <t>Toys</t>
        </is>
      </c>
      <c r="G36" t="inlineStr">
        <is>
          <t>Lego</t>
        </is>
      </c>
      <c r="H36">
        <v>200</v>
      </c>
      <c r="I36">
        <v>28.99</v>
      </c>
      <c r="J36" t="inlineStr">
        <is>
          <t>{"id":"chatcmpl-DY4wfrjKVqsoMEy6lcPGNV8CdnKDQ","object":"chat.completion","created":1777014533,"model":"gpt-5-chat-latest","choices":[{"index":0,"message":{"role":"assistant","content":"Lego Tree Man Buildable Figure Eco ABS Toy Set","refusal":null,"annotations":[]},"logprobs":null,"finish_reason":"stop"}],"usage":{"prompt_tokens":882,"completion_tokens":12,"total_tokens":894,"prompt_tokens_details":{"cached_tokens":0,"audio_tokens":0},"completion_tokens_details":{"reasoning_tokens":0,"audio_tokens":0,"accepted_prediction_tokens":0,"rejected_prediction_tokens":0}},"service_tier":"default","system_fingerprint":"fp_ad66631dec"}</t>
        </is>
      </c>
      <c r="K36" t="inlineStr">
        <is>
          <t>Lego Tree Man Buildable Figure Eco ABS Toy Set</t>
        </is>
      </c>
      <c r="L36" t="inlineStr">
        <is>
          <t>{"id":"chatcmpl-DY4eyFllWxFTd1d9LiK31INSxCrMp","object":"chat.completion","created":1777013436,"model":"gpt-5-chat-latest","choices":[{"index":0,"message":{"role":"assistant","content":"ToysLegoOther Brown Movable Tree Man Building Set, eco-friendly ABS material, detailed branches and leaves, creative mechanical-natural design, perfect for collectors and kids, modern art style toy.","refusal":null,"annotations":[]},"logprobs":null,"finish_reason":"stop"}],"usage":{"prompt_tokens":900,"completion_tokens":40,"total_tokens":940,"prompt_tokens_details":{"cached_tokens":0,"audio_tokens":0},"completion_tokens_details":{"reasoning_tokens":0,"audio_tokens":0,"accepted_prediction_tokens":0,"rejected_prediction_tokens":0}},"service_tier":"default","system_fingerprint":"fp_ad66631dec"}</t>
        </is>
      </c>
      <c r="M3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ma=2592000","apim-request-id":"c8958923-7143-4223-9941-042d16825feb","azureml-model-session":"d20260405234249-f9874baf","cache-control":"no-cache, no-store, must-revalidate","connection":"close","content-length":"1002","content-security-policy":"frame-ancestors 'self'","content-type":"application/json","date":"Fri, 24 Apr 2026 06:50:37 GMT","server":"nginx","skip-error-remapping":"true","strict-transport-security":"max-age=31536000; includeSubDomains; preload","via":"1.1 Caddy, 1.1 Caddy","x-api-request-id":"20260424145035438243061mV6vYuNk","x-content-type-options":"nosniff","x-frame-options":"SAMEORIGIN","x-ms-is-spilled-over":"false","x-ms-rai-invoked":"false","x-ms-region":"East US 2","x-new-api-version":"0.4.39","x-oneapi-request-id":"202604240650352699425838268d9d6C91WKD8O","x-ratelimit-abusepenalty-active":"False","x-ratelimit-limit-requests":"4992","x-ratelimit-limit-tokens":"4992000","x-ratelimit-remaining-requests":"4991","x-ratelimit-remaining-tokens":"4990338","x-ratelimit-renewalperiod-requests":"60","x-ratelimit-renewalperiod-tokens":"60","x-ratelimit-reset-requests":"12","x-ratelimit-reset-tokens":"19","x-request-id":"42427df4-7216-44f0-bbfe-e72fa55a1eca"}</t>
        </is>
      </c>
      <c r="N36" t="inlineStr">
        <is>
          <t>ToysLegoOther Brown Movable Tree Man Building Set, eco-friendly ABS material, detailed branches and leaves, creative mechanical-natural design, perfect for collectors and kids, modern art style toy.</t>
        </is>
      </c>
      <c r="O36" t="inlineStr">
        <is>
          <t>{"choices":[{"finish_reason":"stop","index":0,"logprobs":null,"message":{"annotations":[],"content":"Lego,Toy,kakobuy,kakebuy2026,kekobuysheet,kakobuysheet2026,2026kakobuy,kakobuyspreadsheeet,kakobuylink,kakebuylist,Kakobuy MEGA Spreadsheet,kakobuysheetfind,kakobuysheetfind2026,2026kakobuysheetfind,kakobuysheet2026","refusal":null,"role":"assistant"}}],"created":1777015054,"id":"chatcmpl-DY55411qyMSbMQC33I5fl3E2AUytN","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36" t="inlineStr">
        <is>
          <t>Lego,Toy,kakobuy,kakebuy2026,kekobuysheet,kakobuysheet2026,2026kakobuy,kakobuyspreadsheeet,kakobuylink,kakebuylist,Kakobuy MEGA Spreadsheet,kakobuysheetfind,kakobuysheetfind2026,2026kakobuysheetfind,kakobuysheet2026</t>
        </is>
      </c>
      <c r="Q36"/>
      <c r="R36" t="inlineStr">
        <is>
          <t>recvhju1CrahO0</t>
        </is>
      </c>
      <c r="S36" t="inlineStr">
        <is>
          <t>lego-tree-man-figure-eco-abs-toy-set-recvhju1craho0</t>
        </is>
      </c>
      <c r="T36"/>
      <c r="U36"/>
      <c r="V36"/>
      <c r="W36" t="inlineStr">
        <is>
          <t>{"choices":[{"finish_reason":"stop","index":0,"logprobs":null,"message":{"annotations":[],"content":"Other 系列棕色可动树人格拼装模型，环保ABS材质打造，精致卡通造型设计，枝叶细节还原自然生机，适合男女及收藏爱好者，现代创意风格积木玩具，展现机械与自然融合之美。","refusal":null,"role":"assistant"}}],"created":1777012024,"id":"chatcmpl-DY4IC9SGU1QMDbQ7CLCJQq06xuonf","model":"gpt-5-chat-latest","object":"chat.completion","service_tier":"default","system_fingerprint":"fp_ad66631dec","usage":{"completion_tokens":67,"completion_tokens_details":{"accepted_prediction_tokens":0,"audio_tokens":0,"reasoning_tokens":0,"rejected_prediction_tokens":0},"prompt_tokens":1298,"prompt_tokens_details":{"audio_tokens":0,"cached_tokens":0},"total_tokens":1365}}</t>
        </is>
      </c>
      <c r="X36" t="inlineStr">
        <is>
          <t>Other 系列棕色可动树人格拼装模型，环保ABS材质打造，精致卡通造型设计，枝叶细节还原自然生机，适合男女及收藏爱好者，现代创意风格积木玩具，展现机械与自然融合之美。</t>
        </is>
      </c>
    </row>
    <row r="37" ht="25.5" customHeight="1">
      <c r="A37">
        <v>1654975475</v>
      </c>
      <c r="B37">
        <v>7617392059</v>
      </c>
      <c r="C37" s="2" t="str">
        <f>=HYPERLINK("https://weidian.com/item.html?itemID=7617392059", "https://weidian.com/item.html?itemID=7617392059")</f>
        <v>https://weidian.com/item.html?itemID=7617392059</v>
      </c>
      <c r="D37"/>
      <c r="E37" s="2" t="str">
        <f>=HYPERLINK("https://si.geilicdn.com/pcitem2014204438-7bb10000019ac3cafb3a0a20e284_1440_1920.jpg?w=640&amp;h=640", "https://si.geilicdn.com/pcitem2014204438-7bb10000019ac3cafb3a0a20e284_1440_1920.jpg?w=640&amp;h=640")</f>
        <v>https://si.geilicdn.com/pcitem2014204438-7bb10000019ac3cafb3a0a20e284_1440_1920.jpg?w=640&amp;h=640</v>
      </c>
      <c r="F37" t="inlineStr">
        <is>
          <t>Electronic</t>
        </is>
      </c>
      <c r="G37" t="inlineStr">
        <is>
          <t>Dyson</t>
        </is>
      </c>
      <c r="H37">
        <v>1260</v>
      </c>
      <c r="I37">
        <v>182.61</v>
      </c>
      <c r="J37" t="inlineStr">
        <is>
          <t>{"id":"chatcmpl-DY4r8N4M12gEWuP3RcGIItiAJmCQf","object":"chat.completion","created":1777014190,"model":"gpt-5-chat-latest","choices":[{"index":0,"message":{"role":"assistant","content":"Dyson Coral Green High-Speed Digital Hair Dryer","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37" t="inlineStr">
        <is>
          <t>Dyson Coral Green High-Speed Digital Hair Dryer</t>
        </is>
      </c>
      <c r="L37" t="inlineStr">
        <is>
          <t>{"choices":[{"finish_reason":"stop","index":0,"logprobs":null,"message":{"annotations":[],"content":"ElectronicDysonDyson Coral Green High-Speed Hair Dryer with digital motor and magnetic nozzle, sleek ergonomic design for fast drying and shiny hair, ideal for all genders and daily styling.","refusal":null,"role":"assistant"}}],"created":1777013292,"id":"chatcmpl-DY4ce30VVo8WhUIgJkvlBZmOz3cj9","model":"gpt-5-chat-latest","object":"chat.completion","service_tier":"default","system_fingerprint":"fp_ad66631dec","usage":{"completion_tokens":37,"completion_tokens_details":{"accepted_prediction_tokens":0,"audio_tokens":0,"reasoning_tokens":0,"rejected_prediction_tokens":0},"prompt_tokens":920,"prompt_tokens_details":{"audio_tokens":0,"cached_tokens":0},"total_tokens":957}}</t>
        </is>
      </c>
      <c r="M37" t="inlineStr">
        <is>
          <t>{"alt-svc":"h3=\":443\"; ma=2592000","apim-request-id":"daef7af8-8b2c-4f38-ac96-68478de293eb","azureml-model-session":"d20260405234249-f9874baf","cache-control":"no-cache","connection":"close","content-length":"778","content-security-policy":"frame-ancestors 'self'","content-type":"application/json","date":"Fri, 24 Apr 2026 06:48:14 GMT","server":"Caddy","skip-error-remapping":"true","strict-transport-security":"max-age=31536000; includeSubDomains; preload","via":"1.1 Caddy","x-api-request-id":"20260424144811767937013cLGqq5dP","x-content-type-options":"nosniff","x-frame-options":"SAMEORIGIN","x-ms-client-request-id":"Not-Set","x-ms-is-spilled-over":"false","x-ms-rai-invoked":"true","x-ms-region":"East US 2","x-new-api-version":"0.4.39","x-oneapi-request-id":"202604240648113086348108268d9d6sY69OHzA","x-ratelimit-abusepenalty-active":"False","x-ratelimit-limit-requests":"3850","x-ratelimit-limit-tokens":"3850000","x-ratelimit-remaining-requests":"3849","x-ratelimit-remaining-tokens":"3847586","x-ratelimit-renewalperiod-requests":"60","x-ratelimit-renewalperiod-tokens":"60","x-ratelimit-reset-requests":"15","x-ratelimit-reset-tokens":"37","x-request-id":"64dc71da-9350-442b-94c2-1071023d7326"}</t>
        </is>
      </c>
      <c r="N37" t="inlineStr">
        <is>
          <t>ElectronicDysonDyson Coral Green High-Speed Hair Dryer with digital motor and magnetic nozzle, sleek ergonomic design for fast drying and shiny hair, ideal for all genders and daily styling.</t>
        </is>
      </c>
      <c r="O37" t="inlineStr">
        <is>
          <t>{"choices":[{"finish_reason":"stop","index":0,"logprobs":null,"message":{"annotations":[],"content":"Dyson,hair dryer,kakobuy,kakebuy2026,kekobuysheet,kakobuysheet2026,2026kakobuy,kakobuyspreadsheeet,kakobuylink,kakebuylist,Kakobuy MEGA Spreadsheet,kakobuysheetfind,kakobuysheetfind2026,2026kakobuysheetfind,kakobuysheet2026","refusal":null,"role":"assistant"}}],"created":1777015018,"id":"chatcmpl-DY54U3TiwctZQpa1qfRxji8SVqbML","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37" t="inlineStr">
        <is>
          <t>Dyson,hair dryer,kakobuy,kakebuy2026,kekobuysheet,kakobuysheet2026,2026kakobuy,kakobuyspreadsheeet,kakobuylink,kakebuylist,Kakobuy MEGA Spreadsheet,kakobuysheetfind,kakobuysheetfind2026,2026kakobuysheetfind,kakobuysheet2026</t>
        </is>
      </c>
      <c r="Q37"/>
      <c r="R37" t="inlineStr">
        <is>
          <t>recvhju1CrjQ5D</t>
        </is>
      </c>
      <c r="S37" t="inlineStr">
        <is>
          <t>dyson-coral-green-hair-dryer-recvhju1crjq5d</t>
        </is>
      </c>
      <c r="T37"/>
      <c r="U37"/>
      <c r="V37"/>
      <c r="W37" t="inlineStr">
        <is>
          <t>{"choices":[{"finish_reason":"stop","index":0,"logprobs":null,"message":{"annotations":[],"content":"Dyson：多彩珊瑚绿高速吹风机，采用高效数字电机与磁吸造型风嘴设计，科技感与时尚感兼备，轻盈机身搭配人体工学手柄，快速干发并呵护秀发光泽，男女皆宜，现代极简风格，适合专业造型与日常护发使用。","refusal":null,"role":"assistant"}}],"created":1777011496,"id":"chatcmpl-DY49geE3HOr2VL0UH7FvTwnThlHGd","model":"gpt-5-chat-latest","object":"chat.completion","service_tier":"default","system_fingerprint":"fp_ad66631dec","usage":{"completion_tokens":85,"completion_tokens_details":{"accepted_prediction_tokens":0,"audio_tokens":0,"reasoning_tokens":0,"rejected_prediction_tokens":0},"prompt_tokens":1303,"prompt_tokens_details":{"audio_tokens":0,"cached_tokens":0},"total_tokens":1388}}</t>
        </is>
      </c>
      <c r="X37" t="inlineStr">
        <is>
          <t>Dyson：多彩珊瑚绿高速吹风机，采用高效数字电机与磁吸造型风嘴设计，科技感与时尚感兼备，轻盈机身搭配人体工学手柄，快速干发并呵护秀发光泽，男女皆宜，现代极简风格，适合专业造型与日常护发使用。</t>
        </is>
      </c>
    </row>
    <row r="38" ht="25.5" customHeight="1">
      <c r="A38">
        <v>1654975475</v>
      </c>
      <c r="B38">
        <v>7617362643</v>
      </c>
      <c r="C38" s="2" t="str">
        <f>=HYPERLINK("https://weidian.com/item.html?itemID=7617362643", "https://weidian.com/item.html?itemID=7617362643")</f>
        <v>https://weidian.com/item.html?itemID=7617362643</v>
      </c>
      <c r="D38"/>
      <c r="E38" s="2" t="str">
        <f>=HYPERLINK("https://si.geilicdn.com/pcitem2014204438-7b2b0000019ac3cbce2c0a23037f_1440_1920.jpg?w=640&amp;h=640", "https://si.geilicdn.com/pcitem2014204438-7b2b0000019ac3cbce2c0a23037f_1440_1920.jpg?w=640&amp;h=640")</f>
        <v>https://si.geilicdn.com/pcitem2014204438-7b2b0000019ac3cbce2c0a23037f_1440_1920.jpg?w=640&amp;h=640</v>
      </c>
      <c r="F38" t="inlineStr">
        <is>
          <t>Electronic</t>
        </is>
      </c>
      <c r="G38" t="inlineStr">
        <is>
          <t>Dyson</t>
        </is>
      </c>
      <c r="H38">
        <v>1260</v>
      </c>
      <c r="I38">
        <v>182.61</v>
      </c>
      <c r="J38" t="inlineStr">
        <is>
          <t>{"id":"chatcmpl-DY4tjaWHz8A5ToHVTtSG9ZeBeNFBc","object":"chat.completion","created":1777014351,"model":"gpt-5-chat-latest","choices":[{"index":0,"message":{"role":"assistant","content":"Dyson Supersonic Coral Mint Limited Edition Hair Dryer","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38" t="inlineStr">
        <is>
          <t>Dyson Supersonic Coral Mint Limited Edition Hair Dryer</t>
        </is>
      </c>
      <c r="L38" t="inlineStr">
        <is>
          <t>{"choices":[{"finish_reason":"stop","index":0,"logprobs":null,"message":{"annotations":[],"content":"Dyson Supersonic Coral Pink &amp; Mint Limited Edition Hair Dryer with intelligent heat control, powerful airflow, metallic finish, unisex design, and professional salon-grade styling performance.","refusal":null,"role":"assistant"}}],"created":1777013578,"id":"chatcmpl-DY4hGopaiWwIkTC2yJWqipI11hV25","model":"gpt-5-chat-latest","object":"chat.completion","service_tier":"default","system_fingerprint":"fp_ad66631dec","usage":{"completion_tokens":36,"completion_tokens_details":{"accepted_prediction_tokens":0,"audio_tokens":0,"reasoning_tokens":0,"rejected_prediction_tokens":0},"prompt_tokens":902,"prompt_tokens_details":{"audio_tokens":0,"cached_tokens":0},"total_tokens":938}}</t>
        </is>
      </c>
      <c r="M38" t="inlineStr">
        <is>
          <t>{"alt-svc":"h3=\":443\"; ma=2592000","apim-request-id":"0601bc3f-0b29-4679-8521-36dd9fae64d2","azureml-model-session":"d20260402084046-4209e968","cache-control":"no-cache","connection":"close","content-length":"785","content-security-policy":"frame-ancestors 'self'","content-type":"application/json","date":"Fri, 24 Apr 2026 06:52:59 GMT","server":"nginx","skip-error-remapping":"true","strict-transport-security":"max-age=31536000; includeSubDomains; preload","via":"1.1 Caddy, 1.1 Caddy","x-api-request-id":"202604241452572728637643LbzIWYe","x-content-type-options":"nosniff","x-frame-options":"SAMEORIGIN","x-ms-client-request-id":"Not-Set","x-ms-is-spilled-over":"false","x-ms-rai-invoked":"true","x-ms-region":"East US 2","x-new-api-version":"0.4.39","x-oneapi-request-id":"202604240652571335761808268d9d6cr0GDD70","x-ratelimit-abusepenalty-active":"False","x-ratelimit-limit-requests":"3850","x-ratelimit-limit-tokens":"3850000","x-ratelimit-remaining-requests":"3849","x-ratelimit-remaining-tokens":"3848336","x-ratelimit-renewalperiod-requests":"60","x-ratelimit-renewalperiod-tokens":"60","x-ratelimit-reset-requests":"15","x-ratelimit-reset-tokens":"25","x-request-id":"584de29f-cb46-4432-8508-fc48fb0d1e99"}</t>
        </is>
      </c>
      <c r="N38" t="inlineStr">
        <is>
          <t>Dyson Supersonic Coral Pink &amp; Mint Limited Edition Hair Dryer with intelligent heat control, powerful airflow, metallic finish, unisex design, and professional salon-grade styling performance.</t>
        </is>
      </c>
      <c r="O38" t="inlineStr">
        <is>
          <t>{"choices":[{"finish_reason":"stop","index":0,"logprobs":null,"message":{"annotations":[],"content":"Dyson,Hair Dryer,kakobuy,kakebuy2026,kekobuysheet,kakobuysheet2026,2026kakobuy,kakobuyspreadsheeet,kakobuylink,kakebuylist,Kakobuy MEGA Spreadsheet,kakobuysheetfind,kakobuysheetfind2026,2026kakobuysheetfind,kakobuysheet2026","refusal":null,"role":"assistant"}}],"created":1777014995,"id":"chatcmpl-DY547n87Bm26CmFsZSPXdUCqydiTq","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38" t="inlineStr">
        <is>
          <t>Dyson,Hair Dryer,kakobuy,kakebuy2026,kekobuysheet,kakobuysheet2026,2026kakobuy,kakobuyspreadsheeet,kakobuylink,kakebuylist,Kakobuy MEGA Spreadsheet,kakobuysheetfind,kakobuysheetfind2026,2026kakobuysheetfind,kakobuysheet2026</t>
        </is>
      </c>
      <c r="Q38"/>
      <c r="R38" t="inlineStr">
        <is>
          <t>recvhju1CrTmti</t>
        </is>
      </c>
      <c r="S38" t="inlineStr">
        <is>
          <t>dyson-supersonic-coral-mint-recvhju1crtmti</t>
        </is>
      </c>
      <c r="T38"/>
      <c r="U38"/>
      <c r="V38"/>
      <c r="W38" t="inlineStr">
        <is>
          <t>{"choices":[{"finish_reason":"stop","index":0,"logprobs":null,"message":{"annotations":[],"content":"Dyson：Supersonic珊瑚粉青绿限量款高速吹风机，搭载智能温控与强劲气流科技，金属质感机身融合现代极简设计，男女皆宜，展现未来感美学与专业沙龙级造型体验。","refusal":null,"role":"assistant"}}],"created":1777011690,"id":"chatcmpl-DY4Co4zMMouF1IZApH5NNn9KdoEJp","model":"gpt-5-chat-latest","object":"chat.completion","service_tier":"default","system_fingerprint":"fp_ad66631dec","usage":{"completion_tokens":65,"completion_tokens_details":{"accepted_prediction_tokens":0,"audio_tokens":0,"reasoning_tokens":0,"rejected_prediction_tokens":0},"prompt_tokens":1307,"prompt_tokens_details":{"audio_tokens":0,"cached_tokens":0},"total_tokens":1372}}</t>
        </is>
      </c>
      <c r="X38" t="inlineStr">
        <is>
          <t>Dyson：Supersonic珊瑚粉青绿限量款高速吹风机，搭载智能温控与强劲气流科技，金属质感机身融合现代极简设计，男女皆宜，展现未来感美学与专业沙龙级造型体验。</t>
        </is>
      </c>
    </row>
    <row r="39" ht="25.5" customHeight="1">
      <c r="A39">
        <v>1654975475</v>
      </c>
      <c r="B39">
        <v>7617435737</v>
      </c>
      <c r="C39" s="2" t="str">
        <f>=HYPERLINK("https://weidian.com/item.html?itemID=7617435737", "https://weidian.com/item.html?itemID=7617435737")</f>
        <v>https://weidian.com/item.html?itemID=7617435737</v>
      </c>
      <c r="D39"/>
      <c r="E39" s="2" t="str">
        <f>=HYPERLINK("https://si.geilicdn.com/pcitem2014204438-6f300000019ac3ccc1410a20e7c7_750_1631.jpg?w=640&amp;h=640", "https://si.geilicdn.com/pcitem2014204438-6f300000019ac3ccc1410a20e7c7_750_1631.jpg?w=640&amp;h=640")</f>
        <v>https://si.geilicdn.com/pcitem2014204438-6f300000019ac3ccc1410a20e7c7_750_1631.jpg?w=640&amp;h=640</v>
      </c>
      <c r="F39" t="inlineStr">
        <is>
          <t>Electronic</t>
        </is>
      </c>
      <c r="G39" t="inlineStr">
        <is>
          <t>Dyson</t>
        </is>
      </c>
      <c r="H39">
        <v>1660</v>
      </c>
      <c r="I39">
        <v>240.58</v>
      </c>
      <c r="J39" t="inlineStr">
        <is>
          <t>{"choices":[{"finish_reason":"stop","index":0,"logprobs":null,"message":{"annotations":[],"content":"Dyson Blue Orange High-Speed Lightweight Hair Dryer","refusal":null,"role":"assistant"}}],"created":1777014166,"id":"chatcmpl-DY4qkFi7CpcoogjS1m51ViLoa3H6F","model":"gpt-5-chat-latest","object":"chat.completion","service_tier":"default","system_fingerprint":"fp_ad66631dec","usage":{"completion_tokens":10,"completion_tokens_details":{"accepted_prediction_tokens":0,"audio_tokens":0,"reasoning_tokens":0,"rejected_prediction_tokens":0},"prompt_tokens":1159,"prompt_tokens_details":{"audio_tokens":0,"cached_tokens":1152},"total_tokens":1169}}</t>
        </is>
      </c>
      <c r="K39" t="inlineStr">
        <is>
          <t>Dyson Blue Orange High-Speed Lightweight Hair Dryer</t>
        </is>
      </c>
      <c r="L39" t="inlineStr">
        <is>
          <t>{"choices":[{"finish_reason":"stop","index":0,"logprobs":null,"message":{"annotations":[],"content":"ElectronicDysonDyson high-speed hair dryer in blue-orange, lightweight design with powerful digital motor, jet airflow for fast drying, skin-safe shell, sleek minimal style for salon-quality results.","refusal":null,"role":"assistant"}}],"created":1777013487,"id":"chatcmpl-DY4fnNW1q1ts6YxkNuEsHlD1cOYvk","model":"gpt-5-chat-latest","object":"chat.completion","service_tier":"default","system_fingerprint":"fp_ad66631dec","usage":{"completion_tokens":39,"completion_tokens_details":{"accepted_prediction_tokens":0,"audio_tokens":0,"reasoning_tokens":0,"rejected_prediction_tokens":0},"prompt_tokens":1185,"prompt_tokens_details":{"audio_tokens":0,"cached_tokens":0},"total_tokens":1224}}</t>
        </is>
      </c>
      <c r="M39" t="inlineStr">
        <is>
          <t>{"alt-svc":"h3=\":443\"; ma=2592000","apim-request-id":"57656d5e-4cbe-4b64-ba05-c4e690674bf8","azureml-model-session":"d20260402074105-51db401e","cache-control":"no-cache","connection":"close","content-length":"789","content-security-policy":"frame-ancestors 'self'","content-type":"application/json","date":"Fri, 24 Apr 2026 06:51:31 GMT","server":"nginx","skip-error-remapping":"true","strict-transport-security":"max-age=31536000; includeSubDomains; preload","via":"1.1 Caddy, 1.1 Caddy","x-api-request-id":"20260424145126699570794jO2vI6Sc","x-content-type-options":"nosniff","x-frame-options":"SAMEORIGIN","x-ms-client-request-id":"Not-Set","x-ms-is-spilled-over":"false","x-ms-rai-invoked":"true","x-ms-region":"East US 2","x-new-api-version":"0.4.39","x-oneapi-request-id":"202604240651265674140238268d9d6lv9PPt9z","x-ratelimit-abusepenalty-active":"False","x-ratelimit-limit-requests":"3850","x-ratelimit-limit-tokens":"3850000","x-ratelimit-remaining-requests":"3849","x-ratelimit-remaining-tokens":"3848052","x-ratelimit-renewalperiod-requests":"60","x-ratelimit-renewalperiod-tokens":"60","x-ratelimit-reset-requests":"15","x-ratelimit-reset-tokens":"30","x-request-id":"39bfc30b-1d79-443a-88f8-89a8cb45015a"}</t>
        </is>
      </c>
      <c r="N39" t="inlineStr">
        <is>
          <t>ElectronicDysonDyson high-speed hair dryer in blue-orange, lightweight design with powerful digital motor, jet airflow for fast drying, skin-safe shell, sleek minimal style for salon-quality results.</t>
        </is>
      </c>
      <c r="O39" t="inlineStr">
        <is>
          <t>{"choices":[{"finish_reason":"stop","index":0,"logprobs":null,"message":{"annotations":[],"content":"Dyson,Hair Dryer,kakobuy,kakebuy2026,kekobuysheet,kakobuysheet2026,2026kakobuy,kakobuyspreadsheeet,kakobuylink,kakebuylist,Kakobuy MEGA Spreadsheet,kakobuysheetfind,kakobuysheetfind2026,2026kakobuysheetfind,kakobuysheet2026","refusal":null,"role":"assistant"}}],"created":1777015157,"id":"chatcmpl-DY56jdGPHVMBCVui8YFj6jQNUnV14","model":"gpt-5-chat-latest","object":"chat.completion","service_tier":"default","system_fingerprint":"fp_ad66631dec","usage":{"completion_tokens":88,"completion_tokens_details":{"accepted_prediction_tokens":0,"audio_tokens":0,"reasoning_tokens":0,"rejected_prediction_tokens":0},"prompt_tokens":1062,"prompt_tokens_details":{"audio_tokens":0,"cached_tokens":0},"total_tokens":1150}}</t>
        </is>
      </c>
      <c r="P39" t="inlineStr">
        <is>
          <t>Dyson,Hair Dryer,kakobuy,kakebuy2026,kekobuysheet,kakobuysheet2026,2026kakobuy,kakobuyspreadsheeet,kakobuylink,kakebuylist,Kakobuy MEGA Spreadsheet,kakobuysheetfind,kakobuysheetfind2026,2026kakobuysheetfind,kakobuysheet2026</t>
        </is>
      </c>
      <c r="Q39"/>
      <c r="R39" t="inlineStr">
        <is>
          <t>recvhju1CrnTCp</t>
        </is>
      </c>
      <c r="S39" t="inlineStr">
        <is>
          <t>dyson-blue-orange-hair-dryer-recvhju1crntcp</t>
        </is>
      </c>
      <c r="T39"/>
      <c r="U39"/>
      <c r="V39"/>
      <c r="W39" t="inlineStr">
        <is>
          <t>{"choices":[{"finish_reason":"stop","index":0,"logprobs":null,"message":{"annotations":[],"content":"Dyson：全新蓝橙配色高速吹风机，轻量化设计搭载强劲数字马达，喷射式气流快速干发，亲肤防烫外壳，现代极简风格，男女皆宜，展现未来感美学与专业沙龙级造型体验。","refusal":null,"role":"assistant"}}],"created":1777011345,"id":"chatcmpl-DY47FQxUwIzTkQBtbYgCh1PXlmZpD","model":"gpt-5-chat-latest","object":"chat.completion","service_tier":"default","system_fingerprint":"fp_ad66631dec","usage":{"completion_tokens":71,"completion_tokens_details":{"accepted_prediction_tokens":0,"audio_tokens":0,"reasoning_tokens":0,"rejected_prediction_tokens":0},"prompt_tokens":1581,"prompt_tokens_details":{"audio_tokens":0,"cached_tokens":0},"total_tokens":1652}}</t>
        </is>
      </c>
      <c r="X39" t="inlineStr">
        <is>
          <t>Dyson：全新蓝橙配色高速吹风机，轻量化设计搭载强劲数字马达，喷射式气流快速干发，亲肤防烫外壳，现代极简风格，男女皆宜，展现未来感美学与专业沙龙级造型体验。</t>
        </is>
      </c>
    </row>
    <row r="40" ht="25.5" customHeight="1">
      <c r="A40">
        <v>1654975475</v>
      </c>
      <c r="B40">
        <v>7617337051</v>
      </c>
      <c r="C40" s="2" t="str">
        <f>=HYPERLINK("https://weidian.com/item.html?itemID=7617337051", "https://weidian.com/item.html?itemID=7617337051")</f>
        <v>https://weidian.com/item.html?itemID=7617337051</v>
      </c>
      <c r="D40"/>
      <c r="E40" s="2" t="str">
        <f>=HYPERLINK("https://si.geilicdn.com/pcitem2014204438-42ae0000019ac3cb48570a231316_1080_1475.jpg?w=640&amp;h=640", "https://si.geilicdn.com/pcitem2014204438-42ae0000019ac3cb48570a231316_1080_1475.jpg?w=640&amp;h=640")</f>
        <v>https://si.geilicdn.com/pcitem2014204438-42ae0000019ac3cb48570a231316_1080_1475.jpg?w=640&amp;h=640</v>
      </c>
      <c r="F40" t="inlineStr">
        <is>
          <t>Electronic</t>
        </is>
      </c>
      <c r="G40" t="inlineStr">
        <is>
          <t>Dyson</t>
        </is>
      </c>
      <c r="H40">
        <v>1260</v>
      </c>
      <c r="I40">
        <v>182.61</v>
      </c>
      <c r="J40" t="inlineStr">
        <is>
          <t>{"choices":[{"finish_reason":"stop","index":0,"logprobs":null,"message":{"annotations":[],"content":"Dyson Supersonic Pink Blue Smart Hair Dryer","refusal":null,"role":"assistant"}}],"created":1777014116,"id":"chatcmpl-DY4pwUrKYfh16vIA9g8IT8Wzo8Mvj","model":"gpt-5-chat-latest","object":"chat.completion","service_tier":"default","system_fingerprint":"fp_ad66631dec","usage":{"completion_tokens":11,"completion_tokens_details":{"accepted_prediction_tokens":0,"audio_tokens":0,"reasoning_tokens":0,"rejected_prediction_tokens":0},"prompt_tokens":879,"prompt_tokens_details":{"audio_tokens":0,"cached_tokens":0},"total_tokens":890}}</t>
        </is>
      </c>
      <c r="K40" t="inlineStr">
        <is>
          <t>Dyson Supersonic Pink Blue Smart Hair Dryer</t>
        </is>
      </c>
      <c r="L40" t="inlineStr">
        <is>
          <t>{"choices":[{"finish_reason":"stop","index":0,"logprobs":null,"message":{"annotations":[],"content":"Dyson Supersonic Pink-Blue Hair Dryer: Lightweight high-strength design, smart temperature control, magnetic styling nozzle, rapid drying &amp; hair care tech, modern minimalist British style for all.","refusal":null,"role":"assistant"}}],"created":1777013206,"id":"chatcmpl-DY4bGVN410NT1cWRQnyCx6ePPsh2U","model":"gpt-5-chat-latest","object":"chat.completion","service_tier":"default","system_fingerprint":"fp_ad66631dec","usage":{"completion_tokens":39,"completion_tokens_details":{"accepted_prediction_tokens":0,"audio_tokens":0,"reasoning_tokens":0,"rejected_prediction_tokens":0},"prompt_tokens":899,"prompt_tokens_details":{"audio_tokens":0,"cached_tokens":0},"total_tokens":938}}</t>
        </is>
      </c>
      <c r="M40" t="inlineStr">
        <is>
          <t>{"alt-svc":"h3=\":443\"; ma=2592000","apim-request-id":"8e1ec2ec-d5f7-4647-a1ae-d47fc4bc3191","azureml-model-session":"d20260402083108-57a85543","cache-control":"no-cache","connection":"close","content-length":"789","content-security-policy":"frame-ancestors 'self'","content-type":"application/json","date":"Fri, 24 Apr 2026 06:46:49 GMT","server":"nginx","skip-error-remapping":"true","strict-transport-security":"max-age=31536000; includeSubDomains; preload","via":"1.1 Caddy, 1.1 Caddy","x-api-request-id":"20260424144645836718840ophjhIyo","x-content-type-options":"nosniff","x-frame-options":"SAMEORIGIN","x-ms-client-request-id":"Not-Set","x-ms-is-spilled-over":"false","x-ms-rai-invoked":"true","x-ms-region":"East US 2","x-new-api-version":"0.4.39","x-oneapi-request-id":"202604240646456475705608268d9d6wxfzY8Fe","x-ratelimit-abusepenalty-active":"False","x-ratelimit-limit-requests":"3850","x-ratelimit-limit-tokens":"3850000","x-ratelimit-remaining-requests":"3849","x-ratelimit-remaining-tokens":"3823662","x-ratelimit-renewalperiod-requests":"60","x-ratelimit-renewalperiod-tokens":"60","x-ratelimit-reset-requests":"15","x-ratelimit-reset-tokens":"410","x-request-id":"299e6b5d-16e3-4fe8-bc12-ab0dcfa14461"}</t>
        </is>
      </c>
      <c r="N40" t="inlineStr">
        <is>
          <t>Dyson Supersonic Pink-Blue Hair Dryer: Lightweight high-strength design, smart temperature control, magnetic styling nozzle, rapid drying &amp; hair care tech, modern minimalist British style for all.</t>
        </is>
      </c>
      <c r="O40" t="inlineStr">
        <is>
          <t>{"choices":[{"finish_reason":"stop","index":0,"logprobs":null,"message":{"annotations":[],"content":"Dyson,Hair Dryer,kakobuy,kakebuy2026,kekobuysheet,kakobuysheet2026,2026kakobuy,kakobuyspreadsheeet,kakobuylink,kakebuylist,Kakobuy MEGA Spreadsheet,kakobuysheetfind,kakobuysheetfind2026,2026kakobuysheetfind,kakobuysheet2026","refusal":null,"role":"assistant"}}],"created":1777015108,"id":"chatcmpl-DY55wiT2JrvmXhqiEX0NgMwu0h48K","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40" t="inlineStr">
        <is>
          <t>Dyson,Hair Dryer,kakobuy,kakebuy2026,kekobuysheet,kakobuysheet2026,2026kakobuy,kakobuyspreadsheeet,kakobuylink,kakebuylist,Kakobuy MEGA Spreadsheet,kakobuysheetfind,kakobuysheetfind2026,2026kakobuysheetfind,kakobuysheet2026</t>
        </is>
      </c>
      <c r="Q40"/>
      <c r="R40" t="inlineStr">
        <is>
          <t>recvhju1Crp8bl</t>
        </is>
      </c>
      <c r="S40" t="inlineStr">
        <is>
          <t>dyson-supersonic-pink-blue-smart-hair-dryer-recvhju1crp8bl</t>
        </is>
      </c>
      <c r="T40"/>
      <c r="U40"/>
      <c r="V40"/>
      <c r="W40" t="inlineStr">
        <is>
          <t>{"choices":[{"finish_reason":"stop","index":0,"logprobs":null,"message":{"annotations":[],"content":"Dyson：Supersonic 粉蓝色智能控温吹风机，高强度复合材质打造，轻盈设计搭配磁吸造型风嘴，英伦极简风格，男女皆宜，高效速干护发科技，为现代美发体验注入时尚与性能。","refusal":null,"role":"assistant"}}],"created":1777011340,"id":"chatcmpl-DY47A8Om1GeovUoj7RdVfTESNBV1s","model":"gpt-5-chat-latest","object":"chat.completion","service_tier":"default","system_fingerprint":"fp_ad66631dec","usage":{"completion_tokens":69,"completion_tokens_details":{"accepted_prediction_tokens":0,"audio_tokens":0,"reasoning_tokens":0,"rejected_prediction_tokens":0},"prompt_tokens":1297,"prompt_tokens_details":{"audio_tokens":0,"cached_tokens":0},"total_tokens":1366}}</t>
        </is>
      </c>
      <c r="X40" t="inlineStr">
        <is>
          <t>Dyson：Supersonic 粉蓝色智能控温吹风机，高强度复合材质打造，轻盈设计搭配磁吸造型风嘴，英伦极简风格，男女皆宜，高效速干护发科技，为现代美发体验注入时尚与性能。</t>
        </is>
      </c>
    </row>
    <row r="41" ht="25.5" customHeight="1">
      <c r="A41">
        <v>1654975475</v>
      </c>
      <c r="B41">
        <v>7620395912</v>
      </c>
      <c r="C41" s="2" t="str">
        <f>=HYPERLINK("https://weidian.com/item.html?itemID=7620395912", "https://weidian.com/item.html?itemID=7620395912")</f>
        <v>https://weidian.com/item.html?itemID=7620395912</v>
      </c>
      <c r="D41"/>
      <c r="E41" s="2" t="str">
        <f>=HYPERLINK("https://si.geilicdn.com/pcitem2014204438-74180000019ac3c912160a20e672_1440_1920.jpg?w=640&amp;h=640", "https://si.geilicdn.com/pcitem2014204438-74180000019ac3c912160a20e672_1440_1920.jpg?w=640&amp;h=640")</f>
        <v>https://si.geilicdn.com/pcitem2014204438-74180000019ac3c912160a20e672_1440_1920.jpg?w=640&amp;h=640</v>
      </c>
      <c r="F41" t="inlineStr">
        <is>
          <t>Electronic</t>
        </is>
      </c>
      <c r="G41" t="inlineStr">
        <is>
          <t>Dyson</t>
        </is>
      </c>
      <c r="H41">
        <v>960</v>
      </c>
      <c r="I41">
        <v>139.13</v>
      </c>
      <c r="J41" t="inlineStr">
        <is>
          <t>{"id":"chatcmpl-DY4q3uv2bnAO9XUiaFD27aEq8GIHv","object":"chat.completion","created":1777014123,"model":"gpt-5-chat-latest","choices":[{"index":0,"message":{"role":"assistant","content":"Dyson Supersonic Deep Blue Hair Dryer FastDry","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41" t="inlineStr">
        <is>
          <t>Dyson Supersonic Deep Blue Hair Dryer FastDry</t>
        </is>
      </c>
      <c r="L41" t="inlineStr">
        <is>
          <t>{"choices":[{"finish_reason":"stop","index":0,"logprobs":null,"message":{"annotations":[],"content":"Dyson Supersonic Deep Blue Hair Dryer with magnetic design and lightweight body, intelligent heat control, fast drying without damage, metallic finish, unisex, enjoy salon-quality styling.","refusal":null,"role":"assistant"}}],"created":1777013365,"id":"chatcmpl-DY4dpku7xIqfLZe6XHtY7Yy09rDSN","model":"gpt-5-chat-latest","object":"chat.completion","service_tier":"default","system_fingerprint":"fp_ad66631dec","usage":{"completion_tokens":37,"completion_tokens_details":{"accepted_prediction_tokens":0,"audio_tokens":0,"reasoning_tokens":0,"rejected_prediction_tokens":0},"prompt_tokens":903,"prompt_tokens_details":{"audio_tokens":0,"cached_tokens":0},"total_tokens":940}}</t>
        </is>
      </c>
      <c r="M41" t="inlineStr">
        <is>
          <t>{"alt-svc":"h3=\":443\"; ma=2592000","apim-request-id":"2c9fe09c-d88b-4d08-b0bb-07dd628c4215","azureml-model-session":"d20260405225800-40f19e54","cache-control":"no-cache","connection":"close","content-length":"776","content-security-policy":"frame-ancestors 'self'","content-type":"application/json","date":"Fri, 24 Apr 2026 06:49:26 GMT","server":"nginx","skip-error-remapping":"true","strict-transport-security":"max-age=31536000; includeSubDomains; preload","via":"1.1 Caddy, 1.1 Caddy","x-api-request-id":"20260424144923909323010wWPDEU4x","x-content-type-options":"nosniff","x-frame-options":"SAMEORIGIN","x-ms-client-request-id":"Not-Set","x-ms-is-spilled-over":"false","x-ms-rai-invoked":"true","x-ms-region":"East US 2","x-new-api-version":"0.4.39","x-oneapi-request-id":"202604240649236620886108268d9d6bQ50K6gb","x-ratelimit-abusepenalty-active":"False","x-ratelimit-limit-requests":"3850","x-ratelimit-limit-tokens":"3850000","x-ratelimit-remaining-requests":"3849","x-ratelimit-remaining-tokens":"3847308","x-ratelimit-renewalperiod-requests":"60","x-ratelimit-renewalperiod-tokens":"60","x-ratelimit-reset-requests":"15","x-ratelimit-reset-tokens":"41","x-request-id":"0b5b2184-0d78-49be-9c8a-2d8989e8bdbc"}</t>
        </is>
      </c>
      <c r="N41" t="inlineStr">
        <is>
          <t>Dyson Supersonic Deep Blue Hair Dryer with magnetic design and lightweight body, intelligent heat control, fast drying without damage, metallic finish, unisex, enjoy salon-quality styling.</t>
        </is>
      </c>
      <c r="O41" t="inlineStr">
        <is>
          <t>{"choices":[{"finish_reason":"stop","index":0,"logprobs":null,"message":{"annotations":[],"content":"Dyson,Hair Dryer,kakobuy,kakebuy2026,kekobuysheet,kakobuysheet2026,2026kakobuy,kakobuyspreadsheeet,kakobuylink,kakebuylist,Kakobuy MEGA Spreadsheet,kakobuysheetfind,kakobuysheetfind2026,2026kakobuysheetfind,kakobuysheet2026","refusal":null,"role":"assistant"}}],"created":1777014876,"id":"chatcmpl-DY52CcyB40BLxum20uVIaQuah1HOv","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41" t="inlineStr">
        <is>
          <t>Dyson,Hair Dryer,kakobuy,kakebuy2026,kekobuysheet,kakobuysheet2026,2026kakobuy,kakobuyspreadsheeet,kakobuylink,kakebuylist,Kakobuy MEGA Spreadsheet,kakobuysheetfind,kakobuysheetfind2026,2026kakobuysheetfind,kakobuysheet2026</t>
        </is>
      </c>
      <c r="Q41"/>
      <c r="R41" t="inlineStr">
        <is>
          <t>recvhju1CrD3c8</t>
        </is>
      </c>
      <c r="S41" t="inlineStr">
        <is>
          <t>dyson-supersonic-deep-blue-fastdry-recvhju1cr</t>
        </is>
      </c>
      <c r="T41"/>
      <c r="U41"/>
      <c r="V41"/>
      <c r="W41" t="inlineStr">
        <is>
          <t>{"id":"chatcmpl-DY4BdWnh4HFsVqUA5EhQWyQrq7AUb","object":"chat.completion","created":1777011617,"model":"gpt-5-chat-latest","choices":[{"index":0,"message":{"role":"assistant","content":"Dyson：Supersonic深蓝色高速吹风机，采用磁吸式造型设计与轻盈机身，融合强劲智能温控科技，快速干发不伤发，金属质感机身展现未来极简风格，男女皆宜，畅享专业沙龙级造型体验。","refusal":null,"annotations":[]},"logprobs":null,"finish_reason":"stop"}],"usage":{"prompt_tokens":1297,"completion_tokens":71,"total_tokens":1368,"prompt_tokens_details":{"cached_tokens":0,"audio_tokens":0},"completion_tokens_details":{"reasoning_tokens":0,"audio_tokens":0,"accepted_prediction_tokens":0,"rejected_prediction_tokens":0}},"service_tier":"default","system_fingerprint":"fp_ad66631dec"}</t>
        </is>
      </c>
      <c r="X41" t="inlineStr">
        <is>
          <t>Dyson：Supersonic深蓝色高速吹风机，采用磁吸式造型设计与轻盈机身，融合强劲智能温控科技，快速干发不伤发，金属质感机身展现未来极简风格，男女皆宜，畅享专业沙龙级造型体验。</t>
        </is>
      </c>
    </row>
    <row r="42" ht="25.5" customHeight="1">
      <c r="A42">
        <v>1654975475</v>
      </c>
      <c r="B42">
        <v>7617295223</v>
      </c>
      <c r="C42" s="2" t="str">
        <f>=HYPERLINK("https://weidian.com/item.html?itemID=7617295223", "https://weidian.com/item.html?itemID=7617295223")</f>
        <v>https://weidian.com/item.html?itemID=7617295223</v>
      </c>
      <c r="D42"/>
      <c r="E42" s="2" t="str">
        <f>=HYPERLINK("https://si.geilicdn.com/pcitem2014204438-351a0000019ac3cd4aa10a21146b_1280_1707.jpg?w=640&amp;h=640", "https://si.geilicdn.com/pcitem2014204438-351a0000019ac3cd4aa10a21146b_1280_1707.jpg?w=640&amp;h=640")</f>
        <v>https://si.geilicdn.com/pcitem2014204438-351a0000019ac3cd4aa10a21146b_1280_1707.jpg?w=640&amp;h=640</v>
      </c>
      <c r="F42" t="inlineStr">
        <is>
          <t>Electronic</t>
        </is>
      </c>
      <c r="G42" t="inlineStr">
        <is>
          <t>Dyson</t>
        </is>
      </c>
      <c r="H42">
        <v>320</v>
      </c>
      <c r="I42">
        <v>46.38</v>
      </c>
      <c r="J42" t="inlineStr">
        <is>
          <t>{"choices":[{"finish_reason":"stop","index":0,"logprobs":null,"message":{"annotations":[],"content":"ElectronicDyson White Ionic Hair Dryer Fast Dry Lightweight","refusal":null,"role":"assistant"}}],"created":1777014114,"id":"chatcmpl-DY4pu4apcLhSrC7aoVIUpXViVMOui","model":"gpt-5-chat-latest","object":"chat.completion","service_tier":"default","system_fingerprint":"fp_ad66631dec","usage":{"completion_tokens":11,"completion_tokens_details":{"accepted_prediction_tokens":0,"audio_tokens":0,"reasoning_tokens":0,"rejected_prediction_tokens":0},"prompt_tokens":885,"prompt_tokens_details":{"audio_tokens":0,"cached_tokens":0},"total_tokens":896}}</t>
        </is>
      </c>
      <c r="K42" t="inlineStr">
        <is>
          <t>ElectronicDyson White Ionic Hair Dryer Fast Dry Lightweight</t>
        </is>
      </c>
      <c r="L42" t="inlineStr">
        <is>
          <t>{"choices":[{"finish_reason":"stop","index":0,"logprobs":null,"message":{"annotations":[],"content":"ElectronicDysonDyson White High-Efficiency Ionic Hair Dryer, lightweight ABS body, low-noise fast dry tech for men and women, minimalist modern design, delivers a premium professional hair care experience.","refusal":null,"role":"assistant"}}],"created":1777013233,"id":"chatcmpl-DY4bhG0cRU4U7GbgTlmF8JAFxnRWQ","model":"gpt-5-chat-latest","object":"chat.completion","service_tier":"default","system_fingerprint":"fp_ad66631dec","usage":{"completion_tokens":42,"completion_tokens_details":{"accepted_prediction_tokens":0,"audio_tokens":0,"reasoning_tokens":0,"rejected_prediction_tokens":0},"prompt_tokens":891,"prompt_tokens_details":{"audio_tokens":0,"cached_tokens":0},"total_tokens":933}}</t>
        </is>
      </c>
      <c r="M42" t="inlineStr">
        <is>
          <t>{"alt-svc":"h3=\":443\"; ma=2592000","apim-request-id":"cbd7ca22-c350-4bf5-b12a-4e02c6e08daf","azureml-model-session":"d20260402084046-4209e968","cache-control":"no-cache","connection":"close","content-length":"793","content-security-policy":"frame-ancestors 'self'","content-type":"application/json","date":"Fri, 24 Apr 2026 06:47:18 GMT","server":"Caddy","skip-error-remapping":"true","strict-transport-security":"max-age=31536000; includeSubDomains; preload","via":"1.1 Caddy","x-api-request-id":"202604241447128605134756cNNqbBI","x-content-type-options":"nosniff","x-frame-options":"SAMEORIGIN","x-ms-client-request-id":"Not-Set","x-ms-is-spilled-over":"false","x-ms-rai-invoked":"true","x-ms-region":"East US 2","x-new-api-version":"0.4.39","x-oneapi-request-id":"202604240647126086205558268d9d63SJ9aY9B","x-ratelimit-abusepenalty-active":"False","x-ratelimit-limit-requests":"3850","x-ratelimit-limit-tokens":"3850000","x-ratelimit-remaining-requests":"3849","x-ratelimit-remaining-tokens":"3834792","x-ratelimit-renewalperiod-requests":"60","x-ratelimit-renewalperiod-tokens":"60","x-ratelimit-reset-requests":"15","x-ratelimit-reset-tokens":"237","x-request-id":"bada86fe-ac1e-497a-8548-bdd7433f120d"}</t>
        </is>
      </c>
      <c r="N42" t="inlineStr">
        <is>
          <t>ElectronicDysonDyson White High-Efficiency Ionic Hair Dryer, lightweight ABS body, low-noise fast dry tech for men and women, minimalist modern design, delivers a premium professional hair care experience.</t>
        </is>
      </c>
      <c r="O42" t="inlineStr">
        <is>
          <t>{"id":"chatcmpl-DY54YXG24EOqpysz8xzMbzAeF8mvR","object":"chat.completion","created":1777015022,"model":"gpt-5-chat-latest","choices":[{"index":0,"message":{"role":"assistant","content":"ElectronicDyson,Hair Dryer,kakobuy,kakebuy2026,kekobuysheet,kakobuysheet2026,2026kakobuy,kakobuyspreadsheeet,kakobuylink,kakebuylist,Kakobuy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89,"total_tokens":871,"prompt_tokens_details":{"cached_tokens":0,"audio_tokens":0},"completion_tokens_details":{"reasoning_tokens":0,"audio_tokens":0,"accepted_prediction_tokens":0,"rejected_prediction_tokens":0}},"service_tier":"default","system_fingerprint":"fp_ad66631dec"}</t>
        </is>
      </c>
      <c r="P42" t="inlineStr">
        <is>
          <t>ElectronicDyson,Hair Dryer,kakobuy,kakebuy2026,kekobuysheet,kakobuysheet2026,2026kakobuy,kakobuyspreadsheeet,kakobuylink,kakebuylist,Kakobuy MEGA Spreadsheet,kakobuysheetfind,kakobuysheetfind2026,2026kakobuysheetfind,kakobuysheet2026</t>
        </is>
      </c>
      <c r="Q42"/>
      <c r="R42" t="inlineStr">
        <is>
          <t>recvhju1CrY5k7</t>
        </is>
      </c>
      <c r="S42" t="inlineStr">
        <is>
          <t>dyson-white-ionic-hair-dryer-recvhju1crY5k7</t>
        </is>
      </c>
      <c r="T42"/>
      <c r="U42"/>
      <c r="V42"/>
      <c r="W42" t="inlineStr">
        <is>
          <t>{"choices":[{"finish_reason":"stop","index":0,"logprobs":null,"message":{"annotations":[],"content":"Dyson：白色高效负离子电吹风，采用轻盈ABS材质与流线极简设计，低噪速干科技适合男女通用，现代家居风格彰显极致美学与专业护发体验。","refusal":null,"role":"assistant"}}],"created":1777012039,"id":"chatcmpl-DY4IRvY14cOOsleryROLUKwqycThC","model":"gpt-5-chat-latest","object":"chat.completion","service_tier":"default","system_fingerprint":"fp_ad66631dec","usage":{"completion_tokens":57,"completion_tokens_details":{"accepted_prediction_tokens":0,"audio_tokens":0,"reasoning_tokens":0,"rejected_prediction_tokens":0},"prompt_tokens":1301,"prompt_tokens_details":{"audio_tokens":0,"cached_tokens":0},"total_tokens":1358}}</t>
        </is>
      </c>
      <c r="X42" t="inlineStr">
        <is>
          <t>Dyson：白色高效负离子电吹风，采用轻盈ABS材质与流线极简设计，低噪速干科技适合男女通用，现代家居风格彰显极致美学与专业护发体验。</t>
        </is>
      </c>
    </row>
    <row r="43" ht="25.5" customHeight="1">
      <c r="A43">
        <v>1654975475</v>
      </c>
      <c r="B43">
        <v>7620382062</v>
      </c>
      <c r="C43" s="2" t="str">
        <f>=HYPERLINK("https://weidian.com/item.html?itemID=7620382062", "https://weidian.com/item.html?itemID=7620382062")</f>
        <v>https://weidian.com/item.html?itemID=7620382062</v>
      </c>
      <c r="D43"/>
      <c r="E43" s="2" t="str">
        <f>=HYPERLINK("https://si.geilicdn.com/pcitem2014204438-522e0000019ac3cdb5890a20e2c5_1300_1950.jpg?w=750&amp;h=750&amp;cp=1", "https://si.geilicdn.com/pcitem2014204438-522e0000019ac3cdb5890a20e2c5_1300_1950.jpg?w=750&amp;h=750&amp;cp=1")</f>
        <v>https://si.geilicdn.com/pcitem2014204438-522e0000019ac3cdb5890a20e2c5_1300_1950.jpg?w=750&amp;h=750&amp;cp=1</v>
      </c>
      <c r="F43" t="inlineStr">
        <is>
          <t>Electronic</t>
        </is>
      </c>
      <c r="G43" t="inlineStr">
        <is>
          <t>Dyson</t>
        </is>
      </c>
      <c r="H43">
        <v>320</v>
      </c>
      <c r="I43">
        <v>46.38</v>
      </c>
      <c r="J43" t="inlineStr">
        <is>
          <t>{"choices":[{"finish_reason":"stop","index":0,"logprobs":null,"message":{"annotations":[],"content":"Dyson Electronic Matte Black FastDry Hair Dryer 1600W","refusal":null,"role":"assistant"}}],"created":1777014389,"id":"chatcmpl-DY4uL3m69cZK9GsQO273Mjhm8p4xR","model":"gpt-5-chat-latest","object":"chat.completion","service_tier":"default","system_fingerprint":"fp_ad66631dec","usage":{"completion_tokens":14,"completion_tokens_details":{"accepted_prediction_tokens":0,"audio_tokens":0,"reasoning_tokens":0,"rejected_prediction_tokens":0},"prompt_tokens":875,"prompt_tokens_details":{"audio_tokens":0,"cached_tokens":0},"total_tokens":889}}</t>
        </is>
      </c>
      <c r="K43" t="inlineStr">
        <is>
          <t>Dyson Electronic Matte Black FastDry Hair Dryer 1600W</t>
        </is>
      </c>
      <c r="L43" t="inlineStr">
        <is>
          <t>{"choices":[{"finish_reason":"stop","index":0,"logprobs":null,"message":{"annotations":[],"content":"ElectronicDysonDyson Matte Black Hair Dryer – Innovative fast-drying design, lightweight high-strength material, minimalist futuristic style, low-noise efficient hair care, premium British craftsmanship.","refusal":null,"role":"assistant"}}],"created":1777013286,"id":"chatcmpl-DY4cYaytNhRtxy2VqQz7ipodIBUPm","model":"gpt-5-chat-latest","object":"chat.completion","service_tier":"default","system_fingerprint":"fp_ad66631dec","usage":{"completion_tokens":37,"completion_tokens_details":{"accepted_prediction_tokens":0,"audio_tokens":0,"reasoning_tokens":0,"rejected_prediction_tokens":0},"prompt_tokens":901,"prompt_tokens_details":{"audio_tokens":0,"cached_tokens":0},"total_tokens":938}}</t>
        </is>
      </c>
      <c r="M43" t="inlineStr">
        <is>
          <t>{"alt-svc":"h3=\":443\"; ma=2592000","apim-request-id":"d74dc180-8708-4fd9-baa7-80d8e3ad98fc","azureml-model-session":"d20260405234249-f9874baf","cache-control":"no-cache","connection":"close","content-length":"793","content-security-policy":"frame-ancestors 'self'","content-type":"application/json","date":"Fri, 24 Apr 2026 06:48:08 GMT","server":"nginx","skip-error-remapping":"true","strict-transport-security":"max-age=31536000; includeSubDomains; preload","via":"1.1 Caddy, 1.1 Caddy","x-api-request-id":"20260424144805575379025NeHFU998","x-content-type-options":"nosniff","x-frame-options":"SAMEORIGIN","x-ms-client-request-id":"Not-Set","x-ms-is-spilled-over":"false","x-ms-rai-invoked":"true","x-ms-region":"East US 2","x-new-api-version":"0.4.39","x-oneapi-request-id":"202604240648054034820118268d9d6Wy3rJF8I","x-ratelimit-abusepenalty-active":"False","x-ratelimit-limit-requests":"3850","x-ratelimit-limit-tokens":"3850000","x-ratelimit-remaining-requests":"3849","x-ratelimit-remaining-tokens":"3813646","x-ratelimit-renewalperiod-requests":"60","x-ratelimit-renewalperiod-tokens":"60","x-ratelimit-reset-requests":"19","x-ratelimit-reset-tokens":"566","x-request-id":"8eb41fe9-d773-4c0b-a493-cf5eafd9412c"}</t>
        </is>
      </c>
      <c r="N43" t="inlineStr">
        <is>
          <t>ElectronicDysonDyson Matte Black Hair Dryer – Innovative fast-drying design, lightweight high-strength material, minimalist futuristic style, low-noise efficient hair care, premium British craftsmanship.</t>
        </is>
      </c>
      <c r="O43" t="inlineStr">
        <is>
          <t>{"choices":[{"finish_reason":"stop","index":0,"logprobs":null,"message":{"annotations":[],"content":"ElectronicDyson, hair dryer, kakobuy, kakebuy2026, kekobuysheet, kakobuysheet2026, 2026kakobuy, kakobuyspreadsheeet, kakobuylink, kakebuylist, Kakobuy MEGA Spreadsheet, kakobuysheetfind, kakobuysheetfind2026, 2026kakobuysheetfind, kakobuysheet2026","refusal":null,"role":"assistant"}}],"created":1777014972,"id":"chatcmpl-DY53kZxFGAiowMcE2p7C15Oj9DQ2Q","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43" t="inlineStr">
        <is>
          <t>ElectronicDyson, hair dryer, kakobuy, kakebuy2026, kekobuysheet, kakobuysheet2026, 2026kakobuy, kakobuyspreadsheeet, kakobuylink, kakebuylist, Kakobuy MEGA Spreadsheet, kakobuysheetfind, kakobuysheetfind2026, 2026kakobuysheetfind, kakobuysheet2026</t>
        </is>
      </c>
      <c r="Q43"/>
      <c r="R43" t="inlineStr">
        <is>
          <t>recvhju1CrXhEZ</t>
        </is>
      </c>
      <c r="S43" t="inlineStr">
        <is>
          <t>dyson-electronic-matte-black-fastdry-hair-dryer-1600w-recvhju1crxhez</t>
        </is>
      </c>
      <c r="T43"/>
      <c r="U43"/>
      <c r="V43"/>
      <c r="W43" t="inlineStr">
        <is>
          <t>{"choices":[{"finish_reason":"stop","index":0,"logprobs":null,"message":{"annotations":[],"content":"Dyson：哑光黑电吹风机，创新速干设计，轻质高强度材质打造，极简未来风格，男女皆宜，适合现代生活美学，低噪高效护发体验，彰显英伦精工品质。","refusal":null,"role":"assistant"}}],"created":1777011313,"id":"chatcmpl-DY46jJ3qrRQ5CH8K0m9BivJOQ4qQM","model":"gpt-5-chat-latest","object":"chat.completion","service_tier":"default","system_fingerprint":"fp_ad66631dec","usage":{"completion_tokens":61,"completion_tokens_details":{"accepted_prediction_tokens":0,"audio_tokens":0,"reasoning_tokens":0,"rejected_prediction_tokens":0},"prompt_tokens":1313,"prompt_tokens_details":{"audio_tokens":0,"cached_tokens":0},"total_tokens":1374}}</t>
        </is>
      </c>
      <c r="X43" t="inlineStr">
        <is>
          <t>Dyson：哑光黑电吹风机，创新速干设计，轻质高强度材质打造，极简未来风格，男女皆宜，适合现代生活美学，低噪高效护发体验，彰显英伦精工品质。</t>
        </is>
      </c>
    </row>
    <row r="44" ht="25.5" customHeight="1">
      <c r="A44">
        <v>1654975475</v>
      </c>
      <c r="B44">
        <v>7620397926</v>
      </c>
      <c r="C44" s="2" t="str">
        <f>=HYPERLINK("https://weidian.com/item.html?itemID=7620397926", "https://weidian.com/item.html?itemID=7620397926")</f>
        <v>https://weidian.com/item.html?itemID=7620397926</v>
      </c>
      <c r="D44"/>
      <c r="E44" s="2" t="str">
        <f>=HYPERLINK("https://si.geilicdn.com/pcitem2014204438-39bd0000019ac3dbf7c90a21146b_1440_1920.jpg?w=640&amp;h=640", "https://si.geilicdn.com/pcitem2014204438-39bd0000019ac3dbf7c90a21146b_1440_1920.jpg?w=640&amp;h=640")</f>
        <v>https://si.geilicdn.com/pcitem2014204438-39bd0000019ac3dbf7c90a21146b_1440_1920.jpg?w=640&amp;h=640</v>
      </c>
      <c r="F44" t="inlineStr">
        <is>
          <t>Electronic</t>
        </is>
      </c>
      <c r="G44" t="inlineStr">
        <is>
          <t>Dyson</t>
        </is>
      </c>
      <c r="H44">
        <v>1540</v>
      </c>
      <c r="I44">
        <v>223.19</v>
      </c>
      <c r="J44" t="inlineStr">
        <is>
          <t>{"choices":[{"finish_reason":"stop","index":0,"logprobs":null,"message":{"annotations":[],"content":"Dyson Corrale Navy Gold Wireless Hair Straightener","refusal":null,"role":"assistant"}}],"created":1777014543,"id":"chatcmpl-DY4wpw5ONMSQAI3TM8BmlBBcgWU8b","model":"gpt-5-chat-latest","object":"chat.completion","service_tier":"default","system_fingerprint":"fp_ad66631dec","usage":{"completion_tokens":11,"completion_tokens_details":{"accepted_prediction_tokens":0,"audio_tokens":0,"reasoning_tokens":0,"rejected_prediction_tokens":0},"prompt_tokens":877,"prompt_tokens_details":{"audio_tokens":0,"cached_tokens":0},"total_tokens":888}}</t>
        </is>
      </c>
      <c r="K44" t="inlineStr">
        <is>
          <t>Dyson Corrale Navy Gold Wireless Hair Straightener</t>
        </is>
      </c>
      <c r="L44" t="inlineStr">
        <is>
          <t>{"choices":[{"finish_reason":"stop","index":0,"logprobs":null,"message":{"annotations":[],"content":"ElectronicDyson Dyson Corrale Navy Gold Wireless Smart Hair Straightener with flexible manganese copper alloy plates, precise temperature control, minimal design, unisex, portable rechargeable salon-grade styling tool.","refusal":null,"role":"assistant"}}],"created":1777013539,"id":"chatcmpl-DY4gdwVLLhQ5DX4aeMGGUQuvN4Ovd","model":"gpt-5-chat-latest","object":"chat.completion","service_tier":"default","system_fingerprint":"fp_ad66631dec","usage":{"completion_tokens":38,"completion_tokens_details":{"accepted_prediction_tokens":0,"audio_tokens":0,"reasoning_tokens":0,"rejected_prediction_tokens":0},"prompt_tokens":907,"prompt_tokens_details":{"audio_tokens":0,"cached_tokens":0},"total_tokens":945}}</t>
        </is>
      </c>
      <c r="M44" t="inlineStr">
        <is>
          <t>{"alt-svc":"h3=\":443\"; ma=2592000","apim-request-id":"0e2bca82-18c3-458a-b8bc-96f8159175ee","azureml-model-session":"d20260405234249-f9874baf","cache-control":"no-cache","connection":"close","content-length":"806","content-security-policy":"frame-ancestors 'self'","content-type":"application/json","date":"Fri, 24 Apr 2026 06:52:21 GMT","server":"Caddy","skip-error-remapping":"true","strict-transport-security":"max-age=31536000; includeSubDomains; preload","via":"1.1 Caddy","x-api-request-id":"2026042414521976967340K4ZoHc0W","x-content-type-options":"nosniff","x-frame-options":"SAMEORIGIN","x-ms-client-request-id":"Not-Set","x-ms-is-spilled-over":"false","x-ms-rai-invoked":"true","x-ms-region":"East US 2","x-new-api-version":"0.4.39","x-oneapi-request-id":"202604240652186841337508268d9d6c3fxEaie","x-ratelimit-abusepenalty-active":"False","x-ratelimit-limit-requests":"3850","x-ratelimit-limit-tokens":"3850000","x-ratelimit-remaining-requests":"3849","x-ratelimit-remaining-tokens":"3848331","x-ratelimit-renewalperiod-requests":"60","x-ratelimit-renewalperiod-tokens":"60","x-ratelimit-reset-requests":"15","x-ratelimit-reset-tokens":"26","x-request-id":"1aee1465-2b83-4778-933d-97dc282e2651"}</t>
        </is>
      </c>
      <c r="N44" t="inlineStr">
        <is>
          <t>ElectronicDyson Dyson Corrale Navy Gold Wireless Smart Hair Straightener with flexible manganese copper alloy plates, precise temperature control, minimal design, unisex, portable rechargeable salon-grade styling tool.</t>
        </is>
      </c>
      <c r="O44" t="inlineStr">
        <is>
          <t>{"choices":[{"finish_reason":"stop","index":0,"logprobs":null,"message":{"annotations":[],"content":"Dyson, hair straightener, kakobuy, kakebuy2026, kekobuysheet, kakobuysheet2026, 2026kakobuy, kakobuyspreadsheeet, kakobuylink, kakebuylist, Kakobuy MEGA Spreadsheet, kakobuysheetfind, kakobuysheetfind2026, 2026kakobuysheetfind, kakobuysheet2026","refusal":null,"role":"assistant"}}],"created":1777015219,"id":"chatcmpl-DY57jdDBN63NRzUUiNU7LBzGPLWvj","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44" t="inlineStr">
        <is>
          <t>Dyson, hair straightener, kakobuy, kakebuy2026, kekobuysheet, kakobuysheet2026, 2026kakobuy, kakobuyspreadsheeet, kakobuylink, kakebuylist, Kakobuy MEGA Spreadsheet, kakobuysheetfind, kakobuysheetfind2026, 2026kakobuysheetfind, kakobuysheet2026</t>
        </is>
      </c>
      <c r="Q44"/>
      <c r="R44" t="inlineStr">
        <is>
          <t>recvhju1CrLE7o</t>
        </is>
      </c>
      <c r="S44" t="inlineStr">
        <is>
          <t>dyson-corrale-navy-gold-wireless-hair-straightener-recvhju1crle7o</t>
        </is>
      </c>
      <c r="T44"/>
      <c r="U44"/>
      <c r="V44"/>
      <c r="W44" t="inlineStr">
        <is>
          <t>{"choices":[{"finish_reason":"stop","index":0,"logprobs":null,"message":{"annotations":[],"content":"Dyson：Corrale 海军蓝金色无线智能直发夹，采用柔性锰铜合金板材质，精准控温防护发丝损伤，现代极简设计风格，男女皆宜，便携充电设计适合当代时尚造型，专业沙龙级美发工具。","refusal":null,"role":"assistant"}}],"created":1777011958,"id":"chatcmpl-DY4H81xxncr0Xapl0QsCQhXYt6rcL","model":"gpt-5-chat-latest","object":"chat.completion","service_tier":"default","system_fingerprint":"fp_ad66631dec","usage":{"completion_tokens":72,"completion_tokens_details":{"accepted_prediction_tokens":0,"audio_tokens":0,"reasoning_tokens":0,"rejected_prediction_tokens":0},"prompt_tokens":1303,"prompt_tokens_details":{"audio_tokens":0,"cached_tokens":0},"total_tokens":1375}}</t>
        </is>
      </c>
      <c r="X44" t="inlineStr">
        <is>
          <t>Dyson：Corrale 海军蓝金色无线智能直发夹，采用柔性锰铜合金板材质，精准控温防护发丝损伤，现代极简设计风格，男女皆宜，便携充电设计适合当代时尚造型，专业沙龙级美发工具。</t>
        </is>
      </c>
    </row>
    <row r="45" ht="25.5" customHeight="1">
      <c r="A45">
        <v>1654975475</v>
      </c>
      <c r="B45">
        <v>7620393906</v>
      </c>
      <c r="C45" s="2" t="str">
        <f>=HYPERLINK("https://weidian.com/item.html?itemID=7620393906", "https://weidian.com/item.html?itemID=7620393906")</f>
        <v>https://weidian.com/item.html?itemID=7620393906</v>
      </c>
      <c r="D45"/>
      <c r="E45" s="2" t="str">
        <f>=HYPERLINK("https://si.geilicdn.com/pcitem2014204438-7bc70000019ac3dca8060a2102c5_1080_1440.jpg?w=640&amp;h=640", "https://si.geilicdn.com/pcitem2014204438-7bc70000019ac3dca8060a2102c5_1080_1440.jpg?w=640&amp;h=640")</f>
        <v>https://si.geilicdn.com/pcitem2014204438-7bc70000019ac3dca8060a2102c5_1080_1440.jpg?w=640&amp;h=640</v>
      </c>
      <c r="F45" t="inlineStr">
        <is>
          <t>Electronic</t>
        </is>
      </c>
      <c r="G45" t="inlineStr">
        <is>
          <t>Blaupunkt</t>
        </is>
      </c>
      <c r="H45">
        <v>390</v>
      </c>
      <c r="I45">
        <v>56.52</v>
      </c>
      <c r="J45" t="inlineStr">
        <is>
          <t>{"id":"chatcmpl-DY4wV9i5c0PiOAQgbOOQNyuZnSCye","object":"chat.completion","created":1777014523,"model":"gpt-5-chat-latest","choices":[{"index":0,"message":{"role":"assistant","content":"Blaupunkt Pink High-Speed Ionic Hair Dryer","refusal":null,"annotations":[]},"logprobs":null,"finish_reason":"stop"}],"usage":{"prompt_tokens":872,"completion_tokens":10,"total_tokens":882,"prompt_tokens_details":{"cached_tokens":0,"audio_tokens":0},"completion_tokens_details":{"reasoning_tokens":0,"audio_tokens":0,"accepted_prediction_tokens":0,"rejected_prediction_tokens":0}},"service_tier":"default","system_fingerprint":"fp_ad66631dec"}</t>
        </is>
      </c>
      <c r="K45" t="inlineStr">
        <is>
          <t>Blaupunkt Pink High-Speed Ionic Hair Dryer</t>
        </is>
      </c>
      <c r="L45" t="inlineStr">
        <is>
          <t>{"id":"chatcmpl-DY4aqxIsQtdHKdsID05ky9FD0Kcgq","object":"chat.completion","created":1777013180,"model":"gpt-5-chat-latest","choices":[{"index":0,"message":{"role":"assistant","content":"Blaupunkt Pink High-Speed Ionic Hair Dryer, lightweight ABS body, Nordic minimalist design, strong airflow with constant temperature care for daily styling, modern and stylish for everyone.","refusal":null,"annotations":[]},"logprobs":null,"finish_reason":"stop"}],"usage":{"prompt_tokens":895,"completion_tokens":35,"total_tokens":930,"prompt_tokens_details":{"cached_tokens":0,"audio_tokens":0},"completion_tokens_details":{"reasoning_tokens":0,"audio_tokens":0,"accepted_prediction_tokens":0,"rejected_prediction_tokens":0}},"service_tier":"default","system_fingerprint":"fp_ad66631dec"}</t>
        </is>
      </c>
      <c r="M4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ma=2592000","apim-request-id":"94e35c55-bc97-424f-8195-f52870cb8f70","azureml-model-session":"d20260405225800-40f19e54","cache-control":"no-cache, no-store, must-revalidate","connection":"close","content-length":"993","content-security-policy":"frame-ancestors 'self'","content-type":"application/json","date":"Fri, 24 Apr 2026 06:46:22 GMT","server":"nginx","skip-error-remapping":"true","strict-transport-security":"max-age=31536000; includeSubDomains; preload","via":"1.1 Caddy, 1.1 Caddy","x-api-request-id":"20260424144617767773310RiASq3xz","x-content-type-options":"nosniff","x-frame-options":"SAMEORIGIN","x-ms-is-spilled-over":"false","x-ms-rai-invoked":"false","x-ms-region":"Sweden Central","x-new-api-version":"0.4.39","x-oneapi-request-id":"202604240646174423068188268d9d6v4nDtJx2","x-ratelimit-abusepenalty-active":"False","x-ratelimit-limit-requests":"4998","x-ratelimit-limit-tokens":"4998000","x-ratelimit-remaining-requests":"4997","x-ratelimit-remaining-tokens":"4996343","x-ratelimit-renewalperiod-requests":"60","x-ratelimit-renewalperiod-tokens":"60","x-ratelimit-reset-requests":"12","x-ratelimit-reset-tokens":"19","x-request-id":"1b210483-0a44-4a0b-9037-e245167cc049"}</t>
        </is>
      </c>
      <c r="N45" t="inlineStr">
        <is>
          <t>Blaupunkt Pink High-Speed Ionic Hair Dryer, lightweight ABS body, Nordic minimalist design, strong airflow with constant temperature care for daily styling, modern and stylish for everyone.</t>
        </is>
      </c>
      <c r="O45" t="inlineStr">
        <is>
          <t>{"choices":[{"finish_reason":"stop","index":0,"logprobs":null,"message":{"annotations":[],"content":"Blaupunkt,Hair Dryer,kakobuy,kakebuy2026,kekobuysheet,kakobuysheet2026,2026kakobuy,kakobuyspreadsheeet,kakobuylink,kakebuylist,Kakobuy MEGA Spreadsheet,kakobuysheetfind,kakobuysheetfind2026,2026kakobuysheetfind,kakobuysheet2026","refusal":null,"role":"assistant"}}],"created":1777015159,"id":"chatcmpl-DY56lzbuAsC69Gcft7YoywkvREAB5","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45" t="inlineStr">
        <is>
          <t>Blaupunkt,Hair Dryer,kakobuy,kakebuy2026,kekobuysheet,kakobuysheet2026,2026kakobuy,kakobuyspreadsheeet,kakobuylink,kakebuylist,Kakobuy MEGA Spreadsheet,kakobuysheetfind,kakobuysheetfind2026,2026kakobuysheetfind,kakobuysheet2026</t>
        </is>
      </c>
      <c r="Q45"/>
      <c r="R45" t="inlineStr">
        <is>
          <t>recvhju1CrxUuk</t>
        </is>
      </c>
      <c r="S45" t="inlineStr">
        <is>
          <t>blaupunkt-pink-high-speed-ionic-hair-dryer-recvhju1crxuuk</t>
        </is>
      </c>
      <c r="T45"/>
      <c r="U45"/>
      <c r="V45"/>
      <c r="W45" t="inlineStr">
        <is>
          <t>{"choices":[{"finish_reason":"stop","index":0,"logprobs":null,"message":{"annotations":[],"content":"Blaupunkt：粉色高速负离子电吹风，轻盈ABS材质机身，极简北欧设计，强劲风力与恒温呵护科技结合，适合男女日常造型使用，彰显现代居家时尚感。","refusal":null,"role":"assistant"}}],"created":1777012041,"id":"chatcmpl-DY4ITGc1IoRwSGOUeFmrqK4uCxn3l","model":"gpt-5-chat-latest","object":"chat.completion","service_tier":"default","system_fingerprint":"fp_ad66631dec","usage":{"completion_tokens":59,"completion_tokens_details":{"accepted_prediction_tokens":0,"audio_tokens":0,"reasoning_tokens":0,"rejected_prediction_tokens":0},"prompt_tokens":1306,"prompt_tokens_details":{"audio_tokens":0,"cached_tokens":0},"total_tokens":1365}}</t>
        </is>
      </c>
      <c r="X45" t="inlineStr">
        <is>
          <t>Blaupunkt：粉色高速负离子电吹风，轻盈ABS材质机身，极简北欧设计，强劲风力与恒温呵护科技结合，适合男女日常造型使用，彰显现代居家时尚感。</t>
        </is>
      </c>
    </row>
    <row r="46" ht="25.5" customHeight="1">
      <c r="A46">
        <v>1654975475</v>
      </c>
      <c r="B46">
        <v>7619954874</v>
      </c>
      <c r="C46" s="2" t="str">
        <f>=HYPERLINK("https://weidian.com/item.html?itemID=7619954874", "https://weidian.com/item.html?itemID=7619954874")</f>
        <v>https://weidian.com/item.html?itemID=7619954874</v>
      </c>
      <c r="D46"/>
      <c r="E46" s="2" t="str">
        <f>=HYPERLINK("https://si.geilicdn.com/pcitem2014204438-030d0000019ac3de54e90a8133cc_1280_1920.jpg?w=640&amp;h=640", "https://si.geilicdn.com/pcitem2014204438-030d0000019ac3de54e90a8133cc_1280_1920.jpg?w=640&amp;h=640")</f>
        <v>https://si.geilicdn.com/pcitem2014204438-030d0000019ac3de54e90a8133cc_1280_1920.jpg?w=640&amp;h=640</v>
      </c>
      <c r="F46" t="inlineStr">
        <is>
          <t>Electronic</t>
        </is>
      </c>
      <c r="G46" t="inlineStr">
        <is>
          <t>Dyson</t>
        </is>
      </c>
      <c r="H46">
        <v>1300</v>
      </c>
      <c r="I46">
        <v>188.41</v>
      </c>
      <c r="J46" t="inlineStr">
        <is>
          <t>{"choices":[{"finish_reason":"stop","index":0,"logprobs":null,"message":{"annotations":[],"content":"Dyson Supersonic Mint Green Hair Dryer","refusal":null,"role":"assistant"}}],"created":1777014515,"id":"chatcmpl-DY4wNL8LhkknNyOhQk6KU4UGoeJoi","model":"gpt-5-chat-latest","object":"chat.completion","service_tier":"default","system_fingerprint":"fp_ad66631dec","usage":{"completion_tokens":10,"completion_tokens_details":{"accepted_prediction_tokens":0,"audio_tokens":0,"reasoning_tokens":0,"rejected_prediction_tokens":0},"prompt_tokens":877,"prompt_tokens_details":{"audio_tokens":0,"cached_tokens":0},"total_tokens":887}}</t>
        </is>
      </c>
      <c r="K46" t="inlineStr">
        <is>
          <t>Dyson Supersonic Mint Green Hair Dryer</t>
        </is>
      </c>
      <c r="L46" t="inlineStr">
        <is>
          <t>{"choices":[{"finish_reason":"stop","index":0,"logprobs":null,"message":{"annotations":[],"content":"Dyson Supersonic Mint Green Hair Dryer with smart temperature control and lightweight alloy body, fast drying, unisex design, gentle hair care, modern style, and advanced beauty technology.","refusal":null,"role":"assistant"}}],"created":1777013558,"id":"chatcmpl-DY4gwUjsuXqE50rS4D6qZNg9cGoXQ","model":"gpt-5-chat-latest","object":"chat.completion","service_tier":"default","system_fingerprint":"fp_ad66631dec","usage":{"completion_tokens":38,"completion_tokens_details":{"accepted_prediction_tokens":0,"audio_tokens":0,"reasoning_tokens":0,"rejected_prediction_tokens":0},"prompt_tokens":886,"prompt_tokens_details":{"audio_tokens":0,"cached_tokens":0},"total_tokens":924}}</t>
        </is>
      </c>
      <c r="M46" t="inlineStr">
        <is>
          <t>{"alt-svc":"h3=\":443\"; ma=2592000","apim-request-id":"2d4271e2-a1d5-4331-b343-8ea55e73385c","azureml-model-session":"d20260402084046-4209e968","cache-control":"no-cache","connection":"close","content-length":"777","content-security-policy":"frame-ancestors 'self'","content-type":"application/json","date":"Fri, 24 Apr 2026 06:52:39 GMT","server":"Caddy","skip-error-remapping":"true","strict-transport-security":"max-age=31536000; includeSubDomains; preload","via":"1.1 Caddy","x-api-request-id":"20260424145237415282537vdda4WE4","x-content-type-options":"nosniff","x-frame-options":"SAMEORIGIN","x-ms-client-request-id":"Not-Set","x-ms-is-spilled-over":"false","x-ms-rai-invoked":"true","x-ms-region":"East US 2","x-new-api-version":"0.4.39","x-oneapi-request-id":"202604240652371791846268268d9d60Rj8K1Az","x-ratelimit-abusepenalty-active":"False","x-ratelimit-limit-requests":"3850","x-ratelimit-limit-tokens":"3850000","x-ratelimit-remaining-requests":"3849","x-ratelimit-remaining-tokens":"3848352","x-ratelimit-renewalperiod-requests":"60","x-ratelimit-renewalperiod-tokens":"60","x-ratelimit-reset-requests":"15","x-ratelimit-reset-tokens":"25","x-request-id":"dfa62937-800b-41ed-8138-3e23caeab8d5"}</t>
        </is>
      </c>
      <c r="N46" t="inlineStr">
        <is>
          <t>Dyson Supersonic Mint Green Hair Dryer with smart temperature control and lightweight alloy body, fast drying, unisex design, gentle hair care, modern style, and advanced beauty technology.</t>
        </is>
      </c>
      <c r="O46" t="inlineStr">
        <is>
          <t>{"choices":[{"finish_reason":"stop","index":0,"logprobs":null,"message":{"annotations":[],"content":"Dyson,Hair Dryer,kakobuy,kakebuy2026,kekobuysheet,kakobuysheet2026,2026kakobuy,kakobuyspreadsheeet,kakobuylink,kakebuylist,Kakobuy MEGA Spreadsheet,kakobuysheetfind,kakobuysheetfind2026,2026kakobuysheetfind,kakobuysheet2026","refusal":null,"role":"assistant"}}],"created":1777015132,"id":"chatcmpl-DY56Kh3aWcSraEnLsyLnfZkZeHB55","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46" t="inlineStr">
        <is>
          <t>Dyson,Hair Dryer,kakobuy,kakebuy2026,kekobuysheet,kakobuysheet2026,2026kakobuy,kakobuyspreadsheeet,kakobuylink,kakebuylist,Kakobuy MEGA Spreadsheet,kakobuysheetfind,kakobuysheetfind2026,2026kakobuysheetfind,kakobuysheet2026</t>
        </is>
      </c>
      <c r="Q46"/>
      <c r="R46" t="inlineStr">
        <is>
          <t>recvhju1CrW0Hr</t>
        </is>
      </c>
      <c r="S46" t="inlineStr">
        <is>
          <t>dyson-supersonic-mint-green-recvhju1crw0hr</t>
        </is>
      </c>
      <c r="T46"/>
      <c r="U46"/>
      <c r="V46"/>
      <c r="W46" t="inlineStr">
        <is>
          <t>{"choices":[{"finish_reason":"stop","index":0,"logprobs":null,"message":{"annotations":[],"content":"Dyson：Supersonic薄荷绿高速吹风机，采用轻质合金机身与智能温控设计，简约现代风格，男女皆宜，持久护发不伤发，彰显科技美学。","refusal":null,"role":"assistant"}}],"created":1777011608,"id":"chatcmpl-DY4BUv5DA6g14R3Z81P19bARqJy9T","model":"gpt-5-chat-latest","object":"chat.completion","service_tier":"default","system_fingerprint":"fp_ad66631dec","usage":{"completion_tokens":52,"completion_tokens_details":{"accepted_prediction_tokens":0,"audio_tokens":0,"reasoning_tokens":0,"rejected_prediction_tokens":0},"prompt_tokens":1301,"prompt_tokens_details":{"audio_tokens":0,"cached_tokens":0},"total_tokens":1353}}</t>
        </is>
      </c>
      <c r="X46" t="inlineStr">
        <is>
          <t>Dyson：Supersonic薄荷绿高速吹风机，采用轻质合金机身与智能温控设计，简约现代风格，男女皆宜，持久护发不伤发，彰显科技美学。</t>
        </is>
      </c>
    </row>
    <row r="47" ht="25.5" customHeight="1">
      <c r="A47">
        <v>1654975475</v>
      </c>
      <c r="B47">
        <v>7617376345</v>
      </c>
      <c r="C47" s="2" t="str">
        <f>=HYPERLINK("https://weidian.com/item.html?itemID=7617376345", "https://weidian.com/item.html?itemID=7617376345")</f>
        <v>https://weidian.com/item.html?itemID=7617376345</v>
      </c>
      <c r="D47"/>
      <c r="E47" s="2" t="str">
        <f>=HYPERLINK("https://si.geilicdn.com/pcitem2014204438-7b020000019ac3df8b520a230115_1440_1812.jpg?w=640&amp;h=640", "https://si.geilicdn.com/pcitem2014204438-7b020000019ac3df8b520a230115_1440_1812.jpg?w=640&amp;h=640")</f>
        <v>https://si.geilicdn.com/pcitem2014204438-7b020000019ac3df8b520a230115_1440_1812.jpg?w=640&amp;h=640</v>
      </c>
      <c r="F47" t="inlineStr">
        <is>
          <t>Electronic</t>
        </is>
      </c>
      <c r="G47" t="inlineStr">
        <is>
          <t>Dyson</t>
        </is>
      </c>
      <c r="H47">
        <v>1900</v>
      </c>
      <c r="I47">
        <v>275.36</v>
      </c>
      <c r="J47" t="inlineStr">
        <is>
          <t>{"choices":[{"finish_reason":"stop","index":0,"logprobs":null,"message":{"annotations":[],"content":"Dyson Supersonic HD15 Obsidian Blue Hair Dryer","refusal":null,"role":"assistant"}}],"created":1777014403,"id":"chatcmpl-DY4uZ83CAvSA0wGJazdtgXdtn6oGZ","model":"gpt-5-chat-latest","object":"chat.completion","service_tier":"default","system_fingerprint":"fp_ad66631dec","usage":{"completion_tokens":14,"completion_tokens_details":{"accepted_prediction_tokens":0,"audio_tokens":0,"reasoning_tokens":0,"rejected_prediction_tokens":0},"prompt_tokens":881,"prompt_tokens_details":{"audio_tokens":0,"cached_tokens":0},"total_tokens":895}}</t>
        </is>
      </c>
      <c r="K47" t="inlineStr">
        <is>
          <t>Dyson Supersonic HD15 Obsidian Blue Hair Dryer</t>
        </is>
      </c>
      <c r="L47" t="inlineStr">
        <is>
          <t>{"id":"chatcmpl-DY4gpZ89C7hhAUETzs6euejBB12HF","object":"chat.completion","created":1777013551,"model":"gpt-5-chat-latest","choices":[{"index":0,"message":{"role":"assistant","content":"Dyson Supersonic HD Series Obsidian Blue Smart High-Speed Hair Dryer with aerospace-grade aluminum body, magnetic design, ergonomic grip, fast drying, hair care tech for men and women.","refusal":null,"annotations":[]},"logprobs":null,"finish_reason":"stop"}],"usage":{"prompt_tokens":900,"completion_tokens":40,"total_tokens":940,"prompt_tokens_details":{"cached_tokens":0,"audio_tokens":0},"completion_tokens_details":{"reasoning_tokens":0,"audio_tokens":0,"accepted_prediction_tokens":0,"rejected_prediction_tokens":0}},"service_tier":"default","system_fingerprint":"fp_ad66631dec"}</t>
        </is>
      </c>
      <c r="M4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ma=2592000","apim-request-id":"b89988b6-74ac-40a3-a27e-529c4b5e29e4","azureml-model-session":"d20260402083108-57a85543","cache-control":"no-cache, no-store, must-revalidate","connection":"close","content-length":"988","content-security-policy":"frame-ancestors 'self'","content-type":"application/json","date":"Fri, 24 Apr 2026 06:52:34 GMT","server":"nginx","skip-error-remapping":"true","strict-transport-security":"max-age=31536000; includeSubDomains; preload","via":"1.1 Caddy, 1.1 Caddy","x-api-request-id":"20260424145230401381619sqTWA7GS","x-content-type-options":"nosniff","x-frame-options":"SAMEORIGIN","x-ms-is-spilled-over":"false","x-ms-rai-invoked":"false","x-ms-region":"Sweden Central","x-new-api-version":"0.4.39","x-oneapi-request-id":"202604240652302691934888268d9d6JbVTz2SM","x-ratelimit-abusepenalty-active":"False","x-ratelimit-limit-requests":"4998","x-ratelimit-limit-tokens":"4998000","x-ratelimit-remaining-requests":"4997","x-ratelimit-remaining-tokens":"4996338","x-ratelimit-renewalperiod-requests":"60","x-ratelimit-renewalperiod-tokens":"60","x-ratelimit-reset-requests":"12","x-ratelimit-reset-tokens":"19","x-request-id":"40614c2d-4d92-4b40-90e3-f90be5ca3e7e"}</t>
        </is>
      </c>
      <c r="N47" t="inlineStr">
        <is>
          <t>Dyson Supersonic HD Series Obsidian Blue Smart High-Speed Hair Dryer with aerospace-grade aluminum body, magnetic design, ergonomic grip, fast drying, hair care tech for men and women.</t>
        </is>
      </c>
      <c r="O47" t="inlineStr">
        <is>
          <t>{"id":"chatcmpl-DY51qqYddmQcT0DVR5LxTeg4gMAzC","object":"chat.completion","created":1777014854,"model":"gpt-5-chat-latest","choices":[{"index":0,"message":{"role":"assistant","content":"Dyson, hair styler,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93,"total_tokens":875,"prompt_tokens_details":{"cached_tokens":0,"audio_tokens":0},"completion_tokens_details":{"reasoning_tokens":0,"audio_tokens":0,"accepted_prediction_tokens":0,"rejected_prediction_tokens":0}},"service_tier":"default","system_fingerprint":"fp_ad66631dec"}</t>
        </is>
      </c>
      <c r="P47" t="inlineStr">
        <is>
          <t>Dyson, hair styler, kakobuy, kakebuy2026, kekobuysheet, kakobuysheet2026, 2026kakobuy, kakobuyspreadsheeet, kakobuylink, kakebuylist, Kakobuy MEGA Spreadsheet, kakobuysheetfind, kakobuysheetfind2026, 2026kakobuysheetfind, kakobuysheet2026</t>
        </is>
      </c>
      <c r="Q47"/>
      <c r="R47" t="inlineStr">
        <is>
          <t>recvhju1CrXEHL</t>
        </is>
      </c>
      <c r="S47" t="inlineStr">
        <is>
          <t>dyson-supersonic-hd15-obsidian-blue-recvhju1CrXEHL</t>
        </is>
      </c>
      <c r="T47"/>
      <c r="U47"/>
      <c r="V47"/>
      <c r="W47" t="inlineStr">
        <is>
          <t>{"choices":[{"finish_reason":"stop","index":0,"logprobs":null,"message":{"annotations":[],"content":"Dyson：Supersonic HD系列曜石蓝色智能高速吹风机，采用航空级铝合金机身与磁吸设计，融合未来简约风格与人体工学握感，快速干发同时呵护发质，男女皆宜，现代高端美发科技代表。","refusal":null,"role":"assistant"}}],"created":1777011779,"id":"chatcmpl-DY4EFdXP4zOuEOJpRjDcZgE4a1yg2","model":"gpt-5-chat-latest","object":"chat.completion","service_tier":"default","system_fingerprint":"fp_ad66631dec","usage":{"completion_tokens":67,"completion_tokens_details":{"accepted_prediction_tokens":0,"audio_tokens":0,"reasoning_tokens":0,"rejected_prediction_tokens":0},"prompt_tokens":1299,"prompt_tokens_details":{"audio_tokens":0,"cached_tokens":0},"total_tokens":1366}}</t>
        </is>
      </c>
      <c r="X47" t="inlineStr">
        <is>
          <t>Dyson：Supersonic HD系列曜石蓝色智能高速吹风机，采用航空级铝合金机身与磁吸设计，融合未来简约风格与人体工学握感，快速干发同时呵护发质，男女皆宜，现代高端美发科技代表。</t>
        </is>
      </c>
    </row>
    <row r="48" ht="25.5" customHeight="1">
      <c r="A48">
        <v>1654975475</v>
      </c>
      <c r="B48">
        <v>7617398079</v>
      </c>
      <c r="C48" s="2" t="str">
        <f>=HYPERLINK("https://weidian.com/item.html?itemID=7617398079", "https://weidian.com/item.html?itemID=7617398079")</f>
        <v>https://weidian.com/item.html?itemID=7617398079</v>
      </c>
      <c r="D48"/>
      <c r="E48" s="2" t="str">
        <f>=HYPERLINK("https://si.geilicdn.com/pcitem2014204438-25a80000019ac3dd61ed0a2103bd_1280_1920.jpg?w=640&amp;h=640", "https://si.geilicdn.com/pcitem2014204438-25a80000019ac3dd61ed0a2103bd_1280_1920.jpg?w=640&amp;h=640")</f>
        <v>https://si.geilicdn.com/pcitem2014204438-25a80000019ac3dd61ed0a2103bd_1280_1920.jpg?w=640&amp;h=640</v>
      </c>
      <c r="F48" t="inlineStr">
        <is>
          <t>Electronic</t>
        </is>
      </c>
      <c r="G48" t="inlineStr">
        <is>
          <t>Dyson</t>
        </is>
      </c>
      <c r="H48">
        <v>1300</v>
      </c>
      <c r="I48">
        <v>188.41</v>
      </c>
      <c r="J48" t="inlineStr">
        <is>
          <t>{"choices":[{"finish_reason":"stop","index":0,"logprobs":null,"message":{"annotations":[],"content":"Dyson Supersonic Purple Orange Hair Dryer","refusal":null,"role":"assistant"}}],"created":1777014249,"id":"chatcmpl-DY4s570pmjFeia6riPijUWQqQJM5Q","model":"gpt-5-chat-latest","object":"chat.completion","service_tier":"default","system_fingerprint":"fp_ad66631dec","usage":{"completion_tokens":10,"completion_tokens_details":{"accepted_prediction_tokens":0,"audio_tokens":0,"reasoning_tokens":0,"rejected_prediction_tokens":0},"prompt_tokens":875,"prompt_tokens_details":{"audio_tokens":0,"cached_tokens":0},"total_tokens":885}}</t>
        </is>
      </c>
      <c r="K48" t="inlineStr">
        <is>
          <t>Dyson Supersonic Purple Orange Hair Dryer</t>
        </is>
      </c>
      <c r="L48" t="inlineStr">
        <is>
          <t>{"choices":[{"finish_reason":"stop","index":0,"logprobs":null,"message":{"annotations":[],"content":"Dyson Supersonic Purple-Orange Hair Dryer, lightweight aluminum design with intelligent heat control and powerful airflow. Modern minimalist style for all genders, combining tech aesthetics with professional styling.","refusal":null,"role":"assistant"}}],"created":1777013432,"id":"chatcmpl-DY4euuj4WQkVWYYSSkDwrIgsY3aI9","model":"gpt-5-chat-latest","object":"chat.completion","service_tier":"default","system_fingerprint":"fp_ad66631dec","usage":{"completion_tokens":37,"completion_tokens_details":{"accepted_prediction_tokens":0,"audio_tokens":0,"reasoning_tokens":0,"rejected_prediction_tokens":0},"prompt_tokens":894,"prompt_tokens_details":{"audio_tokens":0,"cached_tokens":0},"total_tokens":931}}</t>
        </is>
      </c>
      <c r="M48" t="inlineStr">
        <is>
          <t>{"alt-svc":"h3=\":443\"; ma=2592000","apim-request-id":"cca0f60e-28e4-4f7c-a694-d204238864f0","azureml-model-session":"d20260402083108-57a85543","cache-control":"no-cache","connection":"close","content-length":"804","content-security-policy":"frame-ancestors 'self'","content-type":"application/json","date":"Fri, 24 Apr 2026 06:50:33 GMT","server":"nginx","skip-error-remapping":"true","strict-transport-security":"max-age=31536000; includeSubDomains; preload","via":"1.1 Caddy, 1.1 Caddy","x-api-request-id":"20260424145031110734525eVbGgZ9c","x-content-type-options":"nosniff","x-frame-options":"SAMEORIGIN","x-ms-client-request-id":"Not-Set","x-ms-is-spilled-over":"false","x-ms-rai-invoked":"true","x-ms-region":"East US 2","x-new-api-version":"0.4.39","x-oneapi-request-id":"202604240650309440656858268d9d6J00hsqO1","x-ratelimit-abusepenalty-active":"False","x-ratelimit-limit-requests":"3850","x-ratelimit-limit-tokens":"3850000","x-ratelimit-remaining-requests":"3849","x-ratelimit-remaining-tokens":"3826204","x-ratelimit-renewalperiod-requests":"60","x-ratelimit-renewalperiod-tokens":"60","x-ratelimit-reset-requests":"15","x-ratelimit-reset-tokens":"370","x-request-id":"569f4d07-3aaf-4c7b-926b-6d380744aab4"}</t>
        </is>
      </c>
      <c r="N48" t="inlineStr">
        <is>
          <t>Dyson Supersonic Purple-Orange Hair Dryer, lightweight aluminum design with intelligent heat control and powerful airflow. Modern minimalist style for all genders, combining tech aesthetics with professional styling.</t>
        </is>
      </c>
      <c r="O48" t="inlineStr">
        <is>
          <t>{"choices":[{"finish_reason":"stop","index":0,"logprobs":null,"message":{"annotations":[],"content":"Dyson,Hair Dryer,kakobuy,kakebuy2026,kekobuysheet,kakobuysheet2026,2026kakobuy,kakobuyspreadsheeet,kakobuylink,kakebuylist,Kakobuy MEGA Spreadsheet,kakobuysheetfind,kakobuysheetfind2026,2026kakobuysheetfind,kakobuysheet2026","refusal":null,"role":"assistant"}}],"created":1777015078,"id":"chatcmpl-DY55SaB9FuwmR8MgmqBbOqI1VKM2g","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48" t="inlineStr">
        <is>
          <t>Dyson,Hair Dryer,kakobuy,kakebuy2026,kekobuysheet,kakobuysheet2026,2026kakobuy,kakobuyspreadsheeet,kakobuylink,kakebuylist,Kakobuy MEGA Spreadsheet,kakobuysheetfind,kakobuysheetfind2026,2026kakobuysheetfind,kakobuysheet2026</t>
        </is>
      </c>
      <c r="Q48"/>
      <c r="R48" t="inlineStr">
        <is>
          <t>recvhju1Cr6WJI</t>
        </is>
      </c>
      <c r="S48" t="inlineStr">
        <is>
          <t>dyson-supersonic-purple-orange-recvhju1cr6wji</t>
        </is>
      </c>
      <c r="T48"/>
      <c r="U48"/>
      <c r="V48"/>
      <c r="W48" t="inlineStr">
        <is>
          <t>{"choices":[{"finish_reason":"stop","index":0,"logprobs":null,"message":{"annotations":[],"content":"Dyson：Supersonic紫橘配色高速吹风机，采用轻盈铝合金材质，配备智能温控与强劲气流设计，现代极简风格，男女皆宜，展现科技美学与专业造型体验。","refusal":null,"role":"assistant"}}],"created":1777011530,"id":"chatcmpl-DY4AEK99KBc957fbbVAiYpI1eu1oY","model":"gpt-5-chat-latest","object":"chat.completion","service_tier":"default","system_fingerprint":"fp_ad66631dec","usage":{"completion_tokens":60,"completion_tokens_details":{"accepted_prediction_tokens":0,"audio_tokens":0,"reasoning_tokens":0,"rejected_prediction_tokens":0},"prompt_tokens":1301,"prompt_tokens_details":{"audio_tokens":0,"cached_tokens":0},"total_tokens":1361}}</t>
        </is>
      </c>
      <c r="X48" t="inlineStr">
        <is>
          <t>Dyson：Supersonic紫橘配色高速吹风机，采用轻盈铝合金材质，配备智能温控与强劲气流设计，现代极简风格，男女皆宜，展现科技美学与专业造型体验。</t>
        </is>
      </c>
    </row>
    <row r="49" ht="25.5" customHeight="1">
      <c r="A49">
        <v>1654975475</v>
      </c>
      <c r="B49">
        <v>7620354352</v>
      </c>
      <c r="C49" s="2" t="str">
        <f>=HYPERLINK("https://weidian.com/item.html?itemID=7620354352", "https://weidian.com/item.html?itemID=7620354352")</f>
        <v>https://weidian.com/item.html?itemID=7620354352</v>
      </c>
      <c r="D49"/>
      <c r="E49" s="2" t="str">
        <f>=HYPERLINK("https://si.geilicdn.com/pcitem2014204438-49420000019ac3e02b810a231316_1410_1752.jpg?w=640&amp;h=640", "https://si.geilicdn.com/pcitem2014204438-49420000019ac3e02b810a231316_1410_1752.jpg?w=640&amp;h=640")</f>
        <v>https://si.geilicdn.com/pcitem2014204438-49420000019ac3e02b810a231316_1410_1752.jpg?w=640&amp;h=640</v>
      </c>
      <c r="F49" t="inlineStr">
        <is>
          <t>Electronic</t>
        </is>
      </c>
      <c r="G49" t="inlineStr">
        <is>
          <t>Dyson</t>
        </is>
      </c>
      <c r="H49">
        <v>1900</v>
      </c>
      <c r="I49">
        <v>275.36</v>
      </c>
      <c r="J49" t="inlineStr">
        <is>
          <t>{"choices":[{"finish_reason":"stop","index":0,"logprobs":null,"message":{"annotations":[],"content":"Dyson Airwrap Rose Gold Hair Styler Set 2024","refusal":null,"role":"assistant"}}],"created":1777014164,"id":"chatcmpl-DY4qihFfFIHYDlzlou3RQ2p52xBvu","model":"gpt-5-chat-latest","object":"chat.completion","service_tier":"default","system_fingerprint":"fp_ad66631dec","usage":{"completion_tokens":14,"completion_tokens_details":{"accepted_prediction_tokens":0,"audio_tokens":0,"reasoning_tokens":0,"rejected_prediction_tokens":0},"prompt_tokens":891,"prompt_tokens_details":{"audio_tokens":0,"cached_tokens":0},"total_tokens":905}}</t>
        </is>
      </c>
      <c r="K49" t="inlineStr">
        <is>
          <t>Dyson Airwrap Rose Gold Hair Styler Set 2024</t>
        </is>
      </c>
      <c r="L49" t="inlineStr">
        <is>
          <t>{"choices":[{"finish_reason":"stop","index":0,"logprobs":null,"message":{"annotations":[],"content":"Dyson Airwrap Rose Gold Multi-Styler with smart heat control and powerful airflow, includes curling and smoothing attachments, fast styling for sleek shine and natural curls, premium alloy body, unisex, British luxury design.","refusal":null,"role":"assistant"}}],"created":1777013550,"id":"chatcmpl-DY4goQncJmL1FZcUtFIVKzaQaGUWS","model":"gpt-5-chat-latest","object":"chat.completion","service_tier":"default","system_fingerprint":"fp_ad66631dec","usage":{"completion_tokens":45,"completion_tokens_details":{"accepted_prediction_tokens":0,"audio_tokens":0,"reasoning_tokens":0,"rejected_prediction_tokens":0},"prompt_tokens":918,"prompt_tokens_details":{"audio_tokens":0,"cached_tokens":0},"total_tokens":963}}</t>
        </is>
      </c>
      <c r="M49" t="inlineStr">
        <is>
          <t>{"alt-svc":"h3=\":443\"; ma=2592000","apim-request-id":"2f11e182-cf7f-4628-869b-d2c2d5298f7c","azureml-model-session":"d20260405221325-2e8d5e76","cache-control":"no-cache","connection":"close","content-length":"813","content-security-policy":"frame-ancestors 'self'","content-type":"application/json","date":"Fri, 24 Apr 2026 06:52:32 GMT","server":"nginx","skip-error-remapping":"true","strict-transport-security":"max-age=31536000; includeSubDomains; preload","via":"1.1 Caddy, 1.1 Caddy","x-api-request-id":"20260424145229954687080sFb9gddz","x-content-type-options":"nosniff","x-frame-options":"SAMEORIGIN","x-ms-client-request-id":"Not-Set","x-ms-is-spilled-over":"false","x-ms-rai-invoked":"true","x-ms-region":"East US 2","x-new-api-version":"0.4.39","x-oneapi-request-id":"202604240652298502497598268d9d658PwmXlX","x-ratelimit-abusepenalty-active":"False","x-ratelimit-limit-requests":"3850","x-ratelimit-limit-tokens":"3850000","x-ratelimit-remaining-requests":"3849","x-ratelimit-remaining-tokens":"3848320","x-ratelimit-renewalperiod-requests":"60","x-ratelimit-renewalperiod-tokens":"60","x-ratelimit-reset-requests":"15","x-ratelimit-reset-tokens":"26","x-request-id":"a746330f-1a4c-4da5-af7b-3b3d46171235"}</t>
        </is>
      </c>
      <c r="N49" t="inlineStr">
        <is>
          <t>Dyson Airwrap Rose Gold Multi-Styler with smart heat control and powerful airflow, includes curling and smoothing attachments, fast styling for sleek shine and natural curls, premium alloy body, unisex, British luxury design.</t>
        </is>
      </c>
      <c r="O49" t="inlineStr">
        <is>
          <t>{"choices":[{"finish_reason":"stop","index":0,"logprobs":null,"message":{"annotations":[],"content":"Dyson, hair styler, kakobuy, kakebuy2026, kekobuysheet, kakobuysheet2026, 2026kakobuy, kakobuyspreadsheeet, kakobuylink, kakebuylist, Kakobuy MEGA Spreadsheet, kakobuysheetfind, kakobuysheetfind2026, 2026kakobuysheetfind, kakobuysheet2026","refusal":null,"role":"assistant"}}],"created":1777014889,"id":"chatcmpl-DY52PsCHpxGNV53Nk52y1FkUdXo7o","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49" t="inlineStr">
        <is>
          <t>Dyson, hair styler, kakobuy, kakebuy2026, kekobuysheet, kakobuysheet2026, 2026kakobuy, kakobuyspreadsheeet, kakobuylink, kakebuylist, Kakobuy MEGA Spreadsheet, kakobuysheetfind, kakobuysheetfind2026, 2026kakobuysheetfind, kakobuysheet2026</t>
        </is>
      </c>
      <c r="Q49"/>
      <c r="R49" t="inlineStr">
        <is>
          <t>recvhju1Cr1iPf</t>
        </is>
      </c>
      <c r="S49" t="inlineStr">
        <is>
          <t>dyson-airwrap-rose-gold-recvhju1cr1ipf</t>
        </is>
      </c>
      <c r="T49"/>
      <c r="U49"/>
      <c r="V49"/>
      <c r="W49" t="inlineStr">
        <is>
          <t>{"choices":[{"finish_reason":"stop","index":0,"logprobs":null,"message":{"annotations":[],"content":"Dyson：Airwrap玫瑰金多功能美发造型器，搭载智能控温与强劲气流技术，配备多款卷发与顺发配件，可快速打造顺滑亮泽与自然卷度造型。高质感铝合金机身结合现代极简设计，适用于男女，展现英伦高端时尚美学。","refusal":null,"role":"assistant"}}],"created":1777011866,"id":"chatcmpl-DY4FeR9ANF9foF3UOo3IW8oSUXLvU","model":"gpt-5-chat-latest","object":"chat.completion","service_tier":"default","system_fingerprint":"fp_ad66631dec","usage":{"completion_tokens":86,"completion_tokens_details":{"accepted_prediction_tokens":0,"audio_tokens":0,"reasoning_tokens":0,"rejected_prediction_tokens":0},"prompt_tokens":1297,"prompt_tokens_details":{"audio_tokens":0,"cached_tokens":0},"total_tokens":1383}}</t>
        </is>
      </c>
      <c r="X49" t="inlineStr">
        <is>
          <t>Dyson：Airwrap玫瑰金多功能美发造型器，搭载智能控温与强劲气流技术，配备多款卷发与顺发配件，可快速打造顺滑亮泽与自然卷度造型。高质感铝合金机身结合现代极简设计，适用于男女，展现英伦高端时尚美学。</t>
        </is>
      </c>
    </row>
    <row r="50" ht="25.5" customHeight="1">
      <c r="A50">
        <v>1654975475</v>
      </c>
      <c r="B50">
        <v>7617143967</v>
      </c>
      <c r="C50" s="2" t="str">
        <f>=HYPERLINK("https://weidian.com/item.html?itemID=7617143967", "https://weidian.com/item.html?itemID=7617143967")</f>
        <v>https://weidian.com/item.html?itemID=7617143967</v>
      </c>
      <c r="D50"/>
      <c r="E50" s="2" t="str">
        <f>=HYPERLINK("https://si.geilicdn.com/pcitem902014207253-75b30000019ac2f603590a21146b_1512_2016.jpg?w=640&amp;h=640", "https://si.geilicdn.com/pcitem902014207253-75b30000019ac2f603590a21146b_1512_2016.jpg?w=640&amp;h=640")</f>
        <v>https://si.geilicdn.com/pcitem902014207253-75b30000019ac2f603590a21146b_1512_2016.jpg?w=640&amp;h=640</v>
      </c>
      <c r="F50" t="inlineStr">
        <is>
          <t>Toys</t>
        </is>
      </c>
      <c r="G50" t="inlineStr">
        <is>
          <t>TeddyTales</t>
        </is>
      </c>
      <c r="H50">
        <v>296</v>
      </c>
      <c r="I50">
        <v>42.9</v>
      </c>
      <c r="J50" t="inlineStr">
        <is>
          <t>{"id":"chatcmpl-DY4qR93ho3TGTgEMc00XUvRGq0Blu","object":"chat.completion","created":1777014147,"model":"gpt-5-chat-latest","choices":[{"index":0,"message":{"role":"assistant","content":"ToysTeddyTales Healing Blue Plush Teddy Bear Gift Box","refusal":null,"annotations":[]},"logprobs":null,"finish_reason":"stop"}],"usage":{"prompt_tokens":892,"completion_tokens":14,"total_tokens":906,"prompt_tokens_details":{"cached_tokens":0,"audio_tokens":0},"completion_tokens_details":{"reasoning_tokens":0,"audio_tokens":0,"accepted_prediction_tokens":0,"rejected_prediction_tokens":0}},"service_tier":"default","system_fingerprint":"fp_ad66631dec"}</t>
        </is>
      </c>
      <c r="K50" t="inlineStr">
        <is>
          <t>ToysTeddyTales Healing Blue Plush Teddy Bear Gift Box</t>
        </is>
      </c>
      <c r="L50" t="inlineStr">
        <is>
          <t>{"id":"chatcmpl-DY4eXruPwbQqZT0484dT2H7oLQoQN","object":"chat.completion","created":1777013409,"model":"gpt-5-chat-latest","choices":[{"index":0,"message":{"role":"assistant","content":"ToysTeddyTales Healing Blue Teddy Bear, made of ultra-soft short plush, skin-friendly touch, retro illustration gift box, minimalist and cute design, perfect for all ages, ideal for gifting or collecting.","refusal":null,"annotations":[]},"logprobs":null,"finish_reason":"stop"}],"usage":{"prompt_tokens":920,"completion_tokens":44,"total_tokens":964,"prompt_tokens_details":{"cached_tokens":0,"audio_tokens":0},"completion_tokens_details":{"reasoning_tokens":0,"audio_tokens":0,"accepted_prediction_tokens":0,"rejected_prediction_tokens":0}},"service_tier":"default","system_fingerprint":"fp_ad66631dec"}</t>
        </is>
      </c>
      <c r="M5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ma=2592000","apim-request-id":"a1e33ce7-b1ff-4a2c-8cd6-fd8ad4355513","azureml-model-session":"d20260405221325-2e8d5e76","cache-control":"no-cache, no-store, must-revalidate","connection":"close","content-length":"1008","content-security-policy":"frame-ancestors 'self'","content-type":"application/json","date":"Fri, 24 Apr 2026 06:50:10 GMT","server":"nginx","skip-error-remapping":"true","strict-transport-security":"max-age=31536000; includeSubDomains; preload","via":"1.1 Caddy, 1.1 Caddy","x-api-request-id":"202604241450079171300851qnZe8kv","x-content-type-options":"nosniff","x-frame-options":"SAMEORIGIN","x-ms-is-spilled-over":"false","x-ms-rai-invoked":"false","x-ms-region":"East US 2","x-new-api-version":"0.4.39","x-oneapi-request-id":"202604240650077308663208268d9d6tQ4psP0a","x-ratelimit-abusepenalty-active":"False","x-ratelimit-limit-requests":"4992","x-ratelimit-limit-tokens":"4992000","x-ratelimit-remaining-requests":"4991","x-ratelimit-remaining-tokens":"4990318","x-ratelimit-renewalperiod-requests":"60","x-ratelimit-renewalperiod-tokens":"60","x-ratelimit-reset-requests":"12","x-ratelimit-reset-tokens":"20","x-request-id":"f352350b-1d43-44ae-8e12-7c9f0508d353"}</t>
        </is>
      </c>
      <c r="N50" t="inlineStr">
        <is>
          <t>ToysTeddyTales Healing Blue Teddy Bear, made of ultra-soft short plush, skin-friendly touch, retro illustration gift box, minimalist and cute design, perfect for all ages, ideal for gifting or collecting.</t>
        </is>
      </c>
      <c r="O50" t="inlineStr">
        <is>
          <t>{"id":"chatcmpl-DY53zKSjTDuIHmHkHRuSKT4GvPKmS","object":"chat.completion","created":1777014987,"model":"gpt-5-chat-latest","choices":[{"index":0,"message":{"role":"assistant","content":"ToysTeddyTales,Teddy Bear,kakobuy,kakebuy2026,kekobuysheet,kakobuysheet2026,2026kakobuy,kakobuyspreadsheeet,kakobuylink,kakebuylist,Kakobuy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92,"total_tokens":877,"prompt_tokens_details":{"cached_tokens":0,"audio_tokens":0},"completion_tokens_details":{"reasoning_tokens":0,"audio_tokens":0,"accepted_prediction_tokens":0,"rejected_prediction_tokens":0}},"service_tier":"default","system_fingerprint":"fp_ad66631dec"}</t>
        </is>
      </c>
      <c r="P50" t="inlineStr">
        <is>
          <t>ToysTeddyTales,Teddy Bear,kakobuy,kakebuy2026,kekobuysheet,kakobuysheet2026,2026kakobuy,kakobuyspreadsheeet,kakobuylink,kakebuylist,Kakobuy MEGA Spreadsheet,kakobuysheetfind,kakobuysheetfind2026,2026kakobuysheetfind,kakobuysheet2026</t>
        </is>
      </c>
      <c r="Q50" t="inlineStr">
        <is>
          <t>Cute, Minimalist, All Seasons, Unisex</t>
        </is>
      </c>
      <c r="R50" t="inlineStr">
        <is>
          <t>recvhju1CrRdHY</t>
        </is>
      </c>
      <c r="S50" t="inlineStr">
        <is>
          <t>toysteddytales-healing-blue-plush-teddy-bear-recvhju1crrdhy</t>
        </is>
      </c>
      <c r="T50"/>
      <c r="U50"/>
      <c r="V50"/>
      <c r="W50" t="inlineStr">
        <is>
          <t>{"choices":[{"finish_reason":"stop","index":0,"logprobs":null,"message":{"annotations":[],"content":"TeddyTales：浅蓝色治愈系毛绒泰迪熊玩偶，精选柔软短绒面料，触感细腻亲肤，复古插画礼盒设计，简约可爱风格，男女皆宜，传递温柔童趣与怀旧浪漫，是收藏与馈赠的理想治愈系玩具。","refusal":null,"role":"assistant"}}],"created":1777011950,"id":"chatcmpl-DY4H0RmP02V3NcTo8M36EUFETO8xZ","model":"gpt-5-chat-latest","object":"chat.completion","service_tier":"default","system_fingerprint":"fp_ad66631dec","usage":{"completion_tokens":84,"completion_tokens_details":{"accepted_prediction_tokens":0,"audio_tokens":0,"reasoning_tokens":0,"rejected_prediction_tokens":0},"prompt_tokens":1304,"prompt_tokens_details":{"audio_tokens":0,"cached_tokens":0},"total_tokens":1388}}</t>
        </is>
      </c>
      <c r="X50" t="inlineStr">
        <is>
          <t>TeddyTales：浅蓝色治愈系毛绒泰迪熊玩偶，精选柔软短绒面料，触感细腻亲肤，复古插画礼盒设计，简约可爱风格，男女皆宜，传递温柔童趣与怀旧浪漫，是收藏与馈赠的理想治愈系玩具。</t>
        </is>
      </c>
    </row>
    <row r="51" ht="25.5" customHeight="1">
      <c r="A51">
        <v>1654975475</v>
      </c>
      <c r="B51">
        <v>7617374359</v>
      </c>
      <c r="C51" s="2" t="str">
        <f>=HYPERLINK("https://weidian.com/item.html?itemID=7617374359", "https://weidian.com/item.html?itemID=7617374359")</f>
        <v>https://weidian.com/item.html?itemID=7617374359</v>
      </c>
      <c r="D51"/>
      <c r="E51" s="2" t="str">
        <f>=HYPERLINK("https://si.geilicdn.com/pcitem2014204438-51160000019ac3c9d28c0a2304aa_1080_1190.jpg?w=640&amp;h=640", "https://si.geilicdn.com/pcitem2014204438-51160000019ac3c9d28c0a2304aa_1080_1190.jpg?w=640&amp;h=640")</f>
        <v>https://si.geilicdn.com/pcitem2014204438-51160000019ac3c9d28c0a2304aa_1080_1190.jpg?w=640&amp;h=640</v>
      </c>
      <c r="F51" t="inlineStr">
        <is>
          <t>Electronic</t>
        </is>
      </c>
      <c r="G51" t="inlineStr">
        <is>
          <t>Dyson</t>
        </is>
      </c>
      <c r="H51">
        <v>920</v>
      </c>
      <c r="I51">
        <v>133.33</v>
      </c>
      <c r="J51" t="inlineStr">
        <is>
          <t>{"id":"chatcmpl-DY4rA78gM2ZV43oko4vkcQbtWABzF","object":"chat.completion","created":1777014192,"model":"gpt-5-chat-latest","choices":[{"index":0,"message":{"role":"assistant","content":"Dyson Supersonic Dark Gray Smart Hair Dryer 1600W","refusal":null,"annotations":[]},"logprobs":null,"finish_reason":"stop"}],"usage":{"prompt_tokens":887,"completion_tokens":15,"total_tokens":902,"prompt_tokens_details":{"cached_tokens":0,"audio_tokens":0},"completion_tokens_details":{"reasoning_tokens":0,"audio_tokens":0,"accepted_prediction_tokens":0,"rejected_prediction_tokens":0}},"service_tier":"default","system_fingerprint":"fp_ad66631dec"}</t>
        </is>
      </c>
      <c r="K51" t="inlineStr">
        <is>
          <t>Dyson Supersonic Dark Gray Smart Hair Dryer 1600W</t>
        </is>
      </c>
      <c r="L51" t="inlineStr">
        <is>
          <t>{"choices":[{"finish_reason":"stop","index":0,"logprobs":null,"message":{"annotations":[],"content":"Dyson Supersonic Dark Gray Smart Hair Dryer – High-strength alloy body, magnetic nozzle, low-noise fast airflow, enhances shine, modern design for men and women, perfect for salon or daily use.","refusal":null,"role":"assistant"}}],"created":1777013551,"id":"chatcmpl-DY4gpyrCqR6zGE1A0spbxJtRAHwOl","model":"gpt-5-chat-latest","object":"chat.completion","service_tier":"default","system_fingerprint":"fp_ad66631dec","usage":{"completion_tokens":43,"completion_tokens_details":{"accepted_prediction_tokens":0,"audio_tokens":0,"reasoning_tokens":0,"rejected_prediction_tokens":0},"prompt_tokens":904,"prompt_tokens_details":{"audio_tokens":0,"cached_tokens":0},"total_tokens":947}}</t>
        </is>
      </c>
      <c r="M51" t="inlineStr">
        <is>
          <t>{"alt-svc":"h3=\":443\"; ma=2592000","apim-request-id":"b1ce2c1b-b47d-450c-95f0-cb6876b33fb4","azureml-model-session":"d20260405234249-f9874baf","cache-control":"no-cache","connection":"close","content-length":"783","content-security-policy":"frame-ancestors 'self'","content-type":"application/json","date":"Fri, 24 Apr 2026 06:52:32 GMT","server":"nginx","skip-error-remapping":"true","strict-transport-security":"max-age=31536000; includeSubDomains; preload","via":"1.1 Caddy, 1.1 Caddy","x-api-request-id":"20260424145229679310990fdAzPE21","x-content-type-options":"nosniff","x-frame-options":"SAMEORIGIN","x-ms-client-request-id":"Not-Set","x-ms-is-spilled-over":"false","x-ms-rai-invoked":"true","x-ms-region":"East US 2","x-new-api-version":"0.4.39","x-oneapi-request-id":"202604240652295054159478268d9d6v9os9mTv","x-ratelimit-abusepenalty-active":"False","x-ratelimit-limit-requests":"3850","x-ratelimit-limit-tokens":"3850000","x-ratelimit-remaining-requests":"3849","x-ratelimit-remaining-tokens":"3841365","x-ratelimit-renewalperiod-requests":"60","x-ratelimit-renewalperiod-tokens":"60","x-ratelimit-reset-requests":"15","x-ratelimit-reset-tokens":"134","x-request-id":"aa4816bc-2a59-4c7b-9947-0bc50a6880b8"}</t>
        </is>
      </c>
      <c r="N51" t="inlineStr">
        <is>
          <t>Dyson Supersonic Dark Gray Smart Hair Dryer – High-strength alloy body, magnetic nozzle, low-noise fast airflow, enhances shine, modern design for men and women, perfect for salon or daily use.</t>
        </is>
      </c>
      <c r="O51" t="inlineStr">
        <is>
          <t>{"choices":[{"finish_reason":"stop","index":0,"logprobs":null,"message":{"annotations":[],"content":"ElectronicDyson, Hair Dryer, kakobuy, kakebuy2026, kekobuysheet, kakobuysheet2026, 2026kakobuy, kakobuyspreadsheeet, kakobuylink, kakebuylist, Kakobuy MEGA Spreadsheet, kakobuysheetfind, kakobuysheetfind2026, 2026kakobuysheetfind, kakobuysheet2026","refusal":null,"role":"assistant"}}],"created":1777015194,"id":"chatcmpl-DY57KAQMHkw0S5UocpCahsY16I7Eh","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51" t="inlineStr">
        <is>
          <t>ElectronicDyson, Hair Dryer, kakobuy, kakebuy2026, kekobuysheet, kakobuysheet2026, 2026kakobuy, kakobuyspreadsheeet, kakobuylink, kakebuylist, Kakobuy MEGA Spreadsheet, kakobuysheetfind, kakobuysheetfind2026, 2026kakobuysheetfind, kakobuysheet2026</t>
        </is>
      </c>
      <c r="Q51"/>
      <c r="R51" t="inlineStr">
        <is>
          <t>recvhju1Crj2mz</t>
        </is>
      </c>
      <c r="S51" t="inlineStr">
        <is>
          <t>dyson-supersonic-dark-gray-smart-hair-dryer-1600w-recvhju1crj2mz</t>
        </is>
      </c>
      <c r="T51"/>
      <c r="U51"/>
      <c r="V51"/>
      <c r="W51" t="inlineStr">
        <is>
          <t>{"id":"chatcmpl-DY47xQHxGND4aWNFkgvfFcRAZAHj4","object":"chat.completion","created":1777011389,"model":"gpt-5-chat-latest","choices":[{"index":0,"message":{"role":"assistant","content":"Dyson：Supersonic深灰色智能速干吹风机，采用高强度轻质合金机身与磁吸风嘴设计，低噪高速气流科技呵护秀发光泽，简约现代风格，男女皆宜款，适合专业造型与日常使用。","refusal":null,"annotations":[]},"logprobs":null,"finish_reason":"stop"}],"usage":{"prompt_tokens":1303,"completion_tokens":69,"total_tokens":1372,"prompt_tokens_details":{"cached_tokens":0,"audio_tokens":0},"completion_tokens_details":{"reasoning_tokens":0,"audio_tokens":0,"accepted_prediction_tokens":0,"rejected_prediction_tokens":0}},"service_tier":"default","system_fingerprint":"fp_ad66631dec"}</t>
        </is>
      </c>
      <c r="X51" t="inlineStr">
        <is>
          <t>Dyson：Supersonic深灰色智能速干吹风机，采用高强度轻质合金机身与磁吸风嘴设计，低噪高速气流科技呵护秀发光泽，简约现代风格，男女皆宜款，适合专业造型与日常使用。</t>
        </is>
      </c>
    </row>
    <row r="52" ht="25.5" customHeight="1">
      <c r="A52">
        <v>1654975475</v>
      </c>
      <c r="B52">
        <v>7620421656</v>
      </c>
      <c r="C52" s="2" t="str">
        <f>=HYPERLINK("https://weidian.com/item.html?itemID=7620421656", "https://weidian.com/item.html?itemID=7620421656")</f>
        <v>https://weidian.com/item.html?itemID=7620421656</v>
      </c>
      <c r="D52"/>
      <c r="E52" s="2" t="str">
        <f>=HYPERLINK("https://si.geilicdn.com/pcitem2014204438-6c760000019ac3ca3cb50a239646_1440_1920.jpg?w=640&amp;h=640", "https://si.geilicdn.com/pcitem2014204438-6c760000019ac3ca3cb50a239646_1440_1920.jpg?w=640&amp;h=640")</f>
        <v>https://si.geilicdn.com/pcitem2014204438-6c760000019ac3ca3cb50a239646_1440_1920.jpg?w=640&amp;h=640</v>
      </c>
      <c r="F52" t="inlineStr">
        <is>
          <t>Electronic</t>
        </is>
      </c>
      <c r="G52" t="inlineStr">
        <is>
          <t>Dyson</t>
        </is>
      </c>
      <c r="H52">
        <v>920</v>
      </c>
      <c r="I52">
        <v>133.33</v>
      </c>
      <c r="J52" t="inlineStr">
        <is>
          <t>{"id":"chatcmpl-DY4vfHg544RKrRUDDtZ8VHmJYovaq","object":"chat.completion","created":1777014471,"model":"gpt-5-chat-latest","choices":[{"index":0,"message":{"role":"assistant","content":"Dyson Supersonic Black Purple Hair Dryer Fast Drying","refusal":null,"annotations":[]},"logprobs":null,"finish_reason":"stop"}],"usage":{"prompt_tokens":881,"completion_tokens":13,"total_tokens":894,"prompt_tokens_details":{"cached_tokens":0,"audio_tokens":0},"completion_tokens_details":{"reasoning_tokens":0,"audio_tokens":0,"accepted_prediction_tokens":0,"rejected_prediction_tokens":0}},"service_tier":"default","system_fingerprint":"fp_ad66631dec"}</t>
        </is>
      </c>
      <c r="K52" t="inlineStr">
        <is>
          <t>Dyson Supersonic Black Purple Hair Dryer Fast Drying</t>
        </is>
      </c>
      <c r="L52" t="inlineStr">
        <is>
          <t>{"id":"chatcmpl-DY4e4NcVtGcD5CjzudM2xUXlext6Z","object":"chat.completion","created":1777013380,"model":"gpt-5-chat-latest","choices":[{"index":0,"message":{"role":"assistant","content":"ElectronicDyson Dyson Supersonic Hair Dryer in Black &amp; Purple, crafted from aerospace-grade aluminum. Lightweight bladeless design with digital motor &amp; smart heat control for fast drying, shiny healthy hair.","refusal":null,"annotations":[]},"logprobs":null,"finish_reason":"stop"}],"usage":{"prompt_tokens":909,"completion_tokens":40,"total_tokens":949,"prompt_tokens_details":{"cached_tokens":0,"audio_tokens":0},"completion_tokens_details":{"reasoning_tokens":0,"audio_tokens":0,"accepted_prediction_tokens":0,"rejected_prediction_tokens":0}},"service_tier":"default","system_fingerprint":"fp_ad66631dec"}</t>
        </is>
      </c>
      <c r="M5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ma=2592000","apim-request-id":"356d3e62-c7b8-42c0-9243-e1a2030ec1a4","azureml-model-session":"d20260405234249-f9874baf","cache-control":"no-cache, no-store, must-revalidate","connection":"close","content-length":"1011","content-security-policy":"frame-ancestors 'self'","content-type":"application/json","date":"Fri, 24 Apr 2026 06:49:43 GMT","server":"Caddy","skip-error-remapping":"true","strict-transport-security":"max-age=31536000; includeSubDomains; preload","via":"1.1 Caddy","x-api-request-id":"20260424144939596106443n3PhiouV","x-content-type-options":"nosniff","x-frame-options":"SAMEORIGIN","x-ms-is-spilled-over":"false","x-ms-rai-invoked":"false","x-ms-region":"Sweden Central","x-new-api-version":"0.4.39","x-oneapi-request-id":"202604240649392055603878268d9d6jAH3kkUl","x-ratelimit-abusepenalty-active":"False","x-ratelimit-limit-requests":"4998","x-ratelimit-limit-tokens":"4998000","x-ratelimit-remaining-requests":"4997","x-ratelimit-remaining-tokens":"4996329","x-ratelimit-renewalperiod-requests":"60","x-ratelimit-renewalperiod-tokens":"60","x-ratelimit-reset-requests":"12","x-ratelimit-reset-tokens":"20","x-request-id":"9f346fa2-705f-4a10-bdb7-acac79e4b8fb"}</t>
        </is>
      </c>
      <c r="N52" t="inlineStr">
        <is>
          <t>ElectronicDyson Dyson Supersonic Hair Dryer in Black &amp; Purple, crafted from aerospace-grade aluminum. Lightweight bladeless design with digital motor &amp; smart heat control for fast drying, shiny healthy hair.</t>
        </is>
      </c>
      <c r="O52" t="inlineStr">
        <is>
          <t>{"id":"chatcmpl-DY54XNrFTdsOiN2s7ffCGDhWha5vp","object":"chat.completion","created":1777015021,"model":"gpt-5-chat-latest","choices":[{"index":0,"message":{"role":"assistant","content":"Dyson, Hair Dryer,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52" t="inlineStr">
        <is>
          <t>Dyson, Hair Dryer, kakobuy, kakebuy2026, kekobuysheet, kakobuysheet2026, 2026kakobuy, kakobuyspreadsheeet, kakobuylink, kakebuylist, Kakobuy MEGA Spreadsheet, kakobuysheetfind, kakobuysheetfind2026, 2026kakobuysheetfind, kakobuysheet2026</t>
        </is>
      </c>
      <c r="Q52"/>
      <c r="R52" t="inlineStr">
        <is>
          <t>recvhju1Cr91Xr</t>
        </is>
      </c>
      <c r="S52" t="inlineStr">
        <is>
          <t>dyson-supersonic-black-purple-hair-dryer-recvhju1cr91xr</t>
        </is>
      </c>
      <c r="T52"/>
      <c r="U52"/>
      <c r="V52"/>
      <c r="W52" t="inlineStr">
        <is>
          <t>{"id":"chatcmpl-DY4HjfB53KnzNw5klZxRxXXNeII6v","object":"chat.completion","created":1777011995,"model":"gpt-5-chat-latest","choices":[{"index":0,"message":{"role":"assistant","content":"Dyson：Supersonic黑紫色高速吹风机，航空级铝合金材质，创新无叶设计，轻盈易握。强劲数字马达与智能温控结合，高效速干不伤发。极简科技风格，男女皆宜，现代家居美学与专业沙龙性能完美融合。","refusal":null,"annotations":[]},"logprobs":null,"finish_reason":"stop"}],"usage":{"prompt_tokens":1299,"completion_tokens":76,"total_tokens":1375,"prompt_tokens_details":{"cached_tokens":0,"audio_tokens":0},"completion_tokens_details":{"reasoning_tokens":0,"audio_tokens":0,"accepted_prediction_tokens":0,"rejected_prediction_tokens":0}},"service_tier":"default","system_fingerprint":"fp_ad66631dec"}</t>
        </is>
      </c>
      <c r="X52" t="inlineStr">
        <is>
          <t>Dyson：Supersonic黑紫色高速吹风机，航空级铝合金材质，创新无叶设计，轻盈易握。强劲数字马达与智能温控结合，高效速干不伤发。极简科技风格，男女皆宜，现代家居美学与专业沙龙性能完美融合。</t>
        </is>
      </c>
    </row>
    <row r="53" ht="25.5" customHeight="1">
      <c r="A53">
        <v>1654975475</v>
      </c>
      <c r="B53">
        <v>7620576460</v>
      </c>
      <c r="C53" s="2" t="str">
        <f>=HYPERLINK("https://weidian.com/item.html?itemID=7620576460", "https://weidian.com/item.html?itemID=7620576460")</f>
        <v>https://weidian.com/item.html?itemID=7620576460</v>
      </c>
      <c r="D53"/>
      <c r="E53" s="2" t="str">
        <f>=HYPERLINK("https://si.geilicdn.com/pcitem2014204438-409d0000019ac4ce5d980a239646_1080_1080.jpg?w=640&amp;h=640", "https://si.geilicdn.com/pcitem2014204438-409d0000019ac4ce5d980a239646_1080_1080.jpg?w=640&amp;h=640")</f>
        <v>https://si.geilicdn.com/pcitem2014204438-409d0000019ac4ce5d980a239646_1080_1080.jpg?w=640&amp;h=640</v>
      </c>
      <c r="F53" t="inlineStr">
        <is>
          <t>Electronic</t>
        </is>
      </c>
      <c r="G53" t="inlineStr">
        <is>
          <t>Louis Vuitton</t>
        </is>
      </c>
      <c r="H53">
        <v>860</v>
      </c>
      <c r="I53">
        <v>124.64</v>
      </c>
      <c r="J53" t="inlineStr">
        <is>
          <t>{"choices":[{"finish_reason":"stop","index":0,"logprobs":null,"message":{"annotations":[],"content":"Louis Vuitton Multicolor Chrome Bluetooth Speaker Tech","refusal":null,"role":"assistant"}}],"created":1777014290,"id":"chatcmpl-DY4skvFqDWPvANQRp8OgHGDnAU615","model":"gpt-5-chat-latest","object":"chat.completion","service_tier":"default","system_fingerprint":"fp_ad66631dec","usage":{"completion_tokens":9,"completion_tokens_details":{"accepted_prediction_tokens":0,"audio_tokens":0,"reasoning_tokens":0,"rejected_prediction_tokens":0},"prompt_tokens":861,"prompt_tokens_details":{"audio_tokens":0,"cached_tokens":0},"total_tokens":870}}</t>
        </is>
      </c>
      <c r="K53" t="inlineStr">
        <is>
          <t>Louis Vuitton Multicolor Chrome Bluetooth Speaker Tech</t>
        </is>
      </c>
      <c r="L53" t="inlineStr">
        <is>
          <t>{"id":"chatcmpl-DY4eOZubWm94zKupl5PWQSfFA4cgM","object":"chat.completion","created":1777013400,"model":"gpt-5-chat-latest","choices":[{"index":0,"message":{"role":"assistant","content":"Louis Vuitton Monogram Multicolor Bluetooth Speaker in chrome metal, futuristic design with LV star flowers, luxury smart tech aesthetic, unisex modern collection.","refusal":null,"annotations":[]},"logprobs":null,"finish_reason":"stop"}],"usage":{"prompt_tokens":889,"completion_tokens":30,"total_tokens":919,"prompt_tokens_details":{"cached_tokens":0,"audio_tokens":0},"completion_tokens_details":{"reasoning_tokens":0,"audio_tokens":0,"accepted_prediction_tokens":0,"rejected_prediction_tokens":0}},"service_tier":"default","system_fingerprint":"fp_ad66631dec"}</t>
        </is>
      </c>
      <c r="M5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ma=2592000","apim-request-id":"983ceb3a-035d-444d-8427-d4b194c0d744","azureml-model-session":"d20260405234249-f9874baf","cache-control":"no-cache, no-store, must-revalidate","connection":"close","content-length":"967","content-security-policy":"frame-ancestors 'self'","content-type":"application/json","date":"Fri, 24 Apr 2026 06:50:01 GMT","server":"Caddy","skip-error-remapping":"true","strict-transport-security":"max-age=31536000; includeSubDomains; preload","via":"1.1 Caddy","x-api-request-id":"2026042414495925190822VpKZI3qb","x-content-type-options":"nosniff","x-frame-options":"SAMEORIGIN","x-ms-is-spilled-over":"false","x-ms-rai-invoked":"false","x-ms-region":"East US 2","x-new-api-version":"0.4.39","x-oneapi-request-id":"202604240649587266602168268d9d6EqkPbix7","x-ratelimit-abusepenalty-active":"False","x-ratelimit-limit-requests":"4992","x-ratelimit-limit-tokens":"4992000","x-ratelimit-remaining-requests":"4991","x-ratelimit-remaining-tokens":"4990349","x-ratelimit-renewalperiod-requests":"60","x-ratelimit-renewalperiod-tokens":"60","x-ratelimit-reset-requests":"12","x-ratelimit-reset-tokens":"19","x-request-id":"49089c05-3453-4097-8e32-7308f1d04492"}</t>
        </is>
      </c>
      <c r="N53" t="inlineStr">
        <is>
          <t>Louis Vuitton Monogram Multicolor Bluetooth Speaker in chrome metal, futuristic design with LV star flowers, luxury smart tech aesthetic, unisex modern collection.</t>
        </is>
      </c>
      <c r="O53" t="inlineStr">
        <is>
          <t>{"id":"chatcmpl-DY56OINzCcQ49CBmRutlkBVCxjvzL","object":"chat.completion","created":1777015136,"model":"gpt-5-chat-latest","choices":[{"index":0,"message":{"role":"assistant","content":"Louis Vuitton, Electronic Device,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53" t="inlineStr">
        <is>
          <t>Louis Vuitton, Electronic Device, kakobuy, kakebuy2026, kekobuysheet, kakobuysheet2026, 2026kakobuy, kakobuyspreadsheeet, kakobuylink, kakebuylist, Kakobuy MEGA Spreadsheet, kakobuysheetfind, kakobuysheetfind2026, 2026kakobuysheetfind, kakobuysheet2026</t>
        </is>
      </c>
      <c r="Q53" t="inlineStr">
        <is>
          <t>LV, Unisex, Modern</t>
        </is>
      </c>
      <c r="R53" t="inlineStr">
        <is>
          <t>recvhju1Cr9gUE</t>
        </is>
      </c>
      <c r="S53" t="inlineStr">
        <is>
          <t>louis-vuitton-multicolor-chrome-bluetooth-speaker-tech-recvhju1cr9gue</t>
        </is>
      </c>
      <c r="T53"/>
      <c r="U53"/>
      <c r="V53"/>
      <c r="W53" t="inlineStr">
        <is>
          <t>{"choices":[{"finish_reason":"stop","index":0,"logprobs":null,"message":{"annotations":[],"content":"Louis Vuitton：Monogram Multicolor电子蓝牙音箱，采用镀铬金属材质与未来感设计，环绕式LV星花图案，呈现奢华科技美学，男女皆宜，现代系列智能品类。","refusal":null,"role":"assistant"}}],"created":1777011918,"id":"chatcmpl-DY4GU7MW9mSWtx7BqElwVblqbHTRf","model":"gpt-5-chat-latest","object":"chat.completion","service_tier":"default","system_fingerprint":"fp_ad66631dec","usage":{"completion_tokens":56,"completion_tokens_details":{"accepted_prediction_tokens":0,"audio_tokens":0,"reasoning_tokens":0,"rejected_prediction_tokens":0},"prompt_tokens":1299,"prompt_tokens_details":{"audio_tokens":0,"cached_tokens":0},"total_tokens":1355}}</t>
        </is>
      </c>
      <c r="X53" t="inlineStr">
        <is>
          <t>Louis Vuitton：Monogram Multicolor电子蓝牙音箱，采用镀铬金属材质与未来感设计，环绕式LV星花图案，呈现奢华科技美学，男女皆宜，现代系列智能品类。</t>
        </is>
      </c>
    </row>
    <row r="54" ht="25.5" customHeight="1">
      <c r="A54">
        <v>1654975475</v>
      </c>
      <c r="B54">
        <v>7617559825</v>
      </c>
      <c r="C54" s="2" t="str">
        <f>=HYPERLINK("https://weidian.com/item.html?itemID=7617559825", "https://weidian.com/item.html?itemID=7617559825")</f>
        <v>https://weidian.com/item.html?itemID=7617559825</v>
      </c>
      <c r="D54"/>
      <c r="E54" s="2" t="str">
        <f>=HYPERLINK("https://si.geilicdn.com/pcitem2014204438-53300000019ac4ceb0ac0a23057e_1080_1080.jpg?w=640&amp;h=640", "https://si.geilicdn.com/pcitem2014204438-53300000019ac4ceb0ac0a23057e_1080_1080.jpg?w=640&amp;h=640")</f>
        <v>https://si.geilicdn.com/pcitem2014204438-53300000019ac4ceb0ac0a23057e_1080_1080.jpg?w=640&amp;h=640</v>
      </c>
      <c r="F54" t="inlineStr">
        <is>
          <t>Electronic</t>
        </is>
      </c>
      <c r="G54" t="inlineStr">
        <is>
          <t>Louis Vuitton</t>
        </is>
      </c>
      <c r="H54">
        <v>860</v>
      </c>
      <c r="I54">
        <v>124.64</v>
      </c>
      <c r="J54" t="inlineStr">
        <is>
          <t>{"id":"chatcmpl-DY4se1d6eqAOr5rD2sEZ45RrXQWed","object":"chat.completion","created":1777014284,"model":"gpt-5-chat-latest","choices":[{"index":0,"message":{"role":"assistant","content":"Louis Vuitton Black Neon Bluetooth Speaker","refusal":null,"annotations":[]},"logprobs":null,"finish_reason":"stop"}],"usage":{"prompt_tokens":869,"completion_tokens":7,"total_tokens":876,"prompt_tokens_details":{"cached_tokens":0,"audio_tokens":0},"completion_tokens_details":{"reasoning_tokens":0,"audio_tokens":0,"accepted_prediction_tokens":0,"rejected_prediction_tokens":0}},"service_tier":"default","system_fingerprint":"fp_ad66631dec"}</t>
        </is>
      </c>
      <c r="K54" t="inlineStr">
        <is>
          <t>Louis Vuitton Black Neon Bluetooth Speaker</t>
        </is>
      </c>
      <c r="L54" t="inlineStr">
        <is>
          <t>{"id":"chatcmpl-DY4bGbTT1KQZiPMNag0mHDlcv28rn","object":"chat.completion","created":1777013206,"model":"gpt-5-chat-latest","choices":[{"index":0,"message":{"role":"assistant","content":"Louis Vuitton Black Smart Bluetooth Speaker with neon LV Monogram, metallic texture, touch control, and colorful LED lights, blending tech and luxury in a futuristic French design.","refusal":null,"annotations":[]},"logprobs":null,"finish_reason":"stop"}],"usage":{"prompt_tokens":921,"completion_tokens":34,"total_tokens":955,"prompt_tokens_details":{"cached_tokens":0,"audio_tokens":0},"completion_tokens_details":{"reasoning_tokens":0,"audio_tokens":0,"accepted_prediction_tokens":0,"rejected_prediction_tokens":0}},"service_tier":"default","system_fingerprint":"fp_ad66631dec"}</t>
        </is>
      </c>
      <c r="M5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ma=2592000","apim-request-id":"1b2e83f0-3fbf-4b02-9347-778161143507","azureml-model-session":"d20260402084046-4209e968","cache-control":"no-cache, no-store, must-revalidate","connection":"close","content-length":"984","content-security-policy":"frame-ancestors 'self'","content-type":"application/json","date":"Fri, 24 Apr 2026 06:46:50 GMT","server":"nginx","skip-error-remapping":"true","strict-transport-security":"max-age=31536000; includeSubDomains; preload","via":"1.1 Caddy, 1.1 Caddy","x-api-request-id":"2026042414464595446970VvQTC8cA","x-content-type-options":"nosniff","x-frame-options":"SAMEORIGIN","x-ms-is-spilled-over":"false","x-ms-rai-invoked":"false","x-ms-region":"Sweden Central","x-new-api-version":"0.4.39","x-oneapi-request-id":"20260424064645204714348268d9d6KWTHWD4E","x-ratelimit-abusepenalty-active":"False","x-ratelimit-limit-requests":"4998","x-ratelimit-limit-tokens":"4998000","x-ratelimit-remaining-requests":"4997","x-ratelimit-remaining-tokens":"4996317","x-ratelimit-renewalperiod-requests":"60","x-ratelimit-renewalperiod-tokens":"60","x-ratelimit-reset-requests":"12","x-ratelimit-reset-tokens":"20","x-request-id":"b5af7d1e-82cc-46fb-8584-6796f8c0dfb2"}</t>
        </is>
      </c>
      <c r="N54" t="inlineStr">
        <is>
          <t>Louis Vuitton Black Smart Bluetooth Speaker with neon LV Monogram, metallic texture, touch control, and colorful LED lights, blending tech and luxury in a futuristic French design.</t>
        </is>
      </c>
      <c r="O54" t="inlineStr">
        <is>
          <t>{"id":"chatcmpl-DY54eL87KW5CaDRNGo1fQprPZRpuH","object":"chat.completion","created":1777015028,"model":"gpt-5-chat-latest","choices":[{"index":0,"message":{"role":"assistant","content":"Louis Vuitton, electronic device,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54" t="inlineStr">
        <is>
          <t>Louis Vuitton, electronic device, kakobuy, kakebuy2026, kekobuysheet, kakobuysheet2026, 2026kakobuy, kakobuyspreadsheeet, kakobuylink, kakebuylist, Kakobuy MEGA Spreadsheet, kakobuysheetfind, kakobuysheetfind2026, 2026kakobuysheetfind, kakobuysheet2026</t>
        </is>
      </c>
      <c r="Q54" t="inlineStr">
        <is>
          <t>LV, Black</t>
        </is>
      </c>
      <c r="R54" t="inlineStr">
        <is>
          <t>recvhju1CrRwyF</t>
        </is>
      </c>
      <c r="S54" t="inlineStr">
        <is>
          <t>louis-vuitton-black-neon-bluetooth-speaker-recvhju1crrwyf</t>
        </is>
      </c>
      <c r="T54"/>
      <c r="U54"/>
      <c r="V54"/>
      <c r="W54" t="inlineStr">
        <is>
          <t>{"choices":[{"finish_reason":"stop","index":0,"logprobs":null,"message":{"annotations":[],"content":"Louis Vuitton：黑色电子智能旋钮蓝牙音响，采用金属质感外壳与霓虹LV Monogram图腾设计，科技感与奢华并存。圆形触控结构搭配多彩LED灯效，展现前卫时尚格调。男女皆宜，彰显现代法式优雅与未来感，收藏级科技潮流单品。","refusal":null,"role":"assistant"}}],"created":1777012004,"id":"chatcmpl-DY4HsI3VTc6w3gaGdTNJc9Bw4J3tx","model":"gpt-5-chat-latest","object":"chat.completion","service_tier":"default","system_fingerprint":"fp_ad66631dec","usage":{"completion_tokens":88,"completion_tokens_details":{"accepted_prediction_tokens":0,"audio_tokens":0,"reasoning_tokens":0,"rejected_prediction_tokens":0},"prompt_tokens":1299,"prompt_tokens_details":{"audio_tokens":0,"cached_tokens":0},"total_tokens":1387}}</t>
        </is>
      </c>
      <c r="X54" t="inlineStr">
        <is>
          <t>Louis Vuitton：黑色电子智能旋钮蓝牙音响，采用金属质感外壳与霓虹LV Monogram图腾设计，科技感与奢华并存。圆形触控结构搭配多彩LED灯效，展现前卫时尚格调。男女皆宜，彰显现代法式优雅与未来感，收藏级科技潮流单品。</t>
        </is>
      </c>
    </row>
    <row r="55" ht="25.5" customHeight="1">
      <c r="A55">
        <v>1654975475</v>
      </c>
      <c r="B55">
        <v>7620536796</v>
      </c>
      <c r="C55" s="2" t="str">
        <f>=HYPERLINK("https://weidian.com/item.html?itemID=7620536796", "https://weidian.com/item.html?itemID=7620536796")</f>
        <v>https://weidian.com/item.html?itemID=7620536796</v>
      </c>
      <c r="D55"/>
      <c r="E55" s="2" t="str">
        <f>=HYPERLINK("https://si.geilicdn.com/pcitem2014204438-4fb30000019ac4cf20ef0a20e284_1080_1080.jpg?w=640&amp;h=640", "https://si.geilicdn.com/pcitem2014204438-4fb30000019ac4cf20ef0a20e284_1080_1080.jpg?w=640&amp;h=640")</f>
        <v>https://si.geilicdn.com/pcitem2014204438-4fb30000019ac4cf20ef0a20e284_1080_1080.jpg?w=640&amp;h=640</v>
      </c>
      <c r="F55" t="inlineStr">
        <is>
          <t>Electronic</t>
        </is>
      </c>
      <c r="G55" t="inlineStr">
        <is>
          <t>Louis Vuitton</t>
        </is>
      </c>
      <c r="H55">
        <v>860</v>
      </c>
      <c r="I55">
        <v>124.64</v>
      </c>
      <c r="J55" t="inlineStr">
        <is>
          <t>{"choices":[{"finish_reason":"stop","index":0,"logprobs":null,"message":{"annotations":[],"content":"Louis Vuitton Horizon Gold Bluetooth Speaker","refusal":null,"role":"assistant"}}],"created":1777014140,"id":"chatcmpl-DY4qKofDyfaT5BJcjDIQC5OfgVnJw","model":"gpt-5-chat-latest","object":"chat.completion","service_tier":"default","system_fingerprint":"fp_ad66631dec","usage":{"completion_tokens":7,"completion_tokens_details":{"accepted_prediction_tokens":0,"audio_tokens":0,"reasoning_tokens":0,"rejected_prediction_tokens":0},"prompt_tokens":881,"prompt_tokens_details":{"audio_tokens":0,"cached_tokens":0},"total_tokens":888}}</t>
        </is>
      </c>
      <c r="K55" t="inlineStr">
        <is>
          <t>Louis Vuitton Horizon Gold Bluetooth Speaker</t>
        </is>
      </c>
      <c r="L55" t="inlineStr">
        <is>
          <t>{"id":"chatcmpl-DY4gAZEuUZm2jSm0gpRFbSAIvnyfR","object":"chat.completion","created":1777013510,"model":"gpt-5-chat-latest","choices":[{"index":0,"message":{"role":"assistant","content":"Louis Vuitton Horizon Light Up Gold Portable Speaker — luxury meets innovation with a gilded metal body, iconic Monogram LED lights, round touch interface, and high-fidelity sound for stylish modern living.","refusal":null,"annotations":[]},"logprobs":null,"finish_reason":"stop"}],"usage":{"prompt_tokens":926,"completion_tokens":40,"total_tokens":966,"prompt_tokens_details":{"cached_tokens":0,"audio_tokens":0},"completion_tokens_details":{"reasoning_tokens":0,"audio_tokens":0,"accepted_prediction_tokens":0,"rejected_prediction_tokens":0}},"service_tier":"default","system_fingerprint":"fp_ad66631dec"}</t>
        </is>
      </c>
      <c r="M5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ma=2592000","apim-request-id":"fc4ca3f7-3c2d-40c4-bbdb-25125fd4aa9c","azureml-model-session":"d20260405225800-40f19e54","cache-control":"no-cache, no-store, must-revalidate","connection":"close","content-length":"1012","content-security-policy":"frame-ancestors 'self'","content-type":"application/json","date":"Fri, 24 Apr 2026 06:51:51 GMT","server":"nginx","skip-error-remapping":"true","strict-transport-security":"max-age=31536000; includeSubDomains; preload","via":"1.1 Caddy, 1.1 Caddy","x-api-request-id":"20260424145148812785060h7OIkkOl","x-content-type-options":"nosniff","x-frame-options":"SAMEORIGIN","x-ms-is-spilled-over":"false","x-ms-rai-invoked":"false","x-ms-region":"East US 2","x-new-api-version":"0.4.39","x-oneapi-request-id":"202604240651481107426988268d9d6nN1Aef88","x-ratelimit-abusepenalty-active":"False","x-ratelimit-limit-requests":"4992","x-ratelimit-limit-tokens":"4992000","x-ratelimit-remaining-requests":"4991","x-ratelimit-remaining-tokens":"4990312","x-ratelimit-renewalperiod-requests":"60","x-ratelimit-renewalperiod-tokens":"60","x-ratelimit-reset-requests":"12","x-ratelimit-reset-tokens":"20","x-request-id":"d034e0e6-74ed-4bdb-967d-8196608d2640"}</t>
        </is>
      </c>
      <c r="N55" t="inlineStr">
        <is>
          <t>Louis Vuitton Horizon Light Up Gold Portable Speaker — luxury meets innovation with a gilded metal body, iconic Monogram LED lights, round touch interface, and high-fidelity sound for stylish modern living.</t>
        </is>
      </c>
      <c r="O55" t="inlineStr">
        <is>
          <t>{"choices":[{"finish_reason":"stop","index":0,"logprobs":null,"message":{"annotations":[],"content":"Louis Vuitton, electronic device, kakobuy, kakebuy2026, kekobuysheet, kakobuysheet2026, 2026kakobuy, kakobuyspreadsheeet, kakobuylink, kakebuylist, Kakobuy MEGA Spreadsheet, kakobuysheetfind, kakobuysheetfind2026, 2026kakobuysheetfind, kakobuysheet2026","refusal":null,"role":"assistant"}}],"created":1777015355,"id":"chatcmpl-DY59vSpoJY7WilmZ3Yh59JTYQHz3C","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55" t="inlineStr">
        <is>
          <t>Louis Vuitton, electronic device, kakobuy, kakebuy2026, kekobuysheet, kakobuysheet2026, 2026kakobuy, kakobuyspreadsheeet, kakobuylink, kakebuylist, Kakobuy MEGA Spreadsheet, kakobuysheetfind, kakobuysheetfind2026, 2026kakobuysheetfind, kakobuysheet2026</t>
        </is>
      </c>
      <c r="Q55"/>
      <c r="R55" t="inlineStr">
        <is>
          <t>recvhju1CrMSa2</t>
        </is>
      </c>
      <c r="S55" t="inlineStr">
        <is>
          <t>louis-vuitton-horizon-gold-bluetooth-speaker-recvhju1crmsa2</t>
        </is>
      </c>
      <c r="T55"/>
      <c r="U55"/>
      <c r="V55"/>
      <c r="W55" t="inlineStr">
        <is>
          <t>{"choices":[{"finish_reason":"stop","index":0,"logprobs":null,"message":{"annotations":[],"content":"Louis Vuitton：Horizon Light Up金色智能便携音箱，镀金金属外壳搭配标志性Monogram炫彩灯效，结合现代科技与奢华设计。圆形触控界面与流光灯环相得益彰，彰显前卫未来感，兼具高保真音质与艺术美感，男女皆宜，奢华科技典范。","refusal":null,"role":"assistant"}}],"created":1777011485,"id":"chatcmpl-DY49VLxZYyIFOUCQLkT8ZqXxrzJGD","model":"gpt-5-chat-latest","object":"chat.completion","service_tier":"default","system_fingerprint":"fp_ad66631dec","usage":{"completion_tokens":92,"completion_tokens_details":{"accepted_prediction_tokens":0,"audio_tokens":0,"reasoning_tokens":0,"rejected_prediction_tokens":0},"prompt_tokens":1301,"prompt_tokens_details":{"audio_tokens":0,"cached_tokens":0},"total_tokens":1393}}</t>
        </is>
      </c>
      <c r="X55" t="inlineStr">
        <is>
          <t>Louis Vuitton：Horizon Light Up金色智能便携音箱，镀金金属外壳搭配标志性Monogram炫彩灯效，结合现代科技与奢华设计。圆形触控界面与流光灯环相得益彰，彰显前卫未来感，兼具高保真音质与艺术美感，男女皆宜，奢华科技典范。</t>
        </is>
      </c>
    </row>
    <row r="56" ht="25.5" customHeight="1">
      <c r="A56">
        <v>1654975475</v>
      </c>
      <c r="B56">
        <v>7617554865</v>
      </c>
      <c r="C56" s="2" t="str">
        <f>=HYPERLINK("https://weidian.com/item.html?itemID=7617554865", "https://weidian.com/item.html?itemID=7617554865")</f>
        <v>https://weidian.com/item.html?itemID=7617554865</v>
      </c>
      <c r="D56"/>
      <c r="E56" s="2" t="str">
        <f>=HYPERLINK("https://si.geilicdn.com/pcitem2014204438-4ffe0000019ac4cf91ce0a207569_1080_1080.jpg?w=640&amp;h=640", "https://si.geilicdn.com/pcitem2014204438-4ffe0000019ac4cf91ce0a207569_1080_1080.jpg?w=640&amp;h=640")</f>
        <v>https://si.geilicdn.com/pcitem2014204438-4ffe0000019ac4cf91ce0a207569_1080_1080.jpg?w=640&amp;h=640</v>
      </c>
      <c r="F56" t="inlineStr">
        <is>
          <t>Electronic</t>
        </is>
      </c>
      <c r="G56" t="inlineStr">
        <is>
          <t>Louis Vuitton</t>
        </is>
      </c>
      <c r="H56">
        <v>860</v>
      </c>
      <c r="I56">
        <v>124.64</v>
      </c>
      <c r="J56" t="inlineStr">
        <is>
          <t>{"choices":[{"finish_reason":"stop","index":0,"logprobs":null,"message":{"annotations":[],"content":"Louis Vuitton Tambour Horizon Black Gold Smartwatch","refusal":null,"role":"assistant"}}],"created":1777014115,"id":"chatcmpl-DY4pv44NnLg5hc6IxlRSHgPaDwcQV","model":"gpt-5-chat-latest","object":"chat.completion","service_tier":"default","system_fingerprint":"fp_ad66631dec","usage":{"completion_tokens":10,"completion_tokens_details":{"accepted_prediction_tokens":0,"audio_tokens":0,"reasoning_tokens":0,"rejected_prediction_tokens":0},"prompt_tokens":883,"prompt_tokens_details":{"audio_tokens":0,"cached_tokens":0},"total_tokens":893}}</t>
        </is>
      </c>
      <c r="K56" t="inlineStr">
        <is>
          <t>Louis Vuitton Tambour Horizon Black Gold Smartwatch</t>
        </is>
      </c>
      <c r="L56" t="inlineStr">
        <is>
          <t>{"choices":[{"finish_reason":"stop","index":0,"logprobs":null,"message":{"annotations":[],"content":"Louis Vuitton Tambour Horizon Black Gold Smartwatch blends luxury and innovation with a round metal dial, vivid LED ring, and premium leather strap. Unisex, stylish, and perfect for modern urban life.","refusal":null,"role":"assistant"}}],"created":1777013387,"id":"chatcmpl-DY4eB6xht36fJoH5kwVgzUf64HwgY","model":"gpt-5-chat-latest","object":"chat.completion","service_tier":"default","system_fingerprint":"fp_ad66631dec","usage":{"completion_tokens":41,"completion_tokens_details":{"accepted_prediction_tokens":0,"audio_tokens":0,"reasoning_tokens":0,"rejected_prediction_tokens":0},"prompt_tokens":903,"prompt_tokens_details":{"audio_tokens":0,"cached_tokens":0},"total_tokens":944}}</t>
        </is>
      </c>
      <c r="M56" t="inlineStr">
        <is>
          <t>{"alt-svc":"h3=\":443\"; ma=2592000","apim-request-id":"b7bfb2b3-5491-406e-8714-98457c95742e","azureml-model-session":"d20260402083108-57a85543","cache-control":"no-cache","connection":"close","content-length":"788","content-security-policy":"frame-ancestors 'self'","content-type":"application/json","date":"Fri, 24 Apr 2026 06:49:49 GMT","server":"nginx","skip-error-remapping":"true","strict-transport-security":"max-age=31536000; includeSubDomains; preload","via":"1.1 Caddy, 1.1 Caddy","x-api-request-id":"202604241449462514233290xzxvpX8","x-content-type-options":"nosniff","x-frame-options":"SAMEORIGIN","x-ms-client-request-id":"Not-Set","x-ms-is-spilled-over":"false","x-ms-rai-invoked":"true","x-ms-region":"East US 2","x-new-api-version":"0.4.39","x-oneapi-request-id":"202604240649458064399268268d9d6aXmZgLvz","x-ratelimit-abusepenalty-active":"False","x-ratelimit-limit-requests":"3850","x-ratelimit-limit-tokens":"3850000","x-ratelimit-remaining-requests":"3849","x-ratelimit-remaining-tokens":"3848335","x-ratelimit-renewalperiod-requests":"60","x-ratelimit-renewalperiod-tokens":"60","x-ratelimit-reset-requests":"15","x-ratelimit-reset-tokens":"25","x-request-id":"e9476a2e-6df5-4ce6-ad7f-03d3b0e67cac"}</t>
        </is>
      </c>
      <c r="N56" t="inlineStr">
        <is>
          <t>Louis Vuitton Tambour Horizon Black Gold Smartwatch blends luxury and innovation with a round metal dial, vivid LED ring, and premium leather strap. Unisex, stylish, and perfect for modern urban life.</t>
        </is>
      </c>
      <c r="O56" t="inlineStr">
        <is>
          <t>{"id":"chatcmpl-DY55IDYZsGEYoOSL8GwFiqAKRr8wd","object":"chat.completion","created":1777015068,"model":"gpt-5-chat-latest","choices":[{"index":0,"message":{"role":"assistant","content":"Louis Vuitton, Electronic,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56" t="inlineStr">
        <is>
          <t>Louis Vuitton, Electronic, kakobuy, kakebuy2026, kekobuysheet, kakobuysheet2026, 2026kakobuy, kakobuyspreadsheeet, kakobuylink, kakebuylist, Kakobuy MEGA Spreadsheet, kakobuysheetfind, kakobuysheetfind2026, 2026kakobuysheetfind, kakobuysheet2026</t>
        </is>
      </c>
      <c r="Q56" t="inlineStr">
        <is>
          <t>LV, Black Gold, Unisex, Fashion, Style, High End</t>
        </is>
      </c>
      <c r="R56" t="inlineStr">
        <is>
          <t>recvhju1Cr9M3g</t>
        </is>
      </c>
      <c r="S56" t="inlineStr">
        <is>
          <t>louis-vuitton-tambour-horizon-black-gold-smartwatch-recvhju1cr9m3g</t>
        </is>
      </c>
      <c r="T56"/>
      <c r="U56"/>
      <c r="V56"/>
      <c r="W56" t="inlineStr">
        <is>
          <t>{"choices":[{"finish_reason":"stop","index":0,"logprobs":null,"message":{"annotations":[],"content":"Louis Vuitton：Tambour Horizon黑金智能腕表，融合奢华工艺与科技质感，圆形金属表盘搭配炫彩LED环设计，高级皮质表带彰显品牌精致格调，男女通用款，现代都市风格，兼具时尚与智能功能。","refusal":null,"role":"assistant"}}],"created":1777011721,"id":"chatcmpl-DY4DJB987m4s2bWdkUppEK1kAc5bq","model":"gpt-5-chat-latest","object":"chat.completion","service_tier":"default","system_fingerprint":"fp_ad66631dec","usage":{"completion_tokens":70,"completion_tokens_details":{"accepted_prediction_tokens":0,"audio_tokens":0,"reasoning_tokens":0,"rejected_prediction_tokens":0},"prompt_tokens":1299,"prompt_tokens_details":{"audio_tokens":0,"cached_tokens":0},"total_tokens":1369}}</t>
        </is>
      </c>
      <c r="X56" t="inlineStr">
        <is>
          <t>Louis Vuitton：Tambour Horizon黑金智能腕表，融合奢华工艺与科技质感，圆形金属表盘搭配炫彩LED环设计，高级皮质表带彰显品牌精致格调，男女通用款，现代都市风格，兼具时尚与智能功能。</t>
        </is>
      </c>
    </row>
    <row r="57" ht="25.5" customHeight="1">
      <c r="A57">
        <v>1654975475</v>
      </c>
      <c r="B57">
        <v>7617605973</v>
      </c>
      <c r="C57" s="2" t="str">
        <f>=HYPERLINK("https://weidian.com/item.html?itemID=7617605973", "https://weidian.com/item.html?itemID=7617605973")</f>
        <v>https://weidian.com/item.html?itemID=7617605973</v>
      </c>
      <c r="D57"/>
      <c r="E57" s="2" t="str">
        <f>=HYPERLINK("https://si.geilicdn.com/pcitem2014204438-26180000019ac4cfef9d0a20e2c5_1080_1080.jpg?w=640&amp;h=640", "https://si.geilicdn.com/pcitem2014204438-26180000019ac4cfef9d0a20e2c5_1080_1080.jpg?w=640&amp;h=640")</f>
        <v>https://si.geilicdn.com/pcitem2014204438-26180000019ac4cfef9d0a20e2c5_1080_1080.jpg?w=640&amp;h=640</v>
      </c>
      <c r="F57" t="inlineStr">
        <is>
          <t>Electronic</t>
        </is>
      </c>
      <c r="G57" t="inlineStr">
        <is>
          <t>Louis Vuitton</t>
        </is>
      </c>
      <c r="H57">
        <v>860</v>
      </c>
      <c r="I57">
        <v>124.64</v>
      </c>
      <c r="J57" t="inlineStr">
        <is>
          <t>{"id":"chatcmpl-DY4smgR5608M4G1QdvR7EbCFqk9WW","object":"chat.completion","created":1777014292,"model":"gpt-5-chat-latest","choices":[{"index":0,"message":{"role":"assistant","content":"Louis Vuitton Black Silver Smart Bluetooth Speaker","refusal":null,"annotations":[]},"logprobs":null,"finish_reason":"stop"}],"usage":{"prompt_tokens":879,"completion_tokens":8,"total_tokens":887,"prompt_tokens_details":{"cached_tokens":0,"audio_tokens":0},"completion_tokens_details":{"reasoning_tokens":0,"audio_tokens":0,"accepted_prediction_tokens":0,"rejected_prediction_tokens":0}},"service_tier":"default","system_fingerprint":"fp_ad66631dec"}</t>
        </is>
      </c>
      <c r="K57" t="inlineStr">
        <is>
          <t>Louis Vuitton Black Silver Smart Bluetooth Speaker</t>
        </is>
      </c>
      <c r="L57" t="inlineStr">
        <is>
          <t>{"choices":[{"finish_reason":"stop","index":0,"logprobs":null,"message":{"annotations":[],"content":"Louis Vuitton Black Silver Smart Speaker with mirrored metal finish and bright LED lights, featuring iconic Monogram details for a futuristic, luxurious look; elegant round design ideal for modern home or travel use.","refusal":null,"role":"assistant"}}],"created":1777013578,"id":"chatcmpl-DY4hGBTmfJTbFM04RKGII6BqtSSZ6","model":"gpt-5-chat-latest","object":"chat.completion","service_tier":"default","system_fingerprint":"fp_ad66631dec","usage":{"completion_tokens":39,"completion_tokens_details":{"accepted_prediction_tokens":0,"audio_tokens":0,"reasoning_tokens":0,"rejected_prediction_tokens":0},"prompt_tokens":905,"prompt_tokens_details":{"audio_tokens":0,"cached_tokens":0},"total_tokens":944}}</t>
        </is>
      </c>
      <c r="M57" t="inlineStr">
        <is>
          <t>{"alt-svc":"h3=\":443\"; ma=2592000","apim-request-id":"e64c334c-1ea4-4a95-9ec6-1a475c456574","azureml-model-session":"d20260405234249-f9874baf","cache-control":"no-cache","connection":"close","content-length":"804","content-security-policy":"frame-ancestors 'self'","content-type":"application/json","date":"Fri, 24 Apr 2026 06:52:59 GMT","server":"nginx","skip-error-remapping":"true","strict-transport-security":"max-age=31536000; includeSubDomains; preload","via":"1.1 Caddy, 1.1 Caddy","x-api-request-id":"2026042414525795711411HTjkkMmG","x-content-type-options":"nosniff","x-frame-options":"SAMEORIGIN","x-ms-client-request-id":"Not-Set","x-ms-is-spilled-over":"false","x-ms-rai-invoked":"true","x-ms-region":"East US 2","x-new-api-version":"0.4.39","x-oneapi-request-id":"202604240652563919416788268d9d6aPTwLKDy","x-ratelimit-abusepenalty-active":"False","x-ratelimit-limit-requests":"3850","x-ratelimit-limit-tokens":"3850000","x-ratelimit-remaining-requests":"3849","x-ratelimit-remaining-tokens":"3848333","x-ratelimit-renewalperiod-requests":"60","x-ratelimit-renewalperiod-tokens":"60","x-ratelimit-reset-requests":"15","x-ratelimit-reset-tokens":"25","x-request-id":"62e351e4-b197-4738-8d63-a88419a12186"}</t>
        </is>
      </c>
      <c r="N57" t="inlineStr">
        <is>
          <t>Louis Vuitton Black Silver Smart Speaker with mirrored metal finish and bright LED lights, featuring iconic Monogram details for a futuristic, luxurious look; elegant round design ideal for modern home or travel use.</t>
        </is>
      </c>
      <c r="O57" t="inlineStr">
        <is>
          <t>{"choices":[{"finish_reason":"stop","index":0,"logprobs":null,"message":{"annotations":[],"content":"Louis Vuitton, electronics, kakobuy, kakebuy2026, kekobuysheet, kakobuysheet2026, 2026kakobuy, kakobuyspreadsheeet, kakobuylink, kakebuylist, Kakobuy MEGA Spreadsheet, kakobuysheetfind, kakobuysheetfind2026, 2026kakobuysheetfind, kakobuysheet2026","refusal":null,"role":"assistant"}}],"created":1777015186,"id":"chatcmpl-DY57CdBbuficzBv3aSIgG7ZaeMFkP","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57" t="inlineStr">
        <is>
          <t>Louis Vuitton, electronics, kakobuy, kakebuy2026, kekobuysheet, kakobuysheet2026, 2026kakobuy, kakobuyspreadsheeet, kakobuylink, kakebuylist, Kakobuy MEGA Spreadsheet, kakobuysheetfind, kakobuysheetfind2026, 2026kakobuysheetfind, kakobuysheet2026</t>
        </is>
      </c>
      <c r="Q57" t="inlineStr">
        <is>
          <t>LV, Black Silver, High End, Modern</t>
        </is>
      </c>
      <c r="R57" t="inlineStr">
        <is>
          <t>recvhju1CrB8bx</t>
        </is>
      </c>
      <c r="S57" t="inlineStr">
        <is>
          <t>louis-vuitton-black-silver-smart-bluetooth-speaker-recvhju1crb8bx</t>
        </is>
      </c>
      <c r="T57"/>
      <c r="U57"/>
      <c r="V57"/>
      <c r="W57" t="inlineStr">
        <is>
          <t>{"choices":[{"finish_reason":"stop","index":0,"logprobs":null,"message":{"annotations":[],"content":"Louis Vuitton：黑银配色智能电子音响，采用镜面金属与高亮LED设计，结合品牌经典Monogram图腾元素，彰显未来科技感与奢华格调；圆形造型精致典雅，男女皆宜，适配现代家居与移动潮流使用。","refusal":null,"role":"assistant"}}],"created":1777011554,"id":"chatcmpl-DY4Acw0UjXQiFsP52ptVCrjmyvpn7","model":"gpt-5-chat-latest","object":"chat.completion","service_tier":"default","system_fingerprint":"fp_ad66631dec","usage":{"completion_tokens":69,"completion_tokens_details":{"accepted_prediction_tokens":0,"audio_tokens":0,"reasoning_tokens":0,"rejected_prediction_tokens":0},"prompt_tokens":1305,"prompt_tokens_details":{"audio_tokens":0,"cached_tokens":1280},"total_tokens":1374}}</t>
        </is>
      </c>
      <c r="X57" t="inlineStr">
        <is>
          <t>Louis Vuitton：黑银配色智能电子音响，采用镜面金属与高亮LED设计，结合品牌经典Monogram图腾元素，彰显未来科技感与奢华格调；圆形造型精致典雅，男女皆宜，适配现代家居与移动潮流使用。</t>
        </is>
      </c>
    </row>
    <row r="58" ht="25.5" customHeight="1">
      <c r="A58">
        <v>1654975475</v>
      </c>
      <c r="B58">
        <v>7620449150</v>
      </c>
      <c r="C58" s="2" t="str">
        <f>=HYPERLINK("https://weidian.com/item.html?itemID=7620449150", "https://weidian.com/item.html?itemID=7620449150")</f>
        <v>https://weidian.com/item.html?itemID=7620449150</v>
      </c>
      <c r="D58"/>
      <c r="E58" s="2" t="str">
        <f>=HYPERLINK("https://si.geilicdn.com/pcitem2014204438-4f970000019ac4d05a590a23037f_1080_1080.jpg?w=640&amp;h=640", "https://si.geilicdn.com/pcitem2014204438-4f970000019ac4d05a590a23037f_1080_1080.jpg?w=640&amp;h=640")</f>
        <v>https://si.geilicdn.com/pcitem2014204438-4f970000019ac4d05a590a23037f_1080_1080.jpg?w=640&amp;h=640</v>
      </c>
      <c r="F58" t="inlineStr">
        <is>
          <t>Electronic</t>
        </is>
      </c>
      <c r="G58" t="inlineStr">
        <is>
          <t>Louis Vuitton</t>
        </is>
      </c>
      <c r="H58">
        <v>860</v>
      </c>
      <c r="I58">
        <v>124.64</v>
      </c>
      <c r="J58" t="inlineStr">
        <is>
          <t>{"choices":[{"finish_reason":"stop","index":0,"logprobs":null,"message":{"annotations":[],"content":"Louis Vuitton Black Monogram LED Smart Speaker","refusal":null,"role":"assistant"}}],"created":1777014432,"id":"chatcmpl-DY4v2iLbpx0QwPCDii99bI4vQIqgL","model":"gpt-5-chat-latest","object":"chat.completion","service_tier":"default","system_fingerprint":"fp_ad66631dec","usage":{"completion_tokens":9,"completion_tokens_details":{"accepted_prediction_tokens":0,"audio_tokens":0,"reasoning_tokens":0,"rejected_prediction_tokens":0},"prompt_tokens":875,"prompt_tokens_details":{"audio_tokens":0,"cached_tokens":0},"total_tokens":884}}</t>
        </is>
      </c>
      <c r="K58" t="inlineStr">
        <is>
          <t>Louis Vuitton Black Monogram LED Smart Speaker</t>
        </is>
      </c>
      <c r="L58" t="inlineStr">
        <is>
          <t>{"id":"chatcmpl-DY4fQt1QszQnWIZGxgmOKHf8nFxFK","object":"chat.completion","created":1777013464,"model":"gpt-5-chat-latest","choices":[{"index":0,"message":{"role":"assistant","content":"Louis Vuitton Black Smart Speaker with iconic Monogram design, metallic body, colorful LED ring, luxurious modern sound, artistic round shape, perfect for stylish urban lifestyle, unisex elegance.","refusal":null,"annotations":[]},"logprobs":null,"finish_reason":"stop"}],"usage":{"prompt_tokens":907,"completion_tokens":37,"total_tokens":944,"prompt_tokens_details":{"cached_tokens":0,"audio_tokens":0},"completion_tokens_details":{"reasoning_tokens":0,"audio_tokens":0,"accepted_prediction_tokens":0,"rejected_prediction_tokens":0}},"service_tier":"default","system_fingerprint":"fp_ad66631dec"}</t>
        </is>
      </c>
      <c r="M5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ma=2592000","apim-request-id":"18f108d9-86e1-4c0d-884e-716e37b7a7ca","azureml-model-session":"d20260405221325-2e8d5e76","cache-control":"no-cache, no-store, must-revalidate","connection":"close","content-length":"1000","content-security-policy":"frame-ancestors 'self'","content-type":"application/json","date":"Fri, 24 Apr 2026 06:51:06 GMT","server":"nginx","skip-error-remapping":"true","strict-transport-security":"max-age=31536000; includeSubDomains; preload","via":"1.1 Caddy, 1.1 Caddy","x-api-request-id":"20260424145101175885672QxLkLSEf","x-content-type-options":"nosniff","x-frame-options":"SAMEORIGIN","x-ms-is-spilled-over":"false","x-ms-rai-invoked":"false","x-ms-region":"Sweden Central","x-new-api-version":"0.4.39","x-oneapi-request-id":"202604240651011079968538268d9d6fsPrD5vg","x-ratelimit-abusepenalty-active":"False","x-ratelimit-limit-requests":"4998","x-ratelimit-limit-tokens":"4998000","x-ratelimit-remaining-requests":"4997","x-ratelimit-remaining-tokens":"4996331","x-ratelimit-renewalperiod-requests":"60","x-ratelimit-renewalperiod-tokens":"60","x-ratelimit-reset-requests":"12","x-ratelimit-reset-tokens":"20","x-request-id":"1f398061-4010-455a-8d4e-12cfd914be0c"}</t>
        </is>
      </c>
      <c r="N58" t="inlineStr">
        <is>
          <t>Louis Vuitton Black Smart Speaker with iconic Monogram design, metallic body, colorful LED ring, luxurious modern sound, artistic round shape, perfect for stylish urban lifestyle, unisex elegance.</t>
        </is>
      </c>
      <c r="O58" t="inlineStr">
        <is>
          <t>{"choices":[{"finish_reason":"stop","index":0,"logprobs":null,"message":{"annotations":[],"content":"Louis Vuitton,Electronic,kakobuy,kakebuy2026,kekobuysheet,kakobuysheet2026,2026kakobuy,kakobuyspreadsheeet,kakobuylink,kakebuylist,Kakobuy MEGA Spreadsheet,kakobuysheetfind,kakobuysheetfind2026,2026kakobuysheetfind,kakobuysheet2026","refusal":null,"role":"assistant"}}],"created":1777014851,"id":"chatcmpl-DY51npNfVlpYZj3EEwyDuM870076J","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58" t="inlineStr">
        <is>
          <t>Louis Vuitton,Electronic,kakobuy,kakebuy2026,kekobuysheet,kakobuysheet2026,2026kakobuy,kakobuyspreadsheeet,kakobuylink,kakebuylist,Kakobuy MEGA Spreadsheet,kakobuysheetfind,kakobuysheetfind2026,2026kakobuysheetfind,kakobuysheet2026</t>
        </is>
      </c>
      <c r="Q58"/>
      <c r="R58" t="inlineStr">
        <is>
          <t>recvhju1Cr6GfI</t>
        </is>
      </c>
      <c r="S58" t="inlineStr">
        <is>
          <t>louis-vuitton-black-monogram-led-smart-speaker-recvhju1cr6gfi</t>
        </is>
      </c>
      <c r="T58"/>
      <c r="U58"/>
      <c r="V58"/>
      <c r="W58" t="inlineStr">
        <is>
          <t>{"id":"chatcmpl-DY4Cxgxau0lBgawHqA6L7c7Gq0Euu","object":"chat.completion","created":1777011699,"model":"gpt-5-chat-latest","choices":[{"index":0,"message":{"role":"assistant","content":"Louis Vuitton黑色智能电子音响，以品牌经典Monogram设计元素融合现代科技感，金属质感机身搭配炫彩灯环，彰显奢华与创新。圆形造型简约优雅，兼具艺术装饰与音效体验，男女皆宜，适合现代都市生活方式。","refusal":null,"annotations":[]},"logprobs":null,"finish_reason":"stop"}],"usage":{"prompt_tokens":1301,"completion_tokens":73,"total_tokens":1374,"prompt_tokens_details":{"cached_tokens":0,"audio_tokens":0},"completion_tokens_details":{"reasoning_tokens":0,"audio_tokens":0,"accepted_prediction_tokens":0,"rejected_prediction_tokens":0}},"service_tier":"default","system_fingerprint":"fp_ad66631dec"}</t>
        </is>
      </c>
      <c r="X58" t="inlineStr">
        <is>
          <t>Louis Vuitton黑色智能电子音响，以品牌经典Monogram设计元素融合现代科技感，金属质感机身搭配炫彩灯环，彰显奢华与创新。圆形造型简约优雅，兼具艺术装饰与音效体验，男女皆宜，适合现代都市生活方式。</t>
        </is>
      </c>
    </row>
    <row r="59" ht="25.5" customHeight="1">
      <c r="A59">
        <v>1654975475</v>
      </c>
      <c r="B59">
        <v>7617609735</v>
      </c>
      <c r="C59" s="2" t="str">
        <f>=HYPERLINK("https://weidian.com/item.html?itemID=7617609735", "https://weidian.com/item.html?itemID=7617609735")</f>
        <v>https://weidian.com/item.html?itemID=7617609735</v>
      </c>
      <c r="D59"/>
      <c r="E59" s="2" t="str">
        <f>=HYPERLINK("https://si.geilicdn.com/pcitem2014204438-432f0000019ac4d0be190a239846_1080_1080.jpg?w=640&amp;h=640", "https://si.geilicdn.com/pcitem2014204438-432f0000019ac4d0be190a239846_1080_1080.jpg?w=640&amp;h=640")</f>
        <v>https://si.geilicdn.com/pcitem2014204438-432f0000019ac4d0be190a239846_1080_1080.jpg?w=640&amp;h=640</v>
      </c>
      <c r="F59" t="inlineStr">
        <is>
          <t>Electronic</t>
        </is>
      </c>
      <c r="G59" t="inlineStr">
        <is>
          <t>Louis Vuitton</t>
        </is>
      </c>
      <c r="H59">
        <v>860</v>
      </c>
      <c r="I59">
        <v>124.64</v>
      </c>
      <c r="J59" t="inlineStr">
        <is>
          <t>{"id":"chatcmpl-DY4ufRxPrRFAeS1JK2h8TDH8kAFOk","object":"chat.completion","created":1777014409,"model":"gpt-5-chat-latest","choices":[{"index":0,"message":{"role":"assistant","content":"Louis Vuitton Black Bluetooth Speaker Monogram LED Light","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59" t="inlineStr">
        <is>
          <t>Louis Vuitton Black Bluetooth Speaker Monogram LED Light</t>
        </is>
      </c>
      <c r="L59" t="inlineStr">
        <is>
          <t>{"choices":[{"finish_reason":"stop","index":0,"logprobs":null,"message":{"annotations":[],"content":"Louis Vuitton Black Bluetooth Speaker with matte metal finish, LED ring light, iconic Monogram design, modern 2020s style, portable luxury tech for fashion-forward users.","refusal":null,"role":"assistant"}}],"created":1777013206,"id":"chatcmpl-DY4bGehzplnTYyFhUnziS9ONb2Qh2","model":"gpt-5-chat-latest","object":"chat.completion","service_tier":"default","system_fingerprint":"fp_ad66631dec","usage":{"completion_tokens":35,"completion_tokens_details":{"accepted_prediction_tokens":0,"audio_tokens":0,"reasoning_tokens":0,"rejected_prediction_tokens":0},"prompt_tokens":909,"prompt_tokens_details":{"audio_tokens":0,"cached_tokens":0},"total_tokens":944}}</t>
        </is>
      </c>
      <c r="M59" t="inlineStr">
        <is>
          <t>{"alt-svc":"h3=\":443\"; ma=2592000","apim-request-id":"f0a30d56-1679-4f33-82d9-99bb62eb6322","azureml-model-session":"d20260405234249-f9874baf","cache-control":"no-cache","connection":"close","content-length":"758","content-security-policy":"frame-ancestors 'self'","content-type":"application/json","date":"Fri, 24 Apr 2026 06:46:48 GMT","server":"nginx","skip-error-remapping":"true","strict-transport-security":"max-age=31536000; includeSubDomains; preload","via":"1.1 Caddy, 1.1 Caddy","x-api-request-id":"20260424144645815135304L7m1Pden","x-content-type-options":"nosniff","x-frame-options":"SAMEORIGIN","x-ms-client-request-id":"Not-Set","x-ms-is-spilled-over":"false","x-ms-rai-invoked":"true","x-ms-region":"East US 2","x-new-api-version":"0.4.39","x-oneapi-request-id":"202604240646456396196568268d9d6OwNaguUr","x-ratelimit-abusepenalty-active":"False","x-ratelimit-limit-requests":"3850","x-ratelimit-limit-tokens":"3850000","x-ratelimit-remaining-requests":"3849","x-ratelimit-remaining-tokens":"3827763","x-ratelimit-renewalperiod-requests":"60","x-ratelimit-renewalperiod-tokens":"60","x-ratelimit-reset-requests":"15","x-ratelimit-reset-tokens":"346","x-request-id":"d65c2abb-7fd4-4fe1-93cd-5c940d050a59"}</t>
        </is>
      </c>
      <c r="N59" t="inlineStr">
        <is>
          <t>Louis Vuitton Black Bluetooth Speaker with matte metal finish, LED ring light, iconic Monogram design, modern 2020s style, portable luxury tech for fashion-forward users.</t>
        </is>
      </c>
      <c r="O59" t="inlineStr">
        <is>
          <t>{"choices":[{"finish_reason":"stop","index":0,"logprobs":null,"message":{"annotations":[],"content":"Louis Vuitton, electronics, kakobuy, kakebuy2026, kekobuysheet, kakobuysheet2026, 2026kakobuy, kakobuyspreadsheeet, kakobuylink, kakebuylist, Kakobuy MEGA Spreadsheet, kakobuysheetfind, kakobuysheetfind2026, 2026kakobuysheetfind, kakobuysheet2026","refusal":null,"role":"assistant"}}],"created":1777015191,"id":"chatcmpl-DY57HUCgsnpMU2t5sInfM9QaRLozZ","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59" t="inlineStr">
        <is>
          <t>Louis Vuitton, electronics, kakobuy, kakebuy2026, kekobuysheet, kakobuysheet2026, 2026kakobuy, kakobuyspreadsheeet, kakobuylink, kakebuylist, Kakobuy MEGA Spreadsheet, kakobuysheetfind, kakobuysheetfind2026, 2026kakobuysheetfind, kakobuysheet2026</t>
        </is>
      </c>
      <c r="Q59" t="inlineStr">
        <is>
          <t>LV, Black, Modern, Fashion</t>
        </is>
      </c>
      <c r="R59" t="inlineStr">
        <is>
          <t>recvhju1CrLBdW</t>
        </is>
      </c>
      <c r="S59" t="inlineStr">
        <is>
          <t>louis-vuitton-black-bluetooth-speaker-monogram-led-light-recvhju1crlbdw</t>
        </is>
      </c>
      <c r="T59"/>
      <c r="U59"/>
      <c r="V59"/>
      <c r="W59" t="inlineStr">
        <is>
          <t>{"choices":[{"finish_reason":"stop","index":0,"logprobs":null,"message":{"annotations":[],"content":"Louis Vuitton 黑色电子蓝牙音箱，采用高端哑光金属材质，环形LED光效搭配标志性Monogram图腾设计，彰显未来科技与奢华格调。男女皆宜，2020年代现代设计风格，便携功能出众，适合时尚人士随行使用。","refusal":null,"role":"assistant"}}],"created":1777011937,"id":"chatcmpl-DY4GnnLICQhfThceiJ6cQ8WXdfD3v","model":"gpt-5-chat-latest","object":"chat.completion","service_tier":"default","system_fingerprint":"fp_ad66631dec","usage":{"completion_tokens":76,"completion_tokens_details":{"accepted_prediction_tokens":0,"audio_tokens":0,"reasoning_tokens":0,"rejected_prediction_tokens":0},"prompt_tokens":1299,"prompt_tokens_details":{"audio_tokens":0,"cached_tokens":0},"total_tokens":1375}}</t>
        </is>
      </c>
      <c r="X59" t="inlineStr">
        <is>
          <t>Louis Vuitton 黑色电子蓝牙音箱，采用高端哑光金属材质，环形LED光效搭配标志性Monogram图腾设计，彰显未来科技与奢华格调。男女皆宜，2020年代现代设计风格，便携功能出众，适合时尚人士随行使用。</t>
        </is>
      </c>
    </row>
    <row r="60" ht="25.5" customHeight="1">
      <c r="A60">
        <v>1654975475</v>
      </c>
      <c r="B60">
        <v>7617580687</v>
      </c>
      <c r="C60" s="2" t="str">
        <f>=HYPERLINK("https://weidian.com/item.html?itemID=7617580687", "https://weidian.com/item.html?itemID=7617580687")</f>
        <v>https://weidian.com/item.html?itemID=7617580687</v>
      </c>
      <c r="D60"/>
      <c r="E60" s="2" t="str">
        <f>=HYPERLINK("https://si.geilicdn.com/pcitem2014204438-209d0000019ac4d12ead0a210139_1080_1080.jpg?w=640&amp;h=640", "https://si.geilicdn.com/pcitem2014204438-209d0000019ac4d12ead0a210139_1080_1080.jpg?w=640&amp;h=640")</f>
        <v>https://si.geilicdn.com/pcitem2014204438-209d0000019ac4d12ead0a210139_1080_1080.jpg?w=640&amp;h=640</v>
      </c>
      <c r="F60" t="inlineStr">
        <is>
          <t>Electronic</t>
        </is>
      </c>
      <c r="G60" t="inlineStr">
        <is>
          <t>Louis Vuitton</t>
        </is>
      </c>
      <c r="H60">
        <v>860</v>
      </c>
      <c r="I60">
        <v>124.64</v>
      </c>
      <c r="J60" t="inlineStr">
        <is>
          <t>{"choices":[{"finish_reason":"stop","index":0,"logprobs":null,"message":{"annotations":[],"content":"Louis Vuitton Horizon Light Up Black Smart Ring","refusal":null,"role":"assistant"}}],"created":1777014240,"id":"chatcmpl-DY4rwms8DGLGHOKi6sTyFCQ1XUXYu","model":"gpt-5-chat-latest","object":"chat.completion","service_tier":"default","system_fingerprint":"fp_ad66631dec","usage":{"completion_tokens":9,"completion_tokens_details":{"accepted_prediction_tokens":0,"audio_tokens":0,"reasoning_tokens":0,"rejected_prediction_tokens":0},"prompt_tokens":867,"prompt_tokens_details":{"audio_tokens":0,"cached_tokens":0},"total_tokens":876}}</t>
        </is>
      </c>
      <c r="K60" t="inlineStr">
        <is>
          <t>Louis Vuitton Horizon Light Up Black Smart Ring</t>
        </is>
      </c>
      <c r="L60" t="inlineStr">
        <is>
          <t>{"choices":[{"finish_reason":"stop","index":0,"logprobs":null,"message":{"annotations":[],"content":"Louis Vuitton Horizon Light Up black smart accessory with premium metal and frosted glass, ring-shaped LED design, futuristic luxury style, unisex modern tech fashion piece.","refusal":null,"role":"assistant"}}],"created":1777013225,"id":"chatcmpl-DY4bZ6qGYntR62PgUWHIBHEnSW4ln","model":"gpt-5-chat-latest","object":"chat.completion","service_tier":"default","system_fingerprint":"fp_ad66631dec","usage":{"completion_tokens":33,"completion_tokens_details":{"accepted_prediction_tokens":0,"audio_tokens":0,"reasoning_tokens":0,"rejected_prediction_tokens":0},"prompt_tokens":902,"prompt_tokens_details":{"audio_tokens":0,"cached_tokens":0},"total_tokens":935}}</t>
        </is>
      </c>
      <c r="M60" t="inlineStr">
        <is>
          <t>{"alt-svc":"h3=\":443\"; ma=2592000","apim-request-id":"24248baa-1827-4f3d-84fb-413b06a1372f","azureml-model-session":"d20260405221325-2e8d5e76","cache-control":"no-cache","connection":"close","content-length":"761","content-security-policy":"frame-ancestors 'self'","content-type":"application/json","date":"Fri, 24 Apr 2026 06:47:07 GMT","server":"Caddy","skip-error-remapping":"true","strict-transport-security":"max-age=31536000; includeSubDomains; preload","via":"1.1 Caddy","x-api-request-id":"2026042414470550910217dW1lZq7b","x-content-type-options":"nosniff","x-frame-options":"SAMEORIGIN","x-ms-client-request-id":"Not-Set","x-ms-is-spilled-over":"false","x-ms-rai-invoked":"true","x-ms-region":"East US 2","x-new-api-version":"0.4.39","x-oneapi-request-id":"202604240647047510136308268d9d6uhvYX0nW","x-ratelimit-abusepenalty-active":"False","x-ratelimit-limit-requests":"3850","x-ratelimit-limit-tokens":"3850000","x-ratelimit-remaining-requests":"3849","x-ratelimit-remaining-tokens":"3848336","x-ratelimit-renewalperiod-requests":"60","x-ratelimit-renewalperiod-tokens":"60","x-ratelimit-reset-requests":"15","x-ratelimit-reset-tokens":"25","x-request-id":"f21b0067-5e7e-494a-becc-b9e4291c06d2"}</t>
        </is>
      </c>
      <c r="N60" t="inlineStr">
        <is>
          <t>Louis Vuitton Horizon Light Up black smart accessory with premium metal and frosted glass, ring-shaped LED design, futuristic luxury style, unisex modern tech fashion piece.</t>
        </is>
      </c>
      <c r="O60" t="inlineStr">
        <is>
          <t>{"id":"chatcmpl-DY53AG8aoAVvVDyNhkDeqm5xAfkdr","object":"chat.completion","created":1777014936,"model":"gpt-5-chat-latest","choices":[{"index":0,"message":{"role":"assistant","content":"Louis Vuitton, Electronic,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60" t="inlineStr">
        <is>
          <t>Louis Vuitton, Electronic, kakobuy, kakebuy2026, kekobuysheet, kakobuysheet2026, 2026kakobuy, kakobuyspreadsheeet, kakobuylink, kakebuylist, Kakobuy MEGA Spreadsheet, kakobuysheetfind, kakobuysheetfind2026, 2026kakobuysheetfind, kakobuysheet2026</t>
        </is>
      </c>
      <c r="Q60" t="inlineStr">
        <is>
          <t>LV, Unisex, Black, Modern</t>
        </is>
      </c>
      <c r="R60" t="inlineStr">
        <is>
          <t>recvhju1Cr4Pgo</t>
        </is>
      </c>
      <c r="S60" t="inlineStr">
        <is>
          <t>louis-vuitton-horizon-light-up-black-smart-ring-recvhju1cr4pgo</t>
        </is>
      </c>
      <c r="T60"/>
      <c r="U60"/>
      <c r="V60"/>
      <c r="W60" t="inlineStr">
        <is>
          <t>{"id":"chatcmpl-DY49O1pPOW128JAyG9NCVz7e0OrQn","object":"chat.completion","created":1777011478,"model":"gpt-5-chat-latest","choices":[{"index":0,"message":{"role":"assistant","content":"Louis Vuitton：黑色Horizon Light Up智能电子配饰，采用高端金属与磨砂玻璃材质，环形LED炫彩光效设计，充满未来科技感与奢华格调，彰显品牌先锋艺术风尚，男女皆宜，现代时尚科技单品。","refusal":null,"annotations":[]},"logprobs":null,"finish_reason":"stop"}],"usage":{"prompt_tokens":1299,"completion_tokens":69,"total_tokens":1368,"prompt_tokens_details":{"cached_tokens":0,"audio_tokens":0},"completion_tokens_details":{"reasoning_tokens":0,"audio_tokens":0,"accepted_prediction_tokens":0,"rejected_prediction_tokens":0}},"service_tier":"default","system_fingerprint":"fp_ad66631dec"}</t>
        </is>
      </c>
      <c r="X60" t="inlineStr">
        <is>
          <t>Louis Vuitton：黑色Horizon Light Up智能电子配饰，采用高端金属与磨砂玻璃材质，环形LED炫彩光效设计，充满未来科技感与奢华格调，彰显品牌先锋艺术风尚，男女皆宜，现代时尚科技单品。</t>
        </is>
      </c>
    </row>
    <row r="61" ht="25.5" customHeight="1">
      <c r="A61">
        <v>1654975475</v>
      </c>
      <c r="B61">
        <v>7616207097</v>
      </c>
      <c r="C61" s="2" t="str">
        <f>=HYPERLINK("https://weidian.com/item.html?itemID=7616207097", "https://weidian.com/item.html?itemID=7616207097")</f>
        <v>https://weidian.com/item.html?itemID=7616207097</v>
      </c>
      <c r="D61"/>
      <c r="E61" s="2" t="str">
        <f>=HYPERLINK("https://si.geilicdn.com/pcitem2014204438-7e000000019abda9ba130a239646_1440_1440.jpg?w=640&amp;h=640", "https://si.geilicdn.com/pcitem2014204438-7e000000019abda9ba130a239646_1440_1440.jpg?w=640&amp;h=640")</f>
        <v>https://si.geilicdn.com/pcitem2014204438-7e000000019abda9ba130a239646_1440_1440.jpg?w=640&amp;h=640</v>
      </c>
      <c r="F61" t="inlineStr">
        <is>
          <t>Toys</t>
        </is>
      </c>
      <c r="G61" t="inlineStr">
        <is>
          <t>Louis Vuitton</t>
        </is>
      </c>
      <c r="H61">
        <v>330</v>
      </c>
      <c r="I61">
        <v>47.83</v>
      </c>
      <c r="J61" t="inlineStr">
        <is>
          <t>{"choices":[{"finish_reason":"stop","index":0,"logprobs":null,"message":{"annotations":[],"content":"Louis Vuitton Crochet Monogram Keychain Toy","refusal":null,"role":"assistant"}}],"created":1777014573,"id":"chatcmpl-DY4xJIa8REmRVuOpDOMfG5KXy1EMH","model":"gpt-5-chat-latest","object":"chat.completion","service_tier":"default","system_fingerprint":"fp_ad66631dec","usage":{"completion_tokens":9,"completion_tokens_details":{"accepted_prediction_tokens":0,"audio_tokens":0,"reasoning_tokens":0,"rejected_prediction_tokens":0},"prompt_tokens":876,"prompt_tokens_details":{"audio_tokens":0,"cached_tokens":0},"total_tokens":885}}</t>
        </is>
      </c>
      <c r="K61" t="inlineStr">
        <is>
          <t>Louis Vuitton Crochet Monogram Keychain Toy</t>
        </is>
      </c>
      <c r="L61" t="inlineStr">
        <is>
          <t>{"id":"chatcmpl-DY4hpduuXphGK7yDlQ3lNmxeIIQLV","object":"chat.completion","created":1777013613,"model":"gpt-5-chat-latest","choices":[{"index":0,"message":{"role":"assistant","content":"Louis Vuitton Monogram Crochet Keychain – handmade cotton knit with premium leather accents, gold-tone hook, and iconic LV detail. A unisex accessory blending French luxury and playful artistry.","refusal":null,"annotations":[]},"logprobs":null,"finish_reason":"stop"}],"usage":{"prompt_tokens":917,"completion_tokens":37,"total_tokens":954,"prompt_tokens_details":{"cached_tokens":0,"audio_tokens":0},"completion_tokens_details":{"reasoning_tokens":0,"audio_tokens":0,"accepted_prediction_tokens":0,"rejected_prediction_tokens":0}},"service_tier":"default","system_fingerprint":"fp_ad66631dec"}</t>
        </is>
      </c>
      <c r="M6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ma=2592000","apim-request-id":"a0cf07a9-2d4e-45ae-99cb-91fb9bccc67a","azureml-model-session":"d20260402083108-57a85543","cache-control":"no-cache, no-store, must-revalidate","connection":"close","content-length":"1000","content-security-policy":"frame-ancestors 'self'","content-type":"application/json","date":"Fri, 24 Apr 2026 06:53:35 GMT","server":"Caddy","skip-error-remapping":"true","strict-transport-security":"max-age=31536000; includeSubDomains; preload","via":"1.1 Caddy","x-api-request-id":"20260424145332696838130jJsc1y1t","x-content-type-options":"nosniff","x-frame-options":"SAMEORIGIN","x-ms-is-spilled-over":"false","x-ms-rai-invoked":"false","x-ms-region":"East US 2","x-new-api-version":"0.4.39","x-oneapi-request-id":"202604240653324687352488268d9d6AWlPD09S","x-ratelimit-abusepenalty-active":"False","x-ratelimit-limit-requests":"4992","x-ratelimit-limit-tokens":"4992000","x-ratelimit-remaining-requests":"4991","x-ratelimit-remaining-tokens":"4990321","x-ratelimit-renewalperiod-requests":"60","x-ratelimit-renewalperiod-tokens":"60","x-ratelimit-reset-requests":"12","x-ratelimit-reset-tokens":"20","x-request-id":"e37c4c1e-c41a-487b-b0ed-e3ed04f3b922"}</t>
        </is>
      </c>
      <c r="N61" t="inlineStr">
        <is>
          <t>Louis Vuitton Monogram Crochet Keychain – handmade cotton knit with premium leather accents, gold-tone hook, and iconic LV detail. A unisex accessory blending French luxury and playful artistry.</t>
        </is>
      </c>
      <c r="O61" t="inlineStr">
        <is>
          <t>{"choices":[{"finish_reason":"stop","index":0,"logprobs":null,"message":{"annotations":[],"content":"Louis Vuitton,Toys,kakobuy,kakebuy2026,kekobuysheet,kakobuysheet2026,2026kakobuy,kakobuyspreadsheeet,kakobuylink,kakebuylist,Kakobuy MEGA Spreadsheet,kakobuysheetfind,kakobuysheetfind2026,2026kakobuysheetfind,kakobuysheet2026","refusal":null,"role":"assistant"}}],"created":1777014887,"id":"chatcmpl-DY52N3jMZIzO2MQ8imuwg1oBWaoX2","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61" t="inlineStr">
        <is>
          <t>Louis Vuitton,Toys,kakobuy,kakebuy2026,kekobuysheet,kakobuysheet2026,2026kakobuy,kakobuyspreadsheeet,kakobuylink,kakebuylist,Kakobuy MEGA Spreadsheet,kakobuysheetfind,kakobuysheetfind2026,2026kakobuysheetfind,kakobuysheet2026</t>
        </is>
      </c>
      <c r="Q61" t="inlineStr">
        <is>
          <t>LV, Unisex, Leather, Gold, High End</t>
        </is>
      </c>
      <c r="R61" t="inlineStr">
        <is>
          <t>recvhju1CrnlH9</t>
        </is>
      </c>
      <c r="S61" t="inlineStr">
        <is>
          <t>louis-vuitton-crochet-monogram-keychain-toy-recvhju1crnlh9</t>
        </is>
      </c>
      <c r="T61"/>
      <c r="U61"/>
      <c r="V61"/>
      <c r="W61" t="inlineStr">
        <is>
          <t>{"id":"chatcmpl-DY48jlF5svdw4HPaaa6fqwihO6K9y","object":"chat.completion","created":1777011437,"model":"gpt-5-chat-latest","choices":[{"index":0,"message":{"role":"assistant","content":"Louis Vuitton：Monogram 花形米棕色编织钥匙扣，精选手工钩织棉线与头层牛皮拼接设计，搭配精致金属吊环，细节融入经典LV标志，展现法式奢华与艺术玩趣，男女皆宜的时尚配饰，适合日常包饰与收藏。","refusal":null,"annotations":[]},"logprobs":null,"finish_reason":"stop"}],"usage":{"prompt_tokens":1298,"completion_tokens":84,"total_tokens":1382,"prompt_tokens_details":{"cached_tokens":0,"audio_tokens":0},"completion_tokens_details":{"reasoning_tokens":0,"audio_tokens":0,"accepted_prediction_tokens":0,"rejected_prediction_tokens":0}},"service_tier":"default","system_fingerprint":"fp_ad66631dec"}</t>
        </is>
      </c>
      <c r="X61" t="inlineStr">
        <is>
          <t>Louis Vuitton：Monogram 花形米棕色编织钥匙扣，精选手工钩织棉线与头层牛皮拼接设计，搭配精致金属吊环，细节融入经典LV标志，展现法式奢华与艺术玩趣，男女皆宜的时尚配饰，适合日常包饰与收藏。</t>
        </is>
      </c>
    </row>
    <row r="62" ht="25.5" customHeight="1">
      <c r="A62">
        <v>1654975475</v>
      </c>
      <c r="B62">
        <v>7619226912</v>
      </c>
      <c r="C62" s="2" t="str">
        <f>=HYPERLINK("https://weidian.com/item.html?itemID=7619226912", "https://weidian.com/item.html?itemID=7619226912")</f>
        <v>https://weidian.com/item.html?itemID=7619226912</v>
      </c>
      <c r="D62"/>
      <c r="E62" s="2" t="str">
        <f>=HYPERLINK("https://si.geilicdn.com/pcitem2014204438-0e870000019abdb297b30a23038e_1440_1920.jpg?w=640&amp;h=640", "https://si.geilicdn.com/pcitem2014204438-0e870000019abdb297b30a23038e_1440_1920.jpg?w=640&amp;h=640")</f>
        <v>https://si.geilicdn.com/pcitem2014204438-0e870000019abdb297b30a23038e_1440_1920.jpg?w=640&amp;h=640</v>
      </c>
      <c r="F62" t="inlineStr">
        <is>
          <t>Toys</t>
        </is>
      </c>
      <c r="G62" t="inlineStr">
        <is>
          <t>Nici</t>
        </is>
      </c>
      <c r="H62">
        <v>186</v>
      </c>
      <c r="I62">
        <v>26.96</v>
      </c>
      <c r="J62" t="inlineStr">
        <is>
          <t>{"choices":[{"finish_reason":"stop","index":0,"logprobs":null,"message":{"annotations":[],"content":"NICI Brown Smiling Bear Plush Toy Gift","refusal":null,"role":"assistant"}}],"created":1777014185,"id":"chatcmpl-DY4r3CaLAH31sOMQcodURPFSqJERv","model":"gpt-5-chat-latest","object":"chat.completion","service_tier":"default","system_fingerprint":"fp_ad66631dec","usage":{"completion_tokens":10,"completion_tokens_details":{"accepted_prediction_tokens":0,"audio_tokens":0,"reasoning_tokens":0,"rejected_prediction_tokens":0},"prompt_tokens":892,"prompt_tokens_details":{"audio_tokens":0,"cached_tokens":0},"total_tokens":902}}</t>
        </is>
      </c>
      <c r="K62" t="inlineStr">
        <is>
          <t>NICI Brown Smiling Bear Plush Toy Gift</t>
        </is>
      </c>
      <c r="L62" t="inlineStr">
        <is>
          <t>{"id":"chatcmpl-DY4dPEQlmdbiQrLOlhYxmdZMUA54R","object":"chat.completion","created":1777013339,"model":"gpt-5-chat-latest","choices":[{"index":0,"message":{"role":"assistant","content":"ToysNiciNici Brown Smiling Bear Plush Toy – soft short fleece, cozy and skin-friendly texture, round minimalist design, perfect for all ages, ideal gift or collectible, German craftsmanship for warm modern decor.","refusal":null,"annotations":[]},"logprobs":null,"finish_reason":"stop"}],"usage":{"prompt_tokens":918,"completion_tokens":45,"total_tokens":963,"prompt_tokens_details":{"cached_tokens":0,"audio_tokens":0},"completion_tokens_details":{"reasoning_tokens":0,"audio_tokens":0,"accepted_prediction_tokens":0,"rejected_prediction_tokens":0}},"service_tier":"default","system_fingerprint":"fp_ad66631dec"}</t>
        </is>
      </c>
      <c r="M6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ma=2592000","apim-request-id":"87b8b537-92aa-449d-a3c6-a5d7fc4ccabb","azureml-model-session":"d20260405221325-2e8d5e76","cache-control":"no-cache, no-store, must-revalidate","connection":"close","content-length":"1018","content-security-policy":"frame-ancestors 'self'","content-type":"application/json","date":"Fri, 24 Apr 2026 06:49:02 GMT","server":"Caddy","skip-error-remapping":"true","strict-transport-security":"max-age=31536000; includeSubDomains; preload","via":"1.1 Caddy","x-api-request-id":"20260424144857630254838sqXOTwPB","x-content-type-options":"nosniff","x-frame-options":"SAMEORIGIN","x-ms-is-spilled-over":"false","x-ms-rai-invoked":"false","x-ms-region":"Sweden Central","x-new-api-version":"0.4.39","x-oneapi-request-id":"202604240648574466165568268d9d6crcm3tUJ","x-ratelimit-abusepenalty-active":"False","x-ratelimit-limit-requests":"4998","x-ratelimit-limit-tokens":"4998000","x-ratelimit-remaining-requests":"4997","x-ratelimit-remaining-tokens":"4994465","x-ratelimit-renewalperiod-requests":"60","x-ratelimit-renewalperiod-tokens":"60","x-ratelimit-reset-requests":"12","x-ratelimit-reset-tokens":"42","x-request-id":"c44d4a74-20ae-432e-9b52-018cbb73123d"}</t>
        </is>
      </c>
      <c r="N62" t="inlineStr">
        <is>
          <t>ToysNiciNici Brown Smiling Bear Plush Toy – soft short fleece, cozy and skin-friendly texture, round minimalist design, perfect for all ages, ideal gift or collectible, German craftsmanship for warm modern decor.</t>
        </is>
      </c>
      <c r="O62" t="inlineStr">
        <is>
          <t>{"choices":[{"finish_reason":"stop","index":0,"logprobs":null,"message":{"annotations":[],"content":"NICI,Plush Toy,kakobuy,kakebuy2026,kekobuysheet,kakobuysheet2026,2026kakobuy,kakobuyspreadsheeet,kakobuylink,kakebuylist,Kakobuy MEGA Spreadsheet,kakobuysheetfind,kakobuysheetfind2026,2026kakobuysheetfind,kakobuysheet2026","refusal":null,"role":"assistant"}}],"created":1777014993,"id":"chatcmpl-DY545OM1UsLQcAMatUFSBRWjHfY8I","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62" t="inlineStr">
        <is>
          <t>NICI,Plush Toy,kakobuy,kakebuy2026,kekobuysheet,kakobuysheet2026,2026kakobuy,kakobuyspreadsheeet,kakobuylink,kakebuylist,Kakobuy MEGA Spreadsheet,kakobuysheetfind,kakobuysheetfind2026,2026kakobuysheetfind,kakobuysheet2026</t>
        </is>
      </c>
      <c r="Q62"/>
      <c r="R62" t="inlineStr">
        <is>
          <t>recvhju1CrMnSd</t>
        </is>
      </c>
      <c r="S62" t="inlineStr">
        <is>
          <t>nici-brown-smiling-bear-plush-recvhju1crmnsd</t>
        </is>
      </c>
      <c r="T62"/>
      <c r="U62"/>
      <c r="V62"/>
      <c r="W62" t="inlineStr">
        <is>
          <t>{"id":"chatcmpl-DY46jjO3JGp78QXsgyXOa5lxWTqVB","object":"chat.completion","created":1777011313,"model":"gpt-5-chat-latest","choices":[{"index":0,"message":{"role":"assistant","content":"Nici：棕色笑脸熊系列毛绒玩偶，采用柔软短绒面料，触感细腻亲肤；圆润造型搭配极简可爱设计，适合男女老少收藏或赠礼；温暖治愈风格呈现德式精工品质，打造现代家居与童趣融合的玩偶精品。","refusal":null,"annotations":[]},"logprobs":null,"finish_reason":"stop"}],"usage":{"prompt_tokens":1300,"completion_tokens":84,"total_tokens":1384,"prompt_tokens_details":{"cached_tokens":0,"audio_tokens":0},"completion_tokens_details":{"reasoning_tokens":0,"audio_tokens":0,"accepted_prediction_tokens":0,"rejected_prediction_tokens":0}},"service_tier":"default","system_fingerprint":"fp_ad66631dec"}</t>
        </is>
      </c>
      <c r="X62" t="inlineStr">
        <is>
          <t>Nici：棕色笑脸熊系列毛绒玩偶，采用柔软短绒面料，触感细腻亲肤；圆润造型搭配极简可爱设计，适合男女老少收藏或赠礼；温暖治愈风格呈现德式精工品质，打造现代家居与童趣融合的玩偶精品。</t>
        </is>
      </c>
    </row>
    <row r="63" ht="25.5" customHeight="1">
      <c r="A63">
        <v>1654975475</v>
      </c>
      <c r="B63">
        <v>7619210958</v>
      </c>
      <c r="C63" s="2" t="str">
        <f>=HYPERLINK("https://weidian.com/item.html?itemID=7619210958", "https://weidian.com/item.html?itemID=7619210958")</f>
        <v>https://weidian.com/item.html?itemID=7619210958</v>
      </c>
      <c r="D63"/>
      <c r="E63" s="2" t="str">
        <f>=HYPERLINK("https://si.geilicdn.com/pcitem2014204438-189c0000019abdb664eb0a23111a_1440_1920.jpg?w=640&amp;h=640", "https://si.geilicdn.com/pcitem2014204438-189c0000019abdb664eb0a23111a_1440_1920.jpg?w=640&amp;h=640")</f>
        <v>https://si.geilicdn.com/pcitem2014204438-189c0000019abdb664eb0a23111a_1440_1920.jpg?w=640&amp;h=640</v>
      </c>
      <c r="F63" t="inlineStr">
        <is>
          <t>Toys</t>
        </is>
      </c>
      <c r="G63" t="inlineStr">
        <is>
          <t>Loewe</t>
        </is>
      </c>
      <c r="H63">
        <v>270</v>
      </c>
      <c r="I63">
        <v>39.13</v>
      </c>
      <c r="J63" t="inlineStr">
        <is>
          <t>{"choices":[{"finish_reason":"stop","index":0,"logprobs":null,"message":{"annotations":[],"content":"Loewe Natural Oak Wooden Spinning Top Pendant","refusal":null,"role":"assistant"}}],"created":1777014396,"id":"chatcmpl-DY4uSoArDze7xYxDYwgTwd54PNhNY","model":"gpt-5-chat-latest","object":"chat.completion","service_tier":"default","system_fingerprint":"fp_ad66631dec","usage":{"completion_tokens":11,"completion_tokens_details":{"accepted_prediction_tokens":0,"audio_tokens":0,"reasoning_tokens":0,"rejected_prediction_tokens":0},"prompt_tokens":883,"prompt_tokens_details":{"audio_tokens":0,"cached_tokens":0},"total_tokens":894}}</t>
        </is>
      </c>
      <c r="K63" t="inlineStr">
        <is>
          <t>Loewe Natural Oak Wooden Spinning Top Pendant</t>
        </is>
      </c>
      <c r="L63" t="inlineStr">
        <is>
          <t>{"id":"chatcmpl-DY4fEe71FPn6YablANjtkqRYz1JOu","object":"chat.completion","created":1777013452,"model":"gpt-5-chat-latest","choices":[{"index":0,"message":{"role":"assistant","content":"ToysLoeweLoewe Natural Oak Spinning Top Pendant, handcrafted with premium wood and minimalist carving, blending Lago art with modern simplicity, perfect for decoration or collection for all genders.","refusal":null,"annotations":[]},"logprobs":null,"finish_reason":"stop"}],"usage":{"prompt_tokens":912,"completion_tokens":40,"total_tokens":952,"prompt_tokens_details":{"cached_tokens":0,"audio_tokens":0},"completion_tokens_details":{"reasoning_tokens":0,"audio_tokens":0,"accepted_prediction_tokens":0,"rejected_prediction_tokens":0}},"service_tier":"default","system_fingerprint":"fp_ad66631dec"}</t>
        </is>
      </c>
      <c r="M6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ma=2592000","apim-request-id":"59af1549-24a5-4997-b7da-bd5b429e43f5","azureml-model-session":"d20260402074105-51db401e","cache-control":"no-cache, no-store, must-revalidate","connection":"close","content-length":"1002","content-security-policy":"frame-ancestors 'self'","content-type":"application/json","date":"Fri, 24 Apr 2026 06:50:55 GMT","server":"nginx","skip-error-remapping":"true","strict-transport-security":"max-age=31536000; includeSubDomains; preload","via":"1.1 Caddy, 1.1 Caddy","x-api-request-id":"20260424145050866366641z5F0L9gv","x-content-type-options":"nosniff","x-frame-options":"SAMEORIGIN","x-ms-is-spilled-over":"false","x-ms-rai-invoked":"false","x-ms-region":"Sweden Central","x-new-api-version":"0.4.39","x-oneapi-request-id":"202604240650498115147578268d9d6pBRNqFiD","x-ratelimit-abusepenalty-active":"False","x-ratelimit-limit-requests":"4998","x-ratelimit-limit-tokens":"4998000","x-ratelimit-remaining-requests":"4997","x-ratelimit-remaining-tokens":"4996326","x-ratelimit-renewalperiod-requests":"60","x-ratelimit-renewalperiod-tokens":"60","x-ratelimit-reset-requests":"12","x-ratelimit-reset-tokens":"20","x-request-id":"b0ba431f-2553-4fba-a463-2d2f05cb2625"}</t>
        </is>
      </c>
      <c r="N63" t="inlineStr">
        <is>
          <t>ToysLoeweLoewe Natural Oak Spinning Top Pendant, handcrafted with premium wood and minimalist carving, blending Lago art with modern simplicity, perfect for decoration or collection for all genders.</t>
        </is>
      </c>
      <c r="O63" t="inlineStr">
        <is>
          <t>{"choices":[{"finish_reason":"stop","index":0,"logprobs":null,"message":{"annotations":[],"content":"ToysLoewe,Wooden Toy,kakobuy,kakebuy2026,kekobuysheet,kakobuysheet2026,2026kakobuy,kakobuyspreadsheeet,kakobuylink,kakebuylist,Kakobuy MEGA Spreadsheet,kakobuysheetfind,kakobuysheetfind2026,2026kakobuysheetfind,kakobuysheet2026","refusal":null,"role":"assistant"}}],"created":1777014966,"id":"chatcmpl-DY53erqmYMnqbre4aPTLYBtb4Tvrf","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63" t="inlineStr">
        <is>
          <t>ToysLoewe,Wooden Toy,kakobuy,kakebuy2026,kekobuysheet,kakobuysheet2026,2026kakobuy,kakobuyspreadsheeet,kakobuylink,kakebuylist,Kakobuy MEGA Spreadsheet,kakobuysheetfind,kakobuysheetfind2026,2026kakobuysheetfind,kakobuysheet2026</t>
        </is>
      </c>
      <c r="Q63"/>
      <c r="R63" t="inlineStr">
        <is>
          <t>recvhju1Cr0Ps4</t>
        </is>
      </c>
      <c r="S63" t="inlineStr">
        <is>
          <t>loewe-oak-wooden-spinning-top-pendant-recvhju1cr0ps4</t>
        </is>
      </c>
      <c r="T63"/>
      <c r="U63"/>
      <c r="V63"/>
      <c r="W63" t="inlineStr">
        <is>
          <t>{"choices":[{"finish_reason":"stop","index":0,"logprobs":null,"message":{"annotations":[],"content":"Loewe：自然原木色手工陀螺挂饰，甄选优质橡木材质，简约雕刻工艺，糅合Lago艺术美学与现代极简风格，男女皆宜，兼具收藏与装饰功能，展现品牌匠心设计与复古格调。","refusal":null,"role":"assistant"}}],"created":1777011818,"id":"chatcmpl-DY4Esh5Adzsimoa1Xfh84idNgOnyN","model":"gpt-5-chat-latest","object":"chat.completion","service_tier":"default","system_fingerprint":"fp_ad66631dec","usage":{"completion_tokens":77,"completion_tokens_details":{"accepted_prediction_tokens":0,"audio_tokens":0,"reasoning_tokens":0,"rejected_prediction_tokens":0},"prompt_tokens":1302,"prompt_tokens_details":{"audio_tokens":0,"cached_tokens":0},"total_tokens":1379}}</t>
        </is>
      </c>
      <c r="X63" t="inlineStr">
        <is>
          <t>Loewe：自然原木色手工陀螺挂饰，甄选优质橡木材质，简约雕刻工艺，糅合Lago艺术美学与现代极简风格，男女皆宜，兼具收藏与装饰功能，展现品牌匠心设计与复古格调。</t>
        </is>
      </c>
    </row>
    <row r="64" ht="25.5" customHeight="1">
      <c r="A64">
        <v>1654975475</v>
      </c>
      <c r="B64">
        <v>7619165268</v>
      </c>
      <c r="C64" s="2" t="str">
        <f>=HYPERLINK("https://weidian.com/item.html?itemID=7619165268", "https://weidian.com/item.html?itemID=7619165268")</f>
        <v>https://weidian.com/item.html?itemID=7619165268</v>
      </c>
      <c r="D64"/>
      <c r="E64" s="2" t="str">
        <f>=HYPERLINK("https://si.geilicdn.com/pcitem2014204438-08f30000019abdb95e7f0a230115_1269_1575.jpg?w=640&amp;h=640", "https://si.geilicdn.com/pcitem2014204438-08f30000019abdb95e7f0a230115_1269_1575.jpg?w=640&amp;h=640")</f>
        <v>https://si.geilicdn.com/pcitem2014204438-08f30000019abdb95e7f0a230115_1269_1575.jpg?w=640&amp;h=640</v>
      </c>
      <c r="F64" t="inlineStr">
        <is>
          <t>Toys</t>
        </is>
      </c>
      <c r="G64" t="inlineStr">
        <is>
          <t>Jellycat</t>
        </is>
      </c>
      <c r="H64">
        <v>310</v>
      </c>
      <c r="I64">
        <v>44.93</v>
      </c>
      <c r="J64" t="inlineStr">
        <is>
          <t>{"choices":[{"finish_reason":"stop","index":0,"logprobs":null,"message":{"annotations":[],"content":"Jellycat Valentine Beige Bunny Rose Plush Toy","refusal":null,"role":"assistant"}}],"created":1777014379,"id":"chatcmpl-DY4uBETdrwKO2vY0NriiqxBldBxxr","model":"gpt-5-chat-latest","object":"chat.completion","service_tier":"default","system_fingerprint":"fp_ad66631dec","usage":{"completion_tokens":10,"completion_tokens_details":{"accepted_prediction_tokens":0,"audio_tokens":0,"reasoning_tokens":0,"rejected_prediction_tokens":0},"prompt_tokens":873,"prompt_tokens_details":{"audio_tokens":0,"cached_tokens":0},"total_tokens":883}}</t>
        </is>
      </c>
      <c r="K64" t="inlineStr">
        <is>
          <t>Jellycat Valentine Beige Bunny Rose Plush Toy</t>
        </is>
      </c>
      <c r="L64" t="inlineStr">
        <is>
          <t>{"id":"chatcmpl-DY4b95eBdY6ioXzX1G9yt1TOtPSl5","object":"chat.completion","created":1777013199,"model":"gpt-5-chat-latest","choices":[{"index":0,"message":{"role":"assistant","content":"Jellycat Valentine Beige Bunny with Rose Plush – soft velvet touch, romantic British design, perfect cute gift for him or her on Valentine’s Day or any sweet occasion.","refusal":null,"annotations":[]},"logprobs":null,"finish_reason":"stop"}],"usage":{"prompt_tokens":881,"completion_tokens":35,"total_tokens":916,"prompt_tokens_details":{"cached_tokens":0,"audio_tokens":0},"completion_tokens_details":{"reasoning_tokens":0,"audio_tokens":0,"accepted_prediction_tokens":0,"rejected_prediction_tokens":0}},"service_tier":"default","system_fingerprint":"fp_ad66631dec"}</t>
        </is>
      </c>
      <c r="M6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ma=2592000","apim-request-id":"3287b582-91fb-424d-a30a-375e1b71b493","azureml-model-session":"d20260402075109-1fc5a0ec","cache-control":"no-cache, no-store, must-revalidate","connection":"close","content-length":"975","content-security-policy":"frame-ancestors 'self'","content-type":"application/json","date":"Fri, 24 Apr 2026 06:46:42 GMT","server":"Caddy","skip-error-remapping":"true","strict-transport-security":"max-age=31536000; includeSubDomains; preload","via":"1.1 Caddy","x-api-request-id":"20260424144638216074209YLTU5xS7","x-content-type-options":"nosniff","x-frame-options":"SAMEORIGIN","x-ms-is-spilled-over":"false","x-ms-rai-invoked":"false","x-ms-region":"East US 2","x-new-api-version":"0.4.39","x-oneapi-request-id":"20260424064638886441948268d9d6AAaFHbar","x-ratelimit-abusepenalty-active":"False","x-ratelimit-limit-requests":"4992","x-ratelimit-limit-tokens":"4992000","x-ratelimit-remaining-requests":"4991","x-ratelimit-remaining-tokens":"4990357","x-ratelimit-renewalperiod-requests":"60","x-ratelimit-renewalperiod-tokens":"60","x-ratelimit-reset-requests":"12","x-ratelimit-reset-tokens":"19","x-request-id":"84622db6-8eac-47ed-9390-3eb87bc12eb3"}</t>
        </is>
      </c>
      <c r="N64" t="inlineStr">
        <is>
          <t>Jellycat Valentine Beige Bunny with Rose Plush – soft velvet touch, romantic British design, perfect cute gift for him or her on Valentine’s Day or any sweet occasion.</t>
        </is>
      </c>
      <c r="O64" t="inlineStr">
        <is>
          <t>{"choices":[{"finish_reason":"stop","index":0,"logprobs":null,"message":{"annotations":[],"content":"Jellycat,plush toys,kakobuy,kakebuy2026,kekobuysheet,kakobuysheet2026,2026kakobuy,kakobuyspreadsheeet,kakobuylink,kakebuylist,Kakobuy MEGA Spreadsheet,kakobuysheetfind,kakobuysheetfind2026,2026kakobuysheetfind,kakobuysheet2026","refusal":null,"role":"assistant"}}],"created":1777014823,"id":"chatcmpl-DY51L2QfKYicWJgenPs1HVCMJzTi4","model":"gpt-5-chat-latest","object":"chat.completion","service_tier":"default","system_fingerprint":"fp_ad66631dec","usage":{"completion_tokens":90,"completion_tokens_details":{"accepted_prediction_tokens":0,"audio_tokens":0,"reasoning_tokens":0,"rejected_prediction_tokens":0},"prompt_tokens":784,"prompt_tokens_details":{"audio_tokens":0,"cached_tokens":0},"total_tokens":874}}</t>
        </is>
      </c>
      <c r="P64" t="inlineStr">
        <is>
          <t>Jellycat,plush toys,kakobuy,kakebuy2026,kekobuysheet,kakobuysheet2026,2026kakobuy,kakobuyspreadsheeet,kakobuylink,kakebuylist,Kakobuy MEGA Spreadsheet,kakobuysheetfind,kakobuysheetfind2026,2026kakobuysheetfind,kakobuysheet2026</t>
        </is>
      </c>
      <c r="Q64" t="inlineStr">
        <is>
          <t>Beige, Velvet, Romantic, Cute, Sweet, Unisex</t>
        </is>
      </c>
      <c r="R64" t="inlineStr">
        <is>
          <t>recvhju1Cro0G6</t>
        </is>
      </c>
      <c r="S64" t="inlineStr">
        <is>
          <t>jellycat-valentine-beige-bunny-rose-plush-recvhju1cro0g6</t>
        </is>
      </c>
      <c r="T64"/>
      <c r="U64"/>
      <c r="V64"/>
      <c r="W64" t="inlineStr">
        <is>
          <t>{"id":"chatcmpl-DY4AU1jafPc6yfURDoOjkyipIDE2f","object":"chat.completion","created":1777011546,"model":"gpt-5-chat-latest","choices":[{"index":0,"message":{"role":"assistant","content":"Jellycat：Valentine系列米色兔子抱玫瑰公仔，柔软绒面材质，英伦浪漫设计，男女皆宜，甜蜜礼赠首选。","refusal":null,"annotations":[]},"logprobs":null,"finish_reason":"stop"}],"usage":{"prompt_tokens":1304,"completion_tokens":45,"total_tokens":1349,"prompt_tokens_details":{"cached_tokens":0,"audio_tokens":0},"completion_tokens_details":{"reasoning_tokens":0,"audio_tokens":0,"accepted_prediction_tokens":0,"rejected_prediction_tokens":0}},"service_tier":"default","system_fingerprint":"fp_ad66631dec"}</t>
        </is>
      </c>
      <c r="X64" t="inlineStr">
        <is>
          <t>Jellycat：Valentine系列米色兔子抱玫瑰公仔，柔软绒面材质，英伦浪漫设计，男女皆宜，甜蜜礼赠首选。</t>
        </is>
      </c>
    </row>
    <row r="65" ht="25.5" customHeight="1">
      <c r="A65">
        <v>1654975475</v>
      </c>
      <c r="B65">
        <v>7618607402</v>
      </c>
      <c r="C65" s="2" t="str">
        <f>=HYPERLINK("https://weidian.com/item.html?itemID=7618607402", "https://weidian.com/item.html?itemID=7618607402")</f>
        <v>https://weidian.com/item.html?itemID=7618607402</v>
      </c>
      <c r="D65"/>
      <c r="E65" s="2" t="str">
        <f>=HYPERLINK("https://si.geilicdn.com/pcitem2014204438-11e30000019abdbf526c0a23038e_1080_2349.jpg?w=750&amp;h=750&amp;cp=1", "https://si.geilicdn.com/pcitem2014204438-11e30000019abdbf526c0a23038e_1080_2349.jpg?w=750&amp;h=750&amp;cp=1")</f>
        <v>https://si.geilicdn.com/pcitem2014204438-11e30000019abdbf526c0a23038e_1080_2349.jpg?w=750&amp;h=750&amp;cp=1</v>
      </c>
      <c r="F65" t="inlineStr">
        <is>
          <t>Toys</t>
        </is>
      </c>
      <c r="G65" t="inlineStr">
        <is>
          <t xml:space="preserve"> Labubu</t>
        </is>
      </c>
      <c r="H65">
        <v>1860</v>
      </c>
      <c r="I65">
        <v>269.579710144927</v>
      </c>
      <c r="J65" t="inlineStr">
        <is>
          <t>{"id":"chatcmpl-DY4sV91FjuUUkIM5SQKSbOz1oLbpp","object":"chat.completion","created":1777014275,"model":"gpt-5-chat-latest","choices":[{"index":0,"message":{"role":"assistant","content":"Toys Labubu Gray Purple Elf Plush Doll","refusal":null,"annotations":[]},"logprobs":null,"finish_reason":"stop"}],"usage":{"prompt_tokens":882,"completion_tokens":10,"total_tokens":892,"prompt_tokens_details":{"cached_tokens":0,"audio_tokens":0},"completion_tokens_details":{"reasoning_tokens":0,"audio_tokens":0,"accepted_prediction_tokens":0,"rejected_prediction_tokens":0}},"service_tier":"default","system_fingerprint":"fp_ad66631dec"}</t>
        </is>
      </c>
      <c r="K65" t="inlineStr">
        <is>
          <t>Toys Labubu Gray Purple Elf Plush Doll</t>
        </is>
      </c>
      <c r="L65" t="inlineStr">
        <is>
          <t>{"id":"chatcmpl-DY4anvfgAkzx7wDLPvnswuVUB2zd1","object":"chat.completion","created":1777013177,"model":"gpt-5-chat-latest","choices":[{"index":0,"message":{"role":"assistant","content":"Toys LabubuLabubu Gray-Purple Plush Doll, made of soft high-density fiber, features a cute elf design blending art collectible and healing style, perfect home décor for men and women.","refusal":null,"annotations":[]},"logprobs":null,"finish_reason":"stop"}],"usage":{"prompt_tokens":905,"completion_tokens":40,"total_tokens":945,"prompt_tokens_details":{"cached_tokens":0,"audio_tokens":0},"completion_tokens_details":{"reasoning_tokens":0,"audio_tokens":0,"accepted_prediction_tokens":0,"rejected_prediction_tokens":0}},"service_tier":"default","system_fingerprint":"fp_ad66631dec"}</t>
        </is>
      </c>
      <c r="M6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ma=2592000","apim-request-id":"ccf90a27-8960-4d6a-a8be-2cb8eebfae1b","azureml-model-session":"d20260405225800-40f19e54","cache-control":"no-cache, no-store, must-revalidate","connection":"close","content-length":"988","content-security-policy":"frame-ancestors 'self'","content-type":"application/json","date":"Fri, 24 Apr 2026 06:46:19 GMT","server":"nginx","skip-error-remapping":"true","strict-transport-security":"max-age=31536000; includeSubDomains; preload","via":"1.1 Caddy, 1.1 Caddy","x-api-request-id":"20260424144616164124824GbAN4b0m","x-content-type-options":"nosniff","x-frame-options":"SAMEORIGIN","x-ms-is-spilled-over":"false","x-ms-rai-invoked":"false","x-ms-region":"East US 2","x-new-api-version":"0.4.39","x-oneapi-request-id":"20260424064616581607528268d9d67frNxlUu","x-ratelimit-abusepenalty-active":"False","x-ratelimit-limit-requests":"4992","x-ratelimit-limit-tokens":"4992000","x-ratelimit-remaining-requests":"4991","x-ratelimit-remaining-tokens":"4990333","x-ratelimit-renewalperiod-requests":"60","x-ratelimit-renewalperiod-tokens":"60","x-ratelimit-reset-requests":"12","x-ratelimit-reset-tokens":"20","x-request-id":"3254c6ad-de8e-4168-bb54-84c415712906"}</t>
        </is>
      </c>
      <c r="N65" t="inlineStr">
        <is>
          <t>Toys LabubuLabubu Gray-Purple Plush Doll, made of soft high-density fiber, features a cute elf design blending art collectible and healing style, perfect home décor for men and women.</t>
        </is>
      </c>
      <c r="O65" t="inlineStr">
        <is>
          <t>{"choices":[{"finish_reason":"stop","index":0,"logprobs":null,"message":{"annotations":[],"content":"Labubu, Toys, kakobuy, kakebuy2026, kekobuysheet, kakobuysheet2026, 2026kakobuy, kakobuyspreadsheeet, kakobuylink, kakebuylist, Kakobuy MEGA Spreadsheet, kakobuysheetfind, kakobuysheetfind2026, 2026kakobuysheetfind, kakobuysheet2026","refusal":null,"role":"assistant"}}],"created":1777015041,"id":"chatcmpl-DY54rn7kL1x0r5aTJwyifS5BDJ8SN","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65" t="inlineStr">
        <is>
          <t>Labubu, Toys, kakobuy, kakebuy2026, kekobuysheet, kakobuysheet2026, 2026kakobuy, kakobuyspreadsheeet, kakobuylink, kakebuylist, Kakobuy MEGA Spreadsheet, kakobuysheetfind, kakobuysheetfind2026, 2026kakobuysheetfind, kakobuysheet2026</t>
        </is>
      </c>
      <c r="Q65" t="inlineStr">
        <is>
          <t>Cute, Unisex, Home Style</t>
        </is>
      </c>
      <c r="R65" t="inlineStr">
        <is>
          <t>recvhju1CrRRYf</t>
        </is>
      </c>
      <c r="S65" t="inlineStr">
        <is>
          <t>labubu-gray-purple-elf-plush-doll-recvhju1crrryf</t>
        </is>
      </c>
      <c r="T65"/>
      <c r="U65"/>
      <c r="V65"/>
      <c r="W65" t="inlineStr">
        <is>
          <t>{"choices":[{"finish_reason":"stop","index":0,"logprobs":null,"message":{"annotations":[],"content":"Labubu 灰紫色毛绒玩偶，柔软高密度纤维材质打造，萌趣精灵造型设计，融合艺术收藏与治愈风格，适合男女皆宜的家居摆件或收藏展示，彰显潮玩时尚品味。","refusal":null,"role":"assistant"}}],"created":1777011639,"id":"chatcmpl-DY4BzJB2qIBMUEJ9rQplygmTkcAnT","model":"gpt-5-chat-latest","object":"chat.completion","service_tier":"default","system_fingerprint":"fp_ad66631dec","usage":{"completion_tokens":66,"completion_tokens_details":{"accepted_prediction_tokens":0,"audio_tokens":0,"reasoning_tokens":0,"rejected_prediction_tokens":0},"prompt_tokens":1310,"prompt_tokens_details":{"audio_tokens":0,"cached_tokens":1280},"total_tokens":1376}}</t>
        </is>
      </c>
      <c r="X65" t="inlineStr">
        <is>
          <t>Labubu 灰紫色毛绒玩偶，柔软高密度纤维材质打造，萌趣精灵造型设计，融合艺术收藏与治愈风格，适合男女皆宜的家居摆件或收藏展示，彰显潮玩时尚品味。</t>
        </is>
      </c>
    </row>
    <row r="66" ht="25.5" customHeight="1">
      <c r="A66">
        <v>1654975475</v>
      </c>
      <c r="B66">
        <v>7616246901</v>
      </c>
      <c r="C66" s="2" t="str">
        <f>=HYPERLINK("https://weidian.com/item.html?itemID=7616246901", "https://weidian.com/item.html?itemID=7616246901")</f>
        <v>https://weidian.com/item.html?itemID=7616246901</v>
      </c>
      <c r="D66"/>
      <c r="E66" s="2" t="str">
        <f>=HYPERLINK("https://si.geilicdn.com/pcitem2014204438-0e050000019abdc226480a2102c5_1080_1080.jpg?w=640&amp;h=640", "https://si.geilicdn.com/pcitem2014204438-0e050000019abdc226480a2102c5_1080_1080.jpg?w=640&amp;h=640")</f>
        <v>https://si.geilicdn.com/pcitem2014204438-0e050000019abdc226480a2102c5_1080_1080.jpg?w=640&amp;h=640</v>
      </c>
      <c r="F66" t="inlineStr">
        <is>
          <t>Toys</t>
        </is>
      </c>
      <c r="G66" t="inlineStr">
        <is>
          <t>Louis Vuitton</t>
        </is>
      </c>
      <c r="H66">
        <v>960</v>
      </c>
      <c r="I66">
        <v>139.13</v>
      </c>
      <c r="J66" t="inlineStr">
        <is>
          <t>{"choices":[{"finish_reason":"stop","index":0,"logprobs":null,"message":{"annotations":[],"content":"Louis Vuitton Monogram Floral Luxury Board Game Set","refusal":null,"role":"assistant"}}],"created":1777014170,"id":"chatcmpl-DY4qoaqpSNG26fG79iXimr5fzxi3L","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is>
      </c>
      <c r="K66" t="inlineStr">
        <is>
          <t>Louis Vuitton Monogram Floral Luxury Board Game Set</t>
        </is>
      </c>
      <c r="L66" t="inlineStr">
        <is>
          <t>{"choices":[{"finish_reason":"stop","index":0,"logprobs":null,"message":{"annotations":[],"content":"Louis Vuitton Limited Edition Monogram Floral Board Game Set in vivid red, yellow, and pink. Crafted from premium wood and leather, blending classic Monogram motifs with modern geometry for luxury and fun.","refusal":null,"role":"assistant"}}],"created":1777013251,"id":"chatcmpl-DY4bzWr3jBEb9cNs6ATbrv80HSXy8","model":"gpt-5-chat-latest","object":"chat.completion","service_tier":"default","system_fingerprint":"fp_ad66631dec","usage":{"completion_tokens":40,"completion_tokens_details":{"accepted_prediction_tokens":0,"audio_tokens":0,"reasoning_tokens":0,"rejected_prediction_tokens":0},"prompt_tokens":930,"prompt_tokens_details":{"audio_tokens":0,"cached_tokens":0},"total_tokens":970}}</t>
        </is>
      </c>
      <c r="M66" t="inlineStr">
        <is>
          <t>{"alt-svc":"h3=\":443\"; ma=2592000","apim-request-id":"f5a4db7a-5d62-42c2-a0fb-635a80d5a9fd","azureml-model-session":"d20260402083108-57a85543","cache-control":"no-cache","connection":"close","content-length":"793","content-security-policy":"frame-ancestors 'self'","content-type":"application/json","date":"Fri, 24 Apr 2026 06:47:33 GMT","server":"Caddy","skip-error-remapping":"true","strict-transport-security":"max-age=31536000; includeSubDomains; preload","via":"1.1 Caddy","x-api-request-id":"20260424144730837103483WabcIe9d","x-content-type-options":"nosniff","x-frame-options":"SAMEORIGIN","x-ms-client-request-id":"Not-Set","x-ms-is-spilled-over":"false","x-ms-rai-invoked":"true","x-ms-region":"East US 2","x-new-api-version":"0.4.39","x-oneapi-request-id":"202604240647306314769248268d9d6fq5fzmEL","x-ratelimit-abusepenalty-active":"False","x-ratelimit-limit-requests":"3850","x-ratelimit-limit-tokens":"3850000","x-ratelimit-remaining-requests":"3849","x-ratelimit-remaining-tokens":"3845068","x-ratelimit-renewalperiod-requests":"60","x-ratelimit-renewalperiod-tokens":"60","x-ratelimit-reset-requests":"19","x-ratelimit-reset-tokens":"76","x-request-id":"f3874515-004f-4b16-b83e-06c61c1b95e3"}</t>
        </is>
      </c>
      <c r="N66" t="inlineStr">
        <is>
          <t>Louis Vuitton Limited Edition Monogram Floral Board Game Set in vivid red, yellow, and pink. Crafted from premium wood and leather, blending classic Monogram motifs with modern geometry for luxury and fun.</t>
        </is>
      </c>
      <c r="O66" t="inlineStr">
        <is>
          <t>{"id":"chatcmpl-DY55qx5egEs5POtliJ1j9feqf3B3F","object":"chat.completion","created":1777015102,"model":"gpt-5-chat-latest","choices":[{"index":0,"message":{"role":"assistant","content":"Louis Vuitton,Toys,kakobuy,kakebuy2026,kekobuysheet,kakobuysheet2026,2026kakobuy,kakobuyspreadsheeet,kakobuylink,kakebuylist,Kakobuy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66" t="inlineStr">
        <is>
          <t>Louis Vuitton,Toys,kakobuy,kakebuy2026,kekobuysheet,kakobuysheet2026,2026kakobuy,kakobuyspreadsheeet,kakobuylink,kakebuylist,Kakobuy MEGA Spreadsheet,kakobuysheetfind,kakobuysheetfind2026,2026kakobuysheetfind,kakobuysheet2026</t>
        </is>
      </c>
      <c r="Q66" t="inlineStr">
        <is>
          <t>LV, Red, Yellow, Pink, Classic</t>
        </is>
      </c>
      <c r="R66" t="inlineStr">
        <is>
          <t>recvhju1Crc9Cc</t>
        </is>
      </c>
      <c r="S66" t="inlineStr">
        <is>
          <t>louis-vuitton-monogram-floral-board-game-recvhju1crc9cc</t>
        </is>
      </c>
      <c r="T66"/>
      <c r="U66"/>
      <c r="V66"/>
      <c r="W66" t="inlineStr">
        <is>
          <t>{"id":"chatcmpl-DY4DLUlsqmpbONvvxIf9CYHrMN7yM","object":"chat.completion","created":1777011723,"model":"gpt-5-chat-latest","choices":[{"index":0,"message":{"role":"assistant","content":"Louis Vuitton：限量版Monogram花卉棋盘游戏套装，缤纷红黄粉配色，精选木质与皮革材质打造，融入经典Monogram花卉图腾与现代几何构图，展现奢华艺术气息。独特创意设计兼具收藏与娱乐功能，适合男女皆宜，彰显品牌当代生活美学与匠心工艺。","refusal":null,"annotations":[]},"logprobs":null,"finish_reason":"stop"}],"usage":{"prompt_tokens":1300,"completion_tokens":96,"total_tokens":1396,"prompt_tokens_details":{"cached_tokens":0,"audio_tokens":0},"completion_tokens_details":{"reasoning_tokens":0,"audio_tokens":0,"accepted_prediction_tokens":0,"rejected_prediction_tokens":0}},"service_tier":"default","system_fingerprint":"fp_ad66631dec"}</t>
        </is>
      </c>
      <c r="X66" t="inlineStr">
        <is>
          <t>Louis Vuitton：限量版Monogram花卉棋盘游戏套装，缤纷红黄粉配色，精选木质与皮革材质打造，融入经典Monogram花卉图腾与现代几何构图，展现奢华艺术气息。独特创意设计兼具收藏与娱乐功能，适合男女皆宜，彰显品牌当代生活美学与匠心工艺。</t>
        </is>
      </c>
    </row>
    <row r="67" ht="25.5" customHeight="1">
      <c r="A67">
        <v>1654975475</v>
      </c>
      <c r="B67">
        <v>7616219141</v>
      </c>
      <c r="C67" s="2" t="str">
        <f>=HYPERLINK("https://weidian.com/item.html?itemID=7616219141", "https://weidian.com/item.html?itemID=7616219141")</f>
        <v>https://weidian.com/item.html?itemID=7616219141</v>
      </c>
      <c r="D67"/>
      <c r="E67" s="2" t="str">
        <f>=HYPERLINK("https://si.geilicdn.com/pcitem2014204438-5a6e0000019abdc818d20a231316_1440_1440.jpg?w=640&amp;h=640", "https://si.geilicdn.com/pcitem2014204438-5a6e0000019abdc818d20a231316_1440_1440.jpg?w=640&amp;h=640")</f>
        <v>https://si.geilicdn.com/pcitem2014204438-5a6e0000019abdc818d20a231316_1440_1440.jpg?w=640&amp;h=640</v>
      </c>
      <c r="F67" t="inlineStr">
        <is>
          <t>Accessories</t>
        </is>
      </c>
      <c r="G67" t="inlineStr">
        <is>
          <t>Louis Vuitton</t>
        </is>
      </c>
      <c r="H67">
        <v>210</v>
      </c>
      <c r="I67">
        <v>30.43</v>
      </c>
      <c r="J67" t="inlineStr">
        <is>
          <t>{"id":"chatcmpl-DY4w9i8SBSruC1pIBBtM9iJpc3LAm","object":"chat.completion","created":1777014501,"model":"gpt-5-chat-latest","choices":[{"index":0,"message":{"role":"assistant","content":"Louis Vuitton Silver Gold Heart Monogram Keychain Accessory","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67" t="inlineStr">
        <is>
          <t>Louis Vuitton Silver Gold Heart Monogram Keychain Accessory</t>
        </is>
      </c>
      <c r="L67" t="inlineStr">
        <is>
          <t>{"choices":[{"finish_reason":"stop","index":0,"logprobs":null,"message":{"annotations":[],"content":"Louis Vuitton Monogram Silver-Gold Heart Charm, crafted with luxury metal and leather twist design, elegant and unisex, perfect for keychain or bag accessory, showing chic French romance.","refusal":null,"role":"assistant"}}],"created":1777013331,"id":"chatcmpl-DY4dHDHgWgYKtTnn9jE56Y1QbQHZl","model":"gpt-5-chat-latest","object":"chat.completion","service_tier":"default","system_fingerprint":"fp_ad66631dec","usage":{"completion_tokens":38,"completion_tokens_details":{"accepted_prediction_tokens":0,"audio_tokens":0,"reasoning_tokens":0,"rejected_prediction_tokens":0},"prompt_tokens":899,"prompt_tokens_details":{"audio_tokens":0,"cached_tokens":0},"total_tokens":937}}</t>
        </is>
      </c>
      <c r="M67" t="inlineStr">
        <is>
          <t>{"alt-svc":"h3=\":443\"; ma=2592000","apim-request-id":"14822c43-5bfc-41d7-b366-0e3ff4f3399b","azureml-model-session":"d20260402083108-57a85543","cache-control":"no-cache","connection":"close","content-length":"775","content-security-policy":"frame-ancestors 'self'","content-type":"application/json","date":"Fri, 24 Apr 2026 06:48:52 GMT","server":"nginx","skip-error-remapping":"true","strict-transport-security":"max-age=31536000; includeSubDomains; preload","via":"1.1 Caddy, 1.1 Caddy","x-api-request-id":"20260424144850150135359EytRGgvf","x-content-type-options":"nosniff","x-frame-options":"SAMEORIGIN","x-ms-client-request-id":"Not-Set","x-ms-is-spilled-over":"false","x-ms-rai-invoked":"true","x-ms-region":"East US 2","x-new-api-version":"0.4.39","x-oneapi-request-id":"202604240648498881570888268d9d6YyWYubOj","x-ratelimit-abusepenalty-active":"False","x-ratelimit-limit-requests":"3850","x-ratelimit-limit-tokens":"3850000","x-ratelimit-remaining-requests":"3849","x-ratelimit-remaining-tokens":"3848339","x-ratelimit-renewalperiod-requests":"60","x-ratelimit-renewalperiod-tokens":"60","x-ratelimit-reset-requests":"15","x-ratelimit-reset-tokens":"25","x-request-id":"71afca10-e93c-4ad5-85a0-257ce52efa52"}</t>
        </is>
      </c>
      <c r="N67" t="inlineStr">
        <is>
          <t>Louis Vuitton Monogram Silver-Gold Heart Charm, crafted with luxury metal and leather twist design, elegant and unisex, perfect for keychain or bag accessory, showing chic French romance.</t>
        </is>
      </c>
      <c r="O67" t="inlineStr">
        <is>
          <t>{"id":"chatcmpl-DY58cSPFibAKDAjWamKGaJJnHJDHW","object":"chat.completion","created":1777015274,"model":"gpt-5-chat-latest","choices":[{"index":0,"message":{"role":"assistant","content":"Louis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67" t="inlineStr">
        <is>
          <t>Louis Vuitton, Accessories, kakobuy, kakebuy2026, kekobuysheet, kakobuysheet2026, 2026kakobuy, kakobuyspreadsheeet, kakobuylink, kakebuylist, Kakobuy MEGA Spreadsheet, kakobuysheetfind, kakobuysheetfind2026, 2026kakobuysheetfind, kakobuysheet2026</t>
        </is>
      </c>
      <c r="Q67" t="inlineStr">
        <is>
          <t>LV, Elegant, Unisex, Silver, Golden, Leather</t>
        </is>
      </c>
      <c r="R67" t="inlineStr">
        <is>
          <t>recvhju1CrFjND</t>
        </is>
      </c>
      <c r="S67" t="inlineStr">
        <is>
          <t>louis-vuitton-silver-gold-heart-monogram-keychain-recvhju1crfjnd</t>
        </is>
      </c>
      <c r="T67"/>
      <c r="U67"/>
      <c r="V67"/>
      <c r="W67" t="inlineStr">
        <is>
          <t>{"id":"chatcmpl-DY46gxAdI0VEYCMq6QX9LjYmLvbT5","object":"chat.completion","created":1777011310,"model":"gpt-5-chat-latest","choices":[{"index":0,"message":{"role":"assistant","content":"Louis Vuitton：Monogram系列银白配金爱心吊饰，采用奢华金属与皮革缠绕工艺，造型精致优雅，男女皆宜，展现高定法式浪漫格调，适用于钥匙扣或包饰点缀。","refusal":null,"annotations":[]},"logprobs":null,"finish_reason":"stop"}],"usage":{"prompt_tokens":1301,"completion_tokens":65,"total_tokens":1366,"prompt_tokens_details":{"cached_tokens":0,"audio_tokens":0},"completion_tokens_details":{"reasoning_tokens":0,"audio_tokens":0,"accepted_prediction_tokens":0,"rejected_prediction_tokens":0}},"service_tier":"default","system_fingerprint":"fp_ad66631dec"}</t>
        </is>
      </c>
      <c r="X67" t="inlineStr">
        <is>
          <t>Louis Vuitton：Monogram系列银白配金爱心吊饰，采用奢华金属与皮革缠绕工艺，造型精致优雅，男女皆宜，展现高定法式浪漫格调，适用于钥匙扣或包饰点缀。</t>
        </is>
      </c>
    </row>
    <row r="68" ht="25.5" customHeight="1">
      <c r="A68">
        <v>1654975475</v>
      </c>
      <c r="B68">
        <v>7619141518</v>
      </c>
      <c r="C68" s="2" t="str">
        <f>=HYPERLINK("https://weidian.com/item.html?itemID=7619141518", "https://weidian.com/item.html?itemID=7619141518")</f>
        <v>https://weidian.com/item.html?itemID=7619141518</v>
      </c>
      <c r="D68"/>
      <c r="E68" s="2" t="str">
        <f>=HYPERLINK("https://si.geilicdn.com/pcitem2014204438-04f10000019abdc323ff0a239646_1512_2016.jpg?w=640&amp;h=640", "https://si.geilicdn.com/pcitem2014204438-04f10000019abdc323ff0a239646_1512_2016.jpg?w=640&amp;h=640")</f>
        <v>https://si.geilicdn.com/pcitem2014204438-04f10000019abdc323ff0a239646_1512_2016.jpg?w=640&amp;h=640</v>
      </c>
      <c r="F68" t="inlineStr">
        <is>
          <t>Toys</t>
        </is>
      </c>
      <c r="G68" t="inlineStr">
        <is>
          <t>Jellycat</t>
        </is>
      </c>
      <c r="H68">
        <v>376</v>
      </c>
      <c r="I68">
        <v>54.49</v>
      </c>
      <c r="J68" t="inlineStr">
        <is>
          <t>{"id":"chatcmpl-DY4tOseGmw6y2j2Fmq2a6BBuY5npz","object":"chat.completion","created":1777014330,"model":"gpt-5-chat-latest","choices":[{"index":0,"message":{"role":"assistant","content":"Jellycat London Fuzzy Grey White Owl Plush Toy","refusal":null,"annotations":[]},"logprobs":null,"finish_reason":"stop"}],"usage":{"prompt_tokens":889,"completion_tokens":12,"total_tokens":901,"prompt_tokens_details":{"cached_tokens":0,"audio_tokens":0},"completion_tokens_details":{"reasoning_tokens":0,"audio_tokens":0,"accepted_prediction_tokens":0,"rejected_prediction_tokens":0}},"service_tier":"default","system_fingerprint":"fp_ad66631dec"}</t>
        </is>
      </c>
      <c r="K68" t="inlineStr">
        <is>
          <t>Jellycat London Fuzzy Grey White Owl Plush Toy</t>
        </is>
      </c>
      <c r="L68" t="inlineStr">
        <is>
          <t>{"id":"chatcmpl-DY4c3T7e8E6QlwkURPNJBZX5mgpUN","object":"chat.completion","created":1777013255,"model":"gpt-5-chat-latest","choices":[{"index":0,"message":{"role":"assistant","content":"Jellycat London Fuzzy Series Grey-White Owl Plush Toy, ultra-soft polyester, hand-stitched, vintage and cozy design, perfect for all ages to cuddle or collect, charming British style gift.","refusal":null,"annotations":[]},"logprobs":null,"finish_reason":"stop"}],"usage":{"prompt_tokens":907,"completion_tokens":43,"total_tokens":950,"prompt_tokens_details":{"cached_tokens":0,"audio_tokens":0},"completion_tokens_details":{"reasoning_tokens":0,"audio_tokens":0,"accepted_prediction_tokens":0,"rejected_prediction_tokens":0}},"service_tier":"default","system_fingerprint":"fp_ad66631dec"}</t>
        </is>
      </c>
      <c r="M6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ma=2592000","apim-request-id":"f21d0cdb-1350-4d88-9e3c-f4eb77ca9d93","azureml-model-session":"d20260405225800-40f19e54","cache-control":"no-cache, no-store, must-revalidate","connection":"close","content-length":"992","content-security-policy":"frame-ancestors 'self'","content-type":"application/json","date":"Fri, 24 Apr 2026 06:47:37 GMT","server":"nginx","skip-error-remapping":"true","strict-transport-security":"max-age=31536000; includeSubDomains; preload","via":"1.1 Caddy, 1.1 Caddy","x-api-request-id":"20260424144734121126904JcXjlRIz","x-content-type-options":"nosniff","x-frame-options":"SAMEORIGIN","x-ms-is-spilled-over":"false","x-ms-rai-invoked":"false","x-ms-region":"East US 2","x-new-api-version":"0.4.39","x-oneapi-request-id":"202604240647336318999668268d9d6GDxYkrkm","x-ratelimit-abusepenalty-active":"False","x-ratelimit-limit-requests":"4992","x-ratelimit-limit-tokens":"4992000","x-ratelimit-remaining-requests":"4990","x-ratelimit-remaining-tokens":"4988647","x-ratelimit-renewalperiod-requests":"60","x-ratelimit-renewalperiod-tokens":"60","x-ratelimit-reset-requests":"25","x-ratelimit-reset-tokens":"40","x-request-id":"7aa3d65d-7df5-417f-b06b-9272a5681a23"}</t>
        </is>
      </c>
      <c r="N68" t="inlineStr">
        <is>
          <t>Jellycat London Fuzzy Series Grey-White Owl Plush Toy, ultra-soft polyester, hand-stitched, vintage and cozy design, perfect for all ages to cuddle or collect, charming British style gift.</t>
        </is>
      </c>
      <c r="O68" t="inlineStr">
        <is>
          <t>{"choices":[{"finish_reason":"stop","index":0,"logprobs":null,"message":{"annotations":[],"content":"Jellycat,toys,kakobuy,kakebuy2026,kekobuysheet,kakobuysheet2026,2026kakobuy,kakobuyspreadsheeet,kakobuylink,kakebuylist,Kakobuy MEGA Spreadsheet,kakobuysheetfind,kakobuysheetfind2026,2026kakobuysheetfind,kakobuysheet2026","refusal":null,"role":"assistant"}}],"created":1777014882,"id":"chatcmpl-DY52IoCaJUmLNeHywoCeFEbODvaXB","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68" t="inlineStr">
        <is>
          <t>Jellycat,toys,kakobuy,kakebuy2026,kekobuysheet,kakobuysheet2026,2026kakobuy,kakobuyspreadsheeet,kakobuylink,kakebuylist,Kakobuy MEGA Spreadsheet,kakobuysheetfind,kakobuysheetfind2026,2026kakobuysheetfind,kakobuysheet2026</t>
        </is>
      </c>
      <c r="Q68" t="inlineStr">
        <is>
          <t>Polyester, Vintage, All Seasons</t>
        </is>
      </c>
      <c r="R68" t="inlineStr">
        <is>
          <t>recvhju1Crnvkp</t>
        </is>
      </c>
      <c r="S68" t="inlineStr">
        <is>
          <t>jellycat-fuzzy-grey-white-owl-plush-recvhju1crnvkp</t>
        </is>
      </c>
      <c r="T68"/>
      <c r="U68"/>
      <c r="V68"/>
      <c r="W68" t="inlineStr">
        <is>
          <t>{"choices":[{"finish_reason":"stop","index":0,"logprobs":null,"message":{"annotations":[],"content":"Jellycat：伦敦Fuzzy系列灰白猫头鹰绒毛玩偶，采用超柔软聚酯纤维材质，精致手工缝制，复古可爱治愈风格，适合男女及各年龄段收藏或拥抱玩伴，英伦设计感十足。","refusal":null,"role":"assistant"}}],"created":1777011641,"id":"chatcmpl-DY4C1FGmE75WT97HhqCovHZoFKXLp","model":"gpt-5-chat-latest","object":"chat.completion","service_tier":"default","system_fingerprint":"fp_ad66631dec","usage":{"completion_tokens":73,"completion_tokens_details":{"accepted_prediction_tokens":0,"audio_tokens":0,"reasoning_tokens":0,"rejected_prediction_tokens":0},"prompt_tokens":1300,"prompt_tokens_details":{"audio_tokens":0,"cached_tokens":0},"total_tokens":1373}}</t>
        </is>
      </c>
      <c r="X68" t="inlineStr">
        <is>
          <t>Jellycat：伦敦Fuzzy系列灰白猫头鹰绒毛玩偶，采用超柔软聚酯纤维材质，精致手工缝制，复古可爱治愈风格，适合男女及各年龄段收藏或拥抱玩伴，英伦设计感十足。</t>
        </is>
      </c>
    </row>
    <row r="69" ht="25.5" customHeight="1">
      <c r="A69">
        <v>1654975475</v>
      </c>
      <c r="B69">
        <v>7619200794</v>
      </c>
      <c r="C69" s="2" t="str">
        <f>=HYPERLINK("https://weidian.com/item.html?itemID=7619200794", "https://weidian.com/item.html?itemID=7619200794")</f>
        <v>https://weidian.com/item.html?itemID=7619200794</v>
      </c>
      <c r="D69"/>
      <c r="E69" s="2" t="str">
        <f>=HYPERLINK("https://si.geilicdn.com/pcitem2014204438-041c0000019abdc8b02e0a231177_1440_1440.jpg?w=640&amp;h=640", "https://si.geilicdn.com/pcitem2014204438-041c0000019abdc8b02e0a231177_1440_1440.jpg?w=640&amp;h=640")</f>
        <v>https://si.geilicdn.com/pcitem2014204438-041c0000019abdc8b02e0a231177_1440_1440.jpg?w=640&amp;h=640</v>
      </c>
      <c r="F69" t="inlineStr">
        <is>
          <t>Accessories</t>
        </is>
      </c>
      <c r="G69" t="inlineStr">
        <is>
          <t>Louis Vuitton</t>
        </is>
      </c>
      <c r="H69">
        <v>210</v>
      </c>
      <c r="I69">
        <v>30.43</v>
      </c>
      <c r="J69" t="inlineStr">
        <is>
          <t>{"id":"chatcmpl-DY4wwXKe4sgOBMPx8oWo4pDCwsuPG","object":"chat.completion","created":1777014550,"model":"gpt-5-chat-latest","choices":[{"index":0,"message":{"role":"assistant","content":"Louis Vuitton Pink Gold Heart Monogram Keychain Accessory","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69" t="inlineStr">
        <is>
          <t>Louis Vuitton Pink Gold Heart Monogram Keychain Accessory</t>
        </is>
      </c>
      <c r="L69" t="inlineStr">
        <is>
          <t>{"choices":[{"finish_reason":"stop","index":0,"logprobs":null,"message":{"annotations":[],"content":"Louis Vuitton Pink Gold Striped Heart Keychain, crafted from fine metal and leather with signature Monogram charm, blending sweet luxury and modern art for stylish, unisex elegance.","refusal":null,"role":"assistant"}}],"created":1777013386,"id":"chatcmpl-DY4eAMp64D7xX7ePHtm6BCYk8brd1","model":"gpt-5-chat-latest","object":"chat.completion","service_tier":"default","system_fingerprint":"fp_ad66631dec","usage":{"completion_tokens":36,"completion_tokens_details":{"accepted_prediction_tokens":0,"audio_tokens":0,"reasoning_tokens":0,"rejected_prediction_tokens":0},"prompt_tokens":898,"prompt_tokens_details":{"audio_tokens":0,"cached_tokens":0},"total_tokens":934}}</t>
        </is>
      </c>
      <c r="M69" t="inlineStr">
        <is>
          <t>{"alt-svc":"h3=\":443\"; ma=2592000","apim-request-id":"7fb25bb8-6a6f-496f-b8e5-54cd80e7f86c","azureml-model-session":"d20260405212659-a9daa006","cache-control":"no-cache","connection":"close","content-length":"769","content-security-policy":"frame-ancestors 'self'","content-type":"application/json","date":"Fri, 24 Apr 2026 06:49:47 GMT","server":"nginx","skip-error-remapping":"true","strict-transport-security":"max-age=31536000; includeSubDomains; preload","via":"1.1 Caddy, 1.1 Caddy","x-api-request-id":"20260424144945752716209yq2m2Glu","x-content-type-options":"nosniff","x-frame-options":"SAMEORIGIN","x-ms-client-request-id":"Not-Set","x-ms-is-spilled-over":"false","x-ms-rai-invoked":"true","x-ms-region":"East US 2","x-new-api-version":"0.4.39","x-oneapi-request-id":"202604240649455379051818268d9d6XeIkwFNK","x-ratelimit-abusepenalty-active":"False","x-ratelimit-limit-requests":"3850","x-ratelimit-limit-tokens":"3850000","x-ratelimit-remaining-requests":"3849","x-ratelimit-remaining-tokens":"3848340","x-ratelimit-renewalperiod-requests":"60","x-ratelimit-renewalperiod-tokens":"60","x-ratelimit-reset-requests":"15","x-ratelimit-reset-tokens":"25","x-request-id":"bf585d97-69bd-4a31-bdfa-e97b4233da24"}</t>
        </is>
      </c>
      <c r="N69" t="inlineStr">
        <is>
          <t>Louis Vuitton Pink Gold Striped Heart Keychain, crafted from fine metal and leather with signature Monogram charm, blending sweet luxury and modern art for stylish, unisex elegance.</t>
        </is>
      </c>
      <c r="O69" t="inlineStr">
        <is>
          <t>{"id":"chatcmpl-DY58HP5l1zmzAYwnYjlk7Lpbt1MiI","object":"chat.completion","created":1777015253,"model":"gpt-5-chat-latest","choices":[{"index":0,"message":{"role":"assistant","content":"Louis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69" t="inlineStr">
        <is>
          <t>Louis Vuitton, Accessories, kakobuy, kakebuy2026, kekobuysheet, kakobuysheet2026, 2026kakobuy, kakobuyspreadsheeet, kakobuylink, kakebuylist, Kakobuy MEGA Spreadsheet, kakobuysheetfind, kakobuysheetfind2026, 2026kakobuysheetfind, kakobuysheet2026</t>
        </is>
      </c>
      <c r="Q69" t="inlineStr">
        <is>
          <t>LV, Pink, Gold, Sweet, Unisex, Elegant</t>
        </is>
      </c>
      <c r="R69" t="inlineStr">
        <is>
          <t>recvhju1CrKUmR</t>
        </is>
      </c>
      <c r="S69" t="inlineStr">
        <is>
          <t>louis-vuitton-pink-gold-heart-monogram-keychain-recvhju1crkumr</t>
        </is>
      </c>
      <c r="T69"/>
      <c r="U69"/>
      <c r="V69"/>
      <c r="W69" t="inlineStr">
        <is>
          <t>{"choices":[{"finish_reason":"stop","index":0,"logprobs":null,"message":{"annotations":[],"content":"Louis Vuitton：粉金条纹心形金属钥匙扣，采用精致金属与皮革材质，搭配品牌经典Monogram吊饰，甜美奢华融合现代艺术设计风格，男女皆宜，彰显时尚格调与浪漫气息。","refusal":null,"role":"assistant"}}],"created":1777011830,"id":"chatcmpl-DY4F4wPc6Yw9qDFHeW9iRiFfqO2IS","model":"gpt-5-chat-latest","object":"chat.completion","service_tier":"default","system_fingerprint":"fp_ad66631dec","usage":{"completion_tokens":64,"completion_tokens_details":{"accepted_prediction_tokens":0,"audio_tokens":0,"reasoning_tokens":0,"rejected_prediction_tokens":0},"prompt_tokens":1301,"prompt_tokens_details":{"audio_tokens":0,"cached_tokens":1280},"total_tokens":1365}}</t>
        </is>
      </c>
      <c r="X69" t="inlineStr">
        <is>
          <t>Louis Vuitton：粉金条纹心形金属钥匙扣，采用精致金属与皮革材质，搭配品牌经典Monogram吊饰，甜美奢华融合现代艺术设计风格，男女皆宜，彰显时尚格调与浪漫气息。</t>
        </is>
      </c>
    </row>
    <row r="70" ht="25.5" customHeight="1">
      <c r="A70">
        <v>1654975475</v>
      </c>
      <c r="B70">
        <v>7619192878</v>
      </c>
      <c r="C70" s="2" t="str">
        <f>=HYPERLINK("https://weidian.com/item.html?itemID=7619192878", "https://weidian.com/item.html?itemID=7619192878")</f>
        <v>https://weidian.com/item.html?itemID=7619192878</v>
      </c>
      <c r="D70"/>
      <c r="E70" s="2" t="str">
        <f>=HYPERLINK("https://si.geilicdn.com/pcitem2014204438-1e0c0000019abdc93ba30a23111a_1440_1440.jpg?w=640&amp;h=640", "https://si.geilicdn.com/pcitem2014204438-1e0c0000019abdc93ba30a23111a_1440_1440.jpg?w=640&amp;h=640")</f>
        <v>https://si.geilicdn.com/pcitem2014204438-1e0c0000019abdc93ba30a23111a_1440_1440.jpg?w=640&amp;h=640</v>
      </c>
      <c r="F70" t="inlineStr">
        <is>
          <t>Accessories</t>
        </is>
      </c>
      <c r="G70" t="inlineStr">
        <is>
          <t>Louis Vuitton</t>
        </is>
      </c>
      <c r="H70">
        <v>210</v>
      </c>
      <c r="I70">
        <v>30.43</v>
      </c>
      <c r="J70" t="inlineStr">
        <is>
          <t>{"id":"chatcmpl-DY4qIyIsC4JrKusUJ1NuOW2Ak93Dg","object":"chat.completion","created":1777014138,"model":"gpt-5-chat-latest","choices":[{"index":0,"message":{"role":"assistant","content":"Louis Vuitton Monogram Heart Keychain Gold Black Accessory","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70" t="inlineStr">
        <is>
          <t>Louis Vuitton Monogram Heart Keychain Gold Black Accessory</t>
        </is>
      </c>
      <c r="L70" t="inlineStr">
        <is>
          <t>{"id":"chatcmpl-DY4hK7ndjqBMJKzKVn8Do9fsz5s9d","object":"chat.completion","created":1777013582,"model":"gpt-5-chat-latest","choices":[{"index":0,"message":{"role":"assistant","content":"Louis Vuitton Monogram Heart Keychain in gold and black brass with enamel design, showcasing modern elegance. Unisex luxury accessory with engraved LV details for a timeless, sophisticated look.","refusal":null,"annotations":[]},"logprobs":null,"finish_reason":"stop"}],"usage":{"prompt_tokens":897,"completion_tokens":36,"total_tokens":933,"prompt_tokens_details":{"cached_tokens":0,"audio_tokens":0},"completion_tokens_details":{"reasoning_tokens":0,"audio_tokens":0,"accepted_prediction_tokens":0,"rejected_prediction_tokens":0}},"service_tier":"default","system_fingerprint":"fp_ad66631dec"}</t>
        </is>
      </c>
      <c r="M7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ma=2592000","apim-request-id":"7be30b31-5110-484f-8e16-10eb377cb4a5","azureml-model-session":"d20260402075109-1fc5a0ec","cache-control":"no-cache, no-store, must-revalidate","connection":"close","content-length":"998","content-security-policy":"frame-ancestors 'self'","content-type":"application/json","date":"Fri, 24 Apr 2026 06:53:04 GMT","server":"Caddy","skip-error-remapping":"true","strict-transport-security":"max-age=31536000; includeSubDomains; preload","via":"1.1 Caddy","x-api-request-id":"20260424145300795646327PBrkhx7a","x-content-type-options":"nosniff","x-frame-options":"SAMEORIGIN","x-ms-is-spilled-over":"false","x-ms-rai-invoked":"false","x-ms-region":"East US 2","x-new-api-version":"0.4.39","x-oneapi-request-id":"202604240653005802174128268d9d6twCCCSs1","x-ratelimit-abusepenalty-active":"False","x-ratelimit-limit-requests":"4992","x-ratelimit-limit-tokens":"4992000","x-ratelimit-remaining-requests":"4991","x-ratelimit-remaining-tokens":"4990341","x-ratelimit-renewalperiod-requests":"60","x-ratelimit-renewalperiod-tokens":"60","x-ratelimit-reset-requests":"12","x-ratelimit-reset-tokens":"19","x-request-id":"ab701ff1-2440-420f-9454-09bc9b872c3b"}</t>
        </is>
      </c>
      <c r="N70" t="inlineStr">
        <is>
          <t>Louis Vuitton Monogram Heart Keychain in gold and black brass with enamel design, showcasing modern elegance. Unisex luxury accessory with engraved LV details for a timeless, sophisticated look.</t>
        </is>
      </c>
      <c r="O70" t="inlineStr">
        <is>
          <t>{"choices":[{"finish_reason":"stop","index":0,"logprobs":null,"message":{"annotations":[],"content":"Louis Vuitton, Accessories, kakobuy, kakebuy2026, kekobuysheet, kakobuysheet2026, 2026kakobuy, kakobuyspreadsheeet, kakobuylink, kakebuylist, Kakobuy MEGA Spreadsheet, kakobuysheetfind, kakobuysheetfind2026, 2026kakobuysheetfind, kakobuysheet2026","refusal":null,"role":"assistant"}}],"created":1777014939,"id":"chatcmpl-DY53DGgTnxfluIFm1rBFrSE4LgXgj","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70" t="inlineStr">
        <is>
          <t>Louis Vuitton, Accessories, kakobuy, kakebuy2026, kekobuysheet, kakobuysheet2026, 2026kakobuy, kakobuyspreadsheeet, kakobuylink, kakebuylist, Kakobuy MEGA Spreadsheet, kakobuysheetfind, kakobuysheetfind2026, 2026kakobuysheetfind, kakobuysheet2026</t>
        </is>
      </c>
      <c r="Q70" t="inlineStr">
        <is>
          <t>LV, Gold, Black, Unisex, Modern, Elegant</t>
        </is>
      </c>
      <c r="R70" t="inlineStr">
        <is>
          <t>recvhju1Cr3iWL</t>
        </is>
      </c>
      <c r="S70" t="inlineStr">
        <is>
          <t>louis-vuitton-monogram-heart-keychain-gold-black-recvhju1cr3i</t>
        </is>
      </c>
      <c r="T70"/>
      <c r="U70"/>
      <c r="V70"/>
      <c r="W70" t="inlineStr">
        <is>
          <t>{"choices":[{"finish_reason":"stop","index":0,"logprobs":null,"message":{"annotations":[],"content":"Louis Vuitton：Monogram系列金黑色爱心造型钥匙扣，黄铜与搪瓷材质交织设计，彰显现代优雅格调，细节镌刻品牌标识，男女皆宜，高级感十足的时尚配饰。","refusal":null,"role":"assistant"}}],"created":1777011773,"id":"chatcmpl-DY4E9h0newn9GDok5eoEmEjfsKR8X","model":"gpt-5-chat-latest","object":"chat.completion","service_tier":"default","system_fingerprint":"fp_ad66631dec","usage":{"completion_tokens":62,"completion_tokens_details":{"accepted_prediction_tokens":0,"audio_tokens":0,"reasoning_tokens":0,"rejected_prediction_tokens":0},"prompt_tokens":1303,"prompt_tokens_details":{"audio_tokens":0,"cached_tokens":0},"total_tokens":1365}}</t>
        </is>
      </c>
      <c r="X70" t="inlineStr">
        <is>
          <t>Louis Vuitton：Monogram系列金黑色爱心造型钥匙扣，黄铜与搪瓷材质交织设计，彰显现代优雅格调，细节镌刻品牌标识，男女皆宜，高级感十足的时尚配饰。</t>
        </is>
      </c>
    </row>
    <row r="71" ht="25.5" customHeight="1">
      <c r="A71">
        <v>1654975475</v>
      </c>
      <c r="B71">
        <v>7615457595</v>
      </c>
      <c r="C71" s="2" t="str">
        <f>=HYPERLINK("https://weidian.com/item.html?itemID=7615457595", "https://weidian.com/item.html?itemID=7615457595")</f>
        <v>https://weidian.com/item.html?itemID=7615457595</v>
      </c>
      <c r="D71"/>
      <c r="E71" s="2" t="str">
        <f>=HYPERLINK("https://si.geilicdn.com/pcitem2014204438-11c60000019abdc6ed070a81347d_1510_1924.jpg?w=640&amp;h=640", "https://si.geilicdn.com/pcitem2014204438-11c60000019abdc6ed070a81347d_1510_1924.jpg?w=640&amp;h=640")</f>
        <v>https://si.geilicdn.com/pcitem2014204438-11c60000019abdc6ed070a81347d_1510_1924.jpg?w=640&amp;h=640</v>
      </c>
      <c r="F71" t="inlineStr">
        <is>
          <t>Toys</t>
        </is>
      </c>
      <c r="G71" t="inlineStr">
        <is>
          <t>Louis Vuitton</t>
        </is>
      </c>
      <c r="H71">
        <v>260</v>
      </c>
      <c r="I71">
        <v>37.68</v>
      </c>
      <c r="J71" t="inlineStr">
        <is>
          <t>{"choices":[{"finish_reason":"stop","index":0,"logprobs":null,"message":{"annotations":[],"content":"Louis Vuitton Orange Monogram Flower Art Doll Collectible","refusal":null,"role":"assistant"}}],"created":1777014299,"id":"chatcmpl-DY4stxznFXUVAmf6ptbXQSdf90qZS","model":"gpt-5-chat-latest","object":"chat.completion","service_tier":"default","system_fingerprint":"fp_ad66631dec","usage":{"completion_tokens":11,"completion_tokens_details":{"accepted_prediction_tokens":0,"audio_tokens":0,"reasoning_tokens":0,"rejected_prediction_tokens":0},"prompt_tokens":870,"prompt_tokens_details":{"audio_tokens":0,"cached_tokens":0},"total_tokens":881}}</t>
        </is>
      </c>
      <c r="K71" t="inlineStr">
        <is>
          <t>Louis Vuitton Orange Monogram Flower Art Doll Collectible</t>
        </is>
      </c>
      <c r="L71" t="inlineStr">
        <is>
          <t>{"id":"chatcmpl-DY4feweNeySqPuJtTRWNPF0p8PuuH","object":"chat.completion","created":1777013478,"model":"gpt-5-chat-latest","choices":[{"index":0,"message":{"role":"assistant","content":"Louis Vuitton Orange Monogram Flower Doll, crafted from premium leather and resin, blends iconic floral motifs with modern art design—perfect for luxury collectors or stylish desk décor.","refusal":null,"annotations":[]},"logprobs":null,"finish_reason":"stop"}],"usage":{"prompt_tokens":904,"completion_tokens":34,"total_tokens":938,"prompt_tokens_details":{"cached_tokens":0,"audio_tokens":0},"completion_tokens_details":{"reasoning_tokens":0,"audio_tokens":0,"accepted_prediction_tokens":0,"rejected_prediction_tokens":0}},"service_tier":"default","system_fingerprint":"fp_ad66631dec"}</t>
        </is>
      </c>
      <c r="M7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ma=2592000","apim-request-id":"54930aba-98f8-42f5-a831-9a79d6fa58fc","azureml-model-session":"d20260402083108-57a85543","cache-control":"no-cache, no-store, must-revalidate","connection":"close","content-length":"993","content-security-policy":"frame-ancestors 'self'","content-type":"application/json","date":"Fri, 24 Apr 2026 06:51:19 GMT","server":"nginx","skip-error-remapping":"true","strict-transport-security":"max-age=31536000; includeSubDomains; preload","via":"1.1 Caddy, 1.1 Caddy","x-api-request-id":"20260424145116322732544NPhcPRWI","x-content-type-options":"nosniff","x-frame-options":"SAMEORIGIN","x-ms-is-spilled-over":"false","x-ms-rai-invoked":"false","x-ms-region":"East US 2","x-new-api-version":"0.4.39","x-oneapi-request-id":"202604240651162008329288268d9d6z6XvxH8Y","x-ratelimit-abusepenalty-active":"False","x-ratelimit-limit-requests":"4992","x-ratelimit-limit-tokens":"4992000","x-ratelimit-remaining-requests":"4991","x-ratelimit-remaining-tokens":"4990334","x-ratelimit-renewalperiod-requests":"60","x-ratelimit-renewalperiod-tokens":"60","x-ratelimit-reset-requests":"12","x-ratelimit-reset-tokens":"20","x-request-id":"a3f3c455-4d7d-43d0-a033-1e06c4b25067"}</t>
        </is>
      </c>
      <c r="N71" t="inlineStr">
        <is>
          <t>Louis Vuitton Orange Monogram Flower Doll, crafted from premium leather and resin, blends iconic floral motifs with modern art design—perfect for luxury collectors or stylish desk décor.</t>
        </is>
      </c>
      <c r="O71" t="inlineStr">
        <is>
          <t>{"id":"chatcmpl-DY58BJHW7s04jRYzBVSMlZmFjlkzk","object":"chat.completion","created":1777015247,"model":"gpt-5-chat-latest","choices":[{"index":0,"message":{"role":"assistant","content":"Louis Vuitton,Toy,kakobuy,kakebuy2026,kekobuysheet,kakobuysheet2026,2026kakobuy,kakobuyspreadsheeet,kakobuylink,kakebuylist,Kakobuy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71" t="inlineStr">
        <is>
          <t>Louis Vuitton,Toy,kakobuy,kakebuy2026,kekobuysheet,kakobuysheet2026,2026kakobuy,kakobuyspreadsheeet,kakobuylink,kakebuylist,Kakobuy MEGA Spreadsheet,kakobuysheetfind,kakobuysheetfind2026,2026kakobuysheetfind,kakobuysheet2026</t>
        </is>
      </c>
      <c r="Q71" t="inlineStr">
        <is>
          <t>LV, Orange, Leather, High End, Artistic Style</t>
        </is>
      </c>
      <c r="R71" t="inlineStr">
        <is>
          <t>recvhju1CrRQqM</t>
        </is>
      </c>
      <c r="S71" t="inlineStr">
        <is>
          <t>louis-vuitton-orange-monogram-flower-art-doll-recvhju1crrqm</t>
        </is>
      </c>
      <c r="T71"/>
      <c r="U71"/>
      <c r="V71"/>
      <c r="W71" t="inlineStr">
        <is>
          <t>{"choices":[{"finish_reason":"stop","index":0,"logprobs":null,"message":{"annotations":[],"content":"Louis Vuitton：橙色Monogram花形系列玩偶，采用优质皮革与树脂材质打造，融合品牌标志性花卉图腾与现代艺术设计，造型精致生动，适合时尚收藏或桌面装饰，彰显奢华趣味美学。","refusal":null,"role":"assistant"}}],"created":1777011415,"id":"chatcmpl-DY48NsZu1gHik3HISC8pGa8Q3snhx","model":"gpt-5-chat-latest","object":"chat.completion","service_tier":"default","system_fingerprint":"fp_ad66631dec","usage":{"completion_tokens":70,"completion_tokens_details":{"accepted_prediction_tokens":0,"audio_tokens":0,"reasoning_tokens":0,"rejected_prediction_tokens":0},"prompt_tokens":1300,"prompt_tokens_details":{"audio_tokens":0,"cached_tokens":0},"total_tokens":1370}}</t>
        </is>
      </c>
      <c r="X71" t="inlineStr">
        <is>
          <t>Louis Vuitton：橙色Monogram花形系列玩偶，采用优质皮革与树脂材质打造，融合品牌标志性花卉图腾与现代艺术设计，造型精致生动，适合时尚收藏或桌面装饰，彰显奢华趣味美学。</t>
        </is>
      </c>
    </row>
    <row r="72" ht="25.5" customHeight="1">
      <c r="A72">
        <v>1654975475</v>
      </c>
      <c r="B72">
        <v>7619200782</v>
      </c>
      <c r="C72" s="2" t="str">
        <f>=HYPERLINK("https://weidian.com/item.html?itemID=7619200782", "https://weidian.com/item.html?itemID=7619200782")</f>
        <v>https://weidian.com/item.html?itemID=7619200782</v>
      </c>
      <c r="D72"/>
      <c r="E72" s="2" t="str">
        <f>=HYPERLINK("https://si.geilicdn.com/pcitem2014204438-12a90000019abdc1e7950a20e284_640_840.jpg?w=640&amp;h=640", "https://si.geilicdn.com/pcitem2014204438-12a90000019abdc1e7950a20e284_640_840.jpg?w=640&amp;h=640")</f>
        <v>https://si.geilicdn.com/pcitem2014204438-12a90000019abdc1e7950a20e284_640_840.jpg?w=640&amp;h=640</v>
      </c>
      <c r="F72" t="inlineStr">
        <is>
          <t>Accessories</t>
        </is>
      </c>
      <c r="G72" t="inlineStr">
        <is>
          <t>Papahug</t>
        </is>
      </c>
      <c r="H72">
        <v>360</v>
      </c>
      <c r="I72">
        <v>52.17</v>
      </c>
      <c r="J72" t="inlineStr">
        <is>
          <t>{"choices":[{"finish_reason":"stop","index":0,"logprobs":null,"message":{"annotations":[],"content":"Papahug Fun Series Green Cartoon Woven Planter","refusal":null,"role":"assistant"}}],"created":1777014379,"id":"chatcmpl-DY4uBCONxkgeupv2wQrVCn6KJVQl7","model":"gpt-5-chat-latest","object":"chat.completion","service_tier":"default","system_fingerprint":"fp_ad66631dec","usage":{"completion_tokens":12,"completion_tokens_details":{"accepted_prediction_tokens":0,"audio_tokens":0,"reasoning_tokens":0,"rejected_prediction_tokens":0},"prompt_tokens":884,"prompt_tokens_details":{"audio_tokens":0,"cached_tokens":0},"total_tokens":896}}</t>
        </is>
      </c>
      <c r="K72" t="inlineStr">
        <is>
          <t>Papahug Fun Series Green Cartoon Woven Planter</t>
        </is>
      </c>
      <c r="L72" t="inlineStr">
        <is>
          <t>{"id":"chatcmpl-DY4bQCasbdqoNvWttiVaYkS6Tw9DK","object":"chat.completion","created":1777013216,"model":"gpt-5-chat-latest","choices":[{"index":0,"message":{"role":"assistant","content":"Papahug Fun Series Green Woven Planter made of eco-friendly fiber with cartoon design, 3D eyes and foot support, adds playful charm to indoor plants for modern home or office décor.","refusal":null,"annotations":[]},"logprobs":null,"finish_reason":"stop"}],"usage":{"prompt_tokens":908,"completion_tokens":41,"total_tokens":949,"prompt_tokens_details":{"cached_tokens":0,"audio_tokens":0},"completion_tokens_details":{"reasoning_tokens":0,"audio_tokens":0,"accepted_prediction_tokens":0,"rejected_prediction_tokens":0}},"service_tier":"default","system_fingerprint":"fp_ad66631dec"}</t>
        </is>
      </c>
      <c r="M7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ma=2592000","apim-request-id":"9d538a10-f4b0-4330-b5dd-d5e5b14c8b85","azureml-model-session":"d20260405225800-40f19e54","cache-control":"no-cache, no-store, must-revalidate","connection":"close","content-length":"986","content-security-policy":"frame-ancestors 'self'","content-type":"application/json","date":"Fri, 24 Apr 2026 06:46:57 GMT","server":"Caddy","skip-error-remapping":"true","strict-transport-security":"max-age=31536000; includeSubDomains; preload","via":"1.1 Caddy","x-api-request-id":"20260424144655595534477AZBPlWh","x-content-type-options":"nosniff","x-frame-options":"SAMEORIGIN","x-ms-is-spilled-over":"false","x-ms-rai-invoked":"false","x-ms-region":"East US 2","x-new-api-version":"0.4.39","x-oneapi-request-id":"202604240646547329859688268d9d6pnt8KPLk","x-ratelimit-abusepenalty-active":"False","x-ratelimit-limit-requests":"4992","x-ratelimit-limit-tokens":"4992000","x-ratelimit-remaining-requests":"4991","x-ratelimit-remaining-tokens":"4987312","x-ratelimit-renewalperiod-requests":"60","x-ratelimit-renewalperiod-tokens":"60","x-ratelimit-reset-requests":"12","x-ratelimit-reset-tokens":"56","x-request-id":"ebb12205-01d1-4e1d-af72-c29d9d76247b"}</t>
        </is>
      </c>
      <c r="N72" t="inlineStr">
        <is>
          <t>Papahug Fun Series Green Woven Planter made of eco-friendly fiber with cartoon design, 3D eyes and foot support, adds playful charm to indoor plants for modern home or office décor.</t>
        </is>
      </c>
      <c r="O72" t="inlineStr">
        <is>
          <t>{"id":"chatcmpl-DY59E8lxd4sYOkSkT7lVTu79jsTew","object":"chat.completion","created":1777015312,"model":"gpt-5-chat-latest","choices":[{"index":0,"message":{"role":"assistant","content":"AccessoriesPapahug,Flower Pot,kakobuy,kakebuy2026,kekobuysheet,kakobuysheet2026,2026kakobuy,kakobuyspreadsheeet,kakobuylink,kakebuylist,Kakobuy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90,"total_tokens":873,"prompt_tokens_details":{"cached_tokens":0,"audio_tokens":0},"completion_tokens_details":{"reasoning_tokens":0,"audio_tokens":0,"accepted_prediction_tokens":0,"rejected_prediction_tokens":0}},"service_tier":"default","system_fingerprint":"fp_ad66631dec"}</t>
        </is>
      </c>
      <c r="P72" t="inlineStr">
        <is>
          <t>AccessoriesPapahug,Flower Pot,kakobuy,kakebuy2026,kekobuysheet,kakobuysheet2026,2026kakobuy,kakobuyspreadsheeet,kakobuylink,kakebuylist,Kakobuy MEGA Spreadsheet,kakobuysheetfind,kakobuysheetfind2026,2026kakobuysheetfind,kakobuysheet2026</t>
        </is>
      </c>
      <c r="Q72"/>
      <c r="R72" t="inlineStr">
        <is>
          <t>recvhju1CrXHSD</t>
        </is>
      </c>
      <c r="S72" t="inlineStr">
        <is>
          <t>papahug-fun-series-green-cartoon-woven-planter-recvhju1crxhsd</t>
        </is>
      </c>
      <c r="T72"/>
      <c r="U72"/>
      <c r="V72"/>
      <c r="W72" t="inlineStr">
        <is>
          <t>{"id":"chatcmpl-DY4CDXoWQ86hKGNQvbgnWPifqX7rZ","object":"chat.completion","created":1777011653,"model":"gpt-5-chat-latest","choices":[{"index":0,"message":{"role":"assistant","content":"Papahug 趣味系列绿色编织花盆，采用环保纤维材质，造型创意卡通风格，配有立体眼睛与脚部支撑设计，增添室内植物装饰趣味，适合现代家居与办公空间点缀，彰显轻奢童趣美学。","refusal":null,"annotations":[]},"logprobs":null,"finish_reason":"stop"}],"usage":{"prompt_tokens":1299,"completion_tokens":75,"total_tokens":1374,"prompt_tokens_details":{"cached_tokens":0,"audio_tokens":0},"completion_tokens_details":{"reasoning_tokens":0,"audio_tokens":0,"accepted_prediction_tokens":0,"rejected_prediction_tokens":0}},"service_tier":"default","system_fingerprint":"fp_ad66631dec"}</t>
        </is>
      </c>
      <c r="X72" t="inlineStr">
        <is>
          <t>Papahug 趣味系列绿色编织花盆，采用环保纤维材质，造型创意卡通风格，配有立体眼睛与脚部支撑设计，增添室内植物装饰趣味，适合现代家居与办公空间点缀，彰显轻奢童趣美学。</t>
        </is>
      </c>
    </row>
    <row r="73" ht="25.5" customHeight="1">
      <c r="A73">
        <v>1654975475</v>
      </c>
      <c r="B73">
        <v>7619185212</v>
      </c>
      <c r="C73" s="2" t="str">
        <f>=HYPERLINK("https://weidian.com/item.html?itemID=7619185212", "https://weidian.com/item.html?itemID=7619185212")</f>
        <v>https://weidian.com/item.html?itemID=7619185212</v>
      </c>
      <c r="D73"/>
      <c r="E73" s="2" t="str">
        <f>=HYPERLINK("https://si.geilicdn.com/pcitem2014204438-1d7e0000019abdc7864e0a23111a_1534_1924.jpg?w=640&amp;h=640", "https://si.geilicdn.com/pcitem2014204438-1d7e0000019abdc7864e0a23111a_1534_1924.jpg?w=640&amp;h=640")</f>
        <v>https://si.geilicdn.com/pcitem2014204438-1d7e0000019abdc7864e0a23111a_1534_1924.jpg?w=640&amp;h=640</v>
      </c>
      <c r="F73" t="inlineStr">
        <is>
          <t>Toys</t>
        </is>
      </c>
      <c r="G73" t="inlineStr">
        <is>
          <t>Louis Vuitton</t>
        </is>
      </c>
      <c r="H73">
        <v>260</v>
      </c>
      <c r="I73">
        <v>37.68</v>
      </c>
      <c r="J73" t="inlineStr">
        <is>
          <t>{"choices":[{"finish_reason":"stop","index":0,"logprobs":null,"message":{"annotations":[],"content":"Louis Vuitton Blue Flower Striped Leather Charm","refusal":null,"role":"assistant"}}],"created":1777014426,"id":"chatcmpl-DY4uwh9B7TVrZsuVSuuxA3YBruV2r","model":"gpt-5-chat-latest","object":"chat.completion","service_tier":"default","system_fingerprint":"fp_ad66631dec","usage":{"completion_tokens":9,"completion_tokens_details":{"accepted_prediction_tokens":0,"audio_tokens":0,"reasoning_tokens":0,"rejected_prediction_tokens":0},"prompt_tokens":874,"prompt_tokens_details":{"audio_tokens":0,"cached_tokens":0},"total_tokens":883}}</t>
        </is>
      </c>
      <c r="K73" t="inlineStr">
        <is>
          <t>Louis Vuitton Blue Flower Striped Leather Charm</t>
        </is>
      </c>
      <c r="L73" t="inlineStr">
        <is>
          <t>{"choices":[{"finish_reason":"stop","index":0,"logprobs":null,"message":{"annotations":[],"content":"Louis Vuitton Monogram Flower Blue White Striped Leather Charm, featuring brown round center with blue petals, metal logo tag accent, unisex playful design embodying modern luxury elegance.","refusal":null,"role":"assistant"}}],"created":1777013555,"id":"chatcmpl-DY4gt5yTxk0aO9bfCTTh14pyUZgL0","model":"gpt-5-chat-latest","object":"chat.completion","service_tier":"default","system_fingerprint":"fp_ad66631dec","usage":{"completion_tokens":36,"completion_tokens_details":{"accepted_prediction_tokens":0,"audio_tokens":0,"reasoning_tokens":0,"rejected_prediction_tokens":0},"prompt_tokens":902,"prompt_tokens_details":{"audio_tokens":0,"cached_tokens":0},"total_tokens":938}}</t>
        </is>
      </c>
      <c r="M73" t="inlineStr">
        <is>
          <t>{"alt-svc":"h3=\":443\"; ma=2592000","apim-request-id":"7e42e9dc-a2ea-45af-98e4-f7353c169ecf","azureml-model-session":"d20260402074105-51db401e","cache-control":"no-cache","connection":"close","content-length":"777","content-security-policy":"frame-ancestors 'self'","content-type":"application/json","date":"Fri, 24 Apr 2026 06:52:36 GMT","server":"Caddy","skip-error-remapping":"true","strict-transport-security":"max-age=31536000; includeSubDomains; preload","via":"1.1 Caddy","x-api-request-id":"2026042414523489160680kKOCADJM","x-content-type-options":"nosniff","x-frame-options":"SAMEORIGIN","x-ms-client-request-id":"Not-Set","x-ms-is-spilled-over":"false","x-ms-rai-invoked":"true","x-ms-region":"East US 2","x-new-api-version":"0.4.39","x-oneapi-request-id":"202604240652339453319458268d9d6nwgrPEtB","x-ratelimit-abusepenalty-active":"False","x-ratelimit-limit-requests":"3850","x-ratelimit-limit-tokens":"3850000","x-ratelimit-remaining-requests":"3849","x-ratelimit-remaining-tokens":"3848336","x-ratelimit-renewalperiod-requests":"60","x-ratelimit-renewalperiod-tokens":"60","x-ratelimit-reset-requests":"15","x-ratelimit-reset-tokens":"25","x-request-id":"2fc4841d-4c15-4d69-b9e1-27e80ac13642"}</t>
        </is>
      </c>
      <c r="N73" t="inlineStr">
        <is>
          <t>Louis Vuitton Monogram Flower Blue White Striped Leather Charm, featuring brown round center with blue petals, metal logo tag accent, unisex playful design embodying modern luxury elegance.</t>
        </is>
      </c>
      <c r="O73" t="inlineStr">
        <is>
          <t>{"choices":[{"finish_reason":"stop","index":0,"logprobs":null,"message":{"annotations":[],"content":"Louis Vuitton,Toys,kakobuy,kakebuy2026,kekobuysheet,kakobuysheet2026,2026kakobuy,kakobuyspreadsheeet,kakobuylink,kakebuylist,Kakobuy MEGA Spreadsheet,kakobuysheetfind,kakobuysheetfind2026,2026kakobuysheetfind,kakobuysheet2026","refusal":null,"role":"assistant"}}],"created":1777015159,"id":"chatcmpl-DY56lPp3g84wNonSEG0GdOHmXQzhz","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73" t="inlineStr">
        <is>
          <t>Louis Vuitton,Toys,kakobuy,kakebuy2026,kekobuysheet,kakobuysheet2026,2026kakobuy,kakobuyspreadsheeet,kakobuylink,kakebuylist,Kakobuy MEGA Spreadsheet,kakobuysheetfind,kakobuysheetfind2026,2026kakobuysheetfind,kakobuysheet2026</t>
        </is>
      </c>
      <c r="Q73" t="inlineStr">
        <is>
          <t>LV, Leather, Blue, White, Brown, Unisex</t>
        </is>
      </c>
      <c r="R73" t="inlineStr">
        <is>
          <t>recvhju1CrKx9L</t>
        </is>
      </c>
      <c r="S73" t="inlineStr">
        <is>
          <t>louis-vuitton-blue-flower-striped-leather-charm-recvhju1crkx9l</t>
        </is>
      </c>
      <c r="T73"/>
      <c r="U73"/>
      <c r="V73"/>
      <c r="W73" t="inlineStr">
        <is>
          <t>{"id":"chatcmpl-DY4GvfF0pxzZCeQmwzhfxIAgtNrLO","object":"chat.completion","created":1777011945,"model":"gpt-5-chat-latest","choices":[{"index":0,"message":{"role":"assistant","content":"Louis Vuitton：Monogram Flower 蓝白条纹皮革饰品吊坠，棕色圆面点缀蓝色花瓣细节，金属质感搭配品牌标识吊牌，时尚趣味设计，男女皆宜，彰显现代奢华格调。","refusal":null,"annotations":[]},"logprobs":null,"finish_reason":"stop"}],"usage":{"prompt_tokens":1306,"completion_tokens":65,"total_tokens":1371,"prompt_tokens_details":{"cached_tokens":0,"audio_tokens":0},"completion_tokens_details":{"reasoning_tokens":0,"audio_tokens":0,"accepted_prediction_tokens":0,"rejected_prediction_tokens":0}},"service_tier":"default","system_fingerprint":"fp_ad66631dec"}</t>
        </is>
      </c>
      <c r="X73" t="inlineStr">
        <is>
          <t>Louis Vuitton：Monogram Flower 蓝白条纹皮革饰品吊坠，棕色圆面点缀蓝色花瓣细节，金属质感搭配品牌标识吊牌，时尚趣味设计，男女皆宜，彰显现代奢华格调。</t>
        </is>
      </c>
    </row>
    <row r="74" ht="25.5" customHeight="1">
      <c r="A74">
        <v>1654975475</v>
      </c>
      <c r="B74">
        <v>7619183250</v>
      </c>
      <c r="C74" s="2" t="str">
        <f>=HYPERLINK("https://weidian.com/item.html?itemID=7619183250", "https://weidian.com/item.html?itemID=7619183250")</f>
        <v>https://weidian.com/item.html?itemID=7619183250</v>
      </c>
      <c r="D74"/>
      <c r="E74" s="2" t="str">
        <f>=HYPERLINK("https://si.geilicdn.com/pcitem2014204438-129d0000019abdc9b83a0a81347d_1440_1440.jpg?w=640&amp;h=640", "https://si.geilicdn.com/pcitem2014204438-129d0000019abdc9b83a0a81347d_1440_1440.jpg?w=640&amp;h=640")</f>
        <v>https://si.geilicdn.com/pcitem2014204438-129d0000019abdc9b83a0a81347d_1440_1440.jpg?w=640&amp;h=640</v>
      </c>
      <c r="F74" t="inlineStr">
        <is>
          <t>Toys</t>
        </is>
      </c>
      <c r="G74" t="inlineStr">
        <is>
          <t>Louis Vuitton</t>
        </is>
      </c>
      <c r="H74">
        <v>210</v>
      </c>
      <c r="I74">
        <v>30.43</v>
      </c>
      <c r="J74" t="inlineStr">
        <is>
          <t>{"id":"chatcmpl-DY4vkdQURz1jdZYR6icZ79YMq7spo","object":"chat.completion","created":1777014476,"model":"gpt-5-chat-latest","choices":[{"index":0,"message":{"role":"assistant","content":"Louis Vuitton Candy Heart Christmas Keychain","refusal":null,"annotations":[]},"logprobs":null,"finish_reason":"stop"}],"usage":{"prompt_tokens":878,"completion_tokens":8,"total_tokens":886,"prompt_tokens_details":{"cached_tokens":0,"audio_tokens":0},"completion_tokens_details":{"reasoning_tokens":0,"audio_tokens":0,"accepted_prediction_tokens":0,"rejected_prediction_tokens":0}},"service_tier":"default","system_fingerprint":"fp_ad66631dec"}</t>
        </is>
      </c>
      <c r="K74" t="inlineStr">
        <is>
          <t>Louis Vuitton Candy Heart Christmas Keychain</t>
        </is>
      </c>
      <c r="L74" t="inlineStr">
        <is>
          <t>{"choices":[{"finish_reason":"stop","index":0,"logprobs":null,"message":{"annotations":[],"content":"Louis Vuitton Christmas Limited Candy Heart Keychain, crafted in gold-tone metal and enamel, features Monogram charm accents, unisex, perfect for bags or keys, adding festive luxury charm.","refusal":null,"role":"assistant"}}],"created":1777013180,"id":"chatcmpl-DY4aq3hZBvBLwdeZJBpggYSt4IuzT","model":"gpt-5-chat-latest","object":"chat.completion","service_tier":"default","system_fingerprint":"fp_ad66631dec","usage":{"completion_tokens":38,"completion_tokens_details":{"accepted_prediction_tokens":0,"audio_tokens":0,"reasoning_tokens":0,"rejected_prediction_tokens":0},"prompt_tokens":921,"prompt_tokens_details":{"audio_tokens":0,"cached_tokens":0},"total_tokens":959}}</t>
        </is>
      </c>
      <c r="M74" t="inlineStr">
        <is>
          <t>{"alt-svc":"h3=\":443\"; ma=2592000","apim-request-id":"244073ad-7e35-4545-a2a7-9168087259c8","azureml-model-session":"d20260402074105-51db401e","cache-control":"no-cache","connection":"close","content-length":"776","content-security-policy":"frame-ancestors 'self'","content-type":"application/json","date":"Fri, 24 Apr 2026 06:46:22 GMT","server":"nginx","skip-error-remapping":"true","strict-transport-security":"max-age=31536000; includeSubDomains; preload","via":"1.1 Caddy, 1.1 Caddy","x-api-request-id":"20260424144619927982092qC8bYX5c","x-content-type-options":"nosniff","x-frame-options":"SAMEORIGIN","x-ms-client-request-id":"Not-Set","x-ms-is-spilled-over":"false","x-ms-rai-invoked":"true","x-ms-region":"East US 2","x-new-api-version":"0.4.39","x-oneapi-request-id":"202604240646196895956218268d9d6iYr67TBe","x-ratelimit-abusepenalty-active":"False","x-ratelimit-limit-requests":"3850","x-ratelimit-limit-tokens":"3850000","x-ratelimit-remaining-requests":"3849","x-ratelimit-remaining-tokens":"3847738","x-ratelimit-renewalperiod-requests":"60","x-ratelimit-renewalperiod-tokens":"60","x-ratelimit-reset-requests":"15","x-ratelimit-reset-tokens":"35","x-request-id":"1d647674-a13d-4424-a996-e225326f9a16"}</t>
        </is>
      </c>
      <c r="N74" t="inlineStr">
        <is>
          <t>Louis Vuitton Christmas Limited Candy Heart Keychain, crafted in gold-tone metal and enamel, features Monogram charm accents, unisex, perfect for bags or keys, adding festive luxury charm.</t>
        </is>
      </c>
      <c r="O74" t="inlineStr">
        <is>
          <t>{"choices":[{"finish_reason":"stop","index":0,"logprobs":null,"message":{"annotations":[],"content":"Louis Vuitton,Toys,kakobuy,kakebuy2026,kekobuysheet,kakobuysheet2026,2026kakobuy,kakobuyspreadsheeet,kakobuylink,kakebuylist,Kakobuy MEGA Spreadsheet,kakobuysheetfind,kakobuysheetfind2026,2026kakobuysheetfind,kakobuysheet2026","refusal":null,"role":"assistant"}}],"created":1777014915,"id":"chatcmpl-DY52pgTiTDHzbEknvsLXe3jf32eOe","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74" t="inlineStr">
        <is>
          <t>Louis Vuitton,Toys,kakobuy,kakebuy2026,kekobuysheet,kakobuysheet2026,2026kakobuy,kakobuyspreadsheeet,kakobuylink,kakebuylist,Kakobuy MEGA Spreadsheet,kakobuysheetfind,kakobuysheetfind2026,2026kakobuysheetfind,kakobuysheet2026</t>
        </is>
      </c>
      <c r="Q74" t="inlineStr">
        <is>
          <t>LV, Unisex, Gold</t>
        </is>
      </c>
      <c r="R74" t="inlineStr">
        <is>
          <t>recvhju1Crz9cZ</t>
        </is>
      </c>
      <c r="S74" t="inlineStr">
        <is>
          <t>louis-vuitton-candy-heart-christmas-keychain-recvhju1crz9cz</t>
        </is>
      </c>
      <c r="T74"/>
      <c r="U74"/>
      <c r="V74"/>
      <c r="W74" t="inlineStr">
        <is>
          <t>{"choices":[{"finish_reason":"stop","index":0,"logprobs":null,"message":{"annotations":[],"content":"Louis Vuitton：圣诞限定红白糖果心钥匙扣，金色金属与珐琅材质融合，镶嵌经典Monogram花形吊饰，设计精致浪漫，彰显品牌法式优雅格调，男女皆宜，适合包饰或钥匙使用，尽显节日甜蜜与奢华气息。","refusal":null,"role":"assistant"}}],"created":1777011849,"id":"chatcmpl-DY4FNc53Wldr1mk8QiWFTfy7glRE4","model":"gpt-5-chat-latest","object":"chat.completion","service_tier":"default","system_fingerprint":"fp_ad66631dec","usage":{"completion_tokens":85,"completion_tokens_details":{"accepted_prediction_tokens":0,"audio_tokens":0,"reasoning_tokens":0,"rejected_prediction_tokens":0},"prompt_tokens":1304,"prompt_tokens_details":{"audio_tokens":0,"cached_tokens":0},"total_tokens":1389}}</t>
        </is>
      </c>
      <c r="X74" t="inlineStr">
        <is>
          <t>Louis Vuitton：圣诞限定红白糖果心钥匙扣，金色金属与珐琅材质融合，镶嵌经典Monogram花形吊饰，设计精致浪漫，彰显品牌法式优雅格调，男女皆宜，适合包饰或钥匙使用，尽显节日甜蜜与奢华气息。</t>
        </is>
      </c>
    </row>
    <row r="75" ht="25.5" customHeight="1">
      <c r="A75">
        <v>1654975475</v>
      </c>
      <c r="B75">
        <v>7616179011</v>
      </c>
      <c r="C75" s="2" t="str">
        <f>=HYPERLINK("https://weidian.com/item.html?itemID=7616179011", "https://weidian.com/item.html?itemID=7616179011")</f>
        <v>https://weidian.com/item.html?itemID=7616179011</v>
      </c>
      <c r="D75"/>
      <c r="E75" s="2" t="str">
        <f>=HYPERLINK("https://si.geilicdn.com/pcitem2014204438-10f20000019abdb031020a8133cc_1280_1707.jpg?w=640&amp;h=640", "https://si.geilicdn.com/pcitem2014204438-10f20000019abdb031020a8133cc_1280_1707.jpg?w=640&amp;h=640")</f>
        <v>https://si.geilicdn.com/pcitem2014204438-10f20000019abdb031020a8133cc_1280_1707.jpg?w=640&amp;h=640</v>
      </c>
      <c r="F75" t="inlineStr">
        <is>
          <t>Toys</t>
        </is>
      </c>
      <c r="G75" t="inlineStr">
        <is>
          <t>Molly</t>
        </is>
      </c>
      <c r="H75">
        <v>1560</v>
      </c>
      <c r="I75">
        <v>226.09</v>
      </c>
      <c r="J75" t="inlineStr">
        <is>
          <t>{"choices":[{"finish_reason":"stop","index":0,"logprobs":null,"message":{"annotations":[],"content":"ToysMolly Space Series Red Blue Astronaut PVC Figure","refusal":null,"role":"assistant"}}],"created":1777014166,"id":"chatcmpl-DY4qkLzWkeBmABaKhorZbvgcSemwR","model":"gpt-5-chat-latest","object":"chat.completion","service_tier":"default","system_fingerprint":"fp_ad66631dec","usage":{"completion_tokens":13,"completion_tokens_details":{"accepted_prediction_tokens":0,"audio_tokens":0,"reasoning_tokens":0,"rejected_prediction_tokens":0},"prompt_tokens":882,"prompt_tokens_details":{"audio_tokens":0,"cached_tokens":0},"total_tokens":895}}</t>
        </is>
      </c>
      <c r="K75" t="inlineStr">
        <is>
          <t>ToysMolly Space Series Red Blue Astronaut PVC Figure</t>
        </is>
      </c>
      <c r="L75" t="inlineStr">
        <is>
          <t>{"choices":[{"finish_reason":"stop","index":0,"logprobs":null,"message":{"annotations":[],"content":"ToysMollyMolly Space Series Red-Blue PVC Figure, inspired by futuristic astronaut style, features vivid design, fine details, and trendy cartoon art—perfect for collectors and home décor.","refusal":null,"role":"assistant"}}],"created":1777013564,"id":"chatcmpl-DY4h2tk2rto2E3CwcefuCW79oL3mQ","model":"gpt-5-chat-latest","object":"chat.completion","service_tier":"default","system_fingerprint":"fp_ad66631dec","usage":{"completion_tokens":40,"completion_tokens_details":{"accepted_prediction_tokens":0,"audio_tokens":0,"reasoning_tokens":0,"rejected_prediction_tokens":0},"prompt_tokens":905,"prompt_tokens_details":{"audio_tokens":0,"cached_tokens":0},"total_tokens":945}}</t>
        </is>
      </c>
      <c r="M75" t="inlineStr">
        <is>
          <t>{"alt-svc":"h3=\":443\"; ma=2592000","apim-request-id":"4a73fc26-fea8-4798-b2f4-58d19dfbcd42","azureml-model-session":"d20260405221325-2e8d5e76","cache-control":"no-cache","connection":"close","content-length":"778","content-security-policy":"frame-ancestors 'self'","content-type":"application/json","date":"Fri, 24 Apr 2026 06:52:45 GMT","server":"nginx","skip-error-remapping":"true","strict-transport-security":"max-age=31536000; includeSubDomains; preload","via":"1.1 Caddy, 1.1 Caddy","x-api-request-id":"202604241452428872431935O16Tc1Z","x-content-type-options":"nosniff","x-frame-options":"SAMEORIGIN","x-ms-client-request-id":"Not-Set","x-ms-is-spilled-over":"false","x-ms-rai-invoked":"true","x-ms-region":"East US 2","x-new-api-version":"0.4.39","x-oneapi-request-id":"202604240652425530302008268d9d6u6SvqTQS","x-ratelimit-abusepenalty-active":"False","x-ratelimit-limit-requests":"3850","x-ratelimit-limit-tokens":"3850000","x-ratelimit-remaining-requests":"3849","x-ratelimit-remaining-tokens":"3848333","x-ratelimit-renewalperiod-requests":"60","x-ratelimit-renewalperiod-tokens":"60","x-ratelimit-reset-requests":"15","x-ratelimit-reset-tokens":"25","x-request-id":"466817b6-29ce-48f0-b470-e5a4502dfdff"}</t>
        </is>
      </c>
      <c r="N75" t="inlineStr">
        <is>
          <t>ToysMollyMolly Space Series Red-Blue PVC Figure, inspired by futuristic astronaut style, features vivid design, fine details, and trendy cartoon art—perfect for collectors and home décor.</t>
        </is>
      </c>
      <c r="O75" t="inlineStr">
        <is>
          <t>{"id":"chatcmpl-DY54sXwAWYkJyuXLr9bwTXzXLtE7s","object":"chat.completion","created":1777015042,"model":"gpt-5-chat-latest","choices":[{"index":0,"message":{"role":"assistant","content":"ToysMolly, Space Astronaut Toy,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96,"total_tokens":879,"prompt_tokens_details":{"cached_tokens":0,"audio_tokens":0},"completion_tokens_details":{"reasoning_tokens":0,"audio_tokens":0,"accepted_prediction_tokens":0,"rejected_prediction_tokens":0}},"service_tier":"default","system_fingerprint":"fp_ad66631dec"}</t>
        </is>
      </c>
      <c r="P75" t="inlineStr">
        <is>
          <t>ToysMolly, Space Astronaut Toy, kakobuy, kakebuy2026, kekobuysheet, kakobuysheet2026, 2026kakobuy, kakobuyspreadsheeet, kakobuylink, kakebuylist, Kakobuy MEGA Spreadsheet, kakobuysheetfind, kakobuysheetfind2026, 2026kakobuysheetfind, kakobuysheet2026</t>
        </is>
      </c>
      <c r="Q75"/>
      <c r="R75" t="inlineStr">
        <is>
          <t>recvhju1CrKUza</t>
        </is>
      </c>
      <c r="S75" t="inlineStr">
        <is>
          <t>toysmolly-space-red-blue-astronaut-pvc-figure-recvhju1crkuza</t>
        </is>
      </c>
      <c r="T75"/>
      <c r="U75"/>
      <c r="V75"/>
      <c r="W75" t="inlineStr">
        <is>
          <t>{"id":"chatcmpl-DY4EzLUBOLolAlPjjQscdWnWeqVjE","object":"chat.completion","created":1777011825,"model":"gpt-5-chat-latest","choices":[{"index":0,"message":{"role":"assistant","content":"Molly太空系列红蓝配色摆件，灵感源自未来宇航主题，采用优质PVC材质打造，造型饱满立体，细节精致还原，融合卡通图腾与潮玩设计，适合男女收藏与装饰，尽显先锋玩具艺术魅力。","refusal":null,"annotations":[]},"logprobs":null,"finish_reason":"stop"}],"usage":{"prompt_tokens":1298,"completion_tokens":72,"total_tokens":1370,"prompt_tokens_details":{"cached_tokens":0,"audio_tokens":0},"completion_tokens_details":{"reasoning_tokens":0,"audio_tokens":0,"accepted_prediction_tokens":0,"rejected_prediction_tokens":0}},"service_tier":"default","system_fingerprint":"fp_ad66631dec"}</t>
        </is>
      </c>
      <c r="X75" t="inlineStr">
        <is>
          <t>Molly太空系列红蓝配色摆件，灵感源自未来宇航主题，采用优质PVC材质打造，造型饱满立体，细节精致还原，融合卡通图腾与潮玩设计，适合男女收藏与装饰，尽显先锋玩具艺术魅力。</t>
        </is>
      </c>
    </row>
    <row r="76" ht="25.5" customHeight="1">
      <c r="A76">
        <v>1654975475</v>
      </c>
      <c r="B76">
        <v>7616195429</v>
      </c>
      <c r="C76" s="2" t="str">
        <f>=HYPERLINK("https://weidian.com/item.html?itemID=7616195429", "https://weidian.com/item.html?itemID=7616195429")</f>
        <v>https://weidian.com/item.html?itemID=7616195429</v>
      </c>
      <c r="D76"/>
      <c r="E76" s="2" t="str">
        <f>=HYPERLINK("https://si.geilicdn.com/pcitem2014204438-68e10000019abdbfc0360a2304aa_1080_822.jpg?w=640&amp;h=640", "https://si.geilicdn.com/pcitem2014204438-68e10000019abdbfc0360a2304aa_1080_822.jpg?w=640&amp;h=640")</f>
        <v>https://si.geilicdn.com/pcitem2014204438-68e10000019abdbfc0360a2304aa_1080_822.jpg?w=640&amp;h=640</v>
      </c>
      <c r="F76" t="inlineStr">
        <is>
          <t>Toys</t>
        </is>
      </c>
      <c r="G76" t="inlineStr">
        <is>
          <t>Louis Vuitton</t>
        </is>
      </c>
      <c r="H76">
        <v>470</v>
      </c>
      <c r="I76">
        <v>68.12</v>
      </c>
      <c r="J76" t="inlineStr">
        <is>
          <t>{"choices":[{"finish_reason":"stop","index":0,"logprobs":null,"message":{"annotations":[],"content":"Louis Vuitton Monogram Brown Airplane Figurine Decor","refusal":null,"role":"assistant"}}],"created":1777014215,"id":"chatcmpl-DY4rXkpNxxP1lV15tzMZpooIzsHp8","model":"gpt-5-chat-latest","object":"chat.completion","service_tier":"default","system_fingerprint":"fp_ad66631dec","usage":{"completion_tokens":11,"completion_tokens_details":{"accepted_prediction_tokens":0,"audio_tokens":0,"reasoning_tokens":0,"rejected_prediction_tokens":0},"prompt_tokens":588,"prompt_tokens_details":{"audio_tokens":0,"cached_tokens":0},"total_tokens":599}}</t>
        </is>
      </c>
      <c r="K76" t="inlineStr">
        <is>
          <t>Louis Vuitton Monogram Brown Airplane Figurine Decor</t>
        </is>
      </c>
      <c r="L76" t="inlineStr">
        <is>
          <t>{"choices":[{"finish_reason":"stop","index":0,"logprobs":null,"message":{"annotations":[],"content":"Louis Vuitton Monogram Brown Airplane Figurine, crafted from iconic canvas with brass accents; vintage artistry reflecting travel spirit, luxury home decor or collector’s piece.","refusal":null,"role":"assistant"}}],"created":1777013500,"id":"chatcmpl-DY4g0qmkeYyqYCEalqdffkjy3DNLB","model":"gpt-5-chat-latest","object":"chat.completion","service_tier":"default","system_fingerprint":"fp_ad66631dec","usage":{"completion_tokens":33,"completion_tokens_details":{"accepted_prediction_tokens":0,"audio_tokens":0,"reasoning_tokens":0,"rejected_prediction_tokens":0},"prompt_tokens":616,"prompt_tokens_details":{"audio_tokens":0,"cached_tokens":0},"total_tokens":649}}</t>
        </is>
      </c>
      <c r="M76" t="inlineStr">
        <is>
          <t>{"alt-svc":"h3=\":443\"; ma=2592000","apim-request-id":"a8242e59-1e5d-42b3-b268-41544ad53978","azureml-model-session":"d20260405234249-f9874baf","cache-control":"no-cache","connection":"close","content-length":"767","content-security-policy":"frame-ancestors 'self'","content-type":"application/json","date":"Fri, 24 Apr 2026 06:51:41 GMT","server":"nginx","skip-error-remapping":"true","strict-transport-security":"max-age=31536000; includeSubDomains; preload","via":"1.1 Caddy, 1.1 Caddy","x-api-request-id":"202604241451399069298580XICtrxL","x-content-type-options":"nosniff","x-frame-options":"SAMEORIGIN","x-ms-client-request-id":"Not-Set","x-ms-is-spilled-over":"false","x-ms-rai-invoked":"true","x-ms-region":"East US 2","x-new-api-version":"0.4.39","x-oneapi-request-id":"202604240651395429824108268d9d6LvMP0n3F","x-ratelimit-abusepenalty-active":"False","x-ratelimit-limit-requests":"3850","x-ratelimit-limit-tokens":"3850000","x-ratelimit-remaining-requests":"3849","x-ratelimit-remaining-tokens":"3848620","x-ratelimit-renewalperiod-requests":"60","x-ratelimit-renewalperiod-tokens":"60","x-ratelimit-reset-requests":"15","x-ratelimit-reset-tokens":"21","x-request-id":"36e4d114-e0fc-4259-b004-720d65e963b9"}</t>
        </is>
      </c>
      <c r="N76" t="inlineStr">
        <is>
          <t>Louis Vuitton Monogram Brown Airplane Figurine, crafted from iconic canvas with brass accents; vintage artistry reflecting travel spirit, luxury home decor or collector’s piece.</t>
        </is>
      </c>
      <c r="O76" t="inlineStr">
        <is>
          <t>{"choices":[{"finish_reason":"stop","index":0,"logprobs":null,"message":{"annotations":[],"content":"Louis Vuitton,Toys,kakobuy,kakebuy2026,kekobuysheet,kakobuysheet2026,2026kakobuy,kakobuyspreadsheeet,kakobuylink,kakebuylist,Kakobuy MEGA Spreadsheet,kakobuysheetfind,kakobuysheetfind2026,2026kakobuysheetfind,kakobuysheet2026","refusal":null,"role":"assistant"}}],"created":1777015160,"id":"chatcmpl-DY56m5biIXQVMIyxxD888tAFXvZob","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is>
      </c>
      <c r="P76" t="inlineStr">
        <is>
          <t>Louis Vuitton,Toys,kakobuy,kakebuy2026,kekobuysheet,kakobuysheet2026,2026kakobuy,kakobuyspreadsheeet,kakobuylink,kakebuylist,Kakobuy MEGA Spreadsheet,kakobuysheetfind,kakobuysheetfind2026,2026kakobuysheetfind,kakobuysheet2026</t>
        </is>
      </c>
      <c r="Q76" t="inlineStr">
        <is>
          <t>LV, Canvas, Brown, Vintage, High End, Home Style</t>
        </is>
      </c>
      <c r="R76" t="inlineStr">
        <is>
          <t>recvhju1CrcOFy</t>
        </is>
      </c>
      <c r="S76" t="inlineStr">
        <is>
          <t>louis-vuitton-monogram-brown-airplane-figurine-decor-recvhju1crcofy</t>
        </is>
      </c>
      <c r="T76"/>
      <c r="U76"/>
      <c r="V76"/>
      <c r="W76" t="inlineStr">
        <is>
          <t>{"choices":[{"finish_reason":"stop","index":0,"logprobs":null,"message":{"annotations":[],"content":"Louis Vuitton：Monogram经典棕色飞行器摆件，以标志性老花帆布与黄铜细节打造，复古工艺感尽显品牌旅行精神，彰显奢华设计艺术魅力，完美装点现代居室或收藏空间。","refusal":null,"role":"assistant"}}],"created":1777011795,"id":"chatcmpl-DY4EVyIwDGc9jUbyYb3AZVuCXoZuT","model":"gpt-5-chat-latest","object":"chat.completion","service_tier":"default","system_fingerprint":"fp_ad66631dec","usage":{"completion_tokens":63,"completion_tokens_details":{"accepted_prediction_tokens":0,"audio_tokens":0,"reasoning_tokens":0,"rejected_prediction_tokens":0},"prompt_tokens":1018,"prompt_tokens_details":{"audio_tokens":0,"cached_tokens":0},"total_tokens":1081}}</t>
        </is>
      </c>
      <c r="X76" t="inlineStr">
        <is>
          <t>Louis Vuitton：Monogram经典棕色飞行器摆件，以标志性老花帆布与黄铜细节打造，复古工艺感尽显品牌旅行精神，彰显奢华设计艺术魅力，完美装点现代居室或收藏空间。</t>
        </is>
      </c>
    </row>
    <row r="77" ht="25.5" customHeight="1">
      <c r="A77">
        <v>1654975475</v>
      </c>
      <c r="B77">
        <v>7616273885</v>
      </c>
      <c r="C77" s="2" t="str">
        <f>=HYPERLINK("https://weidian.com/item.html?itemID=7616273885", "https://weidian.com/item.html?itemID=7616273885")</f>
        <v>https://weidian.com/item.html?itemID=7616273885</v>
      </c>
      <c r="D77"/>
      <c r="E77" s="2" t="str">
        <f>=HYPERLINK("https://si.geilicdn.com/pcitem2014204438-04ec0000019abdc038ce0a20e273_1520_1920.jpg?w=640&amp;h=640", "https://si.geilicdn.com/pcitem2014204438-04ec0000019abdc038ce0a20e273_1520_1920.jpg?w=640&amp;h=640")</f>
        <v>https://si.geilicdn.com/pcitem2014204438-04ec0000019abdc038ce0a20e273_1520_1920.jpg?w=640&amp;h=640</v>
      </c>
      <c r="F77" t="inlineStr">
        <is>
          <t>Toys</t>
        </is>
      </c>
      <c r="G77" t="inlineStr">
        <is>
          <t>Louis Vuitton</t>
        </is>
      </c>
      <c r="H77">
        <v>260</v>
      </c>
      <c r="I77">
        <v>37.68</v>
      </c>
      <c r="J77" t="inlineStr">
        <is>
          <t>{"choices":[{"finish_reason":"stop","index":0,"logprobs":null,"message":{"annotations":[],"content":"Louis Vuitton Monogram Flower 3D Keychain Charm Accessory","refusal":null,"role":"assistant"}}],"created":1777014233,"id":"chatcmpl-DY4rpVaCN4YaolSA1xy96V0MzEBrX","model":"gpt-5-chat-latest","object":"chat.completion","service_tier":"default","system_fingerprint":"fp_ad66631dec","usage":{"completion_tokens":14,"completion_tokens_details":{"accepted_prediction_tokens":0,"audio_tokens":0,"reasoning_tokens":0,"rejected_prediction_tokens":0},"prompt_tokens":888,"prompt_tokens_details":{"audio_tokens":0,"cached_tokens":0},"total_tokens":902}}</t>
        </is>
      </c>
      <c r="K77" t="inlineStr">
        <is>
          <t>Louis Vuitton Monogram Flower 3D Keychain Charm Accessory</t>
        </is>
      </c>
      <c r="L77" t="inlineStr">
        <is>
          <t>{"choices":[{"finish_reason":"stop","index":0,"logprobs":null,"message":{"annotations":[],"content":"Louis Vuitton Monogram Flower Keychain Charm – crafted from iconic canvas and leather, featuring playful 3D design, red sunglasses detail, and luxe metal ring. Unisex modern art accessory for bag or keys.","refusal":null,"role":"assistant"}}],"created":1777013277,"id":"chatcmpl-DY4cPfoIDZ6hLrAyBVogyi1hc6MUN","model":"gpt-5-chat-latest","object":"chat.completion","service_tier":"default","system_fingerprint":"fp_ad66631dec","usage":{"completion_tokens":43,"completion_tokens_details":{"accepted_prediction_tokens":0,"audio_tokens":0,"reasoning_tokens":0,"rejected_prediction_tokens":0},"prompt_tokens":913,"prompt_tokens_details":{"audio_tokens":0,"cached_tokens":0},"total_tokens":956}}</t>
        </is>
      </c>
      <c r="M77" t="inlineStr">
        <is>
          <t>{"alt-svc":"h3=\":443\"; ma=2592000","apim-request-id":"6b5e7c55-32ba-4484-b0ec-d6d70461eccd","azureml-model-session":"d20260405221325-2e8d5e76","cache-control":"no-cache","connection":"close","content-length":"794","content-security-policy":"frame-ancestors 'self'","content-type":"application/json","date":"Fri, 24 Apr 2026 06:47:58 GMT","server":"Caddy","skip-error-remapping":"true","strict-transport-security":"max-age=31536000; includeSubDomains; preload","via":"1.1 Caddy","x-api-request-id":"20260424144756211962719EV3HpYlr","x-content-type-options":"nosniff","x-frame-options":"SAMEORIGIN","x-ms-client-request-id":"Not-Set","x-ms-is-spilled-over":"false","x-ms-rai-invoked":"true","x-ms-region":"East US 2","x-new-api-version":"0.4.39","x-oneapi-request-id":"20260424064756841172728268d9d6fC3QrFrB","x-ratelimit-abusepenalty-active":"False","x-ratelimit-limit-requests":"3850","x-ratelimit-limit-tokens":"3850000","x-ratelimit-remaining-requests":"3849","x-ratelimit-remaining-tokens":"3848325","x-ratelimit-renewalperiod-requests":"60","x-ratelimit-renewalperiod-tokens":"60","x-ratelimit-reset-requests":"15","x-ratelimit-reset-tokens":"26","x-request-id":"06f169c4-5060-4607-9543-de67219a262f"}</t>
        </is>
      </c>
      <c r="N77" t="inlineStr">
        <is>
          <t>Louis Vuitton Monogram Flower Keychain Charm – crafted from iconic canvas and leather, featuring playful 3D design, red sunglasses detail, and luxe metal ring. Unisex modern art accessory for bag or keys.</t>
        </is>
      </c>
      <c r="O77" t="inlineStr">
        <is>
          <t>{"choices":[{"finish_reason":"stop","index":0,"logprobs":null,"message":{"annotations":[],"content":"Louis Vuitton,Toys,kakobuy,kakebuy2026,kekobuysheet,kakobuysheet2026,2026kakobuy,kakobuyspreadsheeet,kakobuylink,kakebuylist,Kakobuy MEGA Spreadsheet,kakobuysheetfind,kakobuysheetfind2026,2026kakobuysheetfind,kakobuysheet2026","refusal":null,"role":"assistant"}}],"created":1777014982,"id":"chatcmpl-DY53uql0FcZZ8b5leQ4EI8pk7nmN4","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77" t="inlineStr">
        <is>
          <t>Louis Vuitton,Toys,kakobuy,kakebuy2026,kekobuysheet,kakobuysheet2026,2026kakobuy,kakobuyspreadsheeet,kakobuylink,kakebuylist,Kakobuy MEGA Spreadsheet,kakobuysheetfind,kakobuysheetfind2026,2026kakobuysheetfind,kakobuysheet2026</t>
        </is>
      </c>
      <c r="Q77" t="inlineStr">
        <is>
          <t>LV, Canvas, Leather, Unisex, Modern, Artistic Style</t>
        </is>
      </c>
      <c r="R77" t="inlineStr">
        <is>
          <t>recvhju1CrQZRU</t>
        </is>
      </c>
      <c r="S77" t="inlineStr">
        <is>
          <t>louis-vuitton-monogram-flower-3d-keychain-recvhju1crqzru</t>
        </is>
      </c>
      <c r="T77"/>
      <c r="U77"/>
      <c r="V77"/>
      <c r="W77" t="inlineStr">
        <is>
          <t>{"choices":[{"finish_reason":"stop","index":0,"logprobs":null,"message":{"annotations":[],"content":"Louis Vuitton：Monogram白粉花朵挂饰，采用经典帆布与皮革拼接设计，萌趣立体造型搭配红色墨镜细节，精致金属扣环彰显奢华质感，适合男女使用，现代艺术风格点缀包袋钥匙，尽显时尚格调。","refusal":null,"role":"assistant"}}],"created":1777011534,"id":"chatcmpl-DY4AIftvjla13slmYIei7EM9UcizE","model":"gpt-5-chat-latest","object":"chat.completion","service_tier":"default","system_fingerprint":"fp_ad66631dec","usage":{"completion_tokens":79,"completion_tokens_details":{"accepted_prediction_tokens":0,"audio_tokens":0,"reasoning_tokens":0,"rejected_prediction_tokens":0},"prompt_tokens":1300,"prompt_tokens_details":{"audio_tokens":0,"cached_tokens":0},"total_tokens":1379}}</t>
        </is>
      </c>
      <c r="X77" t="inlineStr">
        <is>
          <t>Louis Vuitton：Monogram白粉花朵挂饰，采用经典帆布与皮革拼接设计，萌趣立体造型搭配红色墨镜细节，精致金属扣环彰显奢华质感，适合男女使用，现代艺术风格点缀包袋钥匙，尽显时尚格调。</t>
        </is>
      </c>
    </row>
    <row r="78" ht="25.5" customHeight="1">
      <c r="A78">
        <v>1654975475</v>
      </c>
      <c r="B78">
        <v>7619183116</v>
      </c>
      <c r="C78" s="2" t="str">
        <f>=HYPERLINK("https://weidian.com/item.html?itemID=7619183116", "https://weidian.com/item.html?itemID=7619183116")</f>
        <v>https://weidian.com/item.html?itemID=7619183116</v>
      </c>
      <c r="D78"/>
      <c r="E78" s="2" t="str">
        <f>=HYPERLINK("https://si.geilicdn.com/pcitem2014204438-0af80000019abda88b640a207569_1440_1440.jpg?w=640&amp;h=640", "https://si.geilicdn.com/pcitem2014204438-0af80000019abda88b640a207569_1440_1440.jpg?w=640&amp;h=640")</f>
        <v>https://si.geilicdn.com/pcitem2014204438-0af80000019abda88b640a207569_1440_1440.jpg?w=640&amp;h=640</v>
      </c>
      <c r="F78" t="inlineStr">
        <is>
          <t>Toys</t>
        </is>
      </c>
      <c r="G78" t="inlineStr">
        <is>
          <t>Louis Vuitton</t>
        </is>
      </c>
      <c r="H78">
        <v>330</v>
      </c>
      <c r="I78">
        <v>47.83</v>
      </c>
      <c r="J78" t="inlineStr">
        <is>
          <t>{"choices":[{"finish_reason":"stop","index":0,"logprobs":null,"message":{"annotations":[],"content":"Louis Vuitton Blue Beige Crochet Doll Keychain","refusal":null,"role":"assistant"}}],"created":1777014114,"id":"chatcmpl-DY4puWbmmz1DGOT9lBZEP8UzHCOIj","model":"gpt-5-chat-latest","object":"chat.completion","service_tier":"default","system_fingerprint":"fp_ad66631dec","usage":{"completion_tokens":9,"completion_tokens_details":{"accepted_prediction_tokens":0,"audio_tokens":0,"reasoning_tokens":0,"rejected_prediction_tokens":0},"prompt_tokens":882,"prompt_tokens_details":{"audio_tokens":0,"cached_tokens":0},"total_tokens":891}}</t>
        </is>
      </c>
      <c r="K78" t="inlineStr">
        <is>
          <t>Louis Vuitton Blue Beige Crochet Doll Keychain</t>
        </is>
      </c>
      <c r="L78" t="inlineStr">
        <is>
          <t>{"choices":[{"finish_reason":"stop","index":0,"logprobs":null,"message":{"annotations":[],"content":"Louis Vuitton Monogram Blue Beige Crochet Doll Charm, crafted from cotton and leather with classic LV details, gold-tone clasp, playful 3D design, unisex luxury accessory for bags or keys.","refusal":null,"role":"assistant"}}],"created":1777013233,"id":"chatcmpl-DY4bhs8A8s2Tfih0BKCmsb2X9dxfm","model":"gpt-5-chat-latest","object":"chat.completion","service_tier":"default","system_fingerprint":"fp_ad66631dec","usage":{"completion_tokens":40,"completion_tokens_details":{"accepted_prediction_tokens":0,"audio_tokens":0,"reasoning_tokens":0,"rejected_prediction_tokens":0},"prompt_tokens":917,"prompt_tokens_details":{"audio_tokens":0,"cached_tokens":0},"total_tokens":957}}</t>
        </is>
      </c>
      <c r="M78" t="inlineStr">
        <is>
          <t>{"alt-svc":"h3=\":443\"; ma=2592000","apim-request-id":"a6550a55-0847-490c-aa9f-943c94c93e28","azureml-model-session":"d20260402084046-4209e968","cache-control":"no-cache","connection":"close","content-length":"776","content-security-policy":"frame-ancestors 'self'","content-type":"application/json","date":"Fri, 24 Apr 2026 06:47:16 GMT","server":"Caddy","skip-error-remapping":"true","strict-transport-security":"max-age=31536000; includeSubDomains; preload","via":"1.1 Caddy","x-api-request-id":"20260424144712963224601ctRkaMwV","x-content-type-options":"nosniff","x-frame-options":"SAMEORIGIN","x-ms-client-request-id":"Not-Set","x-ms-is-spilled-over":"false","x-ms-rai-invoked":"true","x-ms-region":"East US 2","x-new-api-version":"0.4.39","x-oneapi-request-id":"202604240647125295941278268d9d6drjQ2FMo","x-ratelimit-abusepenalty-active":"False","x-ratelimit-limit-requests":"3850","x-ratelimit-limit-tokens":"3850000","x-ratelimit-remaining-requests":"3849","x-ratelimit-remaining-tokens":"3848321","x-ratelimit-renewalperiod-requests":"60","x-ratelimit-renewalperiod-tokens":"60","x-ratelimit-reset-requests":"15","x-ratelimit-reset-tokens":"26","x-request-id":"02ad20e2-abe1-4258-94b2-53ce421bbeb5"}</t>
        </is>
      </c>
      <c r="N78" t="inlineStr">
        <is>
          <t>Louis Vuitton Monogram Blue Beige Crochet Doll Charm, crafted from cotton and leather with classic LV details, gold-tone clasp, playful 3D design, unisex luxury accessory for bags or keys.</t>
        </is>
      </c>
      <c r="O78" t="inlineStr">
        <is>
          <t>{"choices":[{"finish_reason":"stop","index":0,"logprobs":null,"message":{"annotations":[],"content":"Louis Vuitton,Toys,kakobuy,kakebuy2026,kekobuysheet,kakobuysheet2026,2026kakobuy,kakobuyspreadsheeet,kakobuylink,kakebuylist,Kakobuy MEGA Spreadsheet,kakobuysheetfind,kakobuysheetfind2026,2026kakobuysheetfind,kakobuysheet2026","refusal":null,"role":"assistant"}}],"created":1777014933,"id":"chatcmpl-DY537hG5fghr2EhFDcE3159nE1wbG","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78" t="inlineStr">
        <is>
          <t>Louis Vuitton,Toys,kakobuy,kakebuy2026,kekobuysheet,kakobuysheet2026,2026kakobuy,kakobuyspreadsheeet,kakobuylink,kakebuylist,Kakobuy MEGA Spreadsheet,kakobuysheetfind,kakobuysheetfind2026,2026kakobuysheetfind,kakobuysheet2026</t>
        </is>
      </c>
      <c r="Q78" t="inlineStr">
        <is>
          <t>LV, Unisex, Blue, Beige, Leather</t>
        </is>
      </c>
      <c r="R78" t="inlineStr">
        <is>
          <t>recvhju1Cr939W</t>
        </is>
      </c>
      <c r="S78" t="inlineStr">
        <is>
          <t>louis-vuitton-blue-beige-crochet-doll-keychain-recvhju1cr939w</t>
        </is>
      </c>
      <c r="T78"/>
      <c r="U78"/>
      <c r="V78"/>
      <c r="W78" t="inlineStr">
        <is>
          <t>{"id":"chatcmpl-DY4EXQ5wpU3d6RSUQg7sS2JpSJLLr","object":"chat.completion","created":1777011797,"model":"gpt-5-chat-latest","choices":[{"index":0,"message":{"role":"assistant","content":"Louis Vuitton：Monogram系列蓝米双色钩织玩偶吊饰，精选针织棉线与皮革拼接，细节融入经典花纹标识，造型俏皮立体，搭配金色金属扣设计，展现时尚奢华格调，男女皆宜，彰显品牌艺术美学与匠心工艺。","refusal":null,"annotations":[]},"logprobs":null,"finish_reason":"stop"}],"usage":{"prompt_tokens":1298,"completion_tokens":84,"total_tokens":1382,"prompt_tokens_details":{"cached_tokens":0,"audio_tokens":0},"completion_tokens_details":{"reasoning_tokens":0,"audio_tokens":0,"accepted_prediction_tokens":0,"rejected_prediction_tokens":0}},"service_tier":"default","system_fingerprint":"fp_ad66631dec"}</t>
        </is>
      </c>
      <c r="X78" t="inlineStr">
        <is>
          <t>Louis Vuitton：Monogram系列蓝米双色钩织玩偶吊饰，精选针织棉线与皮革拼接，细节融入经典花纹标识，造型俏皮立体，搭配金色金属扣设计，展现时尚奢华格调，男女皆宜，彰显品牌艺术美学与匠心工艺。</t>
        </is>
      </c>
    </row>
    <row r="79" ht="25.5" customHeight="1">
      <c r="A79">
        <v>1654975475</v>
      </c>
      <c r="B79">
        <v>7616278263</v>
      </c>
      <c r="C79" s="2" t="str">
        <f>=HYPERLINK("https://weidian.com/item.html?itemID=7616278263", "https://weidian.com/item.html?itemID=7616278263")</f>
        <v>https://weidian.com/item.html?itemID=7616278263</v>
      </c>
      <c r="D79"/>
      <c r="E79" s="2" t="str">
        <f>=HYPERLINK("https://si.geilicdn.com/pcitem2014204438-7b630000019abda92fd60a231177_1440_1440.jpg?w=640&amp;h=640", "https://si.geilicdn.com/pcitem2014204438-7b630000019abda92fd60a231177_1440_1440.jpg?w=640&amp;h=640")</f>
        <v>https://si.geilicdn.com/pcitem2014204438-7b630000019abda92fd60a231177_1440_1440.jpg?w=640&amp;h=640</v>
      </c>
      <c r="F79" t="inlineStr">
        <is>
          <t>Toys</t>
        </is>
      </c>
      <c r="G79" t="inlineStr">
        <is>
          <t>Louis Vuitton</t>
        </is>
      </c>
      <c r="H79">
        <v>330</v>
      </c>
      <c r="I79">
        <v>47.83</v>
      </c>
      <c r="J79" t="inlineStr">
        <is>
          <t>{"id":"chatcmpl-DY4sYQuwn0JKA5InOT04L8mPBbJ1O","object":"chat.completion","created":1777014278,"model":"gpt-5-chat-latest","choices":[{"index":0,"message":{"role":"assistant","content":"Louis Vuitton Pink Beige Crochet Doll Keychain Charm","refusal":null,"annotations":[]},"logprobs":null,"finish_reason":"stop"}],"usage":{"prompt_tokens":872,"completion_tokens":10,"total_tokens":882,"prompt_tokens_details":{"cached_tokens":0,"audio_tokens":0},"completion_tokens_details":{"reasoning_tokens":0,"audio_tokens":0,"accepted_prediction_tokens":0,"rejected_prediction_tokens":0}},"service_tier":"default","system_fingerprint":"fp_ad66631dec"}</t>
        </is>
      </c>
      <c r="K79" t="inlineStr">
        <is>
          <t>Louis Vuitton Pink Beige Crochet Doll Keychain Charm</t>
        </is>
      </c>
      <c r="L79" t="inlineStr">
        <is>
          <t>{"choices":[{"finish_reason":"stop","index":0,"logprobs":null,"message":{"annotations":[],"content":"Louis Vuitton Monogram Pink Beige Crochet Doll Charm, handcrafted cotton with leather flower detail and metal clasp, luxury unisex keychain or bag accessory blending classic and playful style.","refusal":null,"role":"assistant"}}],"created":1777013562,"id":"chatcmpl-DY4h01FnNgahmIS9jPRawUiZlqm1D","model":"gpt-5-chat-latest","object":"chat.completion","service_tier":"default","system_fingerprint":"fp_ad66631dec","usage":{"completion_tokens":35,"completion_tokens_details":{"accepted_prediction_tokens":0,"audio_tokens":0,"reasoning_tokens":0,"rejected_prediction_tokens":0},"prompt_tokens":916,"prompt_tokens_details":{"audio_tokens":0,"cached_tokens":0},"total_tokens":951}}</t>
        </is>
      </c>
      <c r="M79" t="inlineStr">
        <is>
          <t>{"alt-svc":"h3=\":443\"; ma=2592000","apim-request-id":"3d4b03ae-6fb9-406d-8b76-67c40f6fd7c4","azureml-model-session":"d20260402083108-57a85543","cache-control":"no-cache","connection":"close","content-length":"780","content-security-policy":"frame-ancestors 'self'","content-type":"application/json","date":"Fri, 24 Apr 2026 06:52:43 GMT","server":"nginx","skip-error-remapping":"true","strict-transport-security":"max-age=31536000; includeSubDomains; preload","via":"1.1 Caddy, 1.1 Caddy","x-api-request-id":"20260424145241642665570fg6Ulxbm","x-content-type-options":"nosniff","x-frame-options":"SAMEORIGIN","x-ms-client-request-id":"Not-Set","x-ms-is-spilled-over":"false","x-ms-rai-invoked":"true","x-ms-region":"East US 2","x-new-api-version":"0.4.39","x-oneapi-request-id":"202604240652413900944018268d9d61hO9NK6D","x-ratelimit-abusepenalty-active":"False","x-ratelimit-limit-requests":"3850","x-ratelimit-limit-tokens":"3850000","x-ratelimit-remaining-requests":"3849","x-ratelimit-remaining-tokens":"3848322","x-ratelimit-renewalperiod-requests":"60","x-ratelimit-renewalperiod-tokens":"60","x-ratelimit-reset-requests":"15","x-ratelimit-reset-tokens":"26","x-request-id":"e4af5c21-0b35-4280-b342-4c2399d7ff50"}</t>
        </is>
      </c>
      <c r="N79" t="inlineStr">
        <is>
          <t>Louis Vuitton Monogram Pink Beige Crochet Doll Charm, handcrafted cotton with leather flower detail and metal clasp, luxury unisex keychain or bag accessory blending classic and playful style.</t>
        </is>
      </c>
      <c r="O79" t="inlineStr">
        <is>
          <t>{"choices":[{"finish_reason":"stop","index":0,"logprobs":null,"message":{"annotations":[],"content":"Louis Vuitton,Toys,kakobuy,kakebuy2026,kekobuysheet,kakobuysheet2026,2026kakobuy,kakobuyspreadsheeet,kakobuylink,kakebuylist,Kakobuy MEGA Spreadsheet,kakobuysheetfind,kakobuysheetfind2026,2026kakobuysheetfind,kakobuysheet2026","refusal":null,"role":"assistant"}}],"created":1777014831,"id":"chatcmpl-DY51TOa6RHJMzRul7XVhbGjtAzBi3","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79" t="inlineStr">
        <is>
          <t>Louis Vuitton,Toys,kakobuy,kakebuy2026,kekobuysheet,kakobuysheet2026,2026kakobuy,kakobuyspreadsheeet,kakobuylink,kakebuylist,Kakobuy MEGA Spreadsheet,kakobuysheetfind,kakobuysheetfind2026,2026kakobuysheetfind,kakobuysheet2026</t>
        </is>
      </c>
      <c r="Q79" t="inlineStr">
        <is>
          <t>LV, Pink, Beige, Leather, Unisex</t>
        </is>
      </c>
      <c r="R79" t="inlineStr">
        <is>
          <t>recvhju1CrLL53</t>
        </is>
      </c>
      <c r="S79" t="inlineStr">
        <is>
          <t>louis-vuitton-pink-beige-crochet-doll-keychain-charm-recvhju1crll53</t>
        </is>
      </c>
      <c r="T79"/>
      <c r="U79"/>
      <c r="V79"/>
      <c r="W79" t="inlineStr">
        <is>
          <t>{"id":"chatcmpl-DY4FQvwUf8ToeCGslBWHQCwslktok","object":"chat.completion","created":1777011852,"model":"gpt-5-chat-latest","choices":[{"index":0,"message":{"role":"assistant","content":"Louis Vuitton：Monogram粉米双色编织玩偶挂饰，手工钩织棉线搭配皮质花型细节，金属挂扣设计，融合经典老花图腾与现代趣味美学，精致小巧，男女皆宜，适合包饰或钥匙扣使用，彰显品牌奢华格调与艺术感。","refusal":null,"annotations":[]},"logprobs":null,"finish_reason":"stop"}],"usage":{"prompt_tokens":1298,"completion_tokens":83,"total_tokens":1381,"prompt_tokens_details":{"cached_tokens":0,"audio_tokens":0},"completion_tokens_details":{"reasoning_tokens":0,"audio_tokens":0,"accepted_prediction_tokens":0,"rejected_prediction_tokens":0}},"service_tier":"default","system_fingerprint":"fp_ad66631dec"}</t>
        </is>
      </c>
      <c r="X79" t="inlineStr">
        <is>
          <t>Louis Vuitton：Monogram粉米双色编织玩偶挂饰，手工钩织棉线搭配皮质花型细节，金属挂扣设计，融合经典老花图腾与现代趣味美学，精致小巧，男女皆宜，适合包饰或钥匙扣使用，彰显品牌奢华格调与艺术感。</t>
        </is>
      </c>
    </row>
    <row r="80" ht="25.5" customHeight="1">
      <c r="A80">
        <v>1654975475</v>
      </c>
      <c r="B80">
        <v>7616244853</v>
      </c>
      <c r="C80" s="2" t="str">
        <f>=HYPERLINK("https://weidian.com/item.html?itemID=7616244853", "https://weidian.com/item.html?itemID=7616244853")</f>
        <v>https://weidian.com/item.html?itemID=7616244853</v>
      </c>
      <c r="D80"/>
      <c r="E80" s="2" t="str">
        <f>=HYPERLINK("https://si.geilicdn.com/pcitem2014204438-04c60000019abdbb8e9b0a239846_1442_1922.jpg?w=640&amp;h=640", "https://si.geilicdn.com/pcitem2014204438-04c60000019abdbb8e9b0a239846_1442_1922.jpg?w=640&amp;h=640")</f>
        <v>https://si.geilicdn.com/pcitem2014204438-04c60000019abdbb8e9b0a239846_1442_1922.jpg?w=640&amp;h=640</v>
      </c>
      <c r="F80" t="inlineStr">
        <is>
          <t>Toys</t>
        </is>
      </c>
      <c r="G80" t="inlineStr">
        <is>
          <t>Jellycat</t>
        </is>
      </c>
      <c r="H80">
        <v>154</v>
      </c>
      <c r="I80">
        <v>22.32</v>
      </c>
      <c r="J80" t="inlineStr">
        <is>
          <t>{"choices":[{"finish_reason":"stop","index":0,"logprobs":null,"message":{"annotations":[],"content":"Jellycat White Long Tail Cat Plush Toy Cuddly Gift","refusal":null,"role":"assistant"}}],"created":1777014289,"id":"chatcmpl-DY4sjFcBsFKGNtiJAfNxI9Be4lU7h","model":"gpt-5-chat-latest","object":"chat.completion","service_tier":"default","system_fingerprint":"fp_ad66631dec","usage":{"completion_tokens":14,"completion_tokens_details":{"accepted_prediction_tokens":0,"audio_tokens":0,"reasoning_tokens":0,"rejected_prediction_tokens":0},"prompt_tokens":895,"prompt_tokens_details":{"audio_tokens":0,"cached_tokens":0},"total_tokens":909}}</t>
        </is>
      </c>
      <c r="K80" t="inlineStr">
        <is>
          <t>Jellycat White Long Tail Cat Plush Toy Cuddly Gift</t>
        </is>
      </c>
      <c r="L80" t="inlineStr">
        <is>
          <t>{"id":"chatcmpl-DY4eCeBeZHnbn9sv3xnuAjhaQc35h","object":"chat.completion","created":1777013388,"model":"gpt-5-chat-latest","choices":[{"index":0,"message":{"role":"assistant","content":"Jellycat White Long Tail Cat Plush Toy – made from premium soft faux fur, featuring a smooth skin-friendly feel, round shape, and sweet smile. Perfect for kids, home décor, cuddles, and bedtime comfort.","refusal":null,"annotations":[]},"logprobs":null,"finish_reason":"stop"}],"usage":{"prompt_tokens":908,"completion_tokens":46,"total_tokens":954,"prompt_tokens_details":{"cached_tokens":0,"audio_tokens":0},"completion_tokens_details":{"reasoning_tokens":0,"audio_tokens":0,"accepted_prediction_tokens":0,"rejected_prediction_tokens":0}},"service_tier":"default","system_fingerprint":"fp_ad66631dec"}</t>
        </is>
      </c>
      <c r="M8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ma=2592000","apim-request-id":"11081180-5c2f-45bd-966a-f22b16eec661","azureml-model-session":"d20260402075109-1fc5a0ec","cache-control":"no-cache, no-store, must-revalidate","connection":"close","content-length":"1009","content-security-policy":"frame-ancestors 'self'","content-type":"application/json","date":"Fri, 24 Apr 2026 06:49:50 GMT","server":"Caddy","skip-error-remapping":"true","strict-transport-security":"max-age=31536000; includeSubDomains; preload","via":"1.1 Caddy","x-api-request-id":"20260424144946535555857cNViM2g4","x-content-type-options":"nosniff","x-frame-options":"SAMEORIGIN","x-ms-is-spilled-over":"false","x-ms-rai-invoked":"false","x-ms-region":"Sweden Central","x-new-api-version":"0.4.39","x-oneapi-request-id":"202604240649464365660708268d9d6zDwzpIYL","x-ratelimit-abusepenalty-active":"False","x-ratelimit-limit-requests":"4998","x-ratelimit-limit-tokens":"4998000","x-ratelimit-remaining-requests":"4997","x-ratelimit-remaining-tokens":"4996330","x-ratelimit-renewalperiod-requests":"60","x-ratelimit-renewalperiod-tokens":"60","x-ratelimit-reset-requests":"12","x-ratelimit-reset-tokens":"20","x-request-id":"1acc4bdd-3456-40cb-8aa2-60846482907a"}</t>
        </is>
      </c>
      <c r="N80" t="inlineStr">
        <is>
          <t>Jellycat White Long Tail Cat Plush Toy – made from premium soft faux fur, featuring a smooth skin-friendly feel, round shape, and sweet smile. Perfect for kids, home décor, cuddles, and bedtime comfort.</t>
        </is>
      </c>
      <c r="O80" t="inlineStr">
        <is>
          <t>{"choices":[{"finish_reason":"stop","index":0,"logprobs":null,"message":{"annotations":[],"content":"Jellycat,Toys,kakobuy,kakebuy2026,kekobuysheet,kakobuysheet2026,2026kakobuy,kakobuyspreadsheeet,kakobuylink,kakebuylist,Kakobuy MEGA Spreadsheet,kakobuysheetfind,kakobuysheetfind2026,2026kakobuysheetfind,kakobuysheet2026","refusal":null,"role":"assistant"}}],"created":1777015273,"id":"chatcmpl-DY58b18FqNZWSfgAXdwSlJEv4qiZ0","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80" t="inlineStr">
        <is>
          <t>Jellycat,Toys,kakobuy,kakebuy2026,kekobuysheet,kakobuysheet2026,2026kakobuy,kakobuyspreadsheeet,kakobuylink,kakebuylist,Kakobuy MEGA Spreadsheet,kakobuysheetfind,kakobuysheetfind2026,2026kakobuysheetfind,kakobuysheet2026</t>
        </is>
      </c>
      <c r="Q80"/>
      <c r="R80" t="inlineStr">
        <is>
          <t>recvhju1CrM4I7</t>
        </is>
      </c>
      <c r="S80" t="inlineStr">
        <is>
          <t>jellycat-white-long-tail-cat-plush-recvhju1crm4i7</t>
        </is>
      </c>
      <c r="T80"/>
      <c r="U80"/>
      <c r="V80"/>
      <c r="W80" t="inlineStr">
        <is>
          <t>{"choices":[{"finish_reason":"stop","index":0,"logprobs":null,"message":{"annotations":[],"content":"Jellycat 白色长尾猫毛绒玩偶，采用高级仿真柔软绒面材质，手感细腻亲肤，圆润造型与微笑表情展现英伦童趣美学，适合男女儿童，家居装饰与拥抱伴眠皆宜。","refusal":null,"role":"assistant"}}],"created":1777011660,"id":"chatcmpl-DY4CKvuRlxBTaVVIX4D9cqUrhvXqS","model":"gpt-5-chat-latest","object":"chat.completion","service_tier":"default","system_fingerprint":"fp_ad66631dec","usage":{"completion_tokens":71,"completion_tokens_details":{"accepted_prediction_tokens":0,"audio_tokens":0,"reasoning_tokens":0,"rejected_prediction_tokens":0},"prompt_tokens":1306,"prompt_tokens_details":{"audio_tokens":0,"cached_tokens":0},"total_tokens":1377}}</t>
        </is>
      </c>
      <c r="X80" t="inlineStr">
        <is>
          <t>Jellycat 白色长尾猫毛绒玩偶，采用高级仿真柔软绒面材质，手感细腻亲肤，圆润造型与微笑表情展现英伦童趣美学，适合男女儿童，家居装饰与拥抱伴眠皆宜。</t>
        </is>
      </c>
    </row>
    <row r="81" ht="25.5" customHeight="1">
      <c r="A81">
        <v>1654975475</v>
      </c>
      <c r="B81">
        <v>7616289689</v>
      </c>
      <c r="C81" s="2" t="str">
        <f>=HYPERLINK("https://weidian.com/item.html?itemID=7616289689", "https://weidian.com/item.html?itemID=7616289689")</f>
        <v>https://weidian.com/item.html?itemID=7616289689</v>
      </c>
      <c r="D81"/>
      <c r="E81" s="2" t="str">
        <f>=HYPERLINK("https://si.geilicdn.com/pcitem2014204438-06f70000019abdb158340a230115_1170_1726.jpg?w=640&amp;h=640", "https://si.geilicdn.com/pcitem2014204438-06f70000019abdb158340a230115_1170_1726.jpg?w=640&amp;h=640")</f>
        <v>https://si.geilicdn.com/pcitem2014204438-06f70000019abdb158340a230115_1170_1726.jpg?w=640&amp;h=640</v>
      </c>
      <c r="F81" t="inlineStr">
        <is>
          <t>Toys</t>
        </is>
      </c>
      <c r="G81" t="inlineStr">
        <is>
          <t xml:space="preserve"> Jellycat</t>
        </is>
      </c>
      <c r="H81">
        <v>160</v>
      </c>
      <c r="I81">
        <v>23.19</v>
      </c>
      <c r="J81" t="inlineStr">
        <is>
          <t>{"choices":[{"finish_reason":"stop","index":0,"logprobs":null,"message":{"annotations":[],"content":"Jellycat Pink Hippo Plush Toy Soft Velvet Stuffed Animal","refusal":null,"role":"assistant"}}],"created":1777014518,"id":"chatcmpl-DY4wQlZeuoWudqxgWPpEVxqT8TFm8","model":"gpt-5-chat-latest","object":"chat.completion","service_tier":"default","system_fingerprint":"fp_ad66631dec","usage":{"completion_tokens":14,"completion_tokens_details":{"accepted_prediction_tokens":0,"audio_tokens":0,"reasoning_tokens":0,"rejected_prediction_tokens":0},"prompt_tokens":880,"prompt_tokens_details":{"audio_tokens":0,"cached_tokens":0},"total_tokens":894}}</t>
        </is>
      </c>
      <c r="K81" t="inlineStr">
        <is>
          <t>Jellycat Pink Hippo Plush Toy Soft Velvet Stuffed Animal</t>
        </is>
      </c>
      <c r="L81" t="inlineStr">
        <is>
          <t>{"choices":[{"finish_reason":"stop","index":0,"logprobs":null,"message":{"annotations":[],"content":"Jellycat Pink Hippo Plush Toy – ultra-soft velvet touch, round cute design with colorful bead necklace, British style charm, perfect for kids and collectors, cozy companion and adorable décor.","refusal":null,"role":"assistant"}}],"created":1777013157,"id":"chatcmpl-DY4aTchcsGzgSQFDRr5GtRqhmY3vw","model":"gpt-5-chat-latest","object":"chat.completion","service_tier":"default","system_fingerprint":"fp_ad66631dec","usage":{"completion_tokens":39,"completion_tokens_details":{"accepted_prediction_tokens":0,"audio_tokens":0,"reasoning_tokens":0,"rejected_prediction_tokens":0},"prompt_tokens":912,"prompt_tokens_details":{"audio_tokens":0,"cached_tokens":0},"total_tokens":951}}</t>
        </is>
      </c>
      <c r="M81" t="inlineStr">
        <is>
          <t>{"alt-svc":"h3=\":443\"; ma=2592000","apim-request-id":"7fb4dc59-1fb8-45eb-ab64-341201a8df54","azureml-model-session":"d20260405225800-40f19e54","cache-control":"no-cache","connection":"close","content-length":"783","content-security-policy":"frame-ancestors 'self'","content-type":"application/json","date":"Fri, 24 Apr 2026 06:45:59 GMT","server":"nginx","skip-error-remapping":"true","strict-transport-security":"max-age=31536000; includeSubDomains; preload","via":"1.1 Caddy, 1.1 Caddy","x-api-request-id":"20260424144556578473223TUAkeVyl","x-content-type-options":"nosniff","x-frame-options":"SAMEORIGIN","x-ms-client-request-id":"Not-Set","x-ms-is-spilled-over":"false","x-ms-rai-invoked":"true","x-ms-region":"East US 2","x-new-api-version":"0.4.39","x-oneapi-request-id":"202604240645564205113568268d9d69zg3aSkD","x-ratelimit-abusepenalty-active":"False","x-ratelimit-limit-requests":"3850","x-ratelimit-limit-tokens":"3850000","x-ratelimit-remaining-requests":"3849","x-ratelimit-remaining-tokens":"3848326","x-ratelimit-renewalperiod-requests":"60","x-ratelimit-renewalperiod-tokens":"60","x-ratelimit-reset-requests":"15","x-ratelimit-reset-tokens":"26","x-request-id":"161866fd-e954-45a3-bca9-1a29ecc8be70"}</t>
        </is>
      </c>
      <c r="N81" t="inlineStr">
        <is>
          <t>Jellycat Pink Hippo Plush Toy – ultra-soft velvet touch, round cute design with colorful bead necklace, British style charm, perfect for kids and collectors, cozy companion and adorable décor.</t>
        </is>
      </c>
      <c r="O81" t="inlineStr">
        <is>
          <t>{"id":"chatcmpl-DY58anMWFzRah8T6QWFy07TRALxVJ","object":"chat.completion","created":1777015272,"model":"gpt-5-chat-latest","choices":[{"index":0,"message":{"role":"assistant","content":"Jellycat,Toy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81" t="inlineStr">
        <is>
          <t>Jellycat,Toys,kakobuy,kakebuy2026,kekobuysheet,kakobuysheet2026,2026kakobuy,kakobuyspreadsheeet,kakobuylink,kakebuylist,Kakobuy MEGA Spreadsheet,kakobuysheetfind,kakobuysheetfind2026,2026kakobuysheetfind,kakobuysheet2026</t>
        </is>
      </c>
      <c r="Q81"/>
      <c r="R81" t="inlineStr">
        <is>
          <t>recvhju1CrDK8G</t>
        </is>
      </c>
      <c r="S81" t="inlineStr">
        <is>
          <t>jellycat-pink-hippo-plush-recvhju1crdk8g</t>
        </is>
      </c>
      <c r="T81"/>
      <c r="U81"/>
      <c r="V81"/>
      <c r="W81" t="inlineStr">
        <is>
          <t>{"choices":[{"finish_reason":"stop","index":0,"logprobs":null,"message":{"annotations":[],"content":"Jellycat：粉色河马毛绒玩偶，精选超柔软绒面材质，触感治愈细腻，圆润造型搭配彩珠项链设计，萌趣童真风格，男女皆宜，适合儿童及玩偶收藏爱好者，英伦设计，陪伴与装饰兼具。","refusal":null,"role":"assistant"}}],"created":1777011615,"id":"chatcmpl-DY4BbwZCIY2lfv9ebabR2s6WzvBJl","model":"gpt-5-chat-latest","object":"chat.completion","service_tier":"default","system_fingerprint":"fp_ad66631dec","usage":{"completion_tokens":80,"completion_tokens_details":{"accepted_prediction_tokens":0,"audio_tokens":0,"reasoning_tokens":0,"rejected_prediction_tokens":0},"prompt_tokens":1296,"prompt_tokens_details":{"audio_tokens":0,"cached_tokens":1280},"total_tokens":1376}}</t>
        </is>
      </c>
      <c r="X81" t="inlineStr">
        <is>
          <t>Jellycat：粉色河马毛绒玩偶，精选超柔软绒面材质，触感治愈细腻，圆润造型搭配彩珠项链设计，萌趣童真风格，男女皆宜，适合儿童及玩偶收藏爱好者，英伦设计，陪伴与装饰兼具。</t>
        </is>
      </c>
    </row>
    <row r="82" ht="25.5" customHeight="1">
      <c r="A82">
        <v>1654975475</v>
      </c>
      <c r="B82">
        <v>7619279604</v>
      </c>
      <c r="C82" s="2" t="str">
        <f>=HYPERLINK("https://weidian.com/item.html?itemID=7619279604", "https://weidian.com/item.html?itemID=7619279604")</f>
        <v>https://weidian.com/item.html?itemID=7619279604</v>
      </c>
      <c r="D82"/>
      <c r="E82" s="2" t="str">
        <f>=HYPERLINK("https://si.geilicdn.com/pcitem2014204438-0e5f0000019abdb1ff060a23038e_1440_1440.jpg?w=640&amp;h=640", "https://si.geilicdn.com/pcitem2014204438-0e5f0000019abdb1ff060a23038e_1440_1440.jpg?w=640&amp;h=640")</f>
        <v>https://si.geilicdn.com/pcitem2014204438-0e5f0000019abdb1ff060a23038e_1440_1440.jpg?w=640&amp;h=640</v>
      </c>
      <c r="F82" t="inlineStr">
        <is>
          <t>Toys</t>
        </is>
      </c>
      <c r="G82" t="inlineStr">
        <is>
          <t>Chrome Hearts</t>
        </is>
      </c>
      <c r="H82">
        <v>1424</v>
      </c>
      <c r="I82">
        <v>206.38</v>
      </c>
      <c r="J82" t="inlineStr">
        <is>
          <t>{"id":"chatcmpl-DY4w7CPkEELqV1EKMx8hQ0QaZDvf5","object":"chat.completion","created":1777014499,"model":"gpt-5-chat-latest","choices":[{"index":0,"message":{"role":"assistant","content":"Chrome Hearts Silver Cross Gothic Luxury Ashtray Decor","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82" t="inlineStr">
        <is>
          <t>Chrome Hearts Silver Cross Gothic Luxury Ashtray Decor</t>
        </is>
      </c>
      <c r="L82" t="inlineStr">
        <is>
          <t>{"choices":[{"finish_reason":"stop","index":0,"logprobs":null,"message":{"annotations":[],"content":"Chrome Hearts Silver Cross Ashtray – handcrafted from solid sterling silver, featuring vintage gothic engraving and a bold punk-luxury vibe, perfect for stylish home décor or art collectors.","refusal":null,"role":"assistant"}}],"created":1777013230,"id":"chatcmpl-DY4bevieWoMaAlaSLdCfphOps6sEz","model":"gpt-5-chat-latest","object":"chat.completion","service_tier":"default","system_fingerprint":"fp_ad66631dec","usage":{"completion_tokens":36,"completion_tokens_details":{"accepted_prediction_tokens":0,"audio_tokens":0,"reasoning_tokens":0,"rejected_prediction_tokens":0},"prompt_tokens":896,"prompt_tokens_details":{"audio_tokens":0,"cached_tokens":0},"total_tokens":932}}</t>
        </is>
      </c>
      <c r="M82" t="inlineStr">
        <is>
          <t>{"alt-svc":"h3=\":443\"; ma=2592000","apim-request-id":"d38ffc0d-aa7f-4ddb-b7b7-39cc21d17866","azureml-model-session":"d20260405221325-2e8d5e76","cache-control":"no-cache","connection":"close","content-length":"781","content-security-policy":"frame-ancestors 'self'","content-type":"application/json","date":"Fri, 24 Apr 2026 06:47:11 GMT","server":"Caddy","skip-error-remapping":"true","strict-transport-security":"max-age=31536000; includeSubDomains; preload","via":"1.1 Caddy","x-api-request-id":"20260424144709665152019pZLbVB2T","x-content-type-options":"nosniff","x-frame-options":"SAMEORIGIN","x-ms-client-request-id":"Not-Set","x-ms-is-spilled-over":"false","x-ms-rai-invoked":"true","x-ms-region":"East US 2","x-new-api-version":"0.4.39","x-oneapi-request-id":"202604240647095895373958268d9d6xpns1ZZ1","x-ratelimit-abusepenalty-active":"False","x-ratelimit-limit-requests":"3850","x-ratelimit-limit-tokens":"3850000","x-ratelimit-remaining-requests":"3849","x-ratelimit-remaining-tokens":"3848342","x-ratelimit-renewalperiod-requests":"60","x-ratelimit-renewalperiod-tokens":"60","x-ratelimit-reset-requests":"15","x-ratelimit-reset-tokens":"25","x-request-id":"4ec93d7a-05da-4a51-ad2f-f25fe486c75d"}</t>
        </is>
      </c>
      <c r="N82" t="inlineStr">
        <is>
          <t>Chrome Hearts Silver Cross Ashtray – handcrafted from solid sterling silver, featuring vintage gothic engraving and a bold punk-luxury vibe, perfect for stylish home décor or art collectors.</t>
        </is>
      </c>
      <c r="O82" t="inlineStr">
        <is>
          <t>{"choices":[{"finish_reason":"stop","index":0,"logprobs":null,"message":{"annotations":[],"content":"Chrome Hearts, Toys, kakobuy, kakebuy2026, kekobuysheet, kakobuysheet2026, 2026kakobuy, kakobuyspreadsheeet, kakobuylink, kakebuylist, Kakobuy MEGA Spreadsheet, kakobuysheetfind, kakobuysheetfind2026, 2026kakobuysheetfind, kakobuysheet2026","refusal":null,"role":"assistant"}}],"created":1777014938,"id":"chatcmpl-DY53C77zuHaVI3SMAlf0wandhJ73H","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82" t="inlineStr">
        <is>
          <t>Chrome Hearts, Toys, kakobuy, kakebuy2026, kekobuysheet, kakobuysheet2026, 2026kakobuy, kakobuyspreadsheeet, kakobuylink, kakebuylist, Kakobuy MEGA Spreadsheet, kakobuysheetfind, kakobuysheetfind2026, 2026kakobuysheetfind, kakobuysheet2026</t>
        </is>
      </c>
      <c r="Q82"/>
      <c r="R82" t="inlineStr">
        <is>
          <t>recvhju1CrP3AV</t>
        </is>
      </c>
      <c r="S82" t="inlineStr">
        <is>
          <t>chrome-hearts-silver-cross-gothic-ashtray-recvhju1crp3av</t>
        </is>
      </c>
      <c r="T82"/>
      <c r="U82"/>
      <c r="V82"/>
      <c r="W82" t="inlineStr">
        <is>
          <t>{"choices":[{"finish_reason":"stop","index":0,"logprobs":null,"message":{"annotations":[],"content":"Chrome Hearts：银色十字花系列纯银烟灰缸，复古工艺雕刻设计，质感厚重彰显朋克奢华风格，男女通用家居艺术品，融合洛杉矶手工精神与时尚态度。","refusal":null,"role":"assistant"}}],"created":1777011451,"id":"chatcmpl-DY48xPr3Yhu5ILSrjr2ZkPl2gFEeY","model":"gpt-5-chat-latest","object":"chat.completion","service_tier":"default","system_fingerprint":"fp_ad66631dec","usage":{"completion_tokens":60,"completion_tokens_details":{"accepted_prediction_tokens":0,"audio_tokens":0,"reasoning_tokens":0,"rejected_prediction_tokens":0},"prompt_tokens":1304,"prompt_tokens_details":{"audio_tokens":0,"cached_tokens":0},"total_tokens":1364}}</t>
        </is>
      </c>
      <c r="X82" t="inlineStr">
        <is>
          <t>Chrome Hearts：银色十字花系列纯银烟灰缸，复古工艺雕刻设计，质感厚重彰显朋克奢华风格，男女通用家居艺术品，融合洛杉矶手工精神与时尚态度。</t>
        </is>
      </c>
    </row>
    <row r="83" ht="25.5" customHeight="1">
      <c r="A83">
        <v>1654975475</v>
      </c>
      <c r="B83">
        <v>7616219025</v>
      </c>
      <c r="C83" s="2" t="str">
        <f>=HYPERLINK("https://weidian.com/item.html?itemID=7616219025", "https://weidian.com/item.html?itemID=7616219025")</f>
        <v>https://weidian.com/item.html?itemID=7616219025</v>
      </c>
      <c r="D83"/>
      <c r="E83" s="2" t="str">
        <f>=HYPERLINK("https://si.geilicdn.com/pcitem2014204438-0dab0000019abdb34fad0a23047e_1512_2016.jpg?w=640&amp;h=640", "https://si.geilicdn.com/pcitem2014204438-0dab0000019abdb34fad0a23047e_1512_2016.jpg?w=640&amp;h=640")</f>
        <v>https://si.geilicdn.com/pcitem2014204438-0dab0000019abdb34fad0a23047e_1512_2016.jpg?w=640&amp;h=640</v>
      </c>
      <c r="F83" t="inlineStr">
        <is>
          <t>Toys</t>
        </is>
      </c>
      <c r="G83" t="inlineStr">
        <is>
          <t>Hot Wheels</t>
        </is>
      </c>
      <c r="H83">
        <v>396</v>
      </c>
      <c r="I83">
        <v>57.39</v>
      </c>
      <c r="J83" t="inlineStr">
        <is>
          <t>{"id":"chatcmpl-DY4rW9ZVFS4tfr4gnA8vqhZPILk7j","object":"chat.completion","created":1777014214,"model":"gpt-5-chat-latest","choices":[{"index":0,"message":{"role":"assistant","content":"Hot Wheels Blue Rally 4WD RC Car for Kids Collectors","refusal":null,"annotations":[]},"logprobs":null,"finish_reason":"stop"}],"usage":{"prompt_tokens":880,"completion_tokens":14,"total_tokens":894,"prompt_tokens_details":{"cached_tokens":0,"audio_tokens":0},"completion_tokens_details":{"reasoning_tokens":0,"audio_tokens":0,"accepted_prediction_tokens":0,"rejected_prediction_tokens":0}},"service_tier":"default","system_fingerprint":"fp_ad66631dec"}</t>
        </is>
      </c>
      <c r="K83" t="inlineStr">
        <is>
          <t>Hot Wheels Blue Rally 4WD RC Car for Kids Collectors</t>
        </is>
      </c>
      <c r="L83" t="inlineStr">
        <is>
          <t>{"choices":[{"finish_reason":"stop","index":0,"logprobs":null,"message":{"annotations":[],"content":"Hot Wheels Blue Rally RC Car made of durable ABS plastic, featuring dynamic racing design, 4WD power system for high-speed performance, perfect for kids and collectors who love modern racing style.","refusal":null,"role":"assistant"}}],"created":1777013205,"id":"chatcmpl-DY4bFObDzf2fI4WgeRSZXgjKqT7JW","model":"gpt-5-chat-latest","object":"chat.completion","service_tier":"default","system_fingerprint":"fp_ad66631dec","usage":{"completion_tokens":39,"completion_tokens_details":{"accepted_prediction_tokens":0,"audio_tokens":0,"reasoning_tokens":0,"rejected_prediction_tokens":0},"prompt_tokens":894,"prompt_tokens_details":{"audio_tokens":0,"cached_tokens":0},"total_tokens":933}}</t>
        </is>
      </c>
      <c r="M83" t="inlineStr">
        <is>
          <t>{"alt-svc":"h3=\":443\"; ma=2592000","apim-request-id":"942a245d-bef3-444a-8d15-ce4713315ec6","azureml-model-session":"d20260402083108-57a85543","cache-control":"no-cache","connection":"close","content-length":"785","content-security-policy":"frame-ancestors 'self'","content-type":"application/json","date":"Fri, 24 Apr 2026 06:46:49 GMT","server":"nginx","skip-error-remapping":"true","strict-transport-security":"max-age=31536000; includeSubDomains; preload","via":"1.1 Caddy, 1.1 Caddy","x-api-request-id":"20260424144644144933379ycreaqRV","x-content-type-options":"nosniff","x-frame-options":"SAMEORIGIN","x-ms-client-request-id":"Not-Set","x-ms-is-spilled-over":"false","x-ms-rai-invoked":"true","x-ms-region":"East US 2","x-new-api-version":"0.4.39","x-oneapi-request-id":"202604240646438449599738268d9d6XMhSkcKT","x-ratelimit-abusepenalty-active":"False","x-ratelimit-limit-requests":"3850","x-ratelimit-limit-tokens":"3850000","x-ratelimit-remaining-requests":"3849","x-ratelimit-remaining-tokens":"3847292","x-ratelimit-renewalperiod-requests":"60","x-ratelimit-renewalperiod-tokens":"60","x-ratelimit-reset-requests":"15","x-ratelimit-reset-tokens":"42","x-request-id":"87b2d3d4-9041-4d29-9a73-bf5c03d747c5"}</t>
        </is>
      </c>
      <c r="N83" t="inlineStr">
        <is>
          <t>Hot Wheels Blue Rally RC Car made of durable ABS plastic, featuring dynamic racing design, 4WD power system for high-speed performance, perfect for kids and collectors who love modern racing style.</t>
        </is>
      </c>
      <c r="O83" t="inlineStr">
        <is>
          <t>{"id":"chatcmpl-DY59zlX2eSeKwD5MmZG5S8K6PX7ub","object":"chat.completion","created":1777015359,"model":"gpt-5-chat-latest","choices":[{"index":0,"message":{"role":"assistant","content":"Hot Wheels,toy cars,kakobuy,kakebuy2026,kekobuysheet,kakobuysheet2026,2026kakobuy,kakobuyspreadsheeet,kakobuylink,kakebuylist,Kakobuy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83" t="inlineStr">
        <is>
          <t>Hot Wheels,toy cars,kakobuy,kakebuy2026,kekobuysheet,kakobuysheet2026,2026kakobuy,kakobuyspreadsheeet,kakobuylink,kakebuylist,Kakobuy MEGA Spreadsheet,kakobuysheetfind,kakobuysheetfind2026,2026kakobuysheetfind,kakobuysheet2026</t>
        </is>
      </c>
      <c r="Q83"/>
      <c r="R83" t="inlineStr">
        <is>
          <t>recvhju1CreQzP</t>
        </is>
      </c>
      <c r="S83" t="inlineStr">
        <is>
          <t>blue-rally-4wd-rc-car-recvhju1creqzp</t>
        </is>
      </c>
      <c r="T83"/>
      <c r="U83"/>
      <c r="V83"/>
      <c r="W83" t="inlineStr">
        <is>
          <t>{"choices":[{"finish_reason":"stop","index":0,"logprobs":null,"message":{"annotations":[],"content":"Hot Wheels：蓝色拉力赛车款遥控车，采用高强度ABS塑料材质，动感涂装设计融合赛车元素，四驱动力系统带来极速竞技体验，适合儿童与收藏玩家，现代竞技风格彰显速度激情。","refusal":null,"role":"assistant"}}],"created":1777011939,"id":"chatcmpl-DY4GpG6WcfCGEcEvYlDChiTOwbBaT","model":"gpt-5-chat-latest","object":"chat.completion","service_tier":"default","system_fingerprint":"fp_ad66631dec","usage":{"completion_tokens":60,"completion_tokens_details":{"accepted_prediction_tokens":0,"audio_tokens":0,"reasoning_tokens":0,"rejected_prediction_tokens":0},"prompt_tokens":1300,"prompt_tokens_details":{"audio_tokens":0,"cached_tokens":0},"total_tokens":1360}}</t>
        </is>
      </c>
      <c r="X83" t="inlineStr">
        <is>
          <t>Hot Wheels：蓝色拉力赛车款遥控车，采用高强度ABS塑料材质，动感涂装设计融合赛车元素，四驱动力系统带来极速竞技体验，适合儿童与收藏玩家，现代竞技风格彰显速度激情。</t>
        </is>
      </c>
    </row>
    <row r="84" ht="25.5" customHeight="1">
      <c r="A84">
        <v>1654975475</v>
      </c>
      <c r="B84">
        <v>7619192846</v>
      </c>
      <c r="C84" s="2" t="str">
        <f>=HYPERLINK("https://weidian.com/item.html?itemID=7619192846", "https://weidian.com/item.html?itemID=7619192846")</f>
        <v>https://weidian.com/item.html?itemID=7619192846</v>
      </c>
      <c r="D84"/>
      <c r="E84" s="2" t="str">
        <f>=HYPERLINK("https://si.geilicdn.com/pcitem2014204438-33620000019abdb6e75c0a2103bd_800_800.jpg?w=640&amp;h=640", "https://si.geilicdn.com/pcitem2014204438-33620000019abdb6e75c0a2103bd_800_800.jpg?w=640&amp;h=640")</f>
        <v>https://si.geilicdn.com/pcitem2014204438-33620000019abdb6e75c0a2103bd_800_800.jpg?w=640&amp;h=640</v>
      </c>
      <c r="F84" t="inlineStr">
        <is>
          <t>Toys</t>
        </is>
      </c>
      <c r="G84" t="inlineStr">
        <is>
          <t>Hermes</t>
        </is>
      </c>
      <c r="H84">
        <v>480</v>
      </c>
      <c r="I84">
        <v>69.5797101449275</v>
      </c>
      <c r="J84" t="inlineStr">
        <is>
          <t>{"choices":[{"finish_reason":"stop","index":0,"logprobs":null,"message":{"annotations":[],"content":"Hermes Lago Red Wooden Horse Pull Toy Collectible","refusal":null,"role":"assistant"}}],"created":1777014124,"id":"chatcmpl-DY4q4kFxGCFnt3t6u28mbXhGmKB0X","model":"gpt-5-chat-latest","object":"chat.completion","service_tier":"default","system_fingerprint":"fp_ad66631dec","usage":{"completion_tokens":11,"completion_tokens_details":{"accepted_prediction_tokens":0,"audio_tokens":0,"reasoning_tokens":0,"rejected_prediction_tokens":0},"prompt_tokens":878,"prompt_tokens_details":{"audio_tokens":0,"cached_tokens":0},"total_tokens":889}}</t>
        </is>
      </c>
      <c r="K84" t="inlineStr">
        <is>
          <t>Hermes Lago Red Wooden Horse Pull Toy Collectible</t>
        </is>
      </c>
      <c r="L84" t="inlineStr">
        <is>
          <t>{"choices":[{"finish_reason":"stop","index":0,"logprobs":null,"message":{"annotations":[],"content":"Hermès Toys Lago Red Wooden Pull Toy, inspired by equestrian motifs, crafted from natural beechwood with elegant vintage lines. A collectible art toy blending French refinement and playful design.","refusal":null,"role":"assistant"}}],"created":1777013311,"id":"chatcmpl-DY4cxdrCXcMMbaYxOki5FAkUvbPD0","model":"gpt-5-chat-latest","object":"chat.completion","service_tier":"default","system_fingerprint":"fp_ad66631dec","usage":{"completion_tokens":38,"completion_tokens_details":{"accepted_prediction_tokens":0,"audio_tokens":0,"reasoning_tokens":0,"rejected_prediction_tokens":0},"prompt_tokens":893,"prompt_tokens_details":{"audio_tokens":0,"cached_tokens":0},"total_tokens":931}}</t>
        </is>
      </c>
      <c r="M84" t="inlineStr">
        <is>
          <t>{"alt-svc":"h3=\":443\"; ma=2592000","apim-request-id":"1b794549-1ae4-4406-8fe6-9bb5548ebbcb","azureml-model-session":"d20260402075109-1fc5a0ec","cache-control":"no-cache","connection":"close","content-length":"785","content-security-policy":"frame-ancestors 'self'","content-type":"application/json","date":"Fri, 24 Apr 2026 06:48:33 GMT","server":"Caddy","skip-error-remapping":"true","strict-transport-security":"max-age=31536000; includeSubDomains; preload","via":"1.1 Caddy","x-api-request-id":"2026042414483031101625Anxot3cA","x-content-type-options":"nosniff","x-frame-options":"SAMEORIGIN","x-ms-client-request-id":"Not-Set","x-ms-is-spilled-over":"false","x-ms-rai-invoked":"true","x-ms-region":"East US 2","x-new-api-version":"0.4.39","x-oneapi-request-id":"202604240648291603480298268d9d6nmbQsC7C","x-ratelimit-abusepenalty-active":"False","x-ratelimit-limit-requests":"3850","x-ratelimit-limit-tokens":"3850000","x-ratelimit-remaining-requests":"3848","x-ratelimit-remaining-tokens":"3848104","x-ratelimit-renewalperiod-requests":"60","x-ratelimit-renewalperiod-tokens":"60","x-ratelimit-reset-requests":"27","x-ratelimit-reset-tokens":"29","x-request-id":"c8458124-3234-4783-9dcc-ac47a48b4978"}</t>
        </is>
      </c>
      <c r="N84" t="inlineStr">
        <is>
          <t>Hermès Toys Lago Red Wooden Pull Toy, inspired by equestrian motifs, crafted from natural beechwood with elegant vintage lines. A collectible art toy blending French refinement and playful design.</t>
        </is>
      </c>
      <c r="O84" t="inlineStr">
        <is>
          <t>{"choices":[{"finish_reason":"stop","index":0,"logprobs":null,"message":{"annotations":[],"content":"Hermes,Toy,kakobuy,kakebuy2026,kekobuysheet,kakobuysheet2026,2026kakobuy,kakobuyspreadsheeet,kakobuylink,kakebuylist,Kakobuy MEGA Spreadsheet,kakobuysheetfind,kakobuysheetfind2026,2026kakobuysheetfind,kakobuysheet2026","refusal":null,"role":"assistant"}}],"created":1777015303,"id":"chatcmpl-DY595ajmKfdTjRPvqOcbonJ00cgBR","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84" t="inlineStr">
        <is>
          <t>Hermes,Toy,kakobuy,kakebuy2026,kekobuysheet,kakobuysheet2026,2026kakobuy,kakobuyspreadsheeet,kakobuylink,kakebuylist,Kakobuy MEGA Spreadsheet,kakobuysheetfind,kakobuysheetfind2026,2026kakobuysheetfind,kakobuysheet2026</t>
        </is>
      </c>
      <c r="Q84"/>
      <c r="R84" t="inlineStr">
        <is>
          <t>recvhju1CrKidu</t>
        </is>
      </c>
      <c r="S84" t="inlineStr">
        <is>
          <t>hermes-lago-red-wooden-horse-toy-recvhju1crkidu</t>
        </is>
      </c>
      <c r="T84"/>
      <c r="U84"/>
      <c r="V84"/>
      <c r="W84" t="inlineStr">
        <is>
          <t>{"id":"chatcmpl-DY47h7AkVTZAm5GpOuYwyo8iLIVgl","object":"chat.completion","created":1777011373,"model":"gpt-5-chat-latest","choices":[{"index":0,"message":{"role":"assistant","content":"Hermès：Lago系列红色木质拉车玩具，以马术图腾为灵感，天然榉木打造，线条优雅复古，兼具艺术收藏与儿童启蒙功能，传递法式精致与温馨设计美学。","refusal":null,"annotations":[]},"logprobs":null,"finish_reason":"stop"}],"usage":{"prompt_tokens":1298,"completion_tokens":60,"total_tokens":1358,"prompt_tokens_details":{"cached_tokens":0,"audio_tokens":0},"completion_tokens_details":{"reasoning_tokens":0,"audio_tokens":0,"accepted_prediction_tokens":0,"rejected_prediction_tokens":0}},"service_tier":"default","system_fingerprint":"fp_ad66631dec"}</t>
        </is>
      </c>
      <c r="X84" t="inlineStr">
        <is>
          <t>Hermès：Lago系列红色木质拉车玩具，以马术图腾为灵感，天然榉木打造，线条优雅复古，兼具艺术收藏与儿童启蒙功能，传递法式精致与温馨设计美学。</t>
        </is>
      </c>
    </row>
    <row r="85" ht="25.5" customHeight="1">
      <c r="A85">
        <v>1654975475</v>
      </c>
      <c r="B85">
        <v>7616291693</v>
      </c>
      <c r="C85" s="2" t="str">
        <f>=HYPERLINK("https://weidian.com/item.html?itemID=7616291693", "https://weidian.com/item.html?itemID=7616291693")</f>
        <v>https://weidian.com/item.html?itemID=7616291693</v>
      </c>
      <c r="D85"/>
      <c r="E85" s="2" t="str">
        <f>=HYPERLINK("https://si.geilicdn.com/pcitem2014204438-02c40000019abdb86cec0a20e273_1442_1922.jpg?w=640&amp;h=640", "https://si.geilicdn.com/pcitem2014204438-02c40000019abdb86cec0a20e273_1442_1922.jpg?w=640&amp;h=640")</f>
        <v>https://si.geilicdn.com/pcitem2014204438-02c40000019abdb86cec0a20e273_1442_1922.jpg?w=640&amp;h=640</v>
      </c>
      <c r="F85" t="inlineStr">
        <is>
          <t>Toys</t>
        </is>
      </c>
      <c r="G85" t="inlineStr">
        <is>
          <t xml:space="preserve"> Jellycat</t>
        </is>
      </c>
      <c r="H85">
        <v>460</v>
      </c>
      <c r="I85">
        <v>66.67</v>
      </c>
      <c r="J85" t="inlineStr">
        <is>
          <t>{"id":"chatcmpl-DY4qSKxPgjM1gC8yY9CEcXLEhxxtC","object":"chat.completion","created":1777014148,"model":"gpt-5-chat-latest","choices":[{"index":0,"message":{"role":"assistant","content":"Jellycat London Black White Cat Plush Pumpkin Toy","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85" t="inlineStr">
        <is>
          <t>Jellycat London Black White Cat Plush Pumpkin Toy</t>
        </is>
      </c>
      <c r="L85" t="inlineStr">
        <is>
          <t>{"id":"chatcmpl-DY4fdVdLFQarHwTOxk3ERgPSaQaPH","object":"chat.completion","created":1777013477,"model":"gpt-5-chat-latest","choices":[{"index":0,"message":{"role":"assistant","content":"Jellycat London Black &amp; White Cat Plush Toy with Orange Pumpkin Hat, ultra-soft short velvet, cozy and cute for all ages, perfect cuddle companion to brighten your home décor.","refusal":null,"annotations":[]},"logprobs":null,"finish_reason":"stop"}],"usage":{"prompt_tokens":905,"completion_tokens":37,"total_tokens":942,"prompt_tokens_details":{"cached_tokens":0,"audio_tokens":0},"completion_tokens_details":{"reasoning_tokens":0,"audio_tokens":0,"accepted_prediction_tokens":0,"rejected_prediction_tokens":0}},"service_tier":"default","system_fingerprint":"fp_ad66631dec"}</t>
        </is>
      </c>
      <c r="M8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ma=2592000","apim-request-id":"f18dc9f3-e8e5-4c0c-b4f0-51cdf89dbbdb","azureml-model-session":"d20260405225800-40f19e54","cache-control":"no-cache, no-store, must-revalidate","connection":"close","content-length":"980","content-security-policy":"frame-ancestors 'self'","content-type":"application/json","date":"Fri, 24 Apr 2026 06:51:19 GMT","server":"Caddy","skip-error-remapping":"true","strict-transport-security":"max-age=31536000; includeSubDomains; preload","via":"1.1 Caddy","x-api-request-id":"2026042414511684228885qHt4wa5A","x-content-type-options":"nosniff","x-frame-options":"SAMEORIGIN","x-ms-is-spilled-over":"false","x-ms-rai-invoked":"false","x-ms-region":"Sweden Central","x-new-api-version":"0.4.39","x-oneapi-request-id":"2026042406511655418698268d9d6e3nYcK5x","x-ratelimit-abusepenalty-active":"False","x-ratelimit-limit-requests":"4998","x-ratelimit-limit-tokens":"4998000","x-ratelimit-remaining-requests":"4997","x-ratelimit-remaining-tokens":"4996333","x-ratelimit-renewalperiod-requests":"60","x-ratelimit-renewalperiod-tokens":"60","x-ratelimit-reset-requests":"12","x-ratelimit-reset-tokens":"20","x-request-id":"a436b926-816b-4795-b7ec-c8b8a44b0ab0"}</t>
        </is>
      </c>
      <c r="N85" t="inlineStr">
        <is>
          <t>Jellycat London Black &amp; White Cat Plush Toy with Orange Pumpkin Hat, ultra-soft short velvet, cozy and cute for all ages, perfect cuddle companion to brighten your home décor.</t>
        </is>
      </c>
      <c r="O85" t="inlineStr">
        <is>
          <t>{"id":"chatcmpl-DY58BrzeGnIpELUZUZcEn5NhV8mBW","object":"chat.completion","created":1777015247,"model":"gpt-5-chat-latest","choices":[{"index":0,"message":{"role":"assistant","content":"Jellycat,Toy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85" t="inlineStr">
        <is>
          <t>Jellycat,Toys,kakobuy,kakebuy2026,kekobuysheet,kakobuysheet2026,2026kakobuy,kakobuyspreadsheeet,kakobuylink,kakebuylist,Kakobuy MEGA Spreadsheet,kakobuysheetfind,kakobuysheetfind2026,2026kakobuysheetfind,kakobuysheet2026</t>
        </is>
      </c>
      <c r="Q85" t="inlineStr">
        <is>
          <t>Cute, Velvet, Black, White, Orange, All Seasons</t>
        </is>
      </c>
      <c r="R85" t="inlineStr">
        <is>
          <t>recvhju1Crojdw</t>
        </is>
      </c>
      <c r="S85" t="inlineStr">
        <is>
          <t>jellycat-black-white-cat-plush-pumpkin-recvhju1crojdw</t>
        </is>
      </c>
      <c r="T85"/>
      <c r="U85"/>
      <c r="V85"/>
      <c r="W85" t="inlineStr">
        <is>
          <t>{"choices":[{"finish_reason":"stop","index":0,"logprobs":null,"message":{"annotations":[],"content":"Jellycat：London系列黑白猫造型毛绒玩偶，柔软短绒面料搭配橙色南瓜帽设计，英伦趣味风格，手感细腻亲肤，适合男女及各年龄段拥抱收藏，点亮家居温馨氛围。","refusal":null,"role":"assistant"}}],"created":1777011705,"id":"chatcmpl-DY4D3fdxaiyFsFFDys0N1N9CsXXYT","model":"gpt-5-chat-latest","object":"chat.completion","service_tier":"default","system_fingerprint":"fp_ad66631dec","usage":{"completion_tokens":71,"completion_tokens_details":{"accepted_prediction_tokens":0,"audio_tokens":0,"reasoning_tokens":0,"rejected_prediction_tokens":0},"prompt_tokens":1300,"prompt_tokens_details":{"audio_tokens":0,"cached_tokens":0},"total_tokens":1371}}</t>
        </is>
      </c>
      <c r="X85" t="inlineStr">
        <is>
          <t>Jellycat：London系列黑白猫造型毛绒玩偶，柔软短绒面料搭配橙色南瓜帽设计，英伦趣味风格，手感细腻亲肤，适合男女及各年龄段拥抱收藏，点亮家居温馨氛围。</t>
        </is>
      </c>
    </row>
    <row r="86" ht="25.5" customHeight="1">
      <c r="A86">
        <v>1654975475</v>
      </c>
      <c r="B86">
        <v>7616187261</v>
      </c>
      <c r="C86" s="2" t="str">
        <f>=HYPERLINK("https://weidian.com/item.html?itemID=7616187261", "https://weidian.com/item.html?itemID=7616187261")</f>
        <v>https://weidian.com/item.html?itemID=7616187261</v>
      </c>
      <c r="D86"/>
      <c r="E86" s="2" t="str">
        <f>=HYPERLINK("https://si.geilicdn.com/pcitem2014204438-674b0000019abdb8e9d70a20e2c5_1080_1542.jpg?w=640&amp;h=640", "https://si.geilicdn.com/pcitem2014204438-674b0000019abdb8e9d70a20e2c5_1080_1542.jpg?w=640&amp;h=640")</f>
        <v>https://si.geilicdn.com/pcitem2014204438-674b0000019abdb8e9d70a20e2c5_1080_1542.jpg?w=640&amp;h=640</v>
      </c>
      <c r="F86" t="inlineStr">
        <is>
          <t>Toys</t>
        </is>
      </c>
      <c r="G86" t="inlineStr">
        <is>
          <t>Lego</t>
        </is>
      </c>
      <c r="H86">
        <v>1236</v>
      </c>
      <c r="I86">
        <v>179.13</v>
      </c>
      <c r="J86" t="inlineStr">
        <is>
          <t>{"choices":[{"finish_reason":"stop","index":0,"logprobs":null,"message":{"annotations":[],"content":"ToysLego Adventure Teal 4x4 Off-Road Car Set","refusal":null,"role":"assistant"}}],"created":1777014236,"id":"chatcmpl-DY4rsYs7JEHflQmYmXHq8n2E94ffA","model":"gpt-5-chat-latest","object":"chat.completion","service_tier":"default","system_fingerprint":"fp_ad66631dec","usage":{"completion_tokens":17,"completion_tokens_details":{"accepted_prediction_tokens":0,"audio_tokens":0,"reasoning_tokens":0,"rejected_prediction_tokens":0},"prompt_tokens":884,"prompt_tokens_details":{"audio_tokens":0,"cached_tokens":0},"total_tokens":901}}</t>
        </is>
      </c>
      <c r="K86" t="inlineStr">
        <is>
          <t>ToysLego Adventure Teal 4x4 Off-Road Car Set</t>
        </is>
      </c>
      <c r="L86" t="inlineStr">
        <is>
          <t>{"id":"chatcmpl-DY4hPma7sxSK4SA7ohClErTZGfwEm","object":"chat.completion","created":1777013587,"model":"gpt-5-chat-latest","choices":[{"index":0,"message":{"role":"assistant","content":"ToysLego Adventure Series Teal Off-Road 4x4 Car, precision mechanical design, futuristic style building blocks, perfect for boys and girls, blending tech aesthetics with outdoor exploration fun.","refusal":null,"annotations":[]},"logprobs":null,"finish_reason":"stop"}],"usage":{"prompt_tokens":905,"completion_tokens":41,"total_tokens":946,"prompt_tokens_details":{"cached_tokens":0,"audio_tokens":0},"completion_tokens_details":{"reasoning_tokens":0,"audio_tokens":0,"accepted_prediction_tokens":0,"rejected_prediction_tokens":0}},"service_tier":"default","system_fingerprint":"fp_ad66631dec"}</t>
        </is>
      </c>
      <c r="M8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ma=2592000","apim-request-id":"c8c5ec90-26ff-40e6-b9d9-150264f5e441","azureml-model-session":"d20260402074105-51db401e","cache-control":"no-cache, no-store, must-revalidate","connection":"close","content-length":"998","content-security-policy":"frame-ancestors 'self'","content-type":"application/json","date":"Fri, 24 Apr 2026 06:53:10 GMT","server":"nginx","skip-error-remapping":"true","strict-transport-security":"max-age=31536000; includeSubDomains; preload","via":"1.1 Caddy, 1.1 Caddy","x-api-request-id":"20260424145305181606107bHhCJYwz","x-content-type-options":"nosniff","x-frame-options":"SAMEORIGIN","x-ms-is-spilled-over":"false","x-ms-rai-invoked":"false","x-ms-region":"Sweden Central","x-new-api-version":"0.4.39","x-oneapi-request-id":"20260424065305251798798268d9d6N840aOgk","x-ratelimit-abusepenalty-active":"False","x-ratelimit-limit-requests":"4998","x-ratelimit-limit-tokens":"4998000","x-ratelimit-remaining-requests":"4997","x-ratelimit-remaining-tokens":"4996333","x-ratelimit-renewalperiod-requests":"60","x-ratelimit-renewalperiod-tokens":"60","x-ratelimit-reset-requests":"12","x-ratelimit-reset-tokens":"20","x-request-id":"81d3f219-049c-41e5-b004-7200c989e7b4"}</t>
        </is>
      </c>
      <c r="N86" t="inlineStr">
        <is>
          <t>ToysLego Adventure Series Teal Off-Road 4x4 Car, precision mechanical design, futuristic style building blocks, perfect for boys and girls, blending tech aesthetics with outdoor exploration fun.</t>
        </is>
      </c>
      <c r="O86" t="inlineStr">
        <is>
          <t>{"choices":[{"finish_reason":"stop","index":0,"logprobs":null,"message":{"annotations":[],"content":"Lego,Toy Car,kakobuy,kakebuy2026,kekobuysheet,kakobuysheet2026,2026kakobuy,kakobuyspreadsheeet,kakobuylink,kakebuylist,Kakobuy MEGA Spreadsheet,kakobuysheetfind,kakobuysheetfind2026,2026kakobuysheetfind,kakobuysheet2026","refusal":null,"role":"assistant"}}],"created":1777015104,"id":"chatcmpl-DY55syh5flWYR6yD0d6Uly9BTCVL3","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86" t="inlineStr">
        <is>
          <t>Lego,Toy Car,kakobuy,kakebuy2026,kekobuysheet,kakobuysheet2026,2026kakobuy,kakobuyspreadsheeet,kakobuylink,kakebuylist,Kakobuy MEGA Spreadsheet,kakobuysheetfind,kakobuysheetfind2026,2026kakobuysheetfind,kakobuysheet2026</t>
        </is>
      </c>
      <c r="Q86"/>
      <c r="R86" t="inlineStr">
        <is>
          <t>recvhju1CrOQ8d</t>
        </is>
      </c>
      <c r="S86" t="inlineStr">
        <is>
          <t>toyslego-adventure-teal-4x4-off-road-car-recvhju1croq8d</t>
        </is>
      </c>
      <c r="T86"/>
      <c r="U86"/>
      <c r="V86"/>
      <c r="W86" t="inlineStr">
        <is>
          <t>{"choices":[{"finish_reason":"stop","index":0,"logprobs":null,"message":{"annotations":[],"content":"Lego：探险系列蓝绿色越野四驱车，采用高强度拼装积木材质，机械结构精密，展现未来感设计风格，适合男女玩家，现代科技元素结合户外探险主题，兼具收藏与创意体验的拼装玩具。","refusal":null,"role":"assistant"}}],"created":1777011579,"id":"chatcmpl-DY4B1TAxabknYJSBqaJ2yiAOQ9RuR","model":"gpt-5-chat-latest","object":"chat.completion","service_tier":"default","system_fingerprint":"fp_ad66631dec","usage":{"completion_tokens":67,"completion_tokens_details":{"accepted_prediction_tokens":0,"audio_tokens":0,"reasoning_tokens":0,"rejected_prediction_tokens":0},"prompt_tokens":1308,"prompt_tokens_details":{"audio_tokens":0,"cached_tokens":1280},"total_tokens":1375}}</t>
        </is>
      </c>
      <c r="X86" t="inlineStr">
        <is>
          <t>Lego：探险系列蓝绿色越野四驱车，采用高强度拼装积木材质，机械结构精密，展现未来感设计风格，适合男女玩家，现代科技元素结合户外探险主题，兼具收藏与创意体验的拼装玩具。</t>
        </is>
      </c>
    </row>
    <row r="87" ht="25.5" customHeight="1">
      <c r="A87">
        <v>1654975475</v>
      </c>
      <c r="B87">
        <v>7616205171</v>
      </c>
      <c r="C87" s="2" t="str">
        <f>=HYPERLINK("https://weidian.com/item.html?itemID=7616205171", "https://weidian.com/item.html?itemID=7616205171")</f>
        <v>https://weidian.com/item.html?itemID=7616205171</v>
      </c>
      <c r="D87"/>
      <c r="E87" s="2" t="str">
        <f>=HYPERLINK("https://si.geilicdn.com/pcitem2014204438-5f6d0000019abdb7dd690a210139_1442_1922.jpg?w=640&amp;h=640", "https://si.geilicdn.com/pcitem2014204438-5f6d0000019abdb7dd690a210139_1442_1922.jpg?w=640&amp;h=640")</f>
        <v>https://si.geilicdn.com/pcitem2014204438-5f6d0000019abdb7dd690a210139_1442_1922.jpg?w=640&amp;h=640</v>
      </c>
      <c r="F87" t="inlineStr">
        <is>
          <t>Toys</t>
        </is>
      </c>
      <c r="G87" t="inlineStr">
        <is>
          <t xml:space="preserve"> Jellycat</t>
        </is>
      </c>
      <c r="H87">
        <v>160</v>
      </c>
      <c r="I87">
        <v>23.19</v>
      </c>
      <c r="J87" t="inlineStr">
        <is>
          <t>{"choices":[{"finish_reason":"stop","index":0,"logprobs":null,"message":{"annotations":[],"content":"Jellycat London Siamese Cat Plush Toy Soft Grey Gift","refusal":null,"role":"assistant"}}],"created":1777014475,"id":"chatcmpl-DY4vjXnkk1LZlEDHvo3KyHLN4aTHY","model":"gpt-5-chat-latest","object":"chat.completion","service_tier":"default","system_fingerprint":"fp_ad66631dec","usage":{"completion_tokens":13,"completion_tokens_details":{"accepted_prediction_tokens":0,"audio_tokens":0,"reasoning_tokens":0,"rejected_prediction_tokens":0},"prompt_tokens":886,"prompt_tokens_details":{"audio_tokens":0,"cached_tokens":0},"total_tokens":899}}</t>
        </is>
      </c>
      <c r="K87" t="inlineStr">
        <is>
          <t>Jellycat London Siamese Cat Plush Toy Soft Grey Gift</t>
        </is>
      </c>
      <c r="L87" t="inlineStr">
        <is>
          <t>{"id":"chatcmpl-DY4fC62esCCfhYPMNgCVYRNtTXB2A","object":"chat.completion","created":1777013450,"model":"gpt-5-chat-latest","choices":[{"index":0,"message":{"role":"assistant","content":"Jellycat London Siamese Cat Plush – Soft beige-gray fur and playful 3D design bring cozy British charm. Perfect for all ages to hug, collect, or decorate, offering comfort and style.","refusal":null,"annotations":[]},"logprobs":null,"finish_reason":"stop"}],"usage":{"prompt_tokens":895,"completion_tokens":42,"total_tokens":937,"prompt_tokens_details":{"cached_tokens":0,"audio_tokens":0},"completion_tokens_details":{"reasoning_tokens":0,"audio_tokens":0,"accepted_prediction_tokens":0,"rejected_prediction_tokens":0}},"service_tier":"default","system_fingerprint":"fp_ad66631dec"}</t>
        </is>
      </c>
      <c r="M8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ma=2592000","apim-request-id":"74a06fc2-669b-4e7b-a7bb-b21a3aaa3e64","azureml-model-session":"d20260402075109-1fc5a0ec","cache-control":"no-cache, no-store, must-revalidate","connection":"close","content-length":"988","content-security-policy":"frame-ancestors 'self'","content-type":"application/json","date":"Fri, 24 Apr 2026 06:50:53 GMT","server":"nginx","skip-error-remapping":"true","strict-transport-security":"max-age=31536000; includeSubDomains; preload","via":"1.1 Caddy, 1.1 Caddy","x-api-request-id":"20260424145048643094803svE5C6tR","x-content-type-options":"nosniff","x-frame-options":"SAMEORIGIN","x-ms-is-spilled-over":"false","x-ms-rai-invoked":"false","x-ms-region":"Sweden Central","x-new-api-version":"0.4.39","x-oneapi-request-id":"202604240650477602541178268d9d6iM17Gogf","x-ratelimit-abusepenalty-active":"False","x-ratelimit-limit-requests":"4998","x-ratelimit-limit-tokens":"4998000","x-ratelimit-remaining-requests":"4997","x-ratelimit-remaining-tokens":"4996343","x-ratelimit-renewalperiod-requests":"60","x-ratelimit-renewalperiod-tokens":"60","x-ratelimit-reset-requests":"12","x-ratelimit-reset-tokens":"19","x-request-id":"d1be5d44-34e3-471f-9a4c-8d9570ee4bdc"}</t>
        </is>
      </c>
      <c r="N87" t="inlineStr">
        <is>
          <t>Jellycat London Siamese Cat Plush – Soft beige-gray fur and playful 3D design bring cozy British charm. Perfect for all ages to hug, collect, or decorate, offering comfort and style.</t>
        </is>
      </c>
      <c r="O87" t="inlineStr">
        <is>
          <t>{"id":"chatcmpl-DY56soZCzDNMFxTn1tLy3zJsk4xKB","object":"chat.completion","created":1777015166,"model":"gpt-5-chat-latest","choices":[{"index":0,"message":{"role":"assistant","content":"Jellycat,Toy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87" t="inlineStr">
        <is>
          <t>Jellycat,Toys,kakobuy,kakebuy2026,kekobuysheet,kakobuysheet2026,2026kakobuy,kakobuyspreadsheeet,kakobuylink,kakebuylist,Kakobuy MEGA Spreadsheet,kakobuysheetfind,kakobuysheetfind2026,2026kakobuysheetfind,kakobuysheet2026</t>
        </is>
      </c>
      <c r="Q87"/>
      <c r="R87" t="inlineStr">
        <is>
          <t>recvhju1Cr3VWF</t>
        </is>
      </c>
      <c r="S87" t="inlineStr">
        <is>
          <t>jellycat-siamese-cat-plush-recvhju1cr3vwf</t>
        </is>
      </c>
      <c r="T87"/>
      <c r="U87"/>
      <c r="V87"/>
      <c r="W87" t="inlineStr">
        <is>
          <t>{"id":"chatcmpl-DY4CrdPw1csAnxAQJfNjPA0mbduKG","object":"chat.completion","created":1777011693,"model":"gpt-5-chat-latest","choices":[{"index":0,"message":{"role":"assistant","content":"Jellycat：London系列米灰色暹罗猫公仔，柔软绒毛材质，立体设计展现俏皮英伦风格，适合男女及各年龄段收藏或拥抱，兼具装饰与疗愈功能。","refusal":null,"annotations":[]},"logprobs":null,"finish_reason":"stop"}],"usage":{"prompt_tokens":1302,"completion_tokens":60,"total_tokens":1362,"prompt_tokens_details":{"cached_tokens":0,"audio_tokens":0},"completion_tokens_details":{"reasoning_tokens":0,"audio_tokens":0,"accepted_prediction_tokens":0,"rejected_prediction_tokens":0}},"service_tier":"default","system_fingerprint":"fp_ad66631dec"}</t>
        </is>
      </c>
      <c r="X87" t="inlineStr">
        <is>
          <t>Jellycat：London系列米灰色暹罗猫公仔，柔软绒毛材质，立体设计展现俏皮英伦风格，适合男女及各年龄段收藏或拥抱，兼具装饰与疗愈功能。</t>
        </is>
      </c>
    </row>
    <row r="88" ht="25.5" customHeight="1">
      <c r="A88">
        <v>1654975475</v>
      </c>
      <c r="B88">
        <v>7619218916</v>
      </c>
      <c r="C88" s="2" t="str">
        <f>=HYPERLINK("https://weidian.com/item.html?itemID=7619218916", "https://weidian.com/item.html?itemID=7619218916")</f>
        <v>https://weidian.com/item.html?itemID=7619218916</v>
      </c>
      <c r="D88"/>
      <c r="E88" s="2" t="str">
        <f>=HYPERLINK("https://si.geilicdn.com/pcitem2014204438-076c0000019abdab76db0a8134f0_1440_1440.jpg?w=640&amp;h=640", "https://si.geilicdn.com/pcitem2014204438-076c0000019abdab76db0a8134f0_1440_1440.jpg?w=640&amp;h=640")</f>
        <v>https://si.geilicdn.com/pcitem2014204438-076c0000019abdab76db0a8134f0_1440_1440.jpg?w=640&amp;h=640</v>
      </c>
      <c r="F88" t="inlineStr">
        <is>
          <t>Toys</t>
        </is>
      </c>
      <c r="G88" t="inlineStr">
        <is>
          <t>Louis Vuitton</t>
        </is>
      </c>
      <c r="H88">
        <v>502</v>
      </c>
      <c r="I88">
        <v>72.75</v>
      </c>
      <c r="J88" t="inlineStr">
        <is>
          <t>{"choices":[{"finish_reason":"stop","index":0,"logprobs":null,"message":{"annotations":[],"content":"Louis Vuitton Blue Knitted Monogram Flower Bag Charm","refusal":null,"role":"assistant"}}],"created":1777014269,"id":"chatcmpl-DY4sP9NDldR8S93wqhAZTietEbMMJ","model":"gpt-5-chat-latest","object":"chat.completion","service_tier":"default","system_fingerprint":"fp_ad66631dec","usage":{"completion_tokens":11,"completion_tokens_details":{"accepted_prediction_tokens":0,"audio_tokens":0,"reasoning_tokens":0,"rejected_prediction_tokens":0},"prompt_tokens":878,"prompt_tokens_details":{"audio_tokens":0,"cached_tokens":0},"total_tokens":889}}</t>
        </is>
      </c>
      <c r="K88" t="inlineStr">
        <is>
          <t>Louis Vuitton Blue Knitted Monogram Flower Bag Charm</t>
        </is>
      </c>
      <c r="L88" t="inlineStr">
        <is>
          <t>{"choices":[{"finish_reason":"stop","index":0,"logprobs":null,"message":{"annotations":[],"content":"Louis Vuitton Monogram Blue Knitted Charm, crafted with soft knit and leather, featuring iconic flower details, gold metal hook, unisex design, luxury collectible accessory for bags or keys.","refusal":null,"role":"assistant"}}],"created":1777013535,"id":"chatcmpl-DY4gZtxZjNRWbTlxdrMkxWDbmzty3","model":"gpt-5-chat-latest","object":"chat.completion","service_tier":"default","system_fingerprint":"fp_ad66631dec","usage":{"completion_tokens":38,"completion_tokens_details":{"accepted_prediction_tokens":0,"audio_tokens":0,"reasoning_tokens":0,"rejected_prediction_tokens":0},"prompt_tokens":907,"prompt_tokens_details":{"audio_tokens":0,"cached_tokens":0},"total_tokens":945}}</t>
        </is>
      </c>
      <c r="M88" t="inlineStr">
        <is>
          <t>{"alt-svc":"h3=\":443\"; ma=2592000","apim-request-id":"e1e4b0f6-9aa5-4adc-b5ce-940a8ff586de","azureml-model-session":"d20260402083108-57a85543","cache-control":"no-cache","connection":"close","content-length":"778","content-security-policy":"frame-ancestors 'self'","content-type":"application/json","date":"Fri, 24 Apr 2026 06:52:16 GMT","server":"Caddy","skip-error-remapping":"true","strict-transport-security":"max-age=31536000; includeSubDomains; preload","via":"1.1 Caddy","x-api-request-id":"202604241452143082905167uZpNH9V","x-content-type-options":"nosniff","x-frame-options":"SAMEORIGIN","x-ms-client-request-id":"Not-Set","x-ms-is-spilled-over":"false","x-ms-rai-invoked":"true","x-ms-region":"East US 2","x-new-api-version":"0.4.39","x-oneapi-request-id":"202604240652137913363438268d9d6DqlH9O3V","x-ratelimit-abusepenalty-active":"False","x-ratelimit-limit-requests":"3850","x-ratelimit-limit-tokens":"3850000","x-ratelimit-remaining-requests":"3849","x-ratelimit-remaining-tokens":"3841107","x-ratelimit-renewalperiod-requests":"60","x-ratelimit-renewalperiod-tokens":"60","x-ratelimit-reset-requests":"15","x-ratelimit-reset-tokens":"138","x-request-id":"888c277f-0d5d-4322-ad22-4b5c2647c773"}</t>
        </is>
      </c>
      <c r="N88" t="inlineStr">
        <is>
          <t>Louis Vuitton Monogram Blue Knitted Charm, crafted with soft knit and leather, featuring iconic flower details, gold metal hook, unisex design, luxury collectible accessory for bags or keys.</t>
        </is>
      </c>
      <c r="O88" t="inlineStr">
        <is>
          <t>{"id":"chatcmpl-DY52mTEXFOw0BPRJxIGa4XdyFteKX","object":"chat.completion","created":1777014912,"model":"gpt-5-chat-latest","choices":[{"index":0,"message":{"role":"assistant","content":"Louis Vuitton,Toys,kakobuy,kakebuy2026,kekobuysheet,kakobuysheet2026,2026kakobuy,kakobuyspreadsheeet,kakobuylink,kakebuylist,Kakobuy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88" t="inlineStr">
        <is>
          <t>Louis Vuitton,Toys,kakobuy,kakebuy2026,kekobuysheet,kakobuysheet2026,2026kakobuy,kakobuyspreadsheeet,kakobuylink,kakebuylist,Kakobuy MEGA Spreadsheet,kakobuysheetfind,kakobuysheetfind2026,2026kakobuysheetfind,kakobuysheet2026</t>
        </is>
      </c>
      <c r="Q88" t="inlineStr">
        <is>
          <t>LV, Blue, Knit, Unisex, High End</t>
        </is>
      </c>
      <c r="R88" t="inlineStr">
        <is>
          <t>recvhju1CruJdB</t>
        </is>
      </c>
      <c r="S88" t="inlineStr">
        <is>
          <t>louis-vuitton-blue-knitted-monogram-flower-bag-charm-recvhju1crujdb</t>
        </is>
      </c>
      <c r="T88"/>
      <c r="U88"/>
      <c r="V88"/>
      <c r="W88" t="inlineStr">
        <is>
          <t>{"choices":[{"finish_reason":"stop","index":0,"logprobs":null,"message":{"annotations":[],"content":"Louis Vuitton：Monogram系列浅蓝色编织挂饰，柔软针织与皮革拼接设计，点缀经典花卉标识元素，精致金属扣环便于悬挂，男女皆宜展现奢华可爱风格，现代感十足的时尚收藏品。","refusal":null,"role":"assistant"}}],"created":1777011477,"id":"chatcmpl-DY49NA1aKlmpNAIvceFuO9EhOSZEW","model":"gpt-5-chat-latest","object":"chat.completion","service_tier":"default","system_fingerprint":"fp_ad66631dec","usage":{"completion_tokens":72,"completion_tokens_details":{"accepted_prediction_tokens":0,"audio_tokens":0,"reasoning_tokens":0,"rejected_prediction_tokens":0},"prompt_tokens":1302,"prompt_tokens_details":{"audio_tokens":0,"cached_tokens":0},"total_tokens":1374}}</t>
        </is>
      </c>
      <c r="X88" t="inlineStr">
        <is>
          <t>Louis Vuitton：Monogram系列浅蓝色编织挂饰，柔软针织与皮革拼接设计，点缀经典花卉标识元素，精致金属扣环便于悬挂，男女皆宜展现奢华可爱风格，现代感十足的时尚收藏品。</t>
        </is>
      </c>
    </row>
    <row r="89" ht="25.5" customHeight="1">
      <c r="A89">
        <v>1654975475</v>
      </c>
      <c r="B89">
        <v>7616203085</v>
      </c>
      <c r="C89" s="2" t="str">
        <f>=HYPERLINK("https://weidian.com/item.html?itemID=7616203085", "https://weidian.com/item.html?itemID=7616203085")</f>
        <v>https://weidian.com/item.html?itemID=7616203085</v>
      </c>
      <c r="D89"/>
      <c r="E89" s="2" t="str">
        <f>=HYPERLINK("https://si.geilicdn.com/pcitem2014204438-0f2f0000019abdb5d64b0a20e284_1280_1707.jpg?w=640&amp;h=640", "https://si.geilicdn.com/pcitem2014204438-0f2f0000019abdb5d64b0a20e284_1280_1707.jpg?w=640&amp;h=640")</f>
        <v>https://si.geilicdn.com/pcitem2014204438-0f2f0000019abdb5d64b0a20e284_1280_1707.jpg?w=640&amp;h=640</v>
      </c>
      <c r="F89" t="inlineStr">
        <is>
          <t>Hoodies</t>
        </is>
      </c>
      <c r="G89" t="inlineStr">
        <is>
          <t>Burberry</t>
        </is>
      </c>
      <c r="H89">
        <v>420</v>
      </c>
      <c r="I89">
        <v>60.87</v>
      </c>
      <c r="J89" t="inlineStr">
        <is>
          <t>{"choices":[{"finish_reason":"stop","index":0,"logprobs":null,"message":{"annotations":[],"content":"Burberry Beige Unisex Cotton Hoodie Casual Wear","refusal":null,"role":"assistant"}}],"created":1777014444,"id":"chatcmpl-DY4vE6Ph6UMKM9gPa8jtRsIhHrEUm","model":"gpt-5-chat-latest","object":"chat.completion","service_tier":"default","system_fingerprint":"fp_ad66631dec","usage":{"completion_tokens":10,"completion_tokens_details":{"accepted_prediction_tokens":0,"audio_tokens":0,"reasoning_tokens":0,"rejected_prediction_tokens":0},"prompt_tokens":879,"prompt_tokens_details":{"audio_tokens":0,"cached_tokens":0},"total_tokens":889}}</t>
        </is>
      </c>
      <c r="K89" t="inlineStr">
        <is>
          <t>Burberry Beige Unisex Cotton Hoodie Casual Wear</t>
        </is>
      </c>
      <c r="L89" t="inlineStr">
        <is>
          <t>{"choices":[{"finish_reason":"stop","index":0,"logprobs":null,"message":{"annotations":[],"content":"Burberry Beige Unisex Hoodie, soft breathable cotton, green embroidered emblem on chest, classic loose fit with drawstring hood, perfect for daily wear, street style, effortless casual fashion.","refusal":null,"role":"assistant"}}],"created":1777013154,"id":"chatcmpl-DY4aQTayif10vybPQSGCz6nXfvr5W","model":"gpt-5-chat-latest","object":"chat.completion","service_tier":"default","system_fingerprint":"fp_ad66631dec","usage":{"completion_tokens":38,"completion_tokens_details":{"accepted_prediction_tokens":0,"audio_tokens":0,"reasoning_tokens":0,"rejected_prediction_tokens":0},"prompt_tokens":917,"prompt_tokens_details":{"audio_tokens":0,"cached_tokens":0},"total_tokens":955}}</t>
        </is>
      </c>
      <c r="M89" t="inlineStr">
        <is>
          <t>{"alt-svc":"h3=\":443\"; ma=2592000","apim-request-id":"aa2139af-5807-4c8c-a511-a2f1e8163ac4","azureml-model-session":"d20260405234249-f9874baf","cache-control":"no-cache","connection":"close","content-length":"781","content-security-policy":"frame-ancestors 'self'","content-type":"application/json","date":"Fri, 24 Apr 2026 06:45:55 GMT","server":"nginx","skip-error-remapping":"true","strict-transport-security":"max-age=31536000; includeSubDomains; preload","via":"1.1 Caddy, 1.1 Caddy","x-api-request-id":"20260424144552833498074M4QOgK6Y","x-content-type-options":"nosniff","x-frame-options":"SAMEORIGIN","x-ms-client-request-id":"Not-Set","x-ms-is-spilled-over":"false","x-ms-rai-invoked":"true","x-ms-region":"East US 2","x-new-api-version":"0.4.39","x-oneapi-request-id":"202604240645526418101578268d9d6iS4xLzf5","x-ratelimit-abusepenalty-active":"False","x-ratelimit-limit-requests":"3850","x-ratelimit-limit-tokens":"3850000","x-ratelimit-remaining-requests":"3849","x-ratelimit-remaining-tokens":"3848321","x-ratelimit-renewalperiod-requests":"60","x-ratelimit-renewalperiod-tokens":"60","x-ratelimit-reset-requests":"15","x-ratelimit-reset-tokens":"26","x-request-id":"867d3638-f217-4593-8a64-6334c501f668"}</t>
        </is>
      </c>
      <c r="N89" t="inlineStr">
        <is>
          <t>Burberry Beige Unisex Hoodie, soft breathable cotton, green embroidered emblem on chest, classic loose fit with drawstring hood, perfect for daily wear, street style, effortless casual fashion.</t>
        </is>
      </c>
      <c r="O89" t="inlineStr">
        <is>
          <t>{"id":"chatcmpl-DY544CRM380hcgTMVzAwzcbDBfFLz","object":"chat.completion","created":1777014992,"model":"gpt-5-chat-latest","choices":[{"index":0,"message":{"role":"assistant","content":"Burberry,Hoodi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ad66631dec"}</t>
        </is>
      </c>
      <c r="P89" t="inlineStr">
        <is>
          <t>Burberry,Hoodies,kakobuy,kakebuy2026,kekobuysheet,kakobuysheet2026,2026kakobuy,kakobuyspreadsheeet,kakobuylink,kakebuylist,Kakobuy MEGA Spreadsheet,kakobuysheetfind,kakobuysheetfind2026,2026kakobuysheetfind,kakobuysheet2026</t>
        </is>
      </c>
      <c r="Q89" t="inlineStr">
        <is>
          <t>Beige, Unisex, Street, Classic</t>
        </is>
      </c>
      <c r="R89" t="inlineStr">
        <is>
          <t>recvhju1CrDB6y</t>
        </is>
      </c>
      <c r="S89" t="inlineStr">
        <is>
          <t>burberry-beige-unisex-cotton-hoodie-recvhju1crdb6y</t>
        </is>
      </c>
      <c r="T89"/>
      <c r="U89"/>
      <c r="V89"/>
      <c r="W89" t="inlineStr">
        <is>
          <t>{"id":"chatcmpl-DY49kks05Zhwm8shAmNnO1jByI4HA","object":"chat.completion","created":1777011500,"model":"gpt-5-chat-latest","choices":[{"index":0,"message":{"role":"assistant","content":"Other 米色休闲连帽卫衣，柔软棉质面料舒适透气，胸前绿刺绣图腾点缀细节，经典宽松版型与抽绳帽设计，男女皆宜，街头潮流风格，适合日常休闲穿搭，尽显随性时尚态度。","refusal":null,"annotations":[]},"logprobs":null,"finish_reason":"stop"}],"usage":{"prompt_tokens":1309,"completion_tokens":78,"total_tokens":1387,"prompt_tokens_details":{"cached_tokens":1280,"audio_tokens":0},"completion_tokens_details":{"reasoning_tokens":0,"audio_tokens":0,"accepted_prediction_tokens":0,"rejected_prediction_tokens":0}},"service_tier":"default","system_fingerprint":"fp_ad66631dec"}</t>
        </is>
      </c>
      <c r="X89" t="inlineStr">
        <is>
          <t>Other 米色休闲连帽卫衣，柔软棉质面料舒适透气，胸前绿刺绣图腾点缀细节，经典宽松版型与抽绳帽设计，男女皆宜，街头潮流风格，适合日常休闲穿搭，尽显随性时尚态度。</t>
        </is>
      </c>
    </row>
    <row r="90" ht="25.5" customHeight="1">
      <c r="A90">
        <v>1654975475</v>
      </c>
      <c r="B90">
        <v>7619250576</v>
      </c>
      <c r="C90" s="2" t="str">
        <f>=HYPERLINK("https://weidian.com/item.html?itemID=7619250576", "https://weidian.com/item.html?itemID=7619250576")</f>
        <v>https://weidian.com/item.html?itemID=7619250576</v>
      </c>
      <c r="D90"/>
      <c r="E90" s="2" t="str">
        <f>=HYPERLINK("https://si.geilicdn.com/pcitem2014204438-0c0c0000019abdaa46810a23037f_3024_3024.jpg?w=640&amp;h=640", "https://si.geilicdn.com/pcitem2014204438-0c0c0000019abdaa46810a23037f_3024_3024.jpg?w=640&amp;h=640")</f>
        <v>https://si.geilicdn.com/pcitem2014204438-0c0c0000019abdaa46810a23037f_3024_3024.jpg?w=640&amp;h=640</v>
      </c>
      <c r="F90" t="inlineStr">
        <is>
          <t>Toys</t>
        </is>
      </c>
      <c r="G90" t="inlineStr">
        <is>
          <t>Louis Vuitton</t>
        </is>
      </c>
      <c r="H90">
        <v>300</v>
      </c>
      <c r="I90">
        <v>43.48</v>
      </c>
      <c r="J90" t="inlineStr">
        <is>
          <t>{"id":"chatcmpl-DY4t7GMnpXTrjXp8Oh5BywzFunFfb","object":"chat.completion","created":1777014313,"model":"gpt-5-chat-latest","choices":[{"index":0,"message":{"role":"assistant","content":"Louis Vuitton Silver Bear Pendant Necklace Unisex Jewelry","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is>
      </c>
      <c r="K90" t="inlineStr">
        <is>
          <t>Louis Vuitton Silver Bear Pendant Necklace Unisex Jewelry</t>
        </is>
      </c>
      <c r="L90" t="inlineStr">
        <is>
          <t>{"id":"chatcmpl-DY4dc9QEhDRtXzWzOe1Fe1hAN2sEd","object":"chat.completion","created":1777013352,"model":"gpt-5-chat-latest","choices":[{"index":0,"message":{"role":"assistant","content":"Louis Vuitton Monogram Silver Metal Bear Pendant Necklace, featuring 3D design, LV logo chain clasp, vintage mechanical style, unisex accessory expressing luxury, art, and fashion taste.","refusal":null,"annotations":[]},"logprobs":null,"finish_reason":"stop"}],"usage":{"prompt_tokens":890,"completion_tokens":38,"total_tokens":928,"prompt_tokens_details":{"cached_tokens":0,"audio_tokens":0},"completion_tokens_details":{"reasoning_tokens":0,"audio_tokens":0,"accepted_prediction_tokens":0,"rejected_prediction_tokens":0}},"service_tier":"default","system_fingerprint":"fp_ad66631dec"}</t>
        </is>
      </c>
      <c r="M9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ma=2592000","apim-request-id":"38779b8e-1653-4d27-9596-b2a10c53e286","azureml-model-session":"d20260402075109-1fc5a0ec","cache-control":"no-cache, no-store, must-revalidate","connection":"close","content-length":"990","content-security-policy":"frame-ancestors 'self'","content-type":"application/json","date":"Fri, 24 Apr 2026 06:49:15 GMT","server":"Caddy","skip-error-remapping":"true","strict-transport-security":"max-age=31536000; includeSubDomains; preload","via":"1.1 Caddy","x-api-request-id":"20260424144911693116061Awrw0CkT","x-content-type-options":"nosniff","x-frame-options":"SAMEORIGIN","x-ms-is-spilled-over":"false","x-ms-rai-invoked":"false","x-ms-region":"East US 2","x-new-api-version":"0.4.39","x-oneapi-request-id":"202604240649114713134098268d9d6gljqmqAw","x-ratelimit-abusepenalty-active":"False","x-ratelimit-limit-requests":"4992","x-ratelimit-limit-tokens":"4992000","x-ratelimit-remaining-requests":"4991","x-ratelimit-remaining-tokens":"4990348","x-ratelimit-renewalperiod-requests":"60","x-ratelimit-renewalperiod-tokens":"60","x-ratelimit-reset-requests":"12","x-ratelimit-reset-tokens":"19","x-request-id":"0fc0627e-291c-4305-a2bc-8df61d8d0d37"}</t>
        </is>
      </c>
      <c r="N90" t="inlineStr">
        <is>
          <t>Louis Vuitton Monogram Silver Metal Bear Pendant Necklace, featuring 3D design, LV logo chain clasp, vintage mechanical style, unisex accessory expressing luxury, art, and fashion taste.</t>
        </is>
      </c>
      <c r="O90" t="inlineStr">
        <is>
          <t>{"choices":[{"finish_reason":"stop","index":0,"logprobs":null,"message":{"annotations":[],"content":"Louis Vuitton,Toys,kakobuy,kakebuy2026,kekobuysheet,kakobuysheet2026,2026kakobuy,kakobuyspreadsheeet,kakobuylink,kakebuylist,Kakobuy MEGA Spreadsheet,kakobuysheetfind,kakobuysheetfind2026,2026kakobuysheetfind,kakobuysheet2026","refusal":null,"role":"assistant"}}],"created":1777014908,"id":"chatcmpl-DY52i7c8P6MScMSxUPSNBLVkX356n","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90" t="inlineStr">
        <is>
          <t>Louis Vuitton,Toys,kakobuy,kakebuy2026,kekobuysheet,kakobuysheet2026,2026kakobuy,kakobuyspreadsheeet,kakobuylink,kakebuylist,Kakobuy MEGA Spreadsheet,kakobuysheetfind,kakobuysheetfind2026,2026kakobuysheetfind,kakobuysheet2026</t>
        </is>
      </c>
      <c r="Q90" t="inlineStr">
        <is>
          <t>LV, Silver, Vintage, Unisex, Fashion</t>
        </is>
      </c>
      <c r="R90" t="inlineStr">
        <is>
          <t>recvhju1Cruzvq</t>
        </is>
      </c>
      <c r="S90" t="inlineStr">
        <is>
          <t>louis-vuitton-silver-bear-pendant-necklace-recvhju1cruzvq</t>
        </is>
      </c>
      <c r="T90"/>
      <c r="U90"/>
      <c r="V90"/>
      <c r="W90" t="inlineStr">
        <is>
          <t>{"choices":[{"finish_reason":"stop","index":0,"logprobs":null,"message":{"annotations":[],"content":"Louis Vuitton：Monogram系列银灰色金属熊吊坠项链，精致立体设计结合品牌标志LV字母链扣，复古机械风格，男女皆宜，彰显时尚品味与艺术魅力。","refusal":null,"role":"assistant"}}],"created":1777011991,"id":"chatcmpl-DY4HfCcPjr2jbJeat4WvXF5JoXEmL","model":"gpt-5-chat-latest","object":"chat.completion","service_tier":"default","system_fingerprint":"fp_ad66631dec","usage":{"completion_tokens":55,"completion_tokens_details":{"accepted_prediction_tokens":0,"audio_tokens":0,"reasoning_tokens":0,"rejected_prediction_tokens":0},"prompt_tokens":1302,"prompt_tokens_details":{"audio_tokens":0,"cached_tokens":0},"total_tokens":1357}}</t>
        </is>
      </c>
      <c r="X90" t="inlineStr">
        <is>
          <t>Louis Vuitton：Monogram系列银灰色金属熊吊坠项链，精致立体设计结合品牌标志LV字母链扣，复古机械风格，男女皆宜，彰显时尚品味与艺术魅力。</t>
        </is>
      </c>
    </row>
    <row r="91" ht="25.5" customHeight="1">
      <c r="A91">
        <v>1654975475</v>
      </c>
      <c r="B91">
        <v>7616273867</v>
      </c>
      <c r="C91" s="2" t="str">
        <f>=HYPERLINK("https://weidian.com/item.html?itemID=7616273867", "https://weidian.com/item.html?itemID=7616273867")</f>
        <v>https://weidian.com/item.html?itemID=7616273867</v>
      </c>
      <c r="D91"/>
      <c r="E91" s="2" t="str">
        <f>=HYPERLINK("https://si.geilicdn.com/pcitem2014204438-0dd90000019abdb0ba100a23037f_1440_1440.jpg?w=640&amp;h=640", "https://si.geilicdn.com/pcitem2014204438-0dd90000019abdb0ba100a23037f_1440_1440.jpg?w=640&amp;h=640")</f>
        <v>https://si.geilicdn.com/pcitem2014204438-0dd90000019abdb0ba100a23037f_1440_1440.jpg?w=640&amp;h=640</v>
      </c>
      <c r="F91" t="inlineStr">
        <is>
          <t>Toys</t>
        </is>
      </c>
      <c r="G91" t="inlineStr">
        <is>
          <t>Louis Vuitton</t>
        </is>
      </c>
      <c r="H91">
        <v>500</v>
      </c>
      <c r="I91">
        <v>72.46</v>
      </c>
      <c r="J91" t="inlineStr">
        <is>
          <t>{"id":"chatcmpl-DY4w1fEaGbOdajRHUBS5KFbQknXXZ","object":"chat.completion","created":1777014493,"model":"gpt-5-chat-latest","choices":[{"index":0,"message":{"role":"assistant","content":"Louis Vuitton Blue Flower Doll Keychain Accessory","refusal":null,"annotations":[]},"logprobs":null,"finish_reason":"stop"}],"usage":{"prompt_tokens":884,"completion_tokens":10,"total_tokens":894,"prompt_tokens_details":{"cached_tokens":0,"audio_tokens":0},"completion_tokens_details":{"reasoning_tokens":0,"audio_tokens":0,"accepted_prediction_tokens":0,"rejected_prediction_tokens":0}},"service_tier":"default","system_fingerprint":"fp_ad66631dec"}</t>
        </is>
      </c>
      <c r="K91" t="inlineStr">
        <is>
          <t>Louis Vuitton Blue Flower Doll Keychain Accessory</t>
        </is>
      </c>
      <c r="L91" t="inlineStr">
        <is>
          <t>{"id":"chatcmpl-DY4bgVHrJl1BW9M6CLWhKjbWx7Lx6","object":"chat.completion","created":1777013232,"model":"gpt-5-chat-latest","choices":[{"index":0,"message":{"role":"assistant","content":"Louis Vuitton Monogram Blue Flower Doll Keychain, crafted with knit and leather mix. Adorable 3D flower design, gold metal ring with logo, stylish unisex accessory combining charm and function.","refusal":null,"annotations":[]},"logprobs":null,"finish_reason":"stop"}],"usage":{"prompt_tokens":914,"completion_tokens":41,"total_tokens":955,"prompt_tokens_details":{"cached_tokens":0,"audio_tokens":0},"completion_tokens_details":{"reasoning_tokens":0,"audio_tokens":0,"accepted_prediction_tokens":0,"rejected_prediction_tokens":0}},"service_tier":"default","system_fingerprint":"fp_ad66631dec"}</t>
        </is>
      </c>
      <c r="M9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ma=2592000","apim-request-id":"5801e1bc-4dcf-46e0-9c41-a7aa483bb7b2","azureml-model-session":"d20260402083108-57a85543","cache-control":"no-cache, no-store, must-revalidate","connection":"close","content-length":"997","content-security-policy":"frame-ancestors 'self'","content-type":"application/json","date":"Fri, 24 Apr 2026 06:47:15 GMT","server":"Caddy","skip-error-remapping":"true","strict-transport-security":"max-age=31536000; includeSubDomains; preload","via":"1.1 Caddy","x-api-request-id":"202604241447115126012924qop0IRK","x-content-type-options":"nosniff","x-frame-options":"SAMEORIGIN","x-ms-is-spilled-over":"false","x-ms-rai-invoked":"false","x-ms-region":"East US 2","x-new-api-version":"0.4.39","x-oneapi-request-id":"20260424064711545258248268d9d6ixdEyXH6","x-ratelimit-abusepenalty-active":"False","x-ratelimit-limit-requests":"4992","x-ratelimit-limit-tokens":"4992000","x-ratelimit-remaining-requests":"4991","x-ratelimit-remaining-tokens":"4990324","x-ratelimit-renewalperiod-requests":"60","x-ratelimit-renewalperiod-tokens":"60","x-ratelimit-reset-requests":"12","x-ratelimit-reset-tokens":"20","x-request-id":"41e621a3-9db5-4d67-984b-b9c555791bf4"}</t>
        </is>
      </c>
      <c r="N91" t="inlineStr">
        <is>
          <t>Louis Vuitton Monogram Blue Flower Doll Keychain, crafted with knit and leather mix. Adorable 3D flower design, gold metal ring with logo, stylish unisex accessory combining charm and function.</t>
        </is>
      </c>
      <c r="O91" t="inlineStr">
        <is>
          <t>{"choices":[{"finish_reason":"stop","index":0,"logprobs":null,"message":{"annotations":[],"content":"Louis Vuitton,Toys,kakobuy,kakebuy2026,kekobuysheet,kakobuysheet2026,2026kakobuy,kakobuyspreadsheeet,kakobuylink,kakebuylist,Kakobuy MEGA Spreadsheet,kakobuysheetfind,kakobuysheetfind2026,2026kakobuysheetfind,kakobuysheet2026","refusal":null,"role":"assistant"}}],"created":1777014848,"id":"chatcmpl-DY51kleywtuZw7ZpuLhAPxFbefIqF","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91" t="inlineStr">
        <is>
          <t>Louis Vuitton,Toys,kakobuy,kakebuy2026,kekobuysheet,kakobuysheet2026,2026kakobuy,kakobuyspreadsheeet,kakobuylink,kakebuylist,Kakobuy MEGA Spreadsheet,kakobuysheetfind,kakobuysheetfind2026,2026kakobuysheetfind,kakobuysheet2026</t>
        </is>
      </c>
      <c r="Q91" t="inlineStr">
        <is>
          <t>LV, Knit, Leather, Gold, Unisex</t>
        </is>
      </c>
      <c r="R91" t="inlineStr">
        <is>
          <t>recvhju1CryvSs</t>
        </is>
      </c>
      <c r="S91" t="inlineStr">
        <is>
          <t>louis-vuitton-blue-flower-doll-keychain-recvhju1cryvss</t>
        </is>
      </c>
      <c r="T91"/>
      <c r="U91"/>
      <c r="V91"/>
      <c r="W91" t="inlineStr">
        <is>
          <t>{"id":"chatcmpl-DY4INkb2wKTRS3iU9pLl3M5rJerD1","object":"chat.completion","created":1777012035,"model":"gpt-5-chat-latest","choices":[{"index":0,"message":{"role":"assistant","content":"Louis Vuitton：Monogram蓝色可爱花朵公仔钥匙扣，采用针织与皮革混搭材质，立体花形设计精致俏皮，金属挂环点缀品牌标识，兼具装饰与收纳功能，适合男女皆宜，彰显法式奢华与时尚趣味。","refusal":null,"annotations":[]},"logprobs":null,"finish_reason":"stop"}],"usage":{"prompt_tokens":1300,"completion_tokens":80,"total_tokens":1380,"prompt_tokens_details":{"cached_tokens":1280,"audio_tokens":0},"completion_tokens_details":{"reasoning_tokens":0,"audio_tokens":0,"accepted_prediction_tokens":0,"rejected_prediction_tokens":0}},"service_tier":"default","system_fingerprint":"fp_ad66631dec"}</t>
        </is>
      </c>
      <c r="X91" t="inlineStr">
        <is>
          <t>Louis Vuitton：Monogram蓝色可爱花朵公仔钥匙扣，采用针织与皮革混搭材质，立体花形设计精致俏皮，金属挂环点缀品牌标识，兼具装饰与收纳功能，适合男女皆宜，彰显法式奢华与时尚趣味。</t>
        </is>
      </c>
    </row>
    <row r="92" ht="25.5" customHeight="1">
      <c r="A92">
        <v>1654975475</v>
      </c>
      <c r="B92">
        <v>7616254909</v>
      </c>
      <c r="C92" s="2" t="str">
        <f>=HYPERLINK("https://weidian.com/item.html?itemID=7616254909", "https://weidian.com/item.html?itemID=7616254909")</f>
        <v>https://weidian.com/item.html?itemID=7616254909</v>
      </c>
      <c r="D92"/>
      <c r="E92" s="2" t="str">
        <f>=HYPERLINK("https://si.geilicdn.com/pcitem2014204438-0cbf0000019abdbef36e0a8134f0_1080_1440.jpg?w=640&amp;h=640", "https://si.geilicdn.com/pcitem2014204438-0cbf0000019abdbef36e0a8134f0_1080_1440.jpg?w=640&amp;h=640")</f>
        <v>https://si.geilicdn.com/pcitem2014204438-0cbf0000019abdbef36e0a8134f0_1080_1440.jpg?w=640&amp;h=640</v>
      </c>
      <c r="F92" t="inlineStr">
        <is>
          <t>Toys</t>
        </is>
      </c>
      <c r="G92" t="inlineStr">
        <is>
          <t xml:space="preserve"> Labubu</t>
        </is>
      </c>
      <c r="H92">
        <v>1860</v>
      </c>
      <c r="I92">
        <v>269.579710144927</v>
      </c>
      <c r="J92" t="inlineStr">
        <is>
          <t>{"choices":[{"finish_reason":"stop","index":0,"logprobs":null,"message":{"annotations":[],"content":"Labubu Angel In Clouds White Plush Art Toy","refusal":null,"role":"assistant"}}],"created":1777014253,"id":"chatcmpl-DY4s90n8e0dOvf9yRbSZ5jSu7zlzs","model":"gpt-5-chat-latest","object":"chat.completion","service_tier":"default","system_fingerprint":"fp_ad66631dec","usage":{"completion_tokens":10,"completion_tokens_details":{"accepted_prediction_tokens":0,"audio_tokens":0,"reasoning_tokens":0,"rejected_prediction_tokens":0},"prompt_tokens":878,"prompt_tokens_details":{"audio_tokens":0,"cached_tokens":0},"total_tokens":888}}</t>
        </is>
      </c>
      <c r="K92" t="inlineStr">
        <is>
          <t>Labubu Angel In Clouds White Plush Art Toy</t>
        </is>
      </c>
      <c r="L92" t="inlineStr">
        <is>
          <t>{"choices":[{"finish_reason":"stop","index":0,"logprobs":null,"message":{"annotations":[],"content":"LabubuLabubu Angel In Clouds White Plush Art Toy – inspired by dreamy cloud angels, featuring premium soft faux fur and handcrafted details. A cute collectible for home décor and art lovers.","refusal":null,"role":"assistant"}}],"created":1777013182,"id":"chatcmpl-DY4ashMVUawgNkm3LDp38BaIAFtlG","model":"gpt-5-chat-latest","object":"chat.completion","service_tier":"default","system_fingerprint":"fp_ad66631dec","usage":{"completion_tokens":38,"completion_tokens_details":{"accepted_prediction_tokens":0,"audio_tokens":0,"reasoning_tokens":0,"rejected_prediction_tokens":0},"prompt_tokens":933,"prompt_tokens_details":{"audio_tokens":0,"cached_tokens":0},"total_tokens":971}}</t>
        </is>
      </c>
      <c r="M92" t="inlineStr">
        <is>
          <t>{"alt-svc":"h3=\":443\"; ma=2592000","apim-request-id":"eada90cc-bf39-4dc0-895f-b6ea4ed05d88","azureml-model-session":"d20260405234249-f9874baf","cache-control":"no-cache","connection":"close","content-length":"781","content-security-policy":"frame-ancestors 'self'","content-type":"application/json","date":"Fri, 24 Apr 2026 06:46:24 GMT","server":"Caddy","skip-error-remapping":"true","strict-transport-security":"max-age=31536000; includeSubDomains; preload","via":"1.1 Caddy","x-api-request-id":"202604241446216277352981bhyI9tO","x-content-type-options":"nosniff","x-frame-options":"SAMEORIGIN","x-ms-client-request-id":"Not-Set","x-ms-is-spilled-over":"false","x-ms-rai-invoked":"true","x-ms-region":"East US 2","x-new-api-version":"0.4.39","x-oneapi-request-id":"202604240646214885779388268d9d65HEXTWh7","x-ratelimit-abusepenalty-active":"False","x-ratelimit-limit-requests":"3850","x-ratelimit-limit-tokens":"3850000","x-ratelimit-remaining-requests":"3849","x-ratelimit-remaining-tokens":"3848305","x-ratelimit-renewalperiod-requests":"60","x-ratelimit-renewalperiod-tokens":"60","x-ratelimit-reset-requests":"15","x-ratelimit-reset-tokens":"26","x-request-id":"a7de974d-a1cd-4c7d-92c8-da782a5a674a"}</t>
        </is>
      </c>
      <c r="N92" t="inlineStr">
        <is>
          <t>LabubuLabubu Angel In Clouds White Plush Art Toy – inspired by dreamy cloud angels, featuring premium soft faux fur and handcrafted details. A cute collectible for home décor and art lovers.</t>
        </is>
      </c>
      <c r="O92" t="inlineStr">
        <is>
          <t>{"choices":[{"finish_reason":"stop","index":0,"logprobs":null,"message":{"annotations":[],"content":"Labubu, Toy, kakobuy, kakebuy2026, kekobuysheet, kakobuysheet2026, 2026kakobuy, kakobuyspreadsheeet, kakobuylink, kakebuylist, Kakobuy MEGA Spreadsheet, kakobuysheetfind, kakobuysheetfind2026, 2026kakobuysheetfind, kakobuysheet2026","refusal":null,"role":"assistant"}}],"created":1777015047,"id":"chatcmpl-DY54x58EXaEqgAywqIKmqx4xOfgZ4","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92" t="inlineStr">
        <is>
          <t>Labubu, Toy, kakobuy, kakebuy2026, kekobuysheet, kakobuysheet2026, 2026kakobuy, kakobuyspreadsheeet, kakobuylink, kakebuylist, Kakobuy MEGA Spreadsheet, kakobuysheetfind, kakobuysheetfind2026, 2026kakobuysheetfind, kakobuysheet2026</t>
        </is>
      </c>
      <c r="Q92" t="inlineStr">
        <is>
          <t>Cute, White, Home Style, All Seasons</t>
        </is>
      </c>
      <c r="R92" t="inlineStr">
        <is>
          <t>recvhju1CrtFtY</t>
        </is>
      </c>
      <c r="S92" t="inlineStr">
        <is>
          <t>labubu-angel-clouds-white-plush-recvhju1crtfty</t>
        </is>
      </c>
      <c r="T92"/>
      <c r="U92"/>
      <c r="V92"/>
      <c r="W92" t="inlineStr">
        <is>
          <t>{"choices":[{"finish_reason":"stop","index":0,"logprobs":null,"message":{"annotations":[],"content":"Labubu：Angel In Clouds系列白色毛绒艺术玩偶，灵感源自梦幻云端天使造型，采用高品质柔软仿真毛材质与细腻手工雕刻搭配，呈现治愈可爱的艺术风格。精致设计融合复古幻想元素，适合男女收藏与家居陈列，展现独特潮流美学与童趣艺术感。","refusal":null,"role":"assistant"}}],"created":1777011887,"id":"chatcmpl-DY4FztRS0YE9ctCzu9DTG8TsveYk8","model":"gpt-5-chat-latest","object":"chat.completion","service_tier":"default","system_fingerprint":"fp_ad66631dec","usage":{"completion_tokens":96,"completion_tokens_details":{"accepted_prediction_tokens":0,"audio_tokens":0,"reasoning_tokens":0,"rejected_prediction_tokens":0},"prompt_tokens":1306,"prompt_tokens_details":{"audio_tokens":0,"cached_tokens":1280},"total_tokens":1402}}</t>
        </is>
      </c>
      <c r="X92" t="inlineStr">
        <is>
          <t>Labubu：Angel In Clouds系列白色毛绒艺术玩偶，灵感源自梦幻云端天使造型，采用高品质柔软仿真毛材质与细腻手工雕刻搭配，呈现治愈可爱的艺术风格。精致设计融合复古幻想元素，适合男女收藏与家居陈列，展现独特潮流美学与童趣艺术感。</t>
        </is>
      </c>
    </row>
    <row r="93" ht="25.5" customHeight="1">
      <c r="A93">
        <v>1654975475</v>
      </c>
      <c r="B93">
        <v>7619267688</v>
      </c>
      <c r="C93" s="2" t="str">
        <f>=HYPERLINK("https://weidian.com/item.html?itemID=7619267688", "https://weidian.com/item.html?itemID=7619267688")</f>
        <v>https://weidian.com/item.html?itemID=7619267688</v>
      </c>
      <c r="D93"/>
      <c r="E93" s="2" t="str">
        <f>=HYPERLINK("https://si.geilicdn.com/pcitem2014204438-52560000019abdaaef960a231316_1080_810.jpg?w=640&amp;h=640", "https://si.geilicdn.com/pcitem2014204438-52560000019abdaaef960a231316_1080_810.jpg?w=640&amp;h=640")</f>
        <v>https://si.geilicdn.com/pcitem2014204438-52560000019abdaaef960a231316_1080_810.jpg?w=640&amp;h=640</v>
      </c>
      <c r="F93" t="inlineStr">
        <is>
          <t>Toys</t>
        </is>
      </c>
      <c r="G93" t="inlineStr">
        <is>
          <t>Dior</t>
        </is>
      </c>
      <c r="H93">
        <v>570</v>
      </c>
      <c r="I93">
        <v>82.61</v>
      </c>
      <c r="J93" t="inlineStr">
        <is>
          <t>{"choices":[{"finish_reason":"stop","index":0,"logprobs":null,"message":{"annotations":[],"content":"Dior Toys Classic White Plush Teddy Bear Gift","refusal":null,"role":"assistant"}}],"created":1777014375,"id":"chatcmpl-DY4u7Z51edB1SP1Ih8iPD3unENymi","model":"gpt-5-chat-latest","object":"chat.completion","service_tier":"default","system_fingerprint":"fp_ad66631dec","usage":{"completion_tokens":10,"completion_tokens_details":{"accepted_prediction_tokens":0,"audio_tokens":0,"reasoning_tokens":0,"rejected_prediction_tokens":0},"prompt_tokens":602,"prompt_tokens_details":{"audio_tokens":0,"cached_tokens":0},"total_tokens":612}}</t>
        </is>
      </c>
      <c r="K93" t="inlineStr">
        <is>
          <t>Dior Toys Classic White Plush Teddy Bear Gift</t>
        </is>
      </c>
      <c r="L93" t="inlineStr">
        <is>
          <t>{"id":"chatcmpl-DY4baztjctPJGXke5Gp9ygJPI9LGc","object":"chat.completion","created":1777013226,"model":"gpt-5-chat-latest","choices":[{"index":0,"message":{"role":"assistant","content":"Dior Toys Classic White Plush Teddy Bear, made from soft faux mink fabric with a silver logo tag; French minimalist design blending luxury, art, and playful charm—ideal for collectors and gifts.","refusal":null,"annotations":[]},"logprobs":null,"finish_reason":"stop"}],"usage":{"prompt_tokens":638,"completion_tokens":40,"total_tokens":678,"prompt_tokens_details":{"cached_tokens":0,"audio_tokens":0},"completion_tokens_details":{"reasoning_tokens":0,"audio_tokens":0,"accepted_prediction_tokens":0,"rejected_prediction_tokens":0}},"service_tier":"default","system_fingerprint":"fp_ad66631dec"}</t>
        </is>
      </c>
      <c r="M9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ma=2592000","apim-request-id":"e516197d-c49f-469a-896e-fb0c4aea3bd6","azureml-model-session":"d20260405234249-f9874baf","cache-control":"no-cache, no-store, must-revalidate","connection":"close","content-length":"1000","content-security-policy":"frame-ancestors 'self'","content-type":"application/json","date":"Fri, 24 Apr 2026 06:47:08 GMT","server":"nginx","skip-error-remapping":"true","strict-transport-security":"max-age=31536000; includeSubDomains; preload","via":"1.1 Caddy, 1.1 Caddy","x-api-request-id":"20260424144703616272977QdlgLSpc","x-content-type-options":"nosniff","x-frame-options":"SAMEORIGIN","x-ms-is-spilled-over":"false","x-ms-rai-invoked":"false","x-ms-region":"Sweden Central","x-new-api-version":"0.4.39","x-oneapi-request-id":"202604240647033755687988268d9d6IEBKdJvx","x-ratelimit-abusepenalty-active":"False","x-ratelimit-limit-requests":"4998","x-ratelimit-limit-tokens":"4998000","x-ratelimit-remaining-requests":"4997","x-ratelimit-remaining-tokens":"4996598","x-ratelimit-renewalperiod-requests":"60","x-ratelimit-renewalperiod-tokens":"60","x-ratelimit-reset-requests":"12","x-ratelimit-reset-tokens":"16","x-request-id":"83fb47ad-aeaa-4f54-9e18-1e3d16b895be"}</t>
        </is>
      </c>
      <c r="N93" t="inlineStr">
        <is>
          <t>Dior Toys Classic White Plush Teddy Bear, made from soft faux mink fabric with a silver logo tag; French minimalist design blending luxury, art, and playful charm—ideal for collectors and gifts.</t>
        </is>
      </c>
      <c r="O93" t="inlineStr">
        <is>
          <t>{"choices":[{"finish_reason":"stop","index":0,"logprobs":null,"message":{"annotations":[],"content":"ToysDior,Plush Toy,kakobuy,kakebuy2026,kekobuysheet,kakobuysheet2026,2026kakobuy,kakobuyspreadsheeet,kakobuylink,kakebuylist,Kakobuy MEGA Spreadsheet,kakobuysheetfind,kakobuysheetfind2026,2026kakobuysheetfind,kakobuysheet2026","refusal":null,"role":"assistant"}}],"created":1777014828,"id":"chatcmpl-DY51QP8m03IGLvdUbo1AYJmYSddGr","model":"gpt-5-chat-latest","object":"chat.completion","service_tier":"default","system_fingerprint":"fp_ad66631dec","usage":{"completion_tokens":91,"completion_tokens_details":{"accepted_prediction_tokens":0,"audio_tokens":0,"reasoning_tokens":0,"rejected_prediction_tokens":0},"prompt_tokens":503,"prompt_tokens_details":{"audio_tokens":0,"cached_tokens":0},"total_tokens":594}}</t>
        </is>
      </c>
      <c r="P93" t="inlineStr">
        <is>
          <t>ToysDior,Plush Toy,kakobuy,kakebuy2026,kekobuysheet,kakobuysheet2026,2026kakobuy,kakobuyspreadsheeet,kakobuylink,kakebuylist,Kakobuy MEGA Spreadsheet,kakobuysheetfind,kakobuysheetfind2026,2026kakobuysheetfind,kakobuysheet2026</t>
        </is>
      </c>
      <c r="Q93" t="inlineStr">
        <is>
          <t>Dior, White, Minimalist, Unisex</t>
        </is>
      </c>
      <c r="R93" t="inlineStr">
        <is>
          <t>recvhju1Cr8f2N</t>
        </is>
      </c>
      <c r="S93" t="inlineStr">
        <is>
          <t>dior-toys-classic-white-plush-teddy-bear-gift-recvhju1cr8f2n</t>
        </is>
      </c>
      <c r="T93"/>
      <c r="U93"/>
      <c r="V93"/>
      <c r="W93" t="inlineStr">
        <is>
          <t>{"choices":[{"finish_reason":"stop","index":0,"logprobs":null,"message":{"annotations":[],"content":"Dior：白色经典系列毛绒泰迪熊，柔软仿貂绒面料，温暖治愈触感。简约法式设计搭配银色品牌吊牌，彰显优雅格调。适合男女及各年龄层收藏或馈赠，融合当代艺术趣味与时尚童真气息，尽显浪漫法式品质。","refusal":null,"role":"assistant"}}],"created":1777011886,"id":"chatcmpl-DY4FyNW9YYnVkIjc8fEnghlIaxFBN","model":"gpt-5-chat-latest","object":"chat.completion","service_tier":"default","system_fingerprint":"fp_ad66631dec","usage":{"completion_tokens":88,"completion_tokens_details":{"accepted_prediction_tokens":0,"audio_tokens":0,"reasoning_tokens":0,"rejected_prediction_tokens":0},"prompt_tokens":1012,"prompt_tokens_details":{"audio_tokens":0,"cached_tokens":0},"total_tokens":1100}}</t>
        </is>
      </c>
      <c r="X93" t="inlineStr">
        <is>
          <t>Dior：白色经典系列毛绒泰迪熊，柔软仿貂绒面料，温暖治愈触感。简约法式设计搭配银色品牌吊牌，彰显优雅格调。适合男女及各年龄层收藏或馈赠，融合当代艺术趣味与时尚童真气息，尽显浪漫法式品质。</t>
        </is>
      </c>
    </row>
    <row r="94" ht="25.5" customHeight="1">
      <c r="A94">
        <v>1654975475</v>
      </c>
      <c r="B94">
        <v>7616207099</v>
      </c>
      <c r="C94" s="2" t="str">
        <f>=HYPERLINK("https://weidian.com/item.html?itemID=7616207099", "https://weidian.com/item.html?itemID=7616207099")</f>
        <v>https://weidian.com/item.html?itemID=7616207099</v>
      </c>
      <c r="D94"/>
      <c r="E94" s="2" t="str">
        <f>=HYPERLINK("https://si.geilicdn.com/pcitem2014204438-0cd30000019abdac05a40a2301b4_1536_2048.jpg?w=640&amp;h=640", "https://si.geilicdn.com/pcitem2014204438-0cd30000019abdac05a40a2301b4_1536_2048.jpg?w=640&amp;h=640")</f>
        <v>https://si.geilicdn.com/pcitem2014204438-0cd30000019abdac05a40a2301b4_1536_2048.jpg?w=640&amp;h=640</v>
      </c>
      <c r="F94" t="inlineStr">
        <is>
          <t>Electronic</t>
        </is>
      </c>
      <c r="G94" t="inlineStr">
        <is>
          <t>AutoKing</t>
        </is>
      </c>
      <c r="H94">
        <v>1300</v>
      </c>
      <c r="I94">
        <v>188.41</v>
      </c>
      <c r="J94" t="inlineStr">
        <is>
          <t>{"choices":[{"finish_reason":"stop","index":0,"logprobs":null,"message":{"annotations":[],"content":"ElectronicAutoKing Red Silver LED Smart Helmet","refusal":null,"role":"assistant"}}],"created":1777014480,"id":"chatcmpl-DY4vod7ScX4pkFzlgG7C5ODnyTK40","model":"gpt-5-chat-latest","object":"chat.completion","service_tier":"default","system_fingerprint":"fp_ad66631dec","usage":{"completion_tokens":9,"completion_tokens_details":{"accepted_prediction_tokens":0,"audio_tokens":0,"reasoning_tokens":0,"rejected_prediction_tokens":0},"prompt_tokens":877,"prompt_tokens_details":{"audio_tokens":0,"cached_tokens":0},"total_tokens":886}}</t>
        </is>
      </c>
      <c r="K94" t="inlineStr">
        <is>
          <t>ElectronicAutoKing Red Silver LED Smart Helmet</t>
        </is>
      </c>
      <c r="L94" t="inlineStr">
        <is>
          <t>{"choices":[{"finish_reason":"stop","index":0,"logprobs":null,"message":{"annotations":[],"content":"ElectronicAutoKing AutoKing Red-Silver Smart Electric Helmet, metallic streamlined design with LED light visor, futuristic style, protective and display function, unisex, collectible sci-fi mechanical gear.","refusal":null,"role":"assistant"}}],"created":1777013181,"id":"chatcmpl-DY4arKQgRq3c3RrKe3TFXlxyyAU3E","model":"gpt-5-chat-latest","object":"chat.completion","service_tier":"default","system_fingerprint":"fp_ad66631dec","usage":{"completion_tokens":38,"completion_tokens_details":{"accepted_prediction_tokens":0,"audio_tokens":0,"reasoning_tokens":0,"rejected_prediction_tokens":0},"prompt_tokens":891,"prompt_tokens_details":{"audio_tokens":0,"cached_tokens":0},"total_tokens":929}}</t>
        </is>
      </c>
      <c r="M94" t="inlineStr">
        <is>
          <t>{"alt-svc":"h3=\":443\"; ma=2592000","apim-request-id":"c8c648a8-6d02-4745-8dd0-d866d6028933","azureml-model-session":"d20260402083108-57a85543","cache-control":"no-cache","connection":"close","content-length":"794","content-security-policy":"frame-ancestors 'self'","content-type":"application/json","date":"Fri, 24 Apr 2026 06:46:24 GMT","server":"nginx","skip-error-remapping":"true","strict-transport-security":"max-age=31536000; includeSubDomains; preload","via":"1.1 Caddy, 1.1 Caddy","x-api-request-id":"20260424144620831650022KxaM6T0x","x-content-type-options":"nosniff","x-frame-options":"SAMEORIGIN","x-ms-client-request-id":"Not-Set","x-ms-is-spilled-over":"false","x-ms-rai-invoked":"true","x-ms-region":"East US 2","x-new-api-version":"0.4.39","x-oneapi-request-id":"202604240646204502241128268d9d6RiLYby7i","x-ratelimit-abusepenalty-active":"False","x-ratelimit-limit-requests":"3850","x-ratelimit-limit-tokens":"3850000","x-ratelimit-remaining-requests":"3849","x-ratelimit-remaining-tokens":"3848347","x-ratelimit-renewalperiod-requests":"60","x-ratelimit-renewalperiod-tokens":"60","x-ratelimit-reset-requests":"15","x-ratelimit-reset-tokens":"25","x-request-id":"4e6e35a2-12cd-42d5-96d3-a4822a44903a"}</t>
        </is>
      </c>
      <c r="N94" t="inlineStr">
        <is>
          <t>ElectronicAutoKing AutoKing Red-Silver Smart Electric Helmet, metallic streamlined design with LED light visor, futuristic style, protective and display function, unisex, collectible sci-fi mechanical gear.</t>
        </is>
      </c>
      <c r="O94" t="inlineStr">
        <is>
          <t>{"choices":[{"finish_reason":"stop","index":0,"logprobs":null,"message":{"annotations":[],"content":"ElectronicAutoKing,Helmet,kakobuy,kakebuy2026,kekobuysheet,kakobuysheet2026,2026kakobuy,kakobuyspreadsheeet,kakobuylink,kakebuylist,Kakobuy MEGA Spreadsheet,kakobuysheetfind,kakobuysheetfind2026,2026kakobuysheetfind,kakobuysheet2026","refusal":null,"role":"assistant"}}],"created":1777015247,"id":"chatcmpl-DY58BHjA9k8NkWxvmxjFoBciauNLQ","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94" t="inlineStr">
        <is>
          <t>ElectronicAutoKing,Helmet,kakobuy,kakebuy2026,kekobuysheet,kakobuysheet2026,2026kakobuy,kakobuyspreadsheeet,kakobuylink,kakebuylist,Kakobuy MEGA Spreadsheet,kakobuysheetfind,kakobuysheetfind2026,2026kakobuysheetfind,kakobuysheet2026</t>
        </is>
      </c>
      <c r="Q94"/>
      <c r="R94" t="inlineStr">
        <is>
          <t>recvhju1CruIpt</t>
        </is>
      </c>
      <c r="S94" t="inlineStr">
        <is>
          <t>electronicautoking-red-silver-led-smart-helmet-recvhju1cruipt</t>
        </is>
      </c>
      <c r="T94"/>
      <c r="U94"/>
      <c r="V94"/>
      <c r="W94" t="inlineStr">
        <is>
          <t>{"choices":[{"finish_reason":"stop","index":0,"logprobs":null,"message":{"annotations":[],"content":"AutoKing 红银电动智能头盔，流线金属质感设计，LED炫光眼罩酷炫未来风，兼具防护与展示功能，男女通用，复刻科幻机械美学，收藏级电子装备。","refusal":null,"role":"assistant"}}],"created":1777011314,"id":"chatcmpl-DY46k5cqsk6tSqhK5drtGHQZj7bgm","model":"gpt-5-chat-latest","object":"chat.completion","service_tier":"default","system_fingerprint":"fp_ad66631dec","usage":{"completion_tokens":57,"completion_tokens_details":{"accepted_prediction_tokens":0,"audio_tokens":0,"reasoning_tokens":0,"rejected_prediction_tokens":0},"prompt_tokens":1301,"prompt_tokens_details":{"audio_tokens":0,"cached_tokens":1280},"total_tokens":1358}}</t>
        </is>
      </c>
      <c r="X94" t="inlineStr">
        <is>
          <t>AutoKing 红银电动智能头盔，流线金属质感设计，LED炫光眼罩酷炫未来风，兼具防护与展示功能，男女通用，复刻科幻机械美学，收藏级电子装备。</t>
        </is>
      </c>
    </row>
    <row r="95" ht="25.5" customHeight="1">
      <c r="A95">
        <v>1654975475</v>
      </c>
      <c r="B95">
        <v>7616195345</v>
      </c>
      <c r="C95" s="2" t="str">
        <f>=HYPERLINK("https://weidian.com/item.html?itemID=7616195345", "https://weidian.com/item.html?itemID=7616195345")</f>
        <v>https://weidian.com/item.html?itemID=7616195345</v>
      </c>
      <c r="D95"/>
      <c r="E95" s="2" t="str">
        <f>=HYPERLINK("https://si.geilicdn.com/pcitem2014204438-0fa10000019abdb776b10a23037f_1442_1922.jpg?w=640&amp;h=640", "https://si.geilicdn.com/pcitem2014204438-0fa10000019abdb776b10a23037f_1442_1922.jpg?w=640&amp;h=640")</f>
        <v>https://si.geilicdn.com/pcitem2014204438-0fa10000019abdb776b10a23037f_1442_1922.jpg?w=640&amp;h=640</v>
      </c>
      <c r="F95" t="inlineStr">
        <is>
          <t>Toys</t>
        </is>
      </c>
      <c r="G95" t="inlineStr">
        <is>
          <t>TeddyTales</t>
        </is>
      </c>
      <c r="H95">
        <v>256</v>
      </c>
      <c r="I95">
        <v>37.1</v>
      </c>
      <c r="J95" t="inlineStr">
        <is>
          <t>{"choices":[{"finish_reason":"stop","index":0,"logprobs":null,"message":{"annotations":[],"content":"ToysTeddyTales Brown Cozy Plush Bear Green Knit Outfit","refusal":null,"role":"assistant"}}],"created":1777014141,"id":"chatcmpl-DY4qLpEyJPkSYZlnHMPbYmVlGtcrg","model":"gpt-5-chat-latest","object":"chat.completion","service_tier":"default","system_fingerprint":"fp_ad66631dec","usage":{"completion_tokens":14,"completion_tokens_details":{"accepted_prediction_tokens":0,"audio_tokens":0,"reasoning_tokens":0,"rejected_prediction_tokens":0},"prompt_tokens":886,"prompt_tokens_details":{"audio_tokens":0,"cached_tokens":0},"total_tokens":900}}</t>
        </is>
      </c>
      <c r="K95" t="inlineStr">
        <is>
          <t>ToysTeddyTales Brown Cozy Plush Bear Green Knit Outfit</t>
        </is>
      </c>
      <c r="L95" t="inlineStr">
        <is>
          <t>{"choices":[{"finish_reason":"stop","index":0,"logprobs":null,"message":{"annotations":[],"content":"ToysTeddyTales Brown Cozy Series Plush Teddy Bear in Green-White Knit Outfit with Animal Hood, Soft Short Plush, Exquisite Handmade Gift for All Ages, Cute Healing Style Collectible.","refusal":null,"role":"assistant"}}],"created":1777013606,"id":"chatcmpl-DY4hisM24hzcaM6ctQkEHP6p64bK2","model":"gpt-5-chat-latest","object":"chat.completion","service_tier":"default","system_fingerprint":"fp_ad66631dec","usage":{"completion_tokens":41,"completion_tokens_details":{"accepted_prediction_tokens":0,"audio_tokens":0,"reasoning_tokens":0,"rejected_prediction_tokens":0},"prompt_tokens":894,"prompt_tokens_details":{"audio_tokens":0,"cached_tokens":0},"total_tokens":935}}</t>
        </is>
      </c>
      <c r="M95" t="inlineStr">
        <is>
          <t>{"alt-svc":"h3=\":443\"; ma=2592000","apim-request-id":"d5745f74-971a-40bd-9e8d-51b128030eb5","azureml-model-session":"d20260405234249-f9874baf","cache-control":"no-cache","connection":"close","content-length":"770","content-security-policy":"frame-ancestors 'self'","content-type":"application/json","date":"Fri, 24 Apr 2026 06:53:28 GMT","server":"nginx","skip-error-remapping":"true","strict-transport-security":"max-age=31536000; includeSubDomains; preload","via":"1.1 Caddy, 1.1 Caddy","x-api-request-id":"20260424145325230008071sg7UcZIV","x-content-type-options":"nosniff","x-frame-options":"SAMEORIGIN","x-ms-client-request-id":"Not-Set","x-ms-is-spilled-over":"false","x-ms-rai-invoked":"true","x-ms-region":"East US 2","x-new-api-version":"0.4.39","x-oneapi-request-id":"202604240653251503016248268d9d6HQCodWTY","x-ratelimit-abusepenalty-active":"False","x-ratelimit-limit-requests":"3850","x-ratelimit-limit-tokens":"3850000","x-ratelimit-remaining-requests":"3849","x-ratelimit-remaining-tokens":"3848344","x-ratelimit-renewalperiod-requests":"60","x-ratelimit-renewalperiod-tokens":"60","x-ratelimit-reset-requests":"15","x-ratelimit-reset-tokens":"25","x-request-id":"315eb049-529a-450b-98a6-2c0046456144"}</t>
        </is>
      </c>
      <c r="N95" t="inlineStr">
        <is>
          <t>ToysTeddyTales Brown Cozy Series Plush Teddy Bear in Green-White Knit Outfit with Animal Hood, Soft Short Plush, Exquisite Handmade Gift for All Ages, Cute Healing Style Collectible.</t>
        </is>
      </c>
      <c r="O95" t="inlineStr">
        <is>
          <t>{"choices":[{"finish_reason":"stop","index":0,"logprobs":null,"message":{"annotations":[],"content":"ToysTeddyTales,TeddyBear,kakobuy,kakebuy2026,kekobuysheet,kakobuysheet2026,2026kakobuy,kakobuyspreadsheeet,kakobuylink,kakebuylist,Kakobuy MEGA Spreadsheet,kakobuysheetfind,kakobuysheetfind2026,2026kakobuysheetfind,kakobuysheet2026","refusal":null,"role":"assistant"}}],"created":1777015187,"id":"chatcmpl-DY57D1gd8a7Rhmso6lkVhDH7iN9Hm","model":"gpt-5-chat-latest","object":"chat.completion","service_tier":"default","system_fingerprint":"fp_ad66631dec","usage":{"completion_tokens":92,"completion_tokens_details":{"accepted_prediction_tokens":0,"audio_tokens":0,"reasoning_tokens":0,"rejected_prediction_tokens":0},"prompt_tokens":785,"prompt_tokens_details":{"audio_tokens":0,"cached_tokens":0},"total_tokens":877}}</t>
        </is>
      </c>
      <c r="P95" t="inlineStr">
        <is>
          <t>ToysTeddyTales,TeddyBear,kakobuy,kakebuy2026,kekobuysheet,kakobuysheet2026,2026kakobuy,kakobuyspreadsheeet,kakobuylink,kakebuylist,Kakobuy MEGA Spreadsheet,kakobuysheetfind,kakobuysheetfind2026,2026kakobuysheetfind,kakobuysheet2026</t>
        </is>
      </c>
      <c r="Q95" t="inlineStr">
        <is>
          <t>Cute, Knit, All Seasons, Unisex, Animal Print</t>
        </is>
      </c>
      <c r="R95" t="inlineStr">
        <is>
          <t>recvhju1CrGkta</t>
        </is>
      </c>
      <c r="S95" t="inlineStr">
        <is>
          <t>toysteddytales-brown-cozy-plush-bear-green-knit-outfit-recvhju1crgkta</t>
        </is>
      </c>
      <c r="T95"/>
      <c r="U95"/>
      <c r="V95"/>
      <c r="W95" t="inlineStr">
        <is>
          <t>{"id":"chatcmpl-DY46gPXnsAxgt1f7QjqynaaAX7aMA","object":"chat.completion","created":1777011310,"model":"gpt-5-chat-latest","choices":[{"index":0,"message":{"role":"assistant","content":"TeddyTales 棕色萌趣系列毛绒泰迪熊，柔软短绒材质，穿绿白针织装加动物帽造型，细节精致治愈风，男女皆宜，现代手作玩偶精品。","refusal":null,"annotations":[]},"logprobs":null,"finish_reason":"stop"}],"usage":{"prompt_tokens":1304,"completion_tokens":58,"total_tokens":1362,"prompt_tokens_details":{"cached_tokens":0,"audio_tokens":0},"completion_tokens_details":{"reasoning_tokens":0,"audio_tokens":0,"accepted_prediction_tokens":0,"rejected_prediction_tokens":0}},"service_tier":"default","system_fingerprint":"fp_ad66631dec"}</t>
        </is>
      </c>
      <c r="X95" t="inlineStr">
        <is>
          <t>TeddyTales 棕色萌趣系列毛绒泰迪熊，柔软短绒材质，穿绿白针织装加动物帽造型，细节精致治愈风，男女皆宜，现代手作玩偶精品。</t>
        </is>
      </c>
    </row>
    <row r="96" ht="25.5" customHeight="1">
      <c r="A96">
        <v>1654975475</v>
      </c>
      <c r="B96">
        <v>7616207105</v>
      </c>
      <c r="C96" s="2" t="str">
        <f>=HYPERLINK("https://weidian.com/item.html?itemID=7616207105", "https://weidian.com/item.html?itemID=7616207105")</f>
        <v>https://weidian.com/item.html?itemID=7616207105</v>
      </c>
      <c r="D96"/>
      <c r="E96" s="2" t="str">
        <f>=HYPERLINK("https://si.geilicdn.com/pcitem2014204438-5d4e0000019abdafb5a80a210139_1440_1920.jpg?w=640&amp;h=640", "https://si.geilicdn.com/pcitem2014204438-5d4e0000019abdafb5a80a210139_1440_1920.jpg?w=640&amp;h=640")</f>
        <v>https://si.geilicdn.com/pcitem2014204438-5d4e0000019abdafb5a80a210139_1440_1920.jpg?w=640&amp;h=640</v>
      </c>
      <c r="F96" t="inlineStr">
        <is>
          <t>Electronic</t>
        </is>
      </c>
      <c r="G96" t="inlineStr">
        <is>
          <t>AutoKing</t>
        </is>
      </c>
      <c r="H96">
        <v>1300</v>
      </c>
      <c r="I96">
        <v>188.41</v>
      </c>
      <c r="J96" t="inlineStr">
        <is>
          <t>{"choices":[{"finish_reason":"stop","index":0,"logprobs":null,"message":{"annotations":[],"content":"ElectronicAutoKing Red Silver Smart Mecha Helmet","refusal":null,"role":"assistant"}}],"created":1777014564,"id":"chatcmpl-DY4xAnRcUxJyHQjBlxkFVG98s2Tqf","model":"gpt-5-chat-latest","object":"chat.completion","service_tier":"default","system_fingerprint":"fp_ad66631dec","usage":{"completion_tokens":10,"completion_tokens_details":{"accepted_prediction_tokens":0,"audio_tokens":0,"reasoning_tokens":0,"rejected_prediction_tokens":0},"prompt_tokens":873,"prompt_tokens_details":{"audio_tokens":0,"cached_tokens":0},"total_tokens":883}}</t>
        </is>
      </c>
      <c r="K96" t="inlineStr">
        <is>
          <t>ElectronicAutoKing Red Silver Smart Mecha Helmet</t>
        </is>
      </c>
      <c r="L96" t="inlineStr">
        <is>
          <t>{"choices":[{"finish_reason":"stop","index":0,"logprobs":null,"message":{"annotations":[],"content":"ElectronicAutoKing Smart Red-Silver Electric Wearable Helmet, alloy shell with mechanical design, voice and light control, futuristic collectible for cosplay, inspired by classic mecha aesthetics.","refusal":null,"role":"assistant"}}],"created":1777013252,"id":"chatcmpl-DY4c0D7BuoMG68ry8HaqBgnMMT9Bc","model":"gpt-5-chat-latest","object":"chat.completion","service_tier":"default","system_fingerprint":"fp_ad66631dec","usage":{"completion_tokens":36,"completion_tokens_details":{"accepted_prediction_tokens":0,"audio_tokens":0,"reasoning_tokens":0,"rejected_prediction_tokens":0},"prompt_tokens":909,"prompt_tokens_details":{"audio_tokens":0,"cached_tokens":0},"total_tokens":945}}</t>
        </is>
      </c>
      <c r="M96" t="inlineStr">
        <is>
          <t>{"alt-svc":"h3=\":443\"; ma=2592000","apim-request-id":"63e720ed-9769-4380-8de1-d8e9b3780846","azureml-model-session":"d20260405234249-f9874baf","cache-control":"no-cache","connection":"close","content-length":"784","content-security-policy":"frame-ancestors 'self'","content-type":"application/json","date":"Fri, 24 Apr 2026 06:47:33 GMT","server":"Caddy","skip-error-remapping":"true","strict-transport-security":"max-age=31536000; includeSubDomains; preload","via":"1.1 Caddy","x-api-request-id":"20260424144731404508304rSVCSxwR","x-content-type-options":"nosniff","x-frame-options":"SAMEORIGIN","x-ms-client-request-id":"Not-Set","x-ms-is-spilled-over":"false","x-ms-rai-invoked":"true","x-ms-region":"East US 2","x-new-api-version":"0.4.39","x-oneapi-request-id":"202604240647313332344158268d9d6MBVknafA","x-ratelimit-abusepenalty-active":"False","x-ratelimit-limit-requests":"3850","x-ratelimit-limit-tokens":"3850000","x-ratelimit-remaining-requests":"3849","x-ratelimit-remaining-tokens":"3848329","x-ratelimit-renewalperiod-requests":"60","x-ratelimit-renewalperiod-tokens":"60","x-ratelimit-reset-requests":"15","x-ratelimit-reset-tokens":"26","x-request-id":"43431c92-92a6-43ec-9381-933dde426992"}</t>
        </is>
      </c>
      <c r="N96" t="inlineStr">
        <is>
          <t>ElectronicAutoKing Smart Red-Silver Electric Wearable Helmet, alloy shell with mechanical design, voice and light control, futuristic collectible for cosplay, inspired by classic mecha aesthetics.</t>
        </is>
      </c>
      <c r="O96" t="inlineStr">
        <is>
          <t>{"choices":[{"finish_reason":"stop","index":0,"logprobs":null,"message":{"annotations":[],"content":"Iron Man, Helmet, kakobuy, kakebuy2026, kekobuysheet, kakobuysheet2026, 2026kakobuy, kakobuyspreadsheeet, kakobuylink, kakebuylist, Kakobuy MEGA Spreadsheet, kakobuysheetfind, kakobuysheetfind2026, 2026kakobuysheetfind, kakobuysheet2026","refusal":null,"role":"assistant"}}],"created":1777015328,"id":"chatcmpl-DY59UKINRd4YgUPsxnE1KcnPJJoEN","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96" t="inlineStr">
        <is>
          <t>Iron Man, Helmet, kakobuy, kakebuy2026, kekobuysheet, kakobuysheet2026, 2026kakobuy, kakobuyspreadsheeet, kakobuylink, kakebuylist, Kakobuy MEGA Spreadsheet, kakobuysheetfind, kakobuysheetfind2026, 2026kakobuysheetfind, kakobuysheet2026</t>
        </is>
      </c>
      <c r="Q96"/>
      <c r="R96" t="inlineStr">
        <is>
          <t>recvhju1Cr9uIk</t>
        </is>
      </c>
      <c r="S96" t="inlineStr">
        <is>
          <t>electronicautoking-red-silver-smart-mecha-helmet-recvhju1cr9uik</t>
        </is>
      </c>
      <c r="T96"/>
      <c r="U96"/>
      <c r="V96"/>
      <c r="W96" t="inlineStr">
        <is>
          <t>{"choices":[{"finish_reason":"stop","index":0,"logprobs":null,"message":{"annotations":[],"content":"AutoKing：红银双色智能电动可穿戴头盔，合金质感外壳搭配机械切割设计，科幻未来风格，内置语音与灯光控制系统，适合男女收藏或角色扮演，致敬经典机甲系列，展现高科技美学与收藏价值。","refusal":null,"role":"assistant"}}],"created":1777011426,"id":"chatcmpl-DY48Yxp8sp2KsJoUuxUU0hPHC2RpQ","model":"gpt-5-chat-latest","object":"chat.completion","service_tier":"default","system_fingerprint":"fp_ad66631dec","usage":{"completion_tokens":75,"completion_tokens_details":{"accepted_prediction_tokens":0,"audio_tokens":0,"reasoning_tokens":0,"rejected_prediction_tokens":0},"prompt_tokens":1303,"prompt_tokens_details":{"audio_tokens":0,"cached_tokens":0},"total_tokens":1378}}</t>
        </is>
      </c>
      <c r="X96" t="inlineStr">
        <is>
          <t>AutoKing：红银双色智能电动可穿戴头盔，合金质感外壳搭配机械切割设计，科幻未来风格，内置语音与灯光控制系统，适合男女收藏或角色扮演，致敬经典机甲系列，展现高科技美学与收藏价值。</t>
        </is>
      </c>
    </row>
    <row r="97" ht="25.5" customHeight="1">
      <c r="A97">
        <v>1654975475</v>
      </c>
      <c r="B97">
        <v>7619166940</v>
      </c>
      <c r="C97" s="2" t="str">
        <f>=HYPERLINK("https://weidian.com/item.html?itemID=7619166940", "https://weidian.com/item.html?itemID=7619166940")</f>
        <v>https://weidian.com/item.html?itemID=7619166940</v>
      </c>
      <c r="D97"/>
      <c r="E97" s="2" t="str">
        <f>=HYPERLINK("https://si.geilicdn.com/pcitem902014207253-22b70000019abd176db20a231316_1488_1488.jpg?w=640&amp;h=640", "https://si.geilicdn.com/pcitem902014207253-22b70000019abd176db20a231316_1488_1488.jpg?w=640&amp;h=640")</f>
        <v>https://si.geilicdn.com/pcitem902014207253-22b70000019abd176db20a231316_1488_1488.jpg?w=640&amp;h=640</v>
      </c>
      <c r="F97" t="inlineStr">
        <is>
          <t>Accessories</t>
        </is>
      </c>
      <c r="G97" t="inlineStr">
        <is>
          <t>Mont Blanc</t>
        </is>
      </c>
      <c r="H97">
        <v>460</v>
      </c>
      <c r="I97">
        <v>66.67</v>
      </c>
      <c r="J97" t="inlineStr">
        <is>
          <t>{"choices":[{"finish_reason":"stop","index":0,"logprobs":null,"message":{"annotations":[],"content":"Montblanc Meisterstück Black Gold Fountain Pen","refusal":null,"role":"assistant"}}],"created":1777014367,"id":"chatcmpl-DY4tzTIt7imIk6Gn7NqcjVQkAlQgN","model":"gpt-5-chat-latest","object":"chat.completion","service_tier":"default","system_fingerprint":"fp_ad66631dec","usage":{"completion_tokens":10,"completion_tokens_details":{"accepted_prediction_tokens":0,"audio_tokens":0,"reasoning_tokens":0,"rejected_prediction_tokens":0},"prompt_tokens":883,"prompt_tokens_details":{"audio_tokens":0,"cached_tokens":0},"total_tokens":893}}</t>
        </is>
      </c>
      <c r="K97" t="inlineStr">
        <is>
          <t>Montblanc Meisterstück Black Gold Fountain Pen</t>
        </is>
      </c>
      <c r="L97" t="inlineStr">
        <is>
          <t>{"choices":[{"finish_reason":"stop","index":0,"logprobs":null,"message":{"annotations":[],"content":"Montblanc Meisterstück Black Gold Fountain Pen, featuring a gold-plated cap and black resin body, elegant engraved design, smooth writing, ideal for business, office, gifting, or luxury collection.","refusal":null,"role":"assistant"}}],"created":1777013304,"id":"chatcmpl-DY4cqaUSh33GVRqrVg6ZAD9sa4zwO","model":"gpt-5-chat-latest","object":"chat.completion","service_tier":"default","system_fingerprint":"fp_ad66631dec","usage":{"completion_tokens":41,"completion_tokens_details":{"accepted_prediction_tokens":0,"audio_tokens":0,"reasoning_tokens":0,"rejected_prediction_tokens":0},"prompt_tokens":898,"prompt_tokens_details":{"audio_tokens":0,"cached_tokens":0},"total_tokens":939}}</t>
        </is>
      </c>
      <c r="M97" t="inlineStr">
        <is>
          <t>{"alt-svc":"h3=\":443\"; ma=2592000","apim-request-id":"efa2128d-3fe5-4b00-a348-968a7c394218","azureml-model-session":"d20260402075109-1fc5a0ec","cache-control":"no-cache","connection":"close","content-length":"786","content-security-policy":"frame-ancestors 'self'","content-type":"application/json","date":"Fri, 24 Apr 2026 06:48:26 GMT","server":"nginx","skip-error-remapping":"true","strict-transport-security":"max-age=31536000; includeSubDomains; preload","via":"1.1 Caddy, 1.1 Caddy","x-api-request-id":"20260424144824172655197EkxNyBJm","x-content-type-options":"nosniff","x-frame-options":"SAMEORIGIN","x-ms-client-request-id":"Not-Set","x-ms-is-spilled-over":"false","x-ms-rai-invoked":"true","x-ms-region":"East US 2","x-new-api-version":"0.4.39","x-oneapi-request-id":"202604240648237798825398268d9d6qEZjhRdJ","x-ratelimit-abusepenalty-active":"False","x-ratelimit-limit-requests":"3850","x-ratelimit-limit-tokens":"3850000","x-ratelimit-remaining-requests":"3849","x-ratelimit-remaining-tokens":"3848265","x-ratelimit-renewalperiod-requests":"60","x-ratelimit-renewalperiod-tokens":"60","x-ratelimit-reset-requests":"15","x-ratelimit-reset-tokens":"27","x-request-id":"dd825b32-6927-4a43-8532-4b808fa124d9"}</t>
        </is>
      </c>
      <c r="N97" t="inlineStr">
        <is>
          <t>Montblanc Meisterstück Black Gold Fountain Pen, featuring a gold-plated cap and black resin body, elegant engraved design, smooth writing, ideal for business, office, gifting, or luxury collection.</t>
        </is>
      </c>
      <c r="O97" t="inlineStr">
        <is>
          <t>{"id":"chatcmpl-DY55O39F9BRfP2GhOwpwUgK8zMW4w","object":"chat.completion","created":1777015074,"model":"gpt-5-chat-latest","choices":[{"index":0,"message":{"role":"assistant","content":"Mont Blanc, Pen,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7" t="inlineStr">
        <is>
          <t>Mont Blanc, Pen, kakobuy, kakebuy2026, kekobuysheet, kakobuysheet2026, 2026kakobuy, kakobuyspreadsheeet, kakobuylink, kakebuylist, Kakobuy MEGA Spreadsheet, kakobuysheetfind, kakobuysheetfind2026, 2026kakobuysheetfind, kakobuysheet2026</t>
        </is>
      </c>
      <c r="Q97"/>
      <c r="R97" t="inlineStr">
        <is>
          <t>recvhju1CrqwWs</t>
        </is>
      </c>
      <c r="S97" t="inlineStr">
        <is>
          <t>montblanc-meisterstuck-black-gold-fountain-pen-recvhju1crqwws</t>
        </is>
      </c>
      <c r="T97"/>
      <c r="U97"/>
      <c r="V97"/>
      <c r="W97" t="inlineStr">
        <is>
          <t>{"id":"chatcmpl-DY48yfFqX5UPn9iPzUciu0drV1B4l","object":"chat.completion","created":1777011452,"model":"gpt-5-chat-latest","choices":[{"index":0,"message":{"role":"assistant","content":"Mont Blanc：大师系列黑金钢笔，镀金笔帽搭配黑色树脂笔身，雕纹精致典雅，展现德系工艺与商务优雅气质，男女皆宜，书写顺滑流畅，适合高端办公与礼赠典藏。","refusal":null,"annotations":[]},"logprobs":null,"finish_reason":"stop"}],"usage":{"prompt_tokens":1296,"completion_tokens":67,"total_tokens":1363,"prompt_tokens_details":{"cached_tokens":0,"audio_tokens":0},"completion_tokens_details":{"reasoning_tokens":0,"audio_tokens":0,"accepted_prediction_tokens":0,"rejected_prediction_tokens":0}},"service_tier":"default","system_fingerprint":"fp_ad66631dec"}</t>
        </is>
      </c>
      <c r="X97" t="inlineStr">
        <is>
          <t>Mont Blanc：大师系列黑金钢笔，镀金笔帽搭配黑色树脂笔身，雕纹精致典雅，展现德系工艺与商务优雅气质，男女皆宜，书写顺滑流畅，适合高端办公与礼赠典藏。</t>
        </is>
      </c>
    </row>
    <row r="98" ht="25.5" customHeight="1">
      <c r="A98">
        <v>1654975475</v>
      </c>
      <c r="B98">
        <v>7616232593</v>
      </c>
      <c r="C98" s="2" t="str">
        <f>=HYPERLINK("https://weidian.com/item.html?itemID=7616232593", "https://weidian.com/item.html?itemID=7616232593")</f>
        <v>https://weidian.com/item.html?itemID=7616232593</v>
      </c>
      <c r="D98"/>
      <c r="E98" s="2" t="str">
        <f>=HYPERLINK("https://si.geilicdn.com/pcitem902014207253-5ca60000019abd16f79a0a23038e_1488_1488.jpg?w=640&amp;h=640", "https://si.geilicdn.com/pcitem902014207253-5ca60000019abd16f79a0a23038e_1488_1488.jpg?w=640&amp;h=640")</f>
        <v>https://si.geilicdn.com/pcitem902014207253-5ca60000019abd16f79a0a23038e_1488_1488.jpg?w=640&amp;h=640</v>
      </c>
      <c r="F98" t="inlineStr">
        <is>
          <t>Accessories</t>
        </is>
      </c>
      <c r="G98" t="inlineStr">
        <is>
          <t>Mont Blanc</t>
        </is>
      </c>
      <c r="H98">
        <v>460</v>
      </c>
      <c r="I98">
        <v>66.67</v>
      </c>
      <c r="J98" t="inlineStr">
        <is>
          <t>{"id":"chatcmpl-DY4sHdYhvKGjaEJfc9lHuhIUy3RIj","object":"chat.completion","created":1777014261,"model":"gpt-5-chat-latest","choices":[{"index":0,"message":{"role":"assistant","content":"Montblanc Meisterstück Gold Checkered Luxury Pen","refusal":null,"annotations":[]},"logprobs":null,"finish_reason":"stop"}],"usage":{"prompt_tokens":879,"completion_tokens":11,"total_tokens":890,"prompt_tokens_details":{"cached_tokens":0,"audio_tokens":0},"completion_tokens_details":{"reasoning_tokens":0,"audio_tokens":0,"accepted_prediction_tokens":0,"rejected_prediction_tokens":0}},"service_tier":"default","system_fingerprint":"fp_ad66631dec"}</t>
        </is>
      </c>
      <c r="K98" t="inlineStr">
        <is>
          <t>Montblanc Meisterstück Gold Checkered Luxury Pen</t>
        </is>
      </c>
      <c r="L98" t="inlineStr">
        <is>
          <t>{"choices":[{"finish_reason":"stop","index":0,"logprobs":null,"message":{"annotations":[],"content":"Montblanc Meisterstück Gold Checkered Pen, crafted in premium gold-plated metal with elegant lines, classic cylindrical design for business style, unisex luxury writing instrument and collector’s choice.","refusal":null,"role":"assistant"}}],"created":1777013504,"id":"chatcmpl-DY4g4XG32OO2mcWgiQtfv04W6X6Sy","model":"gpt-5-chat-latest","object":"chat.completion","service_tier":"default","system_fingerprint":"fp_ad66631dec","usage":{"completion_tokens":39,"completion_tokens_details":{"accepted_prediction_tokens":0,"audio_tokens":0,"reasoning_tokens":0,"rejected_prediction_tokens":0},"prompt_tokens":893,"prompt_tokens_details":{"audio_tokens":0,"cached_tokens":0},"total_tokens":932}}</t>
        </is>
      </c>
      <c r="M98" t="inlineStr">
        <is>
          <t>{"alt-svc":"h3=\":443\"; ma=2592000","apim-request-id":"d0b835a0-c259-411d-856b-dc66fe05dff0","azureml-model-session":"d20260405234249-f9874baf","cache-control":"no-cache","connection":"close","content-length":"794","content-security-policy":"frame-ancestors 'self'","content-type":"application/json","date":"Fri, 24 Apr 2026 06:51:46 GMT","server":"Caddy","skip-error-remapping":"true","strict-transport-security":"max-age=31536000; includeSubDomains; preload","via":"1.1 Caddy","x-api-request-id":"20260424145144139452915PjU8PaMT","x-content-type-options":"nosniff","x-frame-options":"SAMEORIGIN","x-ms-client-request-id":"Not-Set","x-ms-is-spilled-over":"false","x-ms-rai-invoked":"true","x-ms-region":"East US 2","x-new-api-version":"0.4.39","x-oneapi-request-id":"20260424065144521694688268d9d6nqRvR2hW","x-ratelimit-abusepenalty-active":"False","x-ratelimit-limit-requests":"3850","x-ratelimit-limit-tokens":"3850000","x-ratelimit-remaining-requests":"3849","x-ratelimit-remaining-tokens":"3848345","x-ratelimit-renewalperiod-requests":"60","x-ratelimit-renewalperiod-tokens":"60","x-ratelimit-reset-requests":"15","x-ratelimit-reset-tokens":"25","x-request-id":"750d75d3-9072-429b-b75e-1fab539e27da"}</t>
        </is>
      </c>
      <c r="N98" t="inlineStr">
        <is>
          <t>Montblanc Meisterstück Gold Checkered Pen, crafted in premium gold-plated metal with elegant lines, classic cylindrical design for business style, unisex luxury writing instrument and collector’s choice.</t>
        </is>
      </c>
      <c r="O98" t="inlineStr">
        <is>
          <t>{"id":"chatcmpl-DY51xWxdqnHPMTJhjYFHZqKjvai4m","object":"chat.completion","created":1777014861,"model":"gpt-5-chat-latest","choices":[{"index":0,"message":{"role":"assistant","content":"Mont Blanc,Pen,kakobuy,kakebuy2026,kekobuysheet,kakobuysheet2026,2026kakobuy,kakobuyspreadsheeet,kakobuylink,kakebuylist,Kakobuy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98" t="inlineStr">
        <is>
          <t>Mont Blanc,Pen,kakobuy,kakebuy2026,kekobuysheet,kakobuysheet2026,2026kakobuy,kakobuyspreadsheeet,kakobuylink,kakebuylist,Kakobuy MEGA Spreadsheet,kakobuysheetfind,kakobuysheetfind2026,2026kakobuysheetfind,kakobuysheet2026</t>
        </is>
      </c>
      <c r="Q98"/>
      <c r="R98" t="inlineStr">
        <is>
          <t>recvhju1CruPxd</t>
        </is>
      </c>
      <c r="S98" t="inlineStr">
        <is>
          <t>montblanc-meisterstuck-gold-checkered-pen-recvhju1crupxd</t>
        </is>
      </c>
      <c r="T98"/>
      <c r="U98"/>
      <c r="V98"/>
      <c r="W98" t="inlineStr">
        <is>
          <t>{"choices":[{"finish_reason":"stop","index":0,"logprobs":null,"message":{"annotations":[],"content":"Mont Blanc：Meisterstück金色格纹钢笔，甄选镀金金属材质，线条优雅流畅，经典圆筒设计，彰显商务格调与收藏价值，男女通用款，尽显精英风范。","refusal":null,"role":"assistant"}}],"created":1777011884,"id":"chatcmpl-DY4FwFwbda0CFzlHnhYSeWBiZBoXc","model":"gpt-5-chat-latest","object":"chat.completion","service_tier":"default","system_fingerprint":"fp_ad66631dec","usage":{"completion_tokens":59,"completion_tokens_details":{"accepted_prediction_tokens":0,"audio_tokens":0,"reasoning_tokens":0,"rejected_prediction_tokens":0},"prompt_tokens":1302,"prompt_tokens_details":{"audio_tokens":0,"cached_tokens":1280},"total_tokens":1361}}</t>
        </is>
      </c>
      <c r="X98" t="inlineStr">
        <is>
          <t>Mont Blanc：Meisterstück金色格纹钢笔，甄选镀金金属材质，线条优雅流畅，经典圆筒设计，彰显商务格调与收藏价值，男女通用款，尽显精英风范。</t>
        </is>
      </c>
    </row>
    <row r="99" ht="25.5" customHeight="1">
      <c r="A99">
        <v>1654975475</v>
      </c>
      <c r="B99">
        <v>7615629257</v>
      </c>
      <c r="C99" s="2" t="str">
        <f>=HYPERLINK("https://weidian.com/item.html?itemID=7615629257", "https://weidian.com/item.html?itemID=7615629257")</f>
        <v>https://weidian.com/item.html?itemID=7615629257</v>
      </c>
      <c r="D99"/>
      <c r="E99" s="2" t="str">
        <f>=HYPERLINK("https://si.geilicdn.com/pcitem902014207253-16dd0000019abd183aab0a21146b_1488_1488.jpg?w=640&amp;h=640", "https://si.geilicdn.com/pcitem902014207253-16dd0000019abd183aab0a21146b_1488_1488.jpg?w=640&amp;h=640")</f>
        <v>https://si.geilicdn.com/pcitem902014207253-16dd0000019abd183aab0a21146b_1488_1488.jpg?w=640&amp;h=640</v>
      </c>
      <c r="F99" t="inlineStr">
        <is>
          <t>Accessories</t>
        </is>
      </c>
      <c r="G99" t="inlineStr">
        <is>
          <t>Mont Blanc</t>
        </is>
      </c>
      <c r="H99">
        <v>460</v>
      </c>
      <c r="I99">
        <v>66.67</v>
      </c>
      <c r="J99" t="inlineStr">
        <is>
          <t>{"choices":[{"finish_reason":"stop","index":0,"logprobs":null,"message":{"annotations":[],"content":"Montblanc Gold Checkered Luxury Metal Signature Pen","refusal":null,"role":"assistant"}}],"created":1777014430,"id":"chatcmpl-DY4v0rPWpUtmNWLJJF27tZUK0MUcR","model":"gpt-5-chat-latest","object":"chat.completion","service_tier":"default","system_fingerprint":"fp_ad66631dec","usage":{"completion_tokens":11,"completion_tokens_details":{"accepted_prediction_tokens":0,"audio_tokens":0,"reasoning_tokens":0,"rejected_prediction_tokens":0},"prompt_tokens":863,"prompt_tokens_details":{"audio_tokens":0,"cached_tokens":0},"total_tokens":874}}</t>
        </is>
      </c>
      <c r="K99" t="inlineStr">
        <is>
          <t>Montblanc Gold Checkered Luxury Metal Signature Pen</t>
        </is>
      </c>
      <c r="L99" t="inlineStr">
        <is>
          <t>{"choices":[{"finish_reason":"stop","index":0,"logprobs":null,"message":{"annotations":[],"content":"Montblanc Gold Checkered Signature Pen crafted from premium metal, featuring elegant engraved texture and smooth cylindrical design for luxury business style and perfect gift elegance.","refusal":null,"role":"assistant"}}],"created":1777013240,"id":"chatcmpl-DY4boYuFNj1CQamibR1Ox7hIMvvX2","model":"gpt-5-chat-latest","object":"chat.completion","service_tier":"default","system_fingerprint":"fp_ad66631dec","usage":{"completion_tokens":31,"completion_tokens_details":{"accepted_prediction_tokens":0,"audio_tokens":0,"reasoning_tokens":0,"rejected_prediction_tokens":0},"prompt_tokens":915,"prompt_tokens_details":{"audio_tokens":0,"cached_tokens":0},"total_tokens":946}}</t>
        </is>
      </c>
      <c r="M99" t="inlineStr">
        <is>
          <t>{"alt-svc":"h3=\":443\"; ma=2592000","apim-request-id":"5eb01b0b-d4ed-4acd-b3aa-dfa965774ccc","azureml-model-session":"d20260402074105-51db401e","cache-control":"no-cache","connection":"close","content-length":"772","content-security-policy":"frame-ancestors 'self'","content-type":"application/json","date":"Fri, 24 Apr 2026 06:47:22 GMT","server":"nginx","skip-error-remapping":"true","strict-transport-security":"max-age=31536000; includeSubDomains; preload","via":"1.1 Caddy, 1.1 Caddy","x-api-request-id":"20260424144719673648707Sh6MNRbE","x-content-type-options":"nosniff","x-frame-options":"SAMEORIGIN","x-ms-client-request-id":"Not-Set","x-ms-is-spilled-over":"false","x-ms-rai-invoked":"true","x-ms-region":"East US 2","x-new-api-version":"0.4.39","x-oneapi-request-id":"202604240647189976828738268d9d666nbennP","x-ratelimit-abusepenalty-active":"False","x-ratelimit-limit-requests":"3850","x-ratelimit-limit-tokens":"3850000","x-ratelimit-remaining-requests":"3849","x-ratelimit-remaining-tokens":"3848323","x-ratelimit-renewalperiod-requests":"60","x-ratelimit-renewalperiod-tokens":"60","x-ratelimit-reset-requests":"15","x-ratelimit-reset-tokens":"26","x-request-id":"b133c671-8c79-41f6-b203-e40a564fec19"}</t>
        </is>
      </c>
      <c r="N99" t="inlineStr">
        <is>
          <t>Montblanc Gold Checkered Signature Pen crafted from premium metal, featuring elegant engraved texture and smooth cylindrical design for luxury business style and perfect gift elegance.</t>
        </is>
      </c>
      <c r="O99" t="inlineStr">
        <is>
          <t>{"choices":[{"finish_reason":"stop","index":0,"logprobs":null,"message":{"annotations":[],"content":"Mont Blanc,Pen,kakobuy,kakebuy2026,kekobuysheet,kakobuysheet2026,2026kakobuy,kakobuyspreadsheeet,kakobuylink,kakebuylist,Kakobuy MEGA Spreadsheet,kakobuysheetfind,kakobuysheetfind2026,2026kakobuysheetfind,kakobuysheet2026","refusal":null,"role":"assistant"}}],"created":1777015218,"id":"chatcmpl-DY57iGFFhnb4nBl1u8Mv8EV9leArp","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99" t="inlineStr">
        <is>
          <t>Mont Blanc,Pen,kakobuy,kakebuy2026,kekobuysheet,kakobuysheet2026,2026kakobuy,kakobuyspreadsheeet,kakobuylink,kakebuylist,Kakobuy MEGA Spreadsheet,kakobuysheetfind,kakobuysheetfind2026,2026kakobuysheetfind,kakobuysheet2026</t>
        </is>
      </c>
      <c r="Q99"/>
      <c r="R99" t="inlineStr">
        <is>
          <t>recvhju1CrOWnj</t>
        </is>
      </c>
      <c r="S99" t="inlineStr">
        <is>
          <t>montblanc-gold-checkered-signature-pen-recvhju1crwnj</t>
        </is>
      </c>
      <c r="T99"/>
      <c r="U99"/>
      <c r="V99"/>
      <c r="W99" t="inlineStr">
        <is>
          <t>{"choices":[{"finish_reason":"stop","index":0,"logprobs":null,"message":{"annotations":[],"content":"Mont Blanc 金色格纹系列签字笔，甄选高端金属材质，笔身精致雕纹设计彰显奢华质感。经典圆柱造型搭配流畅线条，兼具商务与艺术气息。男女皆宜，适合高端办公及礼赠场合，体现优雅品味与专业格调。","refusal":null,"role":"assistant"}}],"created":1777011664,"id":"chatcmpl-DY4COVTHMpwa0pPH9ZlK3g4Qfb5lw","model":"gpt-5-chat-latest","object":"chat.completion","service_tier":"default","system_fingerprint":"fp_ad66631dec","usage":{"completion_tokens":82,"completion_tokens_details":{"accepted_prediction_tokens":0,"audio_tokens":0,"reasoning_tokens":0,"rejected_prediction_tokens":0},"prompt_tokens":1300,"prompt_tokens_details":{"audio_tokens":0,"cached_tokens":0},"total_tokens":1382}}</t>
        </is>
      </c>
      <c r="X99" t="inlineStr">
        <is>
          <t>Mont Blanc 金色格纹系列签字笔，甄选高端金属材质，笔身精致雕纹设计彰显奢华质感。经典圆柱造型搭配流畅线条，兼具商务与艺术气息。男女皆宜，适合高端办公及礼赠场合，体现优雅品味与专业格调。</t>
        </is>
      </c>
    </row>
    <row r="100" ht="25.5" customHeight="1">
      <c r="A100">
        <v>1654975475</v>
      </c>
      <c r="B100">
        <v>7616175041</v>
      </c>
      <c r="C100" s="2" t="str">
        <f>=HYPERLINK("https://weidian.com/item.html?itemID=7616175041", "https://weidian.com/item.html?itemID=7616175041")</f>
        <v>https://weidian.com/item.html?itemID=7616175041</v>
      </c>
      <c r="D100"/>
      <c r="E100" s="2" t="str">
        <f>=HYPERLINK("https://si.geilicdn.com/pcitem902014207253-664d0000019abd17d6110a23111a_1488_1488.jpg?w=640&amp;h=640", "https://si.geilicdn.com/pcitem902014207253-664d0000019abd17d6110a23111a_1488_1488.jpg?w=640&amp;h=640")</f>
        <v>https://si.geilicdn.com/pcitem902014207253-664d0000019abd17d6110a23111a_1488_1488.jpg?w=640&amp;h=640</v>
      </c>
      <c r="F100" t="inlineStr">
        <is>
          <t>Accessories</t>
        </is>
      </c>
      <c r="G100" t="inlineStr">
        <is>
          <t>Mont Blanc</t>
        </is>
      </c>
      <c r="H100">
        <v>460</v>
      </c>
      <c r="I100">
        <v>66.67</v>
      </c>
      <c r="J100" t="inlineStr">
        <is>
          <t>{"id":"chatcmpl-DY4seI8TWRxbHJSGDldv7Be8LP471","object":"chat.completion","created":1777014284,"model":"gpt-5-chat-latest","choices":[{"index":0,"message":{"role":"assistant","content":"Montblanc Silver Signature Luxury Metal Pen","refusal":null,"annotations":[]},"logprobs":null,"finish_reason":"stop"}],"usage":{"prompt_tokens":873,"completion_tokens":9,"total_tokens":882,"prompt_tokens_details":{"cached_tokens":0,"audio_tokens":0},"completion_tokens_details":{"reasoning_tokens":0,"audio_tokens":0,"accepted_prediction_tokens":0,"rejected_prediction_tokens":0}},"service_tier":"default","system_fingerprint":"fp_ad66631dec"}</t>
        </is>
      </c>
      <c r="K100" t="inlineStr">
        <is>
          <t>Montblanc Silver Signature Luxury Metal Pen</t>
        </is>
      </c>
      <c r="L100" t="inlineStr">
        <is>
          <t>{"choices":[{"finish_reason":"stop","index":0,"logprobs":null,"message":{"annotations":[],"content":"Montblanc Silver Signature Pen features polished metal craftsmanship, sleek lines, and refined engraving. Unisex design perfect for business or collection, embodying timeless elegance and modern style.","refusal":null,"role":"assistant"}}],"created":1777013580,"id":"chatcmpl-DY4hIdObSxYIQ1YQe9Jk6uEXLmLvo","model":"gpt-5-chat-latest","object":"chat.completion","service_tier":"default","system_fingerprint":"fp_ad66631dec","usage":{"completion_tokens":36,"completion_tokens_details":{"accepted_prediction_tokens":0,"audio_tokens":0,"reasoning_tokens":0,"rejected_prediction_tokens":0},"prompt_tokens":902,"prompt_tokens_details":{"audio_tokens":0,"cached_tokens":0},"total_tokens":938}}</t>
        </is>
      </c>
      <c r="M100" t="inlineStr">
        <is>
          <t>{"alt-svc":"h3=\":443\"; ma=2592000","apim-request-id":"38097d39-8637-4eaf-8701-ef6f128291f1","azureml-model-session":"d20260402083108-57a85543","cache-control":"no-cache","connection":"close","content-length":"789","content-security-policy":"frame-ancestors 'self'","content-type":"application/json","date":"Fri, 24 Apr 2026 06:53:03 GMT","server":"nginx","skip-error-remapping":"true","strict-transport-security":"max-age=31536000; includeSubDomains; preload","via":"1.1 Caddy, 1.1 Caddy","x-api-request-id":"202604241452598930718430q2wjxkh","x-content-type-options":"nosniff","x-frame-options":"SAMEORIGIN","x-ms-client-request-id":"Not-Set","x-ms-is-spilled-over":"false","x-ms-rai-invoked":"true","x-ms-region":"East US 2","x-new-api-version":"0.4.39","x-oneapi-request-id":"202604240652593407469058268d9d6KgL959f3","x-ratelimit-abusepenalty-active":"False","x-ratelimit-limit-requests":"3850","x-ratelimit-limit-tokens":"3850000","x-ratelimit-remaining-requests":"3849","x-ratelimit-remaining-tokens":"3843407","x-ratelimit-renewalperiod-requests":"60","x-ratelimit-renewalperiod-tokens":"60","x-ratelimit-reset-requests":"15","x-ratelimit-reset-tokens":"102","x-request-id":"a818f66c-f23e-4ca3-a323-ed243f91ea23"}</t>
        </is>
      </c>
      <c r="N100" t="inlineStr">
        <is>
          <t>Montblanc Silver Signature Pen features polished metal craftsmanship, sleek lines, and refined engraving. Unisex design perfect for business or collection, embodying timeless elegance and modern style.</t>
        </is>
      </c>
      <c r="O100" t="inlineStr">
        <is>
          <t>{"choices":[{"finish_reason":"stop","index":0,"logprobs":null,"message":{"annotations":[],"content":"Mont Blanc,Pen,kakobuy,kakebuy2026,kekobuysheet,kakobuysheet2026,2026kakobuy,kakobuyspreadsheeet,kakobuylink,kakebuylist,Kakobuy MEGA Spreadsheet,kakobuysheetfind,kakobuysheetfind2026,2026kakobuysheetfind,kakobuysheet2026","refusal":null,"role":"assistant"}}],"created":1777014994,"id":"chatcmpl-DY546Fl65FawI7FDdK4wdMT6W2TDj","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00" t="inlineStr">
        <is>
          <t>Mont Blanc,Pen,kakobuy,kakebuy2026,kekobuysheet,kakobuysheet2026,2026kakobuy,kakobuyspreadsheeet,kakobuylink,kakebuylist,Kakobuy MEGA Spreadsheet,kakobuysheetfind,kakobuysheetfind2026,2026kakobuysheetfind,kakobuysheet2026</t>
        </is>
      </c>
      <c r="Q100"/>
      <c r="R100" t="inlineStr">
        <is>
          <t>recvhju1CrUiHb</t>
        </is>
      </c>
      <c r="S100" t="inlineStr">
        <is>
          <t>montblanc-silver-signature-luxury-metal-pen-recvhju1cruihb</t>
        </is>
      </c>
      <c r="T100"/>
      <c r="U100"/>
      <c r="V100"/>
      <c r="W100" t="inlineStr">
        <is>
          <t>{"choices":[{"finish_reason":"stop","index":0,"logprobs":null,"message":{"annotations":[],"content":"Mont Blanc：银色高级系列签字笔，甄选抛光金属材质，线条流畅优雅，笔帽雕刻细腻，彰显简约现代风格。男女皆宜，商务与收藏兼得，尽显品牌精湛工艺与时代格调。","refusal":null,"role":"assistant"}}],"created":1777011960,"id":"chatcmpl-DY4HANAf7loBQ0Xl3bbTTv4LJ6fIz","model":"gpt-5-chat-latest","object":"chat.completion","service_tier":"default","system_fingerprint":"fp_ad66631dec","usage":{"completion_tokens":69,"completion_tokens_details":{"accepted_prediction_tokens":0,"audio_tokens":0,"reasoning_tokens":0,"rejected_prediction_tokens":0},"prompt_tokens":1300,"prompt_tokens_details":{"audio_tokens":0,"cached_tokens":0},"total_tokens":1369}}</t>
        </is>
      </c>
      <c r="X100" t="inlineStr">
        <is>
          <t>Mont Blanc：银色高级系列签字笔，甄选抛光金属材质，线条流畅优雅，笔帽雕刻细腻，彰显简约现代风格。男女皆宜，商务与收藏兼得，尽显品牌精湛工艺与时代格调。</t>
        </is>
      </c>
    </row>
    <row r="101" ht="25.5" customHeight="1">
      <c r="A101">
        <v>1654975475</v>
      </c>
      <c r="B101">
        <v>7619137184</v>
      </c>
      <c r="C101" s="2" t="str">
        <f>=HYPERLINK("https://weidian.com/item.html?itemID=7619137184", "https://weidian.com/item.html?itemID=7619137184")</f>
        <v>https://weidian.com/item.html?itemID=7619137184</v>
      </c>
      <c r="D101"/>
      <c r="E101" s="2" t="str">
        <f>=HYPERLINK("https://si.geilicdn.com/pcitem902014207253-5b1c0000019abd18eb950a81347d_1080_1080.jpg?w=640&amp;h=640", "https://si.geilicdn.com/pcitem902014207253-5b1c0000019abd18eb950a81347d_1080_1080.jpg?w=640&amp;h=640")</f>
        <v>https://si.geilicdn.com/pcitem902014207253-5b1c0000019abd18eb950a81347d_1080_1080.jpg?w=640&amp;h=640</v>
      </c>
      <c r="F101" t="inlineStr">
        <is>
          <t>Accessories</t>
        </is>
      </c>
      <c r="G101" t="inlineStr">
        <is>
          <t>Mont Blanc</t>
        </is>
      </c>
      <c r="H101">
        <v>460</v>
      </c>
      <c r="I101">
        <v>66.67</v>
      </c>
      <c r="J101" t="inlineStr">
        <is>
          <t>{"choices":[{"finish_reason":"stop","index":0,"logprobs":null,"message":{"annotations":[],"content":"Montblanc Black Resin Platinum Fountain Pen","refusal":null,"role":"assistant"}}],"created":1777014359,"id":"chatcmpl-DY4trJysYcFsBumNIv66hvLP6GLlJ","model":"gpt-5-chat-latest","object":"chat.completion","service_tier":"default","system_fingerprint":"fp_ad66631dec","usage":{"completion_tokens":9,"completion_tokens_details":{"accepted_prediction_tokens":0,"audio_tokens":0,"reasoning_tokens":0,"rejected_prediction_tokens":0},"prompt_tokens":871,"prompt_tokens_details":{"audio_tokens":0,"cached_tokens":0},"total_tokens":880}}</t>
        </is>
      </c>
      <c r="K101" t="inlineStr">
        <is>
          <t>Montblanc Black Resin Platinum Fountain Pen</t>
        </is>
      </c>
      <c r="L101" t="inlineStr">
        <is>
          <t>{"choices":[{"finish_reason":"stop","index":0,"logprobs":null,"message":{"annotations":[],"content":"Montblanc Classic Black Resin Fountain Pen with Platinum-Plated Clip and Triple Rings, elegant streamlined design for business men and women, showcasing modern luxury and refined writing artistry.","refusal":null,"role":"assistant"}}],"created":1777013529,"id":"chatcmpl-DY4gT3MuMGRUAXgjWZhYOtLRMx5Rf","model":"gpt-5-chat-latest","object":"chat.completion","service_tier":"default","system_fingerprint":"fp_ad66631dec","usage":{"completion_tokens":35,"completion_tokens_details":{"accepted_prediction_tokens":0,"audio_tokens":0,"reasoning_tokens":0,"rejected_prediction_tokens":0},"prompt_tokens":898,"prompt_tokens_details":{"audio_tokens":0,"cached_tokens":0},"total_tokens":933}}</t>
        </is>
      </c>
      <c r="M101" t="inlineStr">
        <is>
          <t>{"alt-svc":"h3=\":443\"; ma=2592000","apim-request-id":"52e40a15-22e8-4a09-a7ee-5a90e2ec53e9","azureml-model-session":"d20260405225800-40f19e54","cache-control":"no-cache","connection":"close","content-length":"784","content-security-policy":"frame-ancestors 'self'","content-type":"application/json","date":"Fri, 24 Apr 2026 06:52:11 GMT","server":"nginx","skip-error-remapping":"true","strict-transport-security":"max-age=31536000; includeSubDomains; preload","via":"1.1 Caddy, 1.1 Caddy","x-api-request-id":"20260424145209270235271E5aWbeOG","x-content-type-options":"nosniff","x-frame-options":"SAMEORIGIN","x-ms-client-request-id":"Not-Set","x-ms-is-spilled-over":"false","x-ms-rai-invoked":"true","x-ms-region":"East US 2","x-new-api-version":"0.4.39","x-oneapi-request-id":"202604240652088622315218268d9d69uRUvfcW","x-ratelimit-abusepenalty-active":"False","x-ratelimit-limit-requests":"3850","x-ratelimit-limit-tokens":"3850000","x-ratelimit-remaining-requests":"3849","x-ratelimit-remaining-tokens":"3848340","x-ratelimit-renewalperiod-requests":"60","x-ratelimit-renewalperiod-tokens":"60","x-ratelimit-reset-requests":"15","x-ratelimit-reset-tokens":"25","x-request-id":"a6e88dbc-e34d-4f27-8d9a-9e353ad2b8d5"}</t>
        </is>
      </c>
      <c r="N101" t="inlineStr">
        <is>
          <t>Montblanc Classic Black Resin Fountain Pen with Platinum-Plated Clip and Triple Rings, elegant streamlined design for business men and women, showcasing modern luxury and refined writing artistry.</t>
        </is>
      </c>
      <c r="O101" t="inlineStr">
        <is>
          <t>{"id":"chatcmpl-DY53d0dE7tLVJeBaQ8RrCKSAQh05f","object":"chat.completion","created":1777014965,"model":"gpt-5-chat-latest","choices":[{"index":0,"message":{"role":"assistant","content":"Mont Blanc,Pen,kakobuy,kakebuy2026,kekobuysheet,kakobuysheet2026,2026kakobuy,kakobuyspreadsheeet,kakobuylink,kakebuylist,Kakobuy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1" t="inlineStr">
        <is>
          <t>Mont Blanc,Pen,kakobuy,kakebuy2026,kekobuysheet,kakobuysheet2026,2026kakobuy,kakobuyspreadsheeet,kakobuylink,kakebuylist,Kakobuy MEGA Spreadsheet,kakobuysheetfind,kakobuysheetfind2026,2026kakobuysheetfind,kakobuysheet2026</t>
        </is>
      </c>
      <c r="Q101"/>
      <c r="R101" t="inlineStr">
        <is>
          <t>recvhju1CrvlAe</t>
        </is>
      </c>
      <c r="S101" t="inlineStr">
        <is>
          <t>montblanc-black-resin-platinum-fountain-pen-recvhju1crvlae</t>
        </is>
      </c>
      <c r="T101"/>
      <c r="U101"/>
      <c r="V101"/>
      <c r="W101" t="inlineStr">
        <is>
          <t>{"choices":[{"finish_reason":"stop","index":0,"logprobs":null,"message":{"annotations":[],"content":"Mont Blanc：经典黑色树脂钢笔，镀铂金夹与三环细节设计，流线型笔身典雅奢华，适合商务男士与优雅女士，展现现代绅士风范与书写艺术的非凡品味。","refusal":null,"role":"assistant"}}],"created":1777011416,"id":"chatcmpl-DY48Ofaa0fFiR10E1pgfqkpglsbYl","model":"gpt-5-chat-latest","object":"chat.completion","service_tier":"default","system_fingerprint":"fp_ad66631dec","usage":{"completion_tokens":64,"completion_tokens_details":{"accepted_prediction_tokens":0,"audio_tokens":0,"reasoning_tokens":0,"rejected_prediction_tokens":0},"prompt_tokens":1302,"prompt_tokens_details":{"audio_tokens":0,"cached_tokens":1280},"total_tokens":1366}}</t>
        </is>
      </c>
      <c r="X101" t="inlineStr">
        <is>
          <t>Mont Blanc：经典黑色树脂钢笔，镀铂金夹与三环细节设计，流线型笔身典雅奢华，适合商务男士与优雅女士，展现现代绅士风范与书写艺术的非凡品味。</t>
        </is>
      </c>
    </row>
    <row r="102" ht="25.5" customHeight="1">
      <c r="A102">
        <v>1654975475</v>
      </c>
      <c r="B102">
        <v>7616178763</v>
      </c>
      <c r="C102" s="2" t="str">
        <f>=HYPERLINK("https://weidian.com/item.html?itemID=7616178763", "https://weidian.com/item.html?itemID=7616178763")</f>
        <v>https://weidian.com/item.html?itemID=7616178763</v>
      </c>
      <c r="D102"/>
      <c r="E102" s="2" t="str">
        <f>=HYPERLINK("https://si.geilicdn.com/pcitem902014207253-5d4c0000019abd189c7c0a20e284_1080_1080.jpg?w=640&amp;h=640", "https://si.geilicdn.com/pcitem902014207253-5d4c0000019abd189c7c0a20e284_1080_1080.jpg?w=640&amp;h=640")</f>
        <v>https://si.geilicdn.com/pcitem902014207253-5d4c0000019abd189c7c0a20e284_1080_1080.jpg?w=640&amp;h=640</v>
      </c>
      <c r="F102" t="inlineStr">
        <is>
          <t>Accessories</t>
        </is>
      </c>
      <c r="G102" t="inlineStr">
        <is>
          <t>Mont Blanc</t>
        </is>
      </c>
      <c r="H102">
        <v>460</v>
      </c>
      <c r="I102">
        <v>66.67</v>
      </c>
      <c r="J102" t="inlineStr">
        <is>
          <t>{"id":"chatcmpl-DY4xDvr1FpxI8eIq4Pupo70s2N78l","object":"chat.completion","created":1777014567,"model":"gpt-5-chat-latest","choices":[{"index":0,"message":{"role":"assistant","content":"Montblanc StarWalker Black Grid Rollerball Pen Platinum","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102" t="inlineStr">
        <is>
          <t>Montblanc StarWalker Black Grid Rollerball Pen Platinum</t>
        </is>
      </c>
      <c r="L102" t="inlineStr">
        <is>
          <t>{"choices":[{"finish_reason":"stop","index":0,"logprobs":null,"message":{"annotations":[],"content":"Montblanc StarWalker Black Grid Resin Rollerball Pen with Platinum-Plated Details – Modern, Elegant, and Ideal for Business Men and Women Seeking Timeless Luxury and Sophisticated Style.","refusal":null,"role":"assistant"}}],"created":1777013620,"id":"chatcmpl-DY4hwVlh1r1sTlK9XNKEJJqKDkYSK","model":"gpt-5-chat-latest","object":"chat.completion","service_tier":"default","system_fingerprint":"fp_ad66631dec","usage":{"completion_tokens":38,"completion_tokens_details":{"accepted_prediction_tokens":0,"audio_tokens":0,"reasoning_tokens":0,"rejected_prediction_tokens":0},"prompt_tokens":883,"prompt_tokens_details":{"audio_tokens":0,"cached_tokens":0},"total_tokens":921}}</t>
        </is>
      </c>
      <c r="M102" t="inlineStr">
        <is>
          <t>{"alt-svc":"h3=\":443\"; ma=2592000","apim-request-id":"55429edf-488a-412a-9d2f-fbc8a29d1b39","azureml-model-session":"d20260402083108-57a85543","cache-control":"no-cache","connection":"close","content-length":"776","content-security-policy":"frame-ancestors 'self'","content-type":"application/json","date":"Fri, 24 Apr 2026 06:53:42 GMT","server":"Caddy","skip-error-remapping":"true","strict-transport-security":"max-age=31536000; includeSubDomains; preload","via":"1.1 Caddy","x-api-request-id":"2026042414533996518631LbdyR6r4","x-content-type-options":"nosniff","x-frame-options":"SAMEORIGIN","x-ms-client-request-id":"Not-Set","x-ms-is-spilled-over":"false","x-ms-rai-invoked":"true","x-ms-region":"East US 2","x-new-api-version":"0.4.39","x-oneapi-request-id":"202604240653387655419998268d9d6LV2EYez5","x-ratelimit-abusepenalty-active":"False","x-ratelimit-limit-requests":"3850","x-ratelimit-limit-tokens":"3850000","x-ratelimit-remaining-requests":"3849","x-ratelimit-remaining-tokens":"3848355","x-ratelimit-renewalperiod-requests":"60","x-ratelimit-renewalperiod-tokens":"60","x-ratelimit-reset-requests":"15","x-ratelimit-reset-tokens":"25","x-request-id":"c151a5b9-18dd-4cb9-ab36-36f14cecff4b"}</t>
        </is>
      </c>
      <c r="N102" t="inlineStr">
        <is>
          <t>Montblanc StarWalker Black Grid Resin Rollerball Pen with Platinum-Plated Details – Modern, Elegant, and Ideal for Business Men and Women Seeking Timeless Luxury and Sophisticated Style.</t>
        </is>
      </c>
      <c r="O102" t="inlineStr">
        <is>
          <t>{"choices":[{"finish_reason":"stop","index":0,"logprobs":null,"message":{"annotations":[],"content":"Mont Blanc,Pen,kakobuy,kakebuy2026,kekobuysheet,kakobuysheet2026,2026kakobuy,kakobuyspreadsheeet,kakobuylink,kakebuylist,Kakobuy MEGA Spreadsheet,kakobuysheetfind,kakobuysheetfind2026,2026kakobuysheetfind,kakobuysheet2026","refusal":null,"role":"assistant"}}],"created":1777014907,"id":"chatcmpl-DY52hpz0rbXVv2OnISuICYcOJsmWF","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02" t="inlineStr">
        <is>
          <t>Mont Blanc,Pen,kakobuy,kakebuy2026,kekobuysheet,kakobuysheet2026,2026kakobuy,kakobuyspreadsheeet,kakobuylink,kakebuylist,Kakobuy MEGA Spreadsheet,kakobuysheetfind,kakobuysheetfind2026,2026kakobuysheetfind,kakobuysheet2026</t>
        </is>
      </c>
      <c r="Q102"/>
      <c r="R102" t="inlineStr">
        <is>
          <t>recvhju1CrjaWx</t>
        </is>
      </c>
      <c r="S102" t="inlineStr">
        <is>
          <t>montblanc-starwalker-black-grid-rollerball-pen-platinum-recvhju1crjawx</t>
        </is>
      </c>
      <c r="T102"/>
      <c r="U102"/>
      <c r="V102"/>
      <c r="W102" t="inlineStr">
        <is>
          <t>{"id":"chatcmpl-DY4Bo55lVxkBG4INheT0NuJWPoWoU","object":"chat.completion","created":1777011628,"model":"gpt-5-chat-latest","choices":[{"index":0,"message":{"role":"assistant","content":"Mont Blanc：StarWalker系列黑色格纹树脂签字笔，镀铂金配件，简约现代设计，商务男女皆宜，彰显优雅品味与非凡格调。","refusal":null,"annotations":[]},"logprobs":null,"finish_reason":"stop"}],"usage":{"prompt_tokens":1306,"completion_tokens":47,"total_tokens":1353,"prompt_tokens_details":{"cached_tokens":0,"audio_tokens":0},"completion_tokens_details":{"reasoning_tokens":0,"audio_tokens":0,"accepted_prediction_tokens":0,"rejected_prediction_tokens":0}},"service_tier":"default","system_fingerprint":"fp_ad66631dec"}</t>
        </is>
      </c>
      <c r="X102" t="inlineStr">
        <is>
          <t>Mont Blanc：StarWalker系列黑色格纹树脂签字笔，镀铂金配件，简约现代设计，商务男女皆宜，彰显优雅品味与非凡格调。</t>
        </is>
      </c>
    </row>
    <row r="103" ht="25.5" customHeight="1">
      <c r="A103">
        <v>1654975475</v>
      </c>
      <c r="B103">
        <v>7616238549</v>
      </c>
      <c r="C103" s="2" t="str">
        <f>=HYPERLINK("https://weidian.com/item.html?itemID=7616238549", "https://weidian.com/item.html?itemID=7616238549")</f>
        <v>https://weidian.com/item.html?itemID=7616238549</v>
      </c>
      <c r="D103"/>
      <c r="E103" s="2" t="str">
        <f>=HYPERLINK("https://si.geilicdn.com/pcitem902014207253-503d0000019abd1935680a20e273_1280_1707.jpg?w=640&amp;h=640", "https://si.geilicdn.com/pcitem902014207253-503d0000019abd1935680a20e273_1280_1707.jpg?w=640&amp;h=640")</f>
        <v>https://si.geilicdn.com/pcitem902014207253-503d0000019abd1935680a20e273_1280_1707.jpg?w=640&amp;h=640</v>
      </c>
      <c r="F103" t="inlineStr">
        <is>
          <t>Accessories</t>
        </is>
      </c>
      <c r="G103" t="inlineStr">
        <is>
          <t>Cartier</t>
        </is>
      </c>
      <c r="H103">
        <v>460</v>
      </c>
      <c r="I103">
        <v>66.67</v>
      </c>
      <c r="J103" t="inlineStr">
        <is>
          <t>{"choices":[{"finish_reason":"stop","index":0,"logprobs":null,"message":{"annotations":[],"content":"Cartier Blue Gradient Brass Luxury Ballpoint Pen","refusal":null,"role":"assistant"}}],"created":1777014520,"id":"chatcmpl-DY4wS9wjvvvOeSx99Q5HV3hyLxKs3","model":"gpt-5-chat-latest","object":"chat.completion","service_tier":"default","system_fingerprint":"fp_ad66631dec","usage":{"completion_tokens":10,"completion_tokens_details":{"accepted_prediction_tokens":0,"audio_tokens":0,"reasoning_tokens":0,"rejected_prediction_tokens":0},"prompt_tokens":873,"prompt_tokens_details":{"audio_tokens":0,"cached_tokens":0},"total_tokens":883}}</t>
        </is>
      </c>
      <c r="K103" t="inlineStr">
        <is>
          <t>Cartier Blue Gradient Brass Luxury Ballpoint Pen</t>
        </is>
      </c>
      <c r="L103" t="inlineStr">
        <is>
          <t>{"choices":[{"finish_reason":"stop","index":0,"logprobs":null,"message":{"annotations":[],"content":"Cartier Blue Gradient Metal Ballpoint Pen, high-polished brass with chrome details, smooth twist mechanism, elegant modern design for business or daily writing, showcasing French luxury style.","refusal":null,"role":"assistant"}}],"created":1777013507,"id":"chatcmpl-DY4g7nxPE0mV1h4ypC6MLlr9Pwjzw","model":"gpt-5-chat-latest","object":"chat.completion","service_tier":"default","system_fingerprint":"fp_ad66631dec","usage":{"completion_tokens":36,"completion_tokens_details":{"accepted_prediction_tokens":0,"audio_tokens":0,"reasoning_tokens":0,"rejected_prediction_tokens":0},"prompt_tokens":909,"prompt_tokens_details":{"audio_tokens":0,"cached_tokens":0},"total_tokens":945}}</t>
        </is>
      </c>
      <c r="M103" t="inlineStr">
        <is>
          <t>{"alt-svc":"h3=\":443\"; ma=2592000","apim-request-id":"743ad2ff-8a4e-43e9-9e46-ea326a4a5a87","azureml-model-session":"d20260402083108-57a85543","cache-control":"no-cache","connection":"close","content-length":"780","content-security-policy":"frame-ancestors 'self'","content-type":"application/json","date":"Fri, 24 Apr 2026 06:51:49 GMT","server":"Caddy","skip-error-remapping":"true","strict-transport-security":"max-age=31536000; includeSubDomains; preload","via":"1.1 Caddy","x-api-request-id":"202604241451468613983018KpXg3jL","x-content-type-options":"nosniff","x-frame-options":"SAMEORIGIN","x-ms-client-request-id":"Not-Set","x-ms-is-spilled-over":"false","x-ms-rai-invoked":"true","x-ms-region":"East US 2","x-new-api-version":"0.4.39","x-oneapi-request-id":"202604240651462800527788268d9d6UcG6ku7E","x-ratelimit-abusepenalty-active":"False","x-ratelimit-limit-requests":"3850","x-ratelimit-limit-tokens":"3850000","x-ratelimit-remaining-requests":"3849","x-ratelimit-remaining-tokens":"3848329","x-ratelimit-renewalperiod-requests":"60","x-ratelimit-renewalperiod-tokens":"60","x-ratelimit-reset-requests":"15","x-ratelimit-reset-tokens":"26","x-request-id":"6d7daec5-7d34-4d7c-9080-032ff3b457e0"}</t>
        </is>
      </c>
      <c r="N103" t="inlineStr">
        <is>
          <t>Cartier Blue Gradient Metal Ballpoint Pen, high-polished brass with chrome details, smooth twist mechanism, elegant modern design for business or daily writing, showcasing French luxury style.</t>
        </is>
      </c>
      <c r="O103" t="inlineStr">
        <is>
          <t>{"id":"chatcmpl-DY58Oqajbfh1gnwhpq8DRYs43Bidm","object":"chat.completion","created":1777015260,"model":"gpt-5-chat-latest","choices":[{"index":0,"message":{"role":"assistant","content":"Cartier,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3" t="inlineStr">
        <is>
          <t>Cartier,Accessories,kakobuy,kakebuy2026,kekobuysheet,kakobuysheet2026,2026kakobuy,kakobuyspreadsheeet,kakobuylink,kakebuylist,Kakobuy MEGA Spreadsheet,kakobuysheetfind,kakobuysheetfind2026,2026kakobuysheetfind,kakobuysheet2026</t>
        </is>
      </c>
      <c r="Q103"/>
      <c r="R103" t="inlineStr">
        <is>
          <t>recvhju1Cr11IS</t>
        </is>
      </c>
      <c r="S103" t="inlineStr">
        <is>
          <t>cartier-blue-gradient-brass-ballpoint-pen-recvhju1cr11is</t>
        </is>
      </c>
      <c r="T103"/>
      <c r="U103"/>
      <c r="V103"/>
      <c r="W103" t="inlineStr">
        <is>
          <t>{"choices":[{"finish_reason":"stop","index":0,"logprobs":null,"message":{"annotations":[],"content":"Cartier：蓝色渐变金属签字笔，采用高亮抛光黄铜与镀铬装饰细节，笔身线条流畅彰显现代优雅气质，旋转出芯设计顺滑实用，适合男女士商务与日常书写，尽显法式奢华格调。","refusal":null,"role":"assistant"}}],"created":1777011393,"id":"chatcmpl-DY481Qj680LekC3QrXgwzrFANRVMG","model":"gpt-5-chat-latest","object":"chat.completion","service_tier":"default","system_fingerprint":"fp_ad66631dec","usage":{"completion_tokens":77,"completion_tokens_details":{"accepted_prediction_tokens":0,"audio_tokens":0,"reasoning_tokens":0,"rejected_prediction_tokens":0},"prompt_tokens":1297,"prompt_tokens_details":{"audio_tokens":0,"cached_tokens":0},"total_tokens":1374}}</t>
        </is>
      </c>
      <c r="X103" t="inlineStr">
        <is>
          <t>Cartier：蓝色渐变金属签字笔，采用高亮抛光黄铜与镀铬装饰细节，笔身线条流畅彰显现代优雅气质，旋转出芯设计顺滑实用，适合男女士商务与日常书写，尽显法式奢华格调。</t>
        </is>
      </c>
    </row>
    <row r="104" ht="25.5" customHeight="1">
      <c r="A104">
        <v>1654975475</v>
      </c>
      <c r="B104">
        <v>7616161067</v>
      </c>
      <c r="C104" s="2" t="str">
        <f>=HYPERLINK("https://weidian.com/item.html?itemID=7616161067", "https://weidian.com/item.html?itemID=7616161067")</f>
        <v>https://weidian.com/item.html?itemID=7616161067</v>
      </c>
      <c r="D104"/>
      <c r="E104" s="2" t="str">
        <f>=HYPERLINK("https://si.geilicdn.com/pcitem902014207253-515b0000019abd198cc40a239846_2724_2613.jpg?w=640&amp;h=640", "https://si.geilicdn.com/pcitem902014207253-515b0000019abd198cc40a239846_2724_2613.jpg?w=640&amp;h=640")</f>
        <v>https://si.geilicdn.com/pcitem902014207253-515b0000019abd198cc40a239846_2724_2613.jpg?w=640&amp;h=640</v>
      </c>
      <c r="F104" t="inlineStr">
        <is>
          <t>Accessories</t>
        </is>
      </c>
      <c r="G104" t="inlineStr">
        <is>
          <t>Cartier</t>
        </is>
      </c>
      <c r="H104">
        <v>460</v>
      </c>
      <c r="I104">
        <v>66.67</v>
      </c>
      <c r="J104" t="inlineStr">
        <is>
          <t>{"choices":[{"finish_reason":"stop","index":0,"logprobs":null,"message":{"annotations":[],"content":"Cartier Classic Gold Engraved Metal Ballpoint Pen","refusal":null,"role":"assistant"}}],"created":1777014139,"id":"chatcmpl-DY4qJuEBRjFdHrOeXAut0Ca7C4Sno","model":"gpt-5-chat-latest","object":"chat.completion","service_tier":"default","system_fingerprint":"fp_ad66631dec","usage":{"completion_tokens":12,"completion_tokens_details":{"accepted_prediction_tokens":0,"audio_tokens":0,"reasoning_tokens":0,"rejected_prediction_tokens":0},"prompt_tokens":875,"prompt_tokens_details":{"audio_tokens":0,"cached_tokens":0},"total_tokens":887}}</t>
        </is>
      </c>
      <c r="K104" t="inlineStr">
        <is>
          <t>Cartier Classic Gold Engraved Metal Ballpoint Pen</t>
        </is>
      </c>
      <c r="L104" t="inlineStr">
        <is>
          <t>{"id":"chatcmpl-DY4gSID54QemnCI7qbCOZvS2VmslT","object":"chat.completion","created":1777013528,"model":"gpt-5-chat-latest","choices":[{"index":0,"message":{"role":"assistant","content":"Cartier Classic Gold Engraved Metal Ballpoint Pen crafted with electroplated steel, featuring elegant embossed patterns. Perfect for business professionals, exuding French luxury and timeless sophistication.","refusal":null,"annotations":[]},"logprobs":null,"finish_reason":"stop"}],"usage":{"prompt_tokens":909,"completion_tokens":37,"total_tokens":946,"prompt_tokens_details":{"cached_tokens":0,"audio_tokens":0},"completion_tokens_details":{"reasoning_tokens":0,"audio_tokens":0,"accepted_prediction_tokens":0,"rejected_prediction_tokens":0}},"service_tier":"default","system_fingerprint":"fp_ad66631dec"}</t>
        </is>
      </c>
      <c r="M10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ma=2592000","apim-request-id":"2a0f1124-ae77-475d-93e7-15170b6ec2a4","azureml-model-session":"d20260402075109-1fc5a0ec","cache-control":"no-cache, no-store, must-revalidate","connection":"close","content-length":"1011","content-security-policy":"frame-ancestors 'self'","content-type":"application/json","date":"Fri, 24 Apr 2026 06:52:10 GMT","server":"nginx","skip-error-remapping":"true","strict-transport-security":"max-age=31536000; includeSubDomains; preload","via":"1.1 Caddy, 1.1 Caddy","x-api-request-id":"20260424145207566047109xSIakbAM","x-content-type-options":"nosniff","x-frame-options":"SAMEORIGIN","x-ms-is-spilled-over":"false","x-ms-rai-invoked":"false","x-ms-region":"East US 2","x-new-api-version":"0.4.39","x-oneapi-request-id":"202604240652071327692818268d9d6qEIRPpFI","x-ratelimit-abusepenalty-active":"False","x-ratelimit-limit-requests":"4992","x-ratelimit-limit-tokens":"4992000","x-ratelimit-remaining-requests":"4991","x-ratelimit-remaining-tokens":"4990329","x-ratelimit-renewalperiod-requests":"60","x-ratelimit-renewalperiod-tokens":"60","x-ratelimit-reset-requests":"12","x-ratelimit-reset-tokens":"20","x-request-id":"a954d51f-a7dc-41bf-813b-b5a1ad48e035"}</t>
        </is>
      </c>
      <c r="N104" t="inlineStr">
        <is>
          <t>Cartier Classic Gold Engraved Metal Ballpoint Pen crafted with electroplated steel, featuring elegant embossed patterns. Perfect for business professionals, exuding French luxury and timeless sophistication.</t>
        </is>
      </c>
      <c r="O104" t="inlineStr">
        <is>
          <t>{"choices":[{"finish_reason":"stop","index":0,"logprobs":null,"message":{"annotations":[],"content":"Cartier,Accessories,kakobuy,kakebuy2026,kekobuysheet,kakobuysheet2026,2026kakobuy,kakobuyspreadsheeet,kakobuylink,kakebuylist,Kakobuy MEGA Spreadsheet,kakobuysheetfind,kakobuysheetfind2026,2026kakobuysheetfind,kakobuysheet2026","refusal":null,"role":"assistant"}}],"created":1777015002,"id":"chatcmpl-DY54ExoN2Vwv3lXREqlaWFj4JPuBc","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04" t="inlineStr">
        <is>
          <t>Cartier,Accessories,kakobuy,kakebuy2026,kekobuysheet,kakobuysheet2026,2026kakobuy,kakobuyspreadsheeet,kakobuylink,kakebuylist,Kakobuy MEGA Spreadsheet,kakobuysheetfind,kakobuysheetfind2026,2026kakobuysheetfind,kakobuysheet2026</t>
        </is>
      </c>
      <c r="Q104"/>
      <c r="R104" t="inlineStr">
        <is>
          <t>recvhju1Cr1ZOw</t>
        </is>
      </c>
      <c r="S104" t="inlineStr">
        <is>
          <t>cartier-classic-gold-engraved-pen-recvhju1cr1zow</t>
        </is>
      </c>
      <c r="T104"/>
      <c r="U104"/>
      <c r="V104"/>
      <c r="W104" t="inlineStr">
        <is>
          <t>{"id":"chatcmpl-DY4GWza6Mohe2XpTwmL0ZwDgQumnS","object":"chat.completion","created":1777011920,"model":"gpt-5-chat-latest","choices":[{"index":0,"message":{"role":"assistant","content":"Cartier：经典系列金色雕纹金属圆珠笔，采用精钢电镀工艺打造，线条优雅细腻，笔身饰以品牌标志性浮雕图案，尽显法式精工与奢华格调。适合商务男女使用，彰显高贵品味与恒久格调。","refusal":null,"annotations":[]},"logprobs":null,"finish_reason":"stop"}],"usage":{"prompt_tokens":1295,"completion_tokens":78,"total_tokens":1373,"prompt_tokens_details":{"cached_tokens":0,"audio_tokens":0},"completion_tokens_details":{"reasoning_tokens":0,"audio_tokens":0,"accepted_prediction_tokens":0,"rejected_prediction_tokens":0}},"service_tier":"default","system_fingerprint":"fp_ad66631dec"}</t>
        </is>
      </c>
      <c r="X104" t="inlineStr">
        <is>
          <t>Cartier：经典系列金色雕纹金属圆珠笔，采用精钢电镀工艺打造，线条优雅细腻，笔身饰以品牌标志性浮雕图案，尽显法式精工与奢华格调。适合商务男女使用，彰显高贵品味与恒久格调。</t>
        </is>
      </c>
    </row>
    <row r="105" ht="25.5" customHeight="1">
      <c r="A105">
        <v>1654975475</v>
      </c>
      <c r="B105">
        <v>7619135228</v>
      </c>
      <c r="C105" s="2" t="str">
        <f>=HYPERLINK("https://weidian.com/item.html?itemID=7619135228", "https://weidian.com/item.html?itemID=7619135228")</f>
        <v>https://weidian.com/item.html?itemID=7619135228</v>
      </c>
      <c r="D105"/>
      <c r="E105" s="2" t="str">
        <f>=HYPERLINK("https://si.geilicdn.com/pcitem902014207253-4fed0000019abd1a0dd90a239646_1276_1702.jpg?w=640&amp;h=640", "https://si.geilicdn.com/pcitem902014207253-4fed0000019abd1a0dd90a239646_1276_1702.jpg?w=640&amp;h=640")</f>
        <v>https://si.geilicdn.com/pcitem902014207253-4fed0000019abd1a0dd90a239646_1276_1702.jpg?w=640&amp;h=640</v>
      </c>
      <c r="F105" t="inlineStr">
        <is>
          <t>Accessories</t>
        </is>
      </c>
      <c r="G105" t="inlineStr">
        <is>
          <t>Cartier</t>
        </is>
      </c>
      <c r="H105">
        <v>460</v>
      </c>
      <c r="I105">
        <v>66.67</v>
      </c>
      <c r="J105" t="inlineStr">
        <is>
          <t>{"choices":[{"finish_reason":"stop","index":0,"logprobs":null,"message":{"annotations":[],"content":"Cartier Classic Brown Metal Luxury Signature Pen","refusal":null,"role":"assistant"}}],"created":1777014562,"id":"chatcmpl-DY4x8hU2jHIuh3f6lzYIzleOXRUfi","model":"gpt-5-chat-latest","object":"chat.completion","service_tier":"default","system_fingerprint":"fp_ad66631dec","usage":{"completion_tokens":9,"completion_tokens_details":{"accepted_prediction_tokens":0,"audio_tokens":0,"reasoning_tokens":0,"rejected_prediction_tokens":0},"prompt_tokens":871,"prompt_tokens_details":{"audio_tokens":0,"cached_tokens":0},"total_tokens":880}}</t>
        </is>
      </c>
      <c r="K105" t="inlineStr">
        <is>
          <t>Cartier Classic Brown Metal Luxury Signature Pen</t>
        </is>
      </c>
      <c r="L105" t="inlineStr">
        <is>
          <t>{"choices":[{"finish_reason":"stop","index":0,"logprobs":null,"message":{"annotations":[],"content":"Cartier Classic Brown Metal Signature Pen with high-gloss lacquer and gold plating, elegant French design, perfect for business men and women, showcasing luxury taste and refined style.","refusal":null,"role":"assistant"}}],"created":1777013153,"id":"chatcmpl-DY4aP2FVIq8pMjOIpV1k1Vkr3VqHW","model":"gpt-5-chat-latest","object":"chat.completion","service_tier":"default","system_fingerprint":"fp_ad66631dec","usage":{"completion_tokens":35,"completion_tokens_details":{"accepted_prediction_tokens":0,"audio_tokens":0,"reasoning_tokens":0,"rejected_prediction_tokens":0},"prompt_tokens":897,"prompt_tokens_details":{"audio_tokens":0,"cached_tokens":0},"total_tokens":932}}</t>
        </is>
      </c>
      <c r="M105" t="inlineStr">
        <is>
          <t>{"alt-svc":"h3=\":443\"; ma=2592000","apim-request-id":"241e61de-fc3a-45b9-ad01-4f3fbe79d7e1","azureml-model-session":"d20260405234249-f9874baf","cache-control":"no-cache","connection":"close","content-length":"773","content-security-policy":"frame-ancestors 'self'","content-type":"application/json","date":"Fri, 24 Apr 2026 06:45:55 GMT","server":"nginx","skip-error-remapping":"true","strict-transport-security":"max-age=31536000; includeSubDomains; preload","via":"1.1 Caddy, 1.1 Caddy","x-api-request-id":"20260424144552327067326jeLiJxnT","x-content-type-options":"nosniff","x-frame-options":"SAMEORIGIN","x-ms-client-request-id":"Not-Set","x-ms-is-spilled-over":"false","x-ms-rai-invoked":"true","x-ms-region":"East US 2","x-new-api-version":"0.4.39","x-oneapi-request-id":"202604240645521974204058268d9d6jpN3dNhT","x-ratelimit-abusepenalty-active":"False","x-ratelimit-limit-requests":"3850","x-ratelimit-limit-tokens":"3850000","x-ratelimit-remaining-requests":"3849","x-ratelimit-remaining-tokens":"3848341","x-ratelimit-renewalperiod-requests":"60","x-ratelimit-renewalperiod-tokens":"60","x-ratelimit-reset-requests":"15","x-ratelimit-reset-tokens":"25","x-request-id":"dc5f8ab8-8c01-4b40-9270-42445b83783c"}</t>
        </is>
      </c>
      <c r="N105" t="inlineStr">
        <is>
          <t>Cartier Classic Brown Metal Signature Pen with high-gloss lacquer and gold plating, elegant French design, perfect for business men and women, showcasing luxury taste and refined style.</t>
        </is>
      </c>
      <c r="O105" t="inlineStr">
        <is>
          <t>{"choices":[{"finish_reason":"stop","index":0,"logprobs":null,"message":{"annotations":[],"content":"Cartier,Accessories,kakobuy,kakebuy2026,kekobuysheet,kakobuysheet2026,2026kakobuy,kakobuyspreadsheeet,kakobuylink,kakebuylist,Kakobuy MEGA Spreadsheet,kakobuysheetfind,kakobuysheetfind2026,2026kakobuysheetfind,kakobuysheet2026","refusal":null,"role":"assistant"}}],"created":1777014824,"id":"chatcmpl-DY51MXZ0CRnvTcmsBrdwZn2o3fMbz","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05" t="inlineStr">
        <is>
          <t>Cartier,Accessories,kakobuy,kakebuy2026,kekobuysheet,kakobuysheet2026,2026kakobuy,kakobuyspreadsheeet,kakobuylink,kakebuylist,Kakobuy MEGA Spreadsheet,kakobuysheetfind,kakobuysheetfind2026,2026kakobuysheetfind,kakobuysheet2026</t>
        </is>
      </c>
      <c r="Q105"/>
      <c r="R105" t="inlineStr">
        <is>
          <t>recvhju1Cr6BDb</t>
        </is>
      </c>
      <c r="S105" t="inlineStr">
        <is>
          <t>cartier-brown-metal-pen-recvhju1cr6bdb</t>
        </is>
      </c>
      <c r="T105"/>
      <c r="U105"/>
      <c r="V105"/>
      <c r="W105" t="inlineStr">
        <is>
          <t>{"choices":[{"finish_reason":"stop","index":0,"logprobs":null,"message":{"annotations":[],"content":"Cartier：经典系列棕色金属签字笔，采用高光漆面与镀金装饰，笔身线条优雅，展现法式典雅设计风格，适合商务男女使用，彰显精致品味与奢华格调。","refusal":null,"role":"assistant"}}],"created":1777011831,"id":"chatcmpl-DY4F5TQBUCm7ANJGhUNxKBF398qeu","model":"gpt-5-chat-latest","object":"chat.completion","service_tier":"default","system_fingerprint":"fp_ad66631dec","usage":{"completion_tokens":64,"completion_tokens_details":{"accepted_prediction_tokens":0,"audio_tokens":0,"reasoning_tokens":0,"rejected_prediction_tokens":0},"prompt_tokens":1299,"prompt_tokens_details":{"audio_tokens":0,"cached_tokens":0},"total_tokens":1363}}</t>
        </is>
      </c>
      <c r="X105" t="inlineStr">
        <is>
          <t>Cartier：经典系列棕色金属签字笔，采用高光漆面与镀金装饰，笔身线条优雅，展现法式典雅设计风格，适合商务男女使用，彰显精致品味与奢华格调。</t>
        </is>
      </c>
    </row>
    <row r="106" ht="25.5" customHeight="1">
      <c r="A106">
        <v>1654975475</v>
      </c>
      <c r="B106">
        <v>7616236583</v>
      </c>
      <c r="C106" s="2" t="str">
        <f>=HYPERLINK("https://weidian.com/item.html?itemID=7616236583", "https://weidian.com/item.html?itemID=7616236583")</f>
        <v>https://weidian.com/item.html?itemID=7616236583</v>
      </c>
      <c r="D106"/>
      <c r="E106" s="2" t="str">
        <f>=HYPERLINK("https://si.geilicdn.com/pcitem902014207253-63d80000019abd2960230a210256_3024_2931.jpg?w=640&amp;h=640", "https://si.geilicdn.com/pcitem902014207253-63d80000019abd2960230a210256_3024_2931.jpg?w=640&amp;h=640")</f>
        <v>https://si.geilicdn.com/pcitem902014207253-63d80000019abd2960230a210256_3024_2931.jpg?w=640&amp;h=640</v>
      </c>
      <c r="F106" t="inlineStr">
        <is>
          <t>Accessories</t>
        </is>
      </c>
      <c r="G106" t="inlineStr">
        <is>
          <t>Cartier</t>
        </is>
      </c>
      <c r="H106">
        <v>460</v>
      </c>
      <c r="I106">
        <v>66.67</v>
      </c>
      <c r="J106" t="inlineStr">
        <is>
          <t>{"id":"chatcmpl-DY4uaO5LCNuEpES0E6kD5hRUGNMEz","object":"chat.completion","created":1777014404,"model":"gpt-5-chat-latest","choices":[{"index":0,"message":{"role":"assistant","content":"Cartier Pasha Green Luxury Ballpoint Pen","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106" t="inlineStr">
        <is>
          <t>Cartier Pasha Green Luxury Ballpoint Pen</t>
        </is>
      </c>
      <c r="L106" t="inlineStr">
        <is>
          <t>{"id":"chatcmpl-DY4coueRURalr5mgdEjeLnvU9HWOf","object":"chat.completion","created":1777013302,"model":"gpt-5-chat-latest","choices":[{"index":0,"message":{"role":"assistant","content":"Cartier Pasha Green Ballpoint Pen, brass gold-plated and stainless steel design, geometric engraved cap, elegant business style for men and women, showcasing French haute craftsmanship and luxury.","refusal":null,"annotations":[]},"logprobs":null,"finish_reason":"stop"}],"usage":{"prompt_tokens":889,"completion_tokens":38,"total_tokens":927,"prompt_tokens_details":{"cached_tokens":0,"audio_tokens":0},"completion_tokens_details":{"reasoning_tokens":0,"audio_tokens":0,"accepted_prediction_tokens":0,"rejected_prediction_tokens":0}},"service_tier":"default","system_fingerprint":"fp_ad66631dec"}</t>
        </is>
      </c>
      <c r="M10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ma=2592000","apim-request-id":"6ee5a83a-2eba-4b95-a490-c76d5d6b3bdc","azureml-model-session":"d20260405234249-f9874baf","cache-control":"no-cache, no-store, must-revalidate","connection":"close","content-length":"1000","content-security-policy":"frame-ancestors 'self'","content-type":"application/json","date":"Fri, 24 Apr 2026 06:48:23 GMT","server":"nginx","skip-error-remapping":"true","strict-transport-security":"max-age=31536000; includeSubDomains; preload","via":"1.1 Caddy, 1.1 Caddy","x-api-request-id":"20260424144820915003938aP6Aknt2","x-content-type-options":"nosniff","x-frame-options":"SAMEORIGIN","x-ms-is-spilled-over":"false","x-ms-rai-invoked":"false","x-ms-region":"East US 2","x-new-api-version":"0.4.39","x-oneapi-request-id":"202604240648205502926278268d9d6ydlP2Df8","x-ratelimit-abusepenalty-active":"False","x-ratelimit-limit-requests":"4992","x-ratelimit-limit-tokens":"4992000","x-ratelimit-remaining-requests":"4991","x-ratelimit-remaining-tokens":"4990349","x-ratelimit-renewalperiod-requests":"60","x-ratelimit-renewalperiod-tokens":"60","x-ratelimit-reset-requests":"12","x-ratelimit-reset-tokens":"19","x-request-id":"1143c10c-319e-4004-9444-576f4820e15f"}</t>
        </is>
      </c>
      <c r="N106" t="inlineStr">
        <is>
          <t>Cartier Pasha Green Ballpoint Pen, brass gold-plated and stainless steel design, geometric engraved cap, elegant business style for men and women, showcasing French haute craftsmanship and luxury.</t>
        </is>
      </c>
      <c r="O106" t="inlineStr">
        <is>
          <t>{"choices":[{"finish_reason":"stop","index":0,"logprobs":null,"message":{"annotations":[],"content":"Cartier,Accessories,kakobuy,kakebuy2026,kekobuysheet,kakobuysheet2026,2026kakobuy,kakobuyspreadsheeet,kakobuylink,kakebuylist,Kakobuy MEGA Spreadsheet,kakobuysheetfind,kakobuysheetfind2026,2026kakobuysheetfind,kakobuysheet2026","refusal":null,"role":"assistant"}}],"created":1777015189,"id":"chatcmpl-DY57FOItrhdUswSrcxT66uf9wzvgm","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06" t="inlineStr">
        <is>
          <t>Cartier,Accessories,kakobuy,kakebuy2026,kekobuysheet,kakobuysheet2026,2026kakobuy,kakobuyspreadsheeet,kakobuylink,kakebuylist,Kakobuy MEGA Spreadsheet,kakobuysheetfind,kakobuysheetfind2026,2026kakobuysheetfind,kakobuysheet2026</t>
        </is>
      </c>
      <c r="Q106"/>
      <c r="R106" t="inlineStr">
        <is>
          <t>recvhju1CrHz0P</t>
        </is>
      </c>
      <c r="S106" t="inlineStr">
        <is>
          <t>cartier-pasha-green-recvhju1crhz0p</t>
        </is>
      </c>
      <c r="T106"/>
      <c r="U106"/>
      <c r="V106"/>
      <c r="W106" t="inlineStr">
        <is>
          <t>{"choices":[{"finish_reason":"stop","index":0,"logprobs":null,"message":{"annotations":[],"content":"Cartier：Pasha系列绿色签字笔，黄铜镀金与不锈钢材质结合，几何雕纹笔盖设计，典雅商务风格，男女皆宜，展现法式高定工艺与时尚品味。","refusal":null,"role":"assistant"}}],"created":1777011630,"id":"chatcmpl-DY4BqEqoZ8kXfdKjpCmi3KEkjbwhD","model":"gpt-5-chat-latest","object":"chat.completion","service_tier":"default","system_fingerprint":"fp_ad66631dec","usage":{"completion_tokens":58,"completion_tokens_details":{"accepted_prediction_tokens":0,"audio_tokens":0,"reasoning_tokens":0,"rejected_prediction_tokens":0},"prompt_tokens":1295,"prompt_tokens_details":{"audio_tokens":0,"cached_tokens":0},"total_tokens":1353}}</t>
        </is>
      </c>
      <c r="X106" t="inlineStr">
        <is>
          <t>Cartier：Pasha系列绿色签字笔，黄铜镀金与不锈钢材质结合，几何雕纹笔盖设计，典雅商务风格，男女皆宜，展现法式高定工艺与时尚品味。</t>
        </is>
      </c>
    </row>
    <row r="107" ht="25.5" customHeight="1">
      <c r="A107">
        <v>1654975475</v>
      </c>
      <c r="B107">
        <v>7616151421</v>
      </c>
      <c r="C107" s="2" t="str">
        <f>=HYPERLINK("https://weidian.com/item.html?itemID=7616151421", "https://weidian.com/item.html?itemID=7616151421")</f>
        <v>https://weidian.com/item.html?itemID=7616151421</v>
      </c>
      <c r="D107"/>
      <c r="E107" s="2" t="str">
        <f>=HYPERLINK("https://si.geilicdn.com/pcitem902014207253-5e6b0000019abd2a8caa0a8134f0_1965_1330.jpg?w=640&amp;h=640", "https://si.geilicdn.com/pcitem902014207253-5e6b0000019abd2a8caa0a8134f0_1965_1330.jpg?w=640&amp;h=640")</f>
        <v>https://si.geilicdn.com/pcitem902014207253-5e6b0000019abd2a8caa0a8134f0_1965_1330.jpg?w=640&amp;h=640</v>
      </c>
      <c r="F107" t="inlineStr">
        <is>
          <t>Accessories</t>
        </is>
      </c>
      <c r="G107" t="inlineStr">
        <is>
          <t>Cartier</t>
        </is>
      </c>
      <c r="H107">
        <v>460</v>
      </c>
      <c r="I107">
        <v>66.67</v>
      </c>
      <c r="J107" t="inlineStr">
        <is>
          <t>{"choices":[{"finish_reason":"stop","index":0,"logprobs":null,"message":{"annotations":[],"content":"Cartier Grey Green Luxury Metal Engraved Pen","refusal":null,"role":"assistant"}}],"created":1777014503,"id":"chatcmpl-DY4wBOCs3OZM4FN6St0UePM4wpPB7","model":"gpt-5-chat-latest","object":"chat.completion","service_tier":"default","system_fingerprint":"fp_ad66631dec","usage":{"completion_tokens":11,"completion_tokens_details":{"accepted_prediction_tokens":0,"audio_tokens":0,"reasoning_tokens":0,"rejected_prediction_tokens":0},"prompt_tokens":601,"prompt_tokens_details":{"audio_tokens":0,"cached_tokens":0},"total_tokens":612}}</t>
        </is>
      </c>
      <c r="K107" t="inlineStr">
        <is>
          <t>Cartier Grey Green Luxury Metal Engraved Pen</t>
        </is>
      </c>
      <c r="L107" t="inlineStr">
        <is>
          <t>{"id":"chatcmpl-DY4edCzNTAR1awES2SBh1lmS3DmJU","object":"chat.completion","created":1777013415,"model":"gpt-5-chat-latest","choices":[{"index":0,"message":{"role":"assistant","content":"Cartier Grey-Green Engraved Metal Pen with silver-tone ring and elegant clip, showcasing French luxury design. Smooth writing, unisex style, perfect for business or as a refined gift.","refusal":null,"annotations":[]},"logprobs":null,"finish_reason":"stop"}],"usage":{"prompt_tokens":631,"completion_tokens":40,"total_tokens":671,"prompt_tokens_details":{"cached_tokens":0,"audio_tokens":0},"completion_tokens_details":{"reasoning_tokens":0,"audio_tokens":0,"accepted_prediction_tokens":0,"rejected_prediction_tokens":0}},"service_tier":"default","system_fingerprint":"fp_ad66631dec"}</t>
        </is>
      </c>
      <c r="M10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ma=2592000","apim-request-id":"c3b3cd1f-1517-4f0c-af8a-89bb53d6c80e","azureml-model-session":"d20260402083108-57a85543","cache-control":"no-cache, no-store, must-revalidate","connection":"close","content-length":"987","content-security-policy":"frame-ancestors 'self'","content-type":"application/json","date":"Fri, 24 Apr 2026 06:50:17 GMT","server":"nginx","skip-error-remapping":"true","strict-transport-security":"max-age=31536000; includeSubDomains; preload","via":"1.1 Caddy, 1.1 Caddy","x-api-request-id":"20260424145012852090830E8Y8R94K","x-content-type-options":"nosniff","x-frame-options":"SAMEORIGIN","x-ms-is-spilled-over":"false","x-ms-rai-invoked":"false","x-ms-region":"Sweden Central","x-new-api-version":"0.4.39","x-oneapi-request-id":"202604240650126753530458268d9d6hu34bnVj","x-ratelimit-abusepenalty-active":"False","x-ratelimit-limit-requests":"4998","x-ratelimit-limit-tokens":"4998000","x-ratelimit-remaining-requests":"4997","x-ratelimit-remaining-tokens":"4996605","x-ratelimit-renewalperiod-requests":"60","x-ratelimit-renewalperiod-tokens":"60","x-ratelimit-reset-requests":"12","x-ratelimit-reset-tokens":"16","x-request-id":"7feefd63-4a81-40de-bbb7-7bdf520b886e"}</t>
        </is>
      </c>
      <c r="N107" t="inlineStr">
        <is>
          <t>Cartier Grey-Green Engraved Metal Pen with silver-tone ring and elegant clip, showcasing French luxury design. Smooth writing, unisex style, perfect for business or as a refined gift.</t>
        </is>
      </c>
      <c r="O107" t="inlineStr">
        <is>
          <t>{"id":"chatcmpl-DY51ncjEgLDZd4rHvnZnXG6RCt17s","object":"chat.completion","created":1777014851,"model":"gpt-5-chat-latest","choices":[{"index":0,"message":{"role":"assistant","content":"Cartier,Pen,kakobuy,kakebuy2026,kekobuysheet,kakobuysheet2026,2026kakobuy,kakobuyspreadsheeet,kakobuylink,kakebuylist,Kakobuy MEGA Spreadsheet,kakobuysheetfind,kakobuysheetfind2026,2026kakobuysheetfind,kakobuysheet2026","refusal":null,"annotations":[]},"logprobs":null,"finish_reason":"stop"}],"usage":{"prompt_tokens":502,"completion_tokens":87,"total_tokens":589,"prompt_tokens_details":{"cached_tokens":0,"audio_tokens":0},"completion_tokens_details":{"reasoning_tokens":0,"audio_tokens":0,"accepted_prediction_tokens":0,"rejected_prediction_tokens":0}},"service_tier":"default","system_fingerprint":"fp_ad66631dec"}</t>
        </is>
      </c>
      <c r="P107" t="inlineStr">
        <is>
          <t>Cartier,Pen,kakobuy,kakebuy2026,kekobuysheet,kakobuysheet2026,2026kakobuy,kakobuyspreadsheeet,kakobuylink,kakebuylist,Kakobuy MEGA Spreadsheet,kakobuysheetfind,kakobuysheetfind2026,2026kakobuysheetfind,kakobuysheet2026</t>
        </is>
      </c>
      <c r="Q107"/>
      <c r="R107" t="inlineStr">
        <is>
          <t>recvhju1CrWPYs</t>
        </is>
      </c>
      <c r="S107" t="inlineStr">
        <is>
          <t>cartier-grey-green-engraved-pen-recvhju1crwpy</t>
        </is>
      </c>
      <c r="T107"/>
      <c r="U107"/>
      <c r="V107"/>
      <c r="W107" t="inlineStr">
        <is>
          <t>{"choices":[{"finish_reason":"stop","index":0,"logprobs":null,"message":{"annotations":[],"content":"Cartier：灰绿色雕刻纹理钢笔，精致金属笔夹搭配银色装饰环，展现法式优雅设计。甄选上乘金属材质，书写顺滑细腻，男女皆宜，经典奢华风格，理想商务与礼赠之选。","refusal":null,"role":"assistant"}}],"created":1777011763,"id":"chatcmpl-DY4DzXkztO50hblrYMbxtoYGtGTMl","model":"gpt-5-chat-latest","object":"chat.completion","service_tier":"default","system_fingerprint":"fp_ad66631dec","usage":{"completion_tokens":73,"completion_tokens_details":{"accepted_prediction_tokens":0,"audio_tokens":0,"reasoning_tokens":0,"rejected_prediction_tokens":0},"prompt_tokens":1029,"prompt_tokens_details":{"audio_tokens":0,"cached_tokens":0},"total_tokens":1102}}</t>
        </is>
      </c>
      <c r="X107" t="inlineStr">
        <is>
          <t>Cartier：灰绿色雕刻纹理钢笔，精致金属笔夹搭配银色装饰环，展现法式优雅设计。甄选上乘金属材质，书写顺滑细腻，男女皆宜，经典奢华风格，理想商务与礼赠之选。</t>
        </is>
      </c>
    </row>
    <row r="108" ht="25.5" customHeight="1">
      <c r="A108">
        <v>1654975475</v>
      </c>
      <c r="B108">
        <v>7619176650</v>
      </c>
      <c r="C108" s="2" t="str">
        <f>=HYPERLINK("https://weidian.com/item.html?itemID=7619176650", "https://weidian.com/item.html?itemID=7619176650")</f>
        <v>https://weidian.com/item.html?itemID=7619176650</v>
      </c>
      <c r="D108"/>
      <c r="E108" s="2" t="str">
        <f>=HYPERLINK("https://si.geilicdn.com/pcitem902014207253-66da0000019abd2a00e90a23041a_1335_1280.jpg?w=640&amp;h=640", "https://si.geilicdn.com/pcitem902014207253-66da0000019abd2a00e90a23041a_1335_1280.jpg?w=640&amp;h=640")</f>
        <v>https://si.geilicdn.com/pcitem902014207253-66da0000019abd2a00e90a23041a_1335_1280.jpg?w=640&amp;h=640</v>
      </c>
      <c r="F108" t="inlineStr">
        <is>
          <t>Accessories</t>
        </is>
      </c>
      <c r="G108" t="inlineStr">
        <is>
          <t>Cartier</t>
        </is>
      </c>
      <c r="H108">
        <v>460</v>
      </c>
      <c r="I108">
        <v>66.67</v>
      </c>
      <c r="J108" t="inlineStr">
        <is>
          <t>{"choices":[{"finish_reason":"stop","index":0,"logprobs":null,"message":{"annotations":[],"content":"Cartier Pasha Silver Steel Luxury Ballpoint Pen","refusal":null,"role":"assistant"}}],"created":1777014215,"id":"chatcmpl-DY4rXHVjTrmO9YUfl3VH809gGInD8","model":"gpt-5-chat-latest","object":"chat.completion","service_tier":"default","system_fingerprint":"fp_ad66631dec","usage":{"completion_tokens":11,"completion_tokens_details":{"accepted_prediction_tokens":0,"audio_tokens":0,"reasoning_tokens":0,"rejected_prediction_tokens":0},"prompt_tokens":865,"prompt_tokens_details":{"audio_tokens":0,"cached_tokens":0},"total_tokens":876}}</t>
        </is>
      </c>
      <c r="K108" t="inlineStr">
        <is>
          <t>Cartier Pasha Silver Steel Luxury Ballpoint Pen</t>
        </is>
      </c>
      <c r="L108" t="inlineStr">
        <is>
          <t>{"choices":[{"finish_reason":"stop","index":0,"logprobs":null,"message":{"annotations":[],"content":"Cartier Pasha Silver Steel Ballpoint Pen, sleek cylindrical design with signature screw motif, smooth modern body, elegant and timeless for business men and women.","refusal":null,"role":"assistant"}}],"created":1777013427,"id":"chatcmpl-DY4epiq8JroeUo1EB46Lb1VLSbvaG","model":"gpt-5-chat-latest","object":"chat.completion","service_tier":"default","system_fingerprint":"fp_ad66631dec","usage":{"completion_tokens":32,"completion_tokens_details":{"accepted_prediction_tokens":0,"audio_tokens":0,"reasoning_tokens":0,"rejected_prediction_tokens":0},"prompt_tokens":891,"prompt_tokens_details":{"audio_tokens":0,"cached_tokens":0},"total_tokens":923}}</t>
        </is>
      </c>
      <c r="M108" t="inlineStr">
        <is>
          <t>{"alt-svc":"h3=\":443\"; ma=2592000","apim-request-id":"a092a561-2772-451d-8c3c-971ce9ef532d","azureml-model-session":"d20260405234249-f9874baf","cache-control":"no-cache","connection":"close","content-length":"751","content-security-policy":"frame-ancestors 'self'","content-type":"application/json","date":"Fri, 24 Apr 2026 06:50:28 GMT","server":"nginx","skip-error-remapping":"true","strict-transport-security":"max-age=31536000; includeSubDomains; preload","via":"1.1 Caddy, 1.1 Caddy","x-api-request-id":"202604241450269810827612Bf6d5zq","x-content-type-options":"nosniff","x-frame-options":"SAMEORIGIN","x-ms-client-request-id":"Not-Set","x-ms-is-spilled-over":"false","x-ms-rai-invoked":"true","x-ms-region":"East US 2","x-new-api-version":"0.4.39","x-oneapi-request-id":"20260424065026705231598268d9d6n1U66tRa","x-ratelimit-abusepenalty-active":"False","x-ratelimit-limit-requests":"3850","x-ratelimit-limit-tokens":"3850000","x-ratelimit-remaining-requests":"3849","x-ratelimit-remaining-tokens":"3825566","x-ratelimit-renewalperiod-requests":"60","x-ratelimit-renewalperiod-tokens":"60","x-ratelimit-reset-requests":"15","x-ratelimit-reset-tokens":"380","x-request-id":"0ce79cc7-fe3b-46d4-afcd-fed42b9a3d47"}</t>
        </is>
      </c>
      <c r="N108" t="inlineStr">
        <is>
          <t>Cartier Pasha Silver Steel Ballpoint Pen, sleek cylindrical design with signature screw motif, smooth modern body, elegant and timeless for business men and women.</t>
        </is>
      </c>
      <c r="O108" t="inlineStr">
        <is>
          <t>{"id":"chatcmpl-DY52IUDsPCPV8QtpBlpPZPb4wVfcp","object":"chat.completion","created":1777014882,"model":"gpt-5-chat-latest","choices":[{"index":0,"message":{"role":"assistant","content":"Cartier,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8" t="inlineStr">
        <is>
          <t>Cartier,Accessories,kakobuy,kakebuy2026,kekobuysheet,kakobuysheet2026,2026kakobuy,kakobuyspreadsheeet,kakobuylink,kakebuylist,Kakobuy MEGA Spreadsheet,kakobuysheetfind,kakobuysheetfind2026,2026kakobuysheetfind,kakobuysheet2026</t>
        </is>
      </c>
      <c r="Q108"/>
      <c r="R108" t="inlineStr">
        <is>
          <t>recvhju1Cr6UY4</t>
        </is>
      </c>
      <c r="S108" t="inlineStr">
        <is>
          <t>cartier-pasha-silver-steel-ballpoint-pen-recvhju1cr6uy4</t>
        </is>
      </c>
      <c r="T108"/>
      <c r="U108"/>
      <c r="V108"/>
      <c r="W108" t="inlineStr">
        <is>
          <t>{"id":"chatcmpl-DY4GUnHQ4PfElGkrCo7VG6u1Fi1Vk","object":"chat.completion","created":1777011918,"model":"gpt-5-chat-latest","choices":[{"index":0,"message":{"role":"assistant","content":"Cartier：Pasha系列银色钢制签字笔，简约圆柱设计，笔帽镶嵌品牌螺丝标志，流线型笔身彰显现代商务风格，男女皆宜，典雅永恒。","refusal":null,"annotations":[]},"logprobs":null,"finish_reason":"stop"}],"usage":{"prompt_tokens":1301,"completion_tokens":57,"total_tokens":1358,"prompt_tokens_details":{"cached_tokens":0,"audio_tokens":0},"completion_tokens_details":{"reasoning_tokens":0,"audio_tokens":0,"accepted_prediction_tokens":0,"rejected_prediction_tokens":0}},"service_tier":"default","system_fingerprint":"fp_ad66631dec"}</t>
        </is>
      </c>
      <c r="X108" t="inlineStr">
        <is>
          <t>Cartier：Pasha系列银色钢制签字笔，简约圆柱设计，笔帽镶嵌品牌螺丝标志，流线型笔身彰显现代商务风格，男女皆宜，典雅永恒。</t>
        </is>
      </c>
    </row>
    <row r="109" ht="25.5" customHeight="1">
      <c r="A109">
        <v>1654975475</v>
      </c>
      <c r="B109">
        <v>7616238555</v>
      </c>
      <c r="C109" s="2" t="str">
        <f>=HYPERLINK("https://weidian.com/item.html?itemID=7616238555", "https://weidian.com/item.html?itemID=7616238555")</f>
        <v>https://weidian.com/item.html?itemID=7616238555</v>
      </c>
      <c r="D109"/>
      <c r="E109" s="2" t="str">
        <f>=HYPERLINK("https://si.geilicdn.com/pcitem902014207253-296d0000019abd2acd770a231316_1080_1440.jpg?w=640&amp;h=640", "https://si.geilicdn.com/pcitem902014207253-296d0000019abd2acd770a231316_1080_1440.jpg?w=640&amp;h=640")</f>
        <v>https://si.geilicdn.com/pcitem902014207253-296d0000019abd2acd770a231316_1080_1440.jpg?w=640&amp;h=640</v>
      </c>
      <c r="F109" t="inlineStr">
        <is>
          <t>Accessories</t>
        </is>
      </c>
      <c r="G109" t="inlineStr">
        <is>
          <t>Mont Blanc</t>
        </is>
      </c>
      <c r="H109">
        <v>460</v>
      </c>
      <c r="I109">
        <v>66.67</v>
      </c>
      <c r="J109" t="inlineStr">
        <is>
          <t>{"choices":[{"finish_reason":"stop","index":0,"logprobs":null,"message":{"annotations":[],"content":"Montblanc Black Gold Fountain Pen Luxury Business Gift","refusal":null,"role":"assistant"}}],"created":1777014244,"id":"chatcmpl-DY4s0uot3SSQMBFDME4oFUGbMjQkU","model":"gpt-5-chat-latest","object":"chat.completion","service_tier":"default","system_fingerprint":"fp_ad66631dec","usage":{"completion_tokens":11,"completion_tokens_details":{"accepted_prediction_tokens":0,"audio_tokens":0,"reasoning_tokens":0,"rejected_prediction_tokens":0},"prompt_tokens":879,"prompt_tokens_details":{"audio_tokens":0,"cached_tokens":0},"total_tokens":890}}</t>
        </is>
      </c>
      <c r="K109" t="inlineStr">
        <is>
          <t>Montblanc Black Gold Fountain Pen Luxury Business Gift</t>
        </is>
      </c>
      <c r="L109" t="inlineStr">
        <is>
          <t>{"choices":[{"finish_reason":"stop","index":0,"logprobs":null,"message":{"annotations":[],"content":"Montblanc Black Gold Series Fountain Pen – Elegant black and gold design, crafted from high-gloss resin and metal, iconic white star clip, sleek modern style for business or gifting elegance.","refusal":null,"role":"assistant"}}],"created":1777013265,"id":"chatcmpl-DY4cDwbpJ66k8xgrZSXhEb9Z5vKgj","model":"gpt-5-chat-latest","object":"chat.completion","service_tier":"default","system_fingerprint":"fp_ad66631dec","usage":{"completion_tokens":39,"completion_tokens_details":{"accepted_prediction_tokens":0,"audio_tokens":0,"reasoning_tokens":0,"rejected_prediction_tokens":0},"prompt_tokens":915,"prompt_tokens_details":{"audio_tokens":0,"cached_tokens":0},"total_tokens":954}}</t>
        </is>
      </c>
      <c r="M109" t="inlineStr">
        <is>
          <t>{"alt-svc":"h3=\":443\"; ma=2592000","apim-request-id":"efe07d0a-4bd6-4bb7-900e-e8bbee8df1fb","azureml-model-session":"d20260402083108-57a85543","cache-control":"no-cache","connection":"close","content-length":"781","content-security-policy":"frame-ancestors 'self'","content-type":"application/json","date":"Fri, 24 Apr 2026 06:47:47 GMT","server":"Caddy","skip-error-remapping":"true","strict-transport-security":"max-age=31536000; includeSubDomains; preload","via":"1.1 Caddy","x-api-request-id":"20260424144743885150736T9AmfRF0","x-content-type-options":"nosniff","x-frame-options":"SAMEORIGIN","x-ms-client-request-id":"Not-Set","x-ms-is-spilled-over":"false","x-ms-rai-invoked":"true","x-ms-region":"East US 2","x-new-api-version":"0.4.39","x-oneapi-request-id":"202604240647437040068388268d9d6guv0rbiU","x-ratelimit-abusepenalty-active":"False","x-ratelimit-limit-requests":"3850","x-ratelimit-limit-tokens":"3850000","x-ratelimit-remaining-requests":"3849","x-ratelimit-remaining-tokens":"3848323","x-ratelimit-renewalperiod-requests":"60","x-ratelimit-renewalperiod-tokens":"60","x-ratelimit-reset-requests":"15","x-ratelimit-reset-tokens":"26","x-request-id":"2dc13fb6-4fd3-4312-a655-5c1d9d117605"}</t>
        </is>
      </c>
      <c r="N109" t="inlineStr">
        <is>
          <t>Montblanc Black Gold Series Fountain Pen – Elegant black and gold design, crafted from high-gloss resin and metal, iconic white star clip, sleek modern style for business or gifting elegance.</t>
        </is>
      </c>
      <c r="O109" t="inlineStr">
        <is>
          <t>{"choices":[{"finish_reason":"stop","index":0,"logprobs":null,"message":{"annotations":[],"content":"Mont Blanc, Accessories, kakobuy, kakebuy2026, kekobuysheet, kakobuysheet2026, 2026kakobuy, kakobuyspreadsheeet, kakobuylink, kakebuylist, Kakobuy MEGA Spreadsheet, kakobuysheetfind, kakobuysheetfind2026, 2026kakobuysheetfind, kakobuysheet2026","refusal":null,"role":"assistant"}}],"created":1777015212,"id":"chatcmpl-DY57cN4FdywwnWeJh4uZZM37hDBgC","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09" t="inlineStr">
        <is>
          <t>Mont Blanc, Accessories, kakobuy, kakebuy2026, kekobuysheet, kakobuysheet2026, 2026kakobuy, kakobuyspreadsheeet, kakobuylink, kakebuylist, Kakobuy MEGA Spreadsheet, kakobuysheetfind, kakobuysheetfind2026, 2026kakobuysheetfind, kakobuysheet2026</t>
        </is>
      </c>
      <c r="Q109"/>
      <c r="R109" t="inlineStr">
        <is>
          <t>recvhju1Cr24SK</t>
        </is>
      </c>
      <c r="S109" t="inlineStr">
        <is>
          <t>montblanc-black-gold-fountain-pen-recvhju1cr24sk</t>
        </is>
      </c>
      <c r="T109"/>
      <c r="U109"/>
      <c r="V109"/>
      <c r="W109" t="inlineStr">
        <is>
          <t>{"choices":[{"finish_reason":"stop","index":0,"logprobs":null,"message":{"annotations":[],"content":"Mont Blanc：黑金系列书写钢笔，优雅黑金配色，甄选高光树脂与金属笔身，笔夹镶嵌经典白星标识，线条流畅尽显商务格调，男女通用，现代简约设计，彰显低调奢华气质，适合日常办公与高端礼赠。","refusal":null,"role":"assistant"}}],"created":1777011902,"id":"chatcmpl-DY4GEDJXkjjHierm6Vv9DCC6ks1NV","model":"gpt-5-chat-latest","object":"chat.completion","service_tier":"default","system_fingerprint":"fp_ad66631dec","usage":{"completion_tokens":84,"completion_tokens_details":{"accepted_prediction_tokens":0,"audio_tokens":0,"reasoning_tokens":0,"rejected_prediction_tokens":0},"prompt_tokens":1296,"prompt_tokens_details":{"audio_tokens":0,"cached_tokens":0},"total_tokens":1380}}</t>
        </is>
      </c>
      <c r="X109" t="inlineStr">
        <is>
          <t>Mont Blanc：黑金系列书写钢笔，优雅黑金配色，甄选高光树脂与金属笔身，笔夹镶嵌经典白星标识，线条流畅尽显商务格调，男女通用，现代简约设计，彰显低调奢华气质，适合日常办公与高端礼赠。</t>
        </is>
      </c>
    </row>
    <row r="110" ht="25.5" customHeight="1">
      <c r="A110">
        <v>1654975475</v>
      </c>
      <c r="B110">
        <v>7616250523</v>
      </c>
      <c r="C110" s="2" t="str">
        <f>=HYPERLINK("https://weidian.com/item.html?itemID=7616250523", "https://weidian.com/item.html?itemID=7616250523")</f>
        <v>https://weidian.com/item.html?itemID=7616250523</v>
      </c>
      <c r="D110"/>
      <c r="E110" s="2" t="str">
        <f>=HYPERLINK("https://si.geilicdn.com/pcitem902014207253-1d4f0000019abd2b18330a21146b_1080_1080.jpg?w=640&amp;h=640", "https://si.geilicdn.com/pcitem902014207253-1d4f0000019abd2b18330a21146b_1080_1080.jpg?w=640&amp;h=640")</f>
        <v>https://si.geilicdn.com/pcitem902014207253-1d4f0000019abd2b18330a21146b_1080_1080.jpg?w=640&amp;h=640</v>
      </c>
      <c r="F110" t="inlineStr">
        <is>
          <t>Accessories</t>
        </is>
      </c>
      <c r="G110" t="inlineStr">
        <is>
          <t>Mont Blanc</t>
        </is>
      </c>
      <c r="H110">
        <v>560</v>
      </c>
      <c r="I110">
        <v>81.16</v>
      </c>
      <c r="J110" t="inlineStr">
        <is>
          <t>{"id":"chatcmpl-DY4qh3RLEypwwDij40Bqpibo6CGol","object":"chat.completion","created":1777014163,"model":"gpt-5-chat-latest","choices":[{"index":0,"message":{"role":"assistant","content":"Montblanc Black Silver Limited Edition Rollerball Pen","refusal":null,"annotations":[]},"logprobs":null,"finish_reason":"stop"}],"usage":{"prompt_tokens":869,"completion_tokens":11,"total_tokens":880,"prompt_tokens_details":{"cached_tokens":0,"audio_tokens":0},"completion_tokens_details":{"reasoning_tokens":0,"audio_tokens":0,"accepted_prediction_tokens":0,"rejected_prediction_tokens":0}},"service_tier":"default","system_fingerprint":"fp_ad66631dec"}</t>
        </is>
      </c>
      <c r="K110" t="inlineStr">
        <is>
          <t>Montblanc Black Silver Limited Edition Rollerball Pen</t>
        </is>
      </c>
      <c r="L110" t="inlineStr">
        <is>
          <t>{"choices":[{"finish_reason":"stop","index":0,"logprobs":null,"message":{"annotations":[],"content":"Montblanc Black Silver Limited Edition Rollerball Pen with hollow pattern, crafted from premium metal and resin, featuring red top emblem and elegant design for business or collection.","refusal":null,"role":"assistant"}}],"created":1777013231,"id":"chatcmpl-DY4bfXpU8xTgNPsApXSqmMYVBk4Bt","model":"gpt-5-chat-latest","object":"chat.completion","service_tier":"default","system_fingerprint":"fp_ad66631dec","usage":{"completion_tokens":34,"completion_tokens_details":{"accepted_prediction_tokens":0,"audio_tokens":0,"reasoning_tokens":0,"rejected_prediction_tokens":0},"prompt_tokens":904,"prompt_tokens_details":{"audio_tokens":0,"cached_tokens":0},"total_tokens":938}}</t>
        </is>
      </c>
      <c r="M110" t="inlineStr">
        <is>
          <t>{"alt-svc":"h3=\":443\"; ma=2592000","apim-request-id":"af8f6344-498a-4268-9d0f-364c60655e26","azureml-model-session":"d20260402074105-51db401e","cache-control":"no-cache","connection":"close","content-length":"772","content-security-policy":"frame-ancestors 'self'","content-type":"application/json","date":"Fri, 24 Apr 2026 06:47:13 GMT","server":"Caddy","skip-error-remapping":"true","strict-transport-security":"max-age=31536000; includeSubDomains; preload","via":"1.1 Caddy","x-api-request-id":"20260424144710205524410ryWp3PpI","x-content-type-options":"nosniff","x-frame-options":"SAMEORIGIN","x-ms-client-request-id":"Not-Set","x-ms-is-spilled-over":"false","x-ms-rai-invoked":"true","x-ms-region":"East US 2","x-new-api-version":"0.4.39","x-oneapi-request-id":"202604240647101071292538268d9d6uo5KC2Oa","x-ratelimit-abusepenalty-active":"False","x-ratelimit-limit-requests":"3850","x-ratelimit-limit-tokens":"3850000","x-ratelimit-remaining-requests":"3849","x-ratelimit-remaining-tokens":"3848197","x-ratelimit-renewalperiod-requests":"60","x-ratelimit-renewalperiod-tokens":"60","x-ratelimit-reset-requests":"15","x-ratelimit-reset-tokens":"28","x-request-id":"3f6f12fb-7fe0-4748-ad9a-6a120796e082"}</t>
        </is>
      </c>
      <c r="N110" t="inlineStr">
        <is>
          <t>Montblanc Black Silver Limited Edition Rollerball Pen with hollow pattern, crafted from premium metal and resin, featuring red top emblem and elegant design for business or collection.</t>
        </is>
      </c>
      <c r="O110" t="inlineStr">
        <is>
          <t>{"choices":[{"finish_reason":"stop","index":0,"logprobs":null,"message":{"annotations":[],"content":"Mont Blanc,Pen,kakobuy,kakebuy2026,kekobuysheet,kakobuysheet2026,2026kakobuy,kakobuyspreadsheeet,kakobuylink,kakebuylist,Kakobuy MEGA Spreadsheet,kakobuysheetfind,kakobuysheetfind2026,2026kakobuysheetfind,kakobuysheet2026","refusal":null,"role":"assistant"}}],"created":1777014964,"id":"chatcmpl-DY53cHti70kj566tUOFOrAMvZDb0F","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10" t="inlineStr">
        <is>
          <t>Mont Blanc,Pen,kakobuy,kakebuy2026,kekobuysheet,kakobuysheet2026,2026kakobuy,kakobuyspreadsheeet,kakobuylink,kakebuylist,Kakobuy MEGA Spreadsheet,kakobuysheetfind,kakobuysheetfind2026,2026kakobuysheetfind,kakobuysheet2026</t>
        </is>
      </c>
      <c r="Q110"/>
      <c r="R110" t="inlineStr">
        <is>
          <t>recvhju1Cr0C8B</t>
        </is>
      </c>
      <c r="S110" t="inlineStr">
        <is>
          <t>montblanc-black-silver-limited-edition-rollerball-recvhju1cr0c8b</t>
        </is>
      </c>
      <c r="T110"/>
      <c r="U110"/>
      <c r="V110"/>
      <c r="W110" t="inlineStr">
        <is>
          <t>{"id":"chatcmpl-DY4EPn38dsoylHxm1LihFRrqqGI6A","object":"chat.completion","created":1777011789,"model":"gpt-5-chat-latest","choices":[{"index":0,"message":{"role":"assistant","content":"Mont Blanc：黑银镂空纹限量签字笔，甄选高端金属与树脂材质，精雕花纹设计融合现代艺术风格，笔帽镶嵌红顶标识，质感典雅，男女皆宜，彰显商务与收藏品位。","refusal":null,"annotations":[]},"logprobs":null,"finish_reason":"stop"}],"usage":{"prompt_tokens":1304,"completion_tokens":69,"total_tokens":1373,"prompt_tokens_details":{"cached_tokens":0,"audio_tokens":0},"completion_tokens_details":{"reasoning_tokens":0,"audio_tokens":0,"accepted_prediction_tokens":0,"rejected_prediction_tokens":0}},"service_tier":"default","system_fingerprint":"fp_ad66631dec"}</t>
        </is>
      </c>
      <c r="X110" t="inlineStr">
        <is>
          <t>Mont Blanc：黑银镂空纹限量签字笔，甄选高端金属与树脂材质，精雕花纹设计融合现代艺术风格，笔帽镶嵌红顶标识，质感典雅，男女皆宜，彰显商务与收藏品位。</t>
        </is>
      </c>
    </row>
    <row r="111" ht="25.5" customHeight="1">
      <c r="A111">
        <v>1654975475</v>
      </c>
      <c r="B111">
        <v>7616153391</v>
      </c>
      <c r="C111" s="2" t="str">
        <f>=HYPERLINK("https://weidian.com/item.html?itemID=7616153391", "https://weidian.com/item.html?itemID=7616153391")</f>
        <v>https://weidian.com/item.html?itemID=7616153391</v>
      </c>
      <c r="D111"/>
      <c r="E111" s="2" t="str">
        <f>=HYPERLINK("https://si.geilicdn.com/pcitem902014207253-577a0000019abd2b60590a239846_1080_1080.jpg?w=640&amp;h=640", "https://si.geilicdn.com/pcitem902014207253-577a0000019abd2b60590a239846_1080_1080.jpg?w=640&amp;h=640")</f>
        <v>https://si.geilicdn.com/pcitem902014207253-577a0000019abd2b60590a239846_1080_1080.jpg?w=640&amp;h=640</v>
      </c>
      <c r="F111" t="inlineStr">
        <is>
          <t>Accessories</t>
        </is>
      </c>
      <c r="G111" t="inlineStr">
        <is>
          <t>Mont Blanc</t>
        </is>
      </c>
      <c r="H111">
        <v>460</v>
      </c>
      <c r="I111">
        <v>66.67</v>
      </c>
      <c r="J111" t="inlineStr">
        <is>
          <t>{"choices":[{"finish_reason":"stop","index":0,"logprobs":null,"message":{"annotations":[],"content":"Montblanc Blue Limited Edition Metal Chrome Wave Pen","refusal":null,"role":"assistant"}}],"created":1777014498,"id":"chatcmpl-DY4w6szv9AewkuROIPxEXRcqRcHJj","model":"gpt-5-chat-latest","object":"chat.completion","service_tier":"default","system_fingerprint":"fp_ad66631dec","usage":{"completion_tokens":11,"completion_tokens_details":{"accepted_prediction_tokens":0,"audio_tokens":0,"reasoning_tokens":0,"rejected_prediction_tokens":0},"prompt_tokens":871,"prompt_tokens_details":{"audio_tokens":0,"cached_tokens":0},"total_tokens":882}}</t>
        </is>
      </c>
      <c r="K111" t="inlineStr">
        <is>
          <t>Montblanc Blue Limited Edition Metal Chrome Wave Pen</t>
        </is>
      </c>
      <c r="L111" t="inlineStr">
        <is>
          <t>{"choices":[{"finish_reason":"stop","index":0,"logprobs":null,"message":{"annotations":[],"content":"Montblanc Blue Limited Edition Pen – crafted from premium metal with chrome finish, featuring elegant wave engravings. A unisex luxury collectible combining modern craftsmanship and timeless design.","refusal":null,"role":"assistant"}}],"created":1777013353,"id":"chatcmpl-DY4ddzIQ0vUO5Esgj8SHqa1NZJQnr","model":"gpt-5-chat-latest","object":"chat.completion","service_tier":"default","system_fingerprint":"fp_ad66631dec","usage":{"completion_tokens":35,"completion_tokens_details":{"accepted_prediction_tokens":0,"audio_tokens":0,"reasoning_tokens":0,"rejected_prediction_tokens":0},"prompt_tokens":890,"prompt_tokens_details":{"audio_tokens":0,"cached_tokens":0},"total_tokens":925}}</t>
        </is>
      </c>
      <c r="M111" t="inlineStr">
        <is>
          <t>{"alt-svc":"h3=\":443\"; ma=2592000","apim-request-id":"41613c84-cd74-489a-bf03-662f21dc77bc","azureml-model-session":"d20260402083108-57a85543","cache-control":"no-cache","connection":"close","content-length":"788","content-security-policy":"frame-ancestors 'self'","content-type":"application/json","date":"Fri, 24 Apr 2026 06:49:15 GMT","server":"nginx","skip-error-remapping":"true","strict-transport-security":"max-age=31536000; includeSubDomains; preload","via":"1.1 Caddy, 1.1 Caddy","x-api-request-id":"202604241449129201326193RqRc2lg","x-content-type-options":"nosniff","x-frame-options":"SAMEORIGIN","x-ms-client-request-id":"Not-Set","x-ms-is-spilled-over":"false","x-ms-rai-invoked":"true","x-ms-region":"East US 2","x-new-api-version":"0.4.39","x-oneapi-request-id":"202604240649128451391758268d9d6fW7XxLNN","x-ratelimit-abusepenalty-active":"False","x-ratelimit-limit-requests":"3850","x-ratelimit-limit-tokens":"3850000","x-ratelimit-remaining-requests":"3849","x-ratelimit-remaining-tokens":"3848348","x-ratelimit-renewalperiod-requests":"60","x-ratelimit-renewalperiod-tokens":"60","x-ratelimit-reset-requests":"15","x-ratelimit-reset-tokens":"25","x-request-id":"3d287a6a-f44c-42c6-9d2c-224138e65076"}</t>
        </is>
      </c>
      <c r="N111" t="inlineStr">
        <is>
          <t>Montblanc Blue Limited Edition Pen – crafted from premium metal with chrome finish, featuring elegant wave engravings. A unisex luxury collectible combining modern craftsmanship and timeless design.</t>
        </is>
      </c>
      <c r="O111" t="inlineStr">
        <is>
          <t>{"choices":[{"finish_reason":"stop","index":0,"logprobs":null,"message":{"annotations":[],"content":"Mont Blanc, Accessories, kakobuy, kakebuy2026, kekobuysheet, kakobuysheet2026, 2026kakobuy, kakobuyspreadsheeet, kakobuylink, kakebuylist, Kakobuy MEGA Spreadsheet, kakobuysheetfind, kakobuysheetfind2026, 2026kakobuysheetfind, kakobuysheet2026","refusal":null,"role":"assistant"}}],"created":1777015345,"id":"chatcmpl-DY59lPRe1CKRzPcw01Buo52SQgh8y","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11" t="inlineStr">
        <is>
          <t>Mont Blanc, Accessories, kakobuy, kakebuy2026, kekobuysheet, kakobuysheet2026, 2026kakobuy, kakobuyspreadsheeet, kakobuylink, kakebuylist, Kakobuy MEGA Spreadsheet, kakobuysheetfind, kakobuysheetfind2026, 2026kakobuysheetfind, kakobuysheet2026</t>
        </is>
      </c>
      <c r="Q111"/>
      <c r="R111" t="inlineStr">
        <is>
          <t>recvhju1CrIOAK</t>
        </is>
      </c>
      <c r="S111" t="inlineStr">
        <is>
          <t>montblanc-blue-limited-edition-metal-chrome-wave-pen-recvhju1crioak</t>
        </is>
      </c>
      <c r="T111"/>
      <c r="U111"/>
      <c r="V111"/>
      <c r="W111" t="inlineStr">
        <is>
          <t>{"choices":[{"finish_reason":"stop","index":0,"logprobs":null,"message":{"annotations":[],"content":"Mont Blanc：蓝色限量款钢笔，采用优质金属与镀铬材质，流线雕纹设计尽显奢华格调，男女皆宜，典藏级书写工具，融合现代工艺与经典美学。","refusal":null,"role":"assistant"}}],"created":1777011724,"id":"chatcmpl-DY4DMdJLYOXT27I1EX1OISmpjPuf0","model":"gpt-5-chat-latest","object":"chat.completion","service_tier":"default","system_fingerprint":"fp_ad66631dec","usage":{"completion_tokens":58,"completion_tokens_details":{"accepted_prediction_tokens":0,"audio_tokens":0,"reasoning_tokens":0,"rejected_prediction_tokens":0},"prompt_tokens":1298,"prompt_tokens_details":{"audio_tokens":0,"cached_tokens":0},"total_tokens":1356}}</t>
        </is>
      </c>
      <c r="X111" t="inlineStr">
        <is>
          <t>Mont Blanc：蓝色限量款钢笔，采用优质金属与镀铬材质，流线雕纹设计尽显奢华格调，男女皆宜，典藏级书写工具，融合现代工艺与经典美学。</t>
        </is>
      </c>
    </row>
    <row r="112" ht="25.5" customHeight="1">
      <c r="A112">
        <v>1654975475</v>
      </c>
      <c r="B112">
        <v>7619183724</v>
      </c>
      <c r="C112" s="2" t="str">
        <f>=HYPERLINK("https://weidian.com/item.html?itemID=7619183724", "https://weidian.com/item.html?itemID=7619183724")</f>
        <v>https://weidian.com/item.html?itemID=7619183724</v>
      </c>
      <c r="D112"/>
      <c r="E112" s="2" t="str">
        <f>=HYPERLINK("https://si.geilicdn.com/pcitem2014204438-3f9e0000019abb5896160a23041a_1080_1080.jpg?w=640&amp;h=640", "https://si.geilicdn.com/pcitem2014204438-3f9e0000019abb5896160a23041a_1080_1080.jpg?w=640&amp;h=640")</f>
        <v>https://si.geilicdn.com/pcitem2014204438-3f9e0000019abb5896160a23041a_1080_1080.jpg?w=640&amp;h=640</v>
      </c>
      <c r="F112" t="inlineStr">
        <is>
          <t>Accessories</t>
        </is>
      </c>
      <c r="G112" t="inlineStr">
        <is>
          <t>Mont Blanc</t>
        </is>
      </c>
      <c r="H112">
        <v>460</v>
      </c>
      <c r="I112">
        <v>66.67</v>
      </c>
      <c r="J112" t="inlineStr">
        <is>
          <t>{"choices":[{"finish_reason":"stop","index":0,"logprobs":null,"message":{"annotations":[],"content":"Montblanc Silver Steel Fountain Pen Black Gold Engraved","refusal":null,"role":"assistant"}}],"created":1777014314,"id":"chatcmpl-DY4t8sc0RKNgOvY6Xi7Pc04uHfsf8","model":"gpt-5-chat-latest","object":"chat.completion","service_tier":"default","system_fingerprint":"fp_ad66631dec","usage":{"completion_tokens":13,"completion_tokens_details":{"accepted_prediction_tokens":0,"audio_tokens":0,"reasoning_tokens":0,"rejected_prediction_tokens":0},"prompt_tokens":881,"prompt_tokens_details":{"audio_tokens":0,"cached_tokens":0},"total_tokens":894}}</t>
        </is>
      </c>
      <c r="K112" t="inlineStr">
        <is>
          <t>Montblanc Silver Steel Fountain Pen Black Gold Engraved</t>
        </is>
      </c>
      <c r="L112" t="inlineStr">
        <is>
          <t>{"choices":[{"finish_reason":"stop","index":0,"logprobs":null,"message":{"annotations":[],"content":"Montblanc Silver Engraved Steel Fountain Pen with Streamlined Carving, Black-Gold Accents, Elegant Design for Men and Women, Perfect for Business, Writing, and Luxury Collection.","refusal":null,"role":"assistant"}}],"created":1777013232,"id":"chatcmpl-DY4bg40Irw27xoxUv3Ipu4v6ydsK7","model":"gpt-5-chat-latest","object":"chat.completion","service_tier":"default","system_fingerprint":"fp_ad66631dec","usage":{"completion_tokens":40,"completion_tokens_details":{"accepted_prediction_tokens":0,"audio_tokens":0,"reasoning_tokens":0,"rejected_prediction_tokens":0},"prompt_tokens":888,"prompt_tokens_details":{"audio_tokens":0,"cached_tokens":0},"total_tokens":928}}</t>
        </is>
      </c>
      <c r="M112" t="inlineStr">
        <is>
          <t>{"alt-svc":"h3=\":443\"; ma=2592000","apim-request-id":"1e71ca22-67e7-4a85-91ed-bcad9222a7e3","azureml-model-session":"d20260405221325-2e8d5e76","cache-control":"no-cache","connection":"close","content-length":"766","content-security-policy":"frame-ancestors 'self'","content-type":"application/json","date":"Fri, 24 Apr 2026 06:47:14 GMT","server":"Caddy","skip-error-remapping":"true","strict-transport-security":"max-age=31536000; includeSubDomains; preload","via":"1.1 Caddy","x-api-request-id":"20260424144712189509805L8fehE8d","x-content-type-options":"nosniff","x-frame-options":"SAMEORIGIN","x-ms-client-request-id":"Not-Set","x-ms-is-spilled-over":"false","x-ms-rai-invoked":"true","x-ms-region":"East US 2","x-new-api-version":"0.4.39","x-oneapi-request-id":"202604240647118516944808268d9d64nA9DPn0","x-ratelimit-abusepenalty-active":"False","x-ratelimit-limit-requests":"3850","x-ratelimit-limit-tokens":"3850000","x-ratelimit-remaining-requests":"3849","x-ratelimit-remaining-tokens":"3848350","x-ratelimit-renewalperiod-requests":"60","x-ratelimit-renewalperiod-tokens":"60","x-ratelimit-reset-requests":"15","x-ratelimit-reset-tokens":"25","x-request-id":"7cabaceb-f452-43eb-b289-192bc441f60d"}</t>
        </is>
      </c>
      <c r="N112" t="inlineStr">
        <is>
          <t>Montblanc Silver Engraved Steel Fountain Pen with Streamlined Carving, Black-Gold Accents, Elegant Design for Men and Women, Perfect for Business, Writing, and Luxury Collection.</t>
        </is>
      </c>
      <c r="O112" t="inlineStr">
        <is>
          <t>{"choices":[{"finish_reason":"stop","index":0,"logprobs":null,"message":{"annotations":[],"content":"Mont Blanc,Fountain Pen,kakobuy,kakebuy2026,kekobuysheet,kakobuysheet2026,2026kakobuy,kakobuyspreadsheeet,kakobuylink,kakebuylist,Kakobuy MEGA Spreadsheet,kakobuysheetfind,kakobuysheetfind2026,2026kakobuysheetfind,kakobuysheet2026","refusal":null,"role":"assistant"}}],"created":1777014890,"id":"chatcmpl-DY52QYSrOUhL5gHtXYR2GQ7Jp8LXN","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12" t="inlineStr">
        <is>
          <t>Mont Blanc,Fountain Pen,kakobuy,kakebuy2026,kekobuysheet,kakobuysheet2026,2026kakobuy,kakobuyspreadsheeet,kakobuylink,kakebuylist,Kakobuy MEGA Spreadsheet,kakobuysheetfind,kakobuysheetfind2026,2026kakobuysheetfind,kakobuysheet2026</t>
        </is>
      </c>
      <c r="Q112"/>
      <c r="R112" t="inlineStr">
        <is>
          <t>recvhju1Cr4YCl</t>
        </is>
      </c>
      <c r="S112" t="inlineStr">
        <is>
          <t>montblanc-silver-steel-fountain-pen-black-gold-engraved-recvhju1cr4ycl</t>
        </is>
      </c>
      <c r="T112"/>
      <c r="U112"/>
      <c r="V112"/>
      <c r="W112" t="inlineStr">
        <is>
          <t>{"id":"chatcmpl-DY4Anx5PLhJrPIlfvrdrpGTSc0rj6","object":"chat.completion","created":1777011565,"model":"gpt-5-chat-latest","choices":[{"index":0,"message":{"role":"assistant","content":"Mont Blanc：银色镭雕纹钢制钢笔，流线雕刻设计彰显精致格调，黑金点缀优雅大气，男女皆宜，商务与收藏兼备的经典书写臻品。","refusal":null,"annotations":[]},"logprobs":null,"finish_reason":"stop"}],"usage":{"prompt_tokens":1302,"completion_tokens":54,"total_tokens":1356,"prompt_tokens_details":{"cached_tokens":0,"audio_tokens":0},"completion_tokens_details":{"reasoning_tokens":0,"audio_tokens":0,"accepted_prediction_tokens":0,"rejected_prediction_tokens":0}},"service_tier":"default","system_fingerprint":"fp_ad66631dec"}</t>
        </is>
      </c>
      <c r="X112" t="inlineStr">
        <is>
          <t>Mont Blanc：银色镭雕纹钢制钢笔，流线雕刻设计彰显精致格调，黑金点缀优雅大气，男女皆宜，商务与收藏兼备的经典书写臻品。</t>
        </is>
      </c>
    </row>
    <row r="113" ht="25.5" customHeight="1">
      <c r="A113">
        <v>1654975475</v>
      </c>
      <c r="B113">
        <v>7616109407</v>
      </c>
      <c r="C113" s="2" t="str">
        <f>=HYPERLINK("https://weidian.com/item.html?itemID=7616109407", "https://weidian.com/item.html?itemID=7616109407")</f>
        <v>https://weidian.com/item.html?itemID=7616109407</v>
      </c>
      <c r="D113"/>
      <c r="E113" s="2" t="str">
        <f>=HYPERLINK("https://si.geilicdn.com/pcitem2014204438-34bf0000019abb522f6e0a2102c5_1170_1425.jpg?w=640&amp;h=640", "https://si.geilicdn.com/pcitem2014204438-34bf0000019abb522f6e0a2102c5_1170_1425.jpg?w=640&amp;h=640")</f>
        <v>https://si.geilicdn.com/pcitem2014204438-34bf0000019abb522f6e0a2102c5_1170_1425.jpg?w=640&amp;h=640</v>
      </c>
      <c r="F113" t="inlineStr">
        <is>
          <t>Accessories</t>
        </is>
      </c>
      <c r="G113" t="inlineStr">
        <is>
          <t>Mont Blanc</t>
        </is>
      </c>
      <c r="H113">
        <v>560</v>
      </c>
      <c r="I113">
        <v>81.16</v>
      </c>
      <c r="J113" t="inlineStr">
        <is>
          <t>{"choices":[{"finish_reason":"stop","index":0,"logprobs":null,"message":{"annotations":[],"content":"Montblanc Blue White Writers Edition Fountain Pen","refusal":null,"role":"assistant"}}],"created":1777014501,"id":"chatcmpl-DY4w9QXmDcyEw883MBUgk6Wot9vmW","model":"gpt-5-chat-latest","object":"chat.completion","service_tier":"default","system_fingerprint":"fp_ad66631dec","usage":{"completion_tokens":10,"completion_tokens_details":{"accepted_prediction_tokens":0,"audio_tokens":0,"reasoning_tokens":0,"rejected_prediction_tokens":0},"prompt_tokens":875,"prompt_tokens_details":{"audio_tokens":0,"cached_tokens":0},"total_tokens":885}}</t>
        </is>
      </c>
      <c r="K113" t="inlineStr">
        <is>
          <t>Montblanc Blue White Writers Edition Fountain Pen</t>
        </is>
      </c>
      <c r="L113" t="inlineStr">
        <is>
          <t>{"choices":[{"finish_reason":"stop","index":0,"logprobs":null,"message":{"annotations":[],"content":"Montblanc Writers Edition Blue &amp; White Fountain Pen, exquisite resin body with gold-plated clip and silver ring, classic elegance honoring literary art, limited collectible for men and women.","refusal":null,"role":"assistant"}}],"created":1777013412,"id":"chatcmpl-DY4ea2vwxVsBLFWbYp3f2KPVOR7A3","model":"gpt-5-chat-latest","object":"chat.completion","service_tier":"default","system_fingerprint":"fp_ad66631dec","usage":{"completion_tokens":37,"completion_tokens_details":{"accepted_prediction_tokens":0,"audio_tokens":0,"reasoning_tokens":0,"rejected_prediction_tokens":0},"prompt_tokens":897,"prompt_tokens_details":{"audio_tokens":0,"cached_tokens":0},"total_tokens":934}}</t>
        </is>
      </c>
      <c r="M113" t="inlineStr">
        <is>
          <t>{"alt-svc":"h3=\":443\"; ma=2592000","apim-request-id":"5ef08732-bf0c-4ed6-8561-e648358581e9","azureml-model-session":"d20260405234249-f9874baf","cache-control":"no-cache","connection":"close","content-length":"784","content-security-policy":"frame-ancestors 'self'","content-type":"application/json","date":"Fri, 24 Apr 2026 06:50:14 GMT","server":"nginx","skip-error-remapping":"true","strict-transport-security":"max-age=31536000; includeSubDomains; preload","via":"1.1 Caddy, 1.1 Caddy","x-api-request-id":"20260424145011637475405zcgSNAlq","x-content-type-options":"nosniff","x-frame-options":"SAMEORIGIN","x-ms-client-request-id":"Not-Set","x-ms-is-spilled-over":"false","x-ms-rai-invoked":"true","x-ms-region":"East US 2","x-new-api-version":"0.4.39","x-oneapi-request-id":"202604240650111172126708268d9d62W7WnBqI","x-ratelimit-abusepenalty-active":"False","x-ratelimit-limit-requests":"3850","x-ratelimit-limit-tokens":"3850000","x-ratelimit-remaining-requests":"3849","x-ratelimit-remaining-tokens":"3796196","x-ratelimit-renewalperiod-requests":"60","x-ratelimit-renewalperiod-tokens":"60","x-ratelimit-reset-requests":"15","x-ratelimit-reset-tokens":"838","x-request-id":"20f2d7f8-06d5-434c-849d-ed66230f1bb0"}</t>
        </is>
      </c>
      <c r="N113" t="inlineStr">
        <is>
          <t>Montblanc Writers Edition Blue &amp; White Fountain Pen, exquisite resin body with gold-plated clip and silver ring, classic elegance honoring literary art, limited collectible for men and women.</t>
        </is>
      </c>
      <c r="O113" t="inlineStr">
        <is>
          <t>{"choices":[{"finish_reason":"stop","index":0,"logprobs":null,"message":{"annotations":[],"content":"Mont Blanc, Accessories, kakobuy, kakebuy2026, kekobuysheet, kakobuysheet2026, 2026kakobuy, kakobuyspreadsheeet, kakobuylink, kakebuylist, Kakobuy MEGA Spreadsheet, kakobuysheetfind, kakobuysheetfind2026, 2026kakobuysheetfind, kakobuysheet2026","refusal":null,"role":"assistant"}}],"created":1777014881,"id":"chatcmpl-DY52HTJ9t75yMtFrsNACNtbfYuxIR","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13" t="inlineStr">
        <is>
          <t>Mont Blanc, Accessories, kakobuy, kakebuy2026, kekobuysheet, kakobuysheet2026, 2026kakobuy, kakobuyspreadsheeet, kakobuylink, kakebuylist, Kakobuy MEGA Spreadsheet, kakobuysheetfind, kakobuysheetfind2026, 2026kakobuysheetfind, kakobuysheet2026</t>
        </is>
      </c>
      <c r="Q113"/>
      <c r="R113" t="inlineStr">
        <is>
          <t>recvhju1CrKUEJ</t>
        </is>
      </c>
      <c r="S113" t="inlineStr">
        <is>
          <t>montblanc-blue-white-writers-edition-fountain-pen-recvhju1crkuej</t>
        </is>
      </c>
      <c r="T113"/>
      <c r="U113"/>
      <c r="V113"/>
      <c r="W113" t="inlineStr">
        <is>
          <t>{"choices":[{"finish_reason":"stop","index":0,"logprobs":null,"message":{"annotations":[],"content":"Montblanc：作家典藏系列蓝白双色钢笔，精致树脂笔身搭配镀金笔夹与银质饰环，古典优雅风格，致敬文学艺术，适合男女收藏与书写，限量版书写精品。","refusal":null,"role":"assistant"}}],"created":1777011957,"id":"chatcmpl-DY4H7RAQ0pVV3BGMtdxSTX1WANxrD","model":"gpt-5-chat-latest","object":"chat.completion","service_tier":"default","system_fingerprint":"fp_ad66631dec","usage":{"completion_tokens":62,"completion_tokens_details":{"accepted_prediction_tokens":0,"audio_tokens":0,"reasoning_tokens":0,"rejected_prediction_tokens":0},"prompt_tokens":1304,"prompt_tokens_details":{"audio_tokens":0,"cached_tokens":0},"total_tokens":1366}}</t>
        </is>
      </c>
      <c r="X113" t="inlineStr">
        <is>
          <t>Montblanc：作家典藏系列蓝白双色钢笔，精致树脂笔身搭配镀金笔夹与银质饰环，古典优雅风格，致敬文学艺术，适合男女收藏与书写，限量版书写精品。</t>
        </is>
      </c>
    </row>
    <row r="114" ht="25.5" customHeight="1">
      <c r="A114">
        <v>1654975475</v>
      </c>
      <c r="B114">
        <v>7619023470</v>
      </c>
      <c r="C114" s="2" t="str">
        <f>=HYPERLINK("https://weidian.com/item.html?itemID=7619023470", "https://weidian.com/item.html?itemID=7619023470")</f>
        <v>https://weidian.com/item.html?itemID=7619023470</v>
      </c>
      <c r="D114"/>
      <c r="E114" s="2" t="str">
        <f>=HYPERLINK("https://si.geilicdn.com/pcitem2014204438-3d8d0000019abb5d64800a23037f_1080_1080.jpg?w=640&amp;h=640", "https://si.geilicdn.com/pcitem2014204438-3d8d0000019abb5d64800a23037f_1080_1080.jpg?w=640&amp;h=640")</f>
        <v>https://si.geilicdn.com/pcitem2014204438-3d8d0000019abb5d64800a23037f_1080_1080.jpg?w=640&amp;h=640</v>
      </c>
      <c r="F114" t="inlineStr">
        <is>
          <t>Accessories</t>
        </is>
      </c>
      <c r="G114" t="inlineStr">
        <is>
          <t>Mont Blanc</t>
        </is>
      </c>
      <c r="H114">
        <v>460</v>
      </c>
      <c r="I114">
        <v>66.67</v>
      </c>
      <c r="J114" t="inlineStr">
        <is>
          <t>{"choices":[{"finish_reason":"stop","index":0,"logprobs":null,"message":{"annotations":[],"content":"Montblanc Black Classic Signature Pen Silver Trim","refusal":null,"role":"assistant"}}],"created":1777014386,"id":"chatcmpl-DY4uI7hH7nYhMPml8xtq3dpGi9wvN","model":"gpt-5-chat-latest","object":"chat.completion","service_tier":"default","system_fingerprint":"fp_ad66631dec","usage":{"completion_tokens":10,"completion_tokens_details":{"accepted_prediction_tokens":0,"audio_tokens":0,"reasoning_tokens":0,"rejected_prediction_tokens":0},"prompt_tokens":871,"prompt_tokens_details":{"audio_tokens":0,"cached_tokens":0},"total_tokens":881}}</t>
        </is>
      </c>
      <c r="K114" t="inlineStr">
        <is>
          <t>Montblanc Black Classic Signature Pen Silver Trim</t>
        </is>
      </c>
      <c r="L114" t="inlineStr">
        <is>
          <t>{"choices":[{"finish_reason":"stop","index":0,"logprobs":null,"message":{"annotations":[],"content":"Montblanc Black Classic Series Signature Pen – sleek lacquered metal body, silver trim, German craftsmanship for smooth writing, elegant for business, perfect for gifting and collection.","refusal":null,"role":"assistant"}}],"created":1777013302,"id":"chatcmpl-DY4codToKAUHcVx5ogoLR2jYLp9r8","model":"gpt-5-chat-latest","object":"chat.completion","service_tier":"default","system_fingerprint":"fp_ad66631dec","usage":{"completion_tokens":35,"completion_tokens_details":{"accepted_prediction_tokens":0,"audio_tokens":0,"reasoning_tokens":0,"rejected_prediction_tokens":0},"prompt_tokens":915,"prompt_tokens_details":{"audio_tokens":0,"cached_tokens":0},"total_tokens":950}}</t>
        </is>
      </c>
      <c r="M114" t="inlineStr">
        <is>
          <t>{"alt-svc":"h3=\":443\"; ma=2592000","apim-request-id":"46a5cda3-fee2-4766-8d4d-118445135f5e","azureml-model-session":"d20260402084046-4209e968","cache-control":"no-cache","connection":"close","content-length":"776","content-security-policy":"frame-ancestors 'self'","content-type":"application/json","date":"Fri, 24 Apr 2026 06:48:24 GMT","server":"Caddy","skip-error-remapping":"true","strict-transport-security":"max-age=31536000; includeSubDomains; preload","via":"1.1 Caddy","x-api-request-id":"20260424144821365326585nGtkeii4","x-content-type-options":"nosniff","x-frame-options":"SAMEORIGIN","x-ms-client-request-id":"Not-Set","x-ms-is-spilled-over":"false","x-ms-rai-invoked":"true","x-ms-region":"East US 2","x-new-api-version":"0.4.39","x-oneapi-request-id":"202604240648212840156328268d9d6rMV64Dha","x-ratelimit-abusepenalty-active":"False","x-ratelimit-limit-requests":"3850","x-ratelimit-limit-tokens":"3850000","x-ratelimit-remaining-requests":"3849","x-ratelimit-remaining-tokens":"3848323","x-ratelimit-renewalperiod-requests":"60","x-ratelimit-renewalperiod-tokens":"60","x-ratelimit-reset-requests":"15","x-ratelimit-reset-tokens":"26","x-request-id":"4ca0eb73-a167-44ce-9f4e-7e9d01f85fe5"}</t>
        </is>
      </c>
      <c r="N114" t="inlineStr">
        <is>
          <t>Montblanc Black Classic Series Signature Pen – sleek lacquered metal body, silver trim, German craftsmanship for smooth writing, elegant for business, perfect for gifting and collection.</t>
        </is>
      </c>
      <c r="O114" t="inlineStr">
        <is>
          <t>{"choices":[{"finish_reason":"stop","index":0,"logprobs":null,"message":{"annotations":[],"content":"Mont Blanc,Pen,kakobuy,kakebuy2026,kekobuysheet,kakobuysheet2026,2026kakobuy,kakobuyspreadsheeet,kakobuylink,kakebuylist,Kakobuy MEGA Spreadsheet,kakobuysheetfind,kakobuysheetfind2026,2026kakobuysheetfind,kakobuysheet2026","refusal":null,"role":"assistant"}}],"created":1777015047,"id":"chatcmpl-DY54xw391B5Qit5YQg0omsVgtvv60","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14" t="inlineStr">
        <is>
          <t>Mont Blanc,Pen,kakobuy,kakebuy2026,kekobuysheet,kakobuysheet2026,2026kakobuy,kakobuyspreadsheeet,kakobuylink,kakebuylist,Kakobuy MEGA Spreadsheet,kakobuysheetfind,kakobuysheetfind2026,2026kakobuysheetfind,kakobuysheet2026</t>
        </is>
      </c>
      <c r="Q114"/>
      <c r="R114" t="inlineStr">
        <is>
          <t>recvhju1CrOmxY</t>
        </is>
      </c>
      <c r="S114" t="inlineStr">
        <is>
          <t>montblanc-black-classic-signature-pen-silver-trim-recvhju1cromxy</t>
        </is>
      </c>
      <c r="T114"/>
      <c r="U114"/>
      <c r="V114"/>
      <c r="W114" t="inlineStr">
        <is>
          <t>{"choices":[{"finish_reason":"stop","index":0,"logprobs":null,"message":{"annotations":[],"content":"Mont Blanc：黑色经典系列签字笔，甄选高亮漆面金属材质，笔身线条优雅简约，银色镶边彰显精致格调，适合商务男女使用。德国工艺打造书写顺滑体验，低调奢华设计尽显品味，收藏与馈赠佳选。","refusal":null,"role":"assistant"}}],"created":1777012039,"id":"chatcmpl-DY4IR121Lvj3OKjsT2OLQxG6V7hRA","model":"gpt-5-chat-latest","object":"chat.completion","service_tier":"default","system_fingerprint":"fp_ad66631dec","usage":{"completion_tokens":80,"completion_tokens_details":{"accepted_prediction_tokens":0,"audio_tokens":0,"reasoning_tokens":0,"rejected_prediction_tokens":0},"prompt_tokens":1304,"prompt_tokens_details":{"audio_tokens":0,"cached_tokens":0},"total_tokens":1384}}</t>
        </is>
      </c>
      <c r="X114" t="inlineStr">
        <is>
          <t>Mont Blanc：黑色经典系列签字笔，甄选高亮漆面金属材质，笔身线条优雅简约，银色镶边彰显精致格调，适合商务男女使用。德国工艺打造书写顺滑体验，低调奢华设计尽显品味，收藏与馈赠佳选。</t>
        </is>
      </c>
    </row>
    <row r="115" ht="25.5" customHeight="1">
      <c r="A115">
        <v>1654975475</v>
      </c>
      <c r="B115">
        <v>7619179760</v>
      </c>
      <c r="C115" s="2" t="str">
        <f>=HYPERLINK("https://weidian.com/item.html?itemID=7619179760", "https://weidian.com/item.html?itemID=7619179760")</f>
        <v>https://weidian.com/item.html?itemID=7619179760</v>
      </c>
      <c r="D115"/>
      <c r="E115" s="2" t="str">
        <f>=HYPERLINK("https://si.geilicdn.com/pcitem2014204438-41dd0000019abb60724e0a2303ee_1080_1080.jpg?w=640&amp;h=640", "https://si.geilicdn.com/pcitem2014204438-41dd0000019abb60724e0a2303ee_1080_1080.jpg?w=640&amp;h=640")</f>
        <v>https://si.geilicdn.com/pcitem2014204438-41dd0000019abb60724e0a2303ee_1080_1080.jpg?w=640&amp;h=640</v>
      </c>
      <c r="F115" t="inlineStr">
        <is>
          <t>Accessories</t>
        </is>
      </c>
      <c r="G115" t="inlineStr">
        <is>
          <t>Mont Blanc</t>
        </is>
      </c>
      <c r="H115">
        <v>460</v>
      </c>
      <c r="I115">
        <v>66.67</v>
      </c>
      <c r="J115" t="inlineStr">
        <is>
          <t>{"id":"chatcmpl-DY4vyX8wm76gQcEf8eWnPMt8shqqv","object":"chat.completion","created":1777014490,"model":"gpt-5-chat-latest","choices":[{"index":0,"message":{"role":"assistant","content":"Montblanc Black Gold Rollerball Pen Limited Edition","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is>
      </c>
      <c r="K115" t="inlineStr">
        <is>
          <t>Montblanc Black Gold Rollerball Pen Limited Edition</t>
        </is>
      </c>
      <c r="L115" t="inlineStr">
        <is>
          <t>{"choices":[{"finish_reason":"stop","index":0,"logprobs":null,"message":{"annotations":[],"content":"Montblanc Black &amp; Gold Limited Edition Rollerball Pen, crafted from precious resin and rose gold, sleek and elegant design, smooth writing, ideal for business, unisex, showcases timeless professionalism.","refusal":null,"role":"assistant"}}],"created":1777013458,"id":"chatcmpl-DY4fKrvUlCRC9qybtZYPkn3Z6dcu5","model":"gpt-5-chat-latest","object":"chat.completion","service_tier":"default","system_fingerprint":"fp_ad66631dec","usage":{"completion_tokens":40,"completion_tokens_details":{"accepted_prediction_tokens":0,"audio_tokens":0,"reasoning_tokens":0,"rejected_prediction_tokens":0},"prompt_tokens":900,"prompt_tokens_details":{"audio_tokens":0,"cached_tokens":0},"total_tokens":940}}</t>
        </is>
      </c>
      <c r="M115" t="inlineStr">
        <is>
          <t>{"alt-svc":"h3=\":443\"; ma=2592000","apim-request-id":"87ed05eb-1ae4-4331-bfd3-f4ffa2f2740d","azureml-model-session":"d20260402084046-4209e968","cache-control":"no-cache","connection":"close","content-length":"796","content-security-policy":"frame-ancestors 'self'","content-type":"application/json","date":"Fri, 24 Apr 2026 06:50:59 GMT","server":"Caddy","skip-error-remapping":"true","strict-transport-security":"max-age=31536000; includeSubDomains; preload","via":"1.1 Caddy","x-api-request-id":"20260424145056955513604l26RvIs0","x-content-type-options":"nosniff","x-frame-options":"SAMEORIGIN","x-ms-client-request-id":"Not-Set","x-ms-is-spilled-over":"false","x-ms-rai-invoked":"true","x-ms-region":"East US 2","x-new-api-version":"0.4.39","x-oneapi-request-id":"202604240650568478237298268d9d6UOM11grU","x-ratelimit-abusepenalty-active":"False","x-ratelimit-limit-requests":"3850","x-ratelimit-limit-tokens":"3850000","x-ratelimit-remaining-requests":"3849","x-ratelimit-remaining-tokens":"3848338","x-ratelimit-renewalperiod-requests":"60","x-ratelimit-renewalperiod-tokens":"60","x-ratelimit-reset-requests":"15","x-ratelimit-reset-tokens":"25","x-request-id":"acd45f9e-6ea1-4df0-9872-bad0f407e1d0"}</t>
        </is>
      </c>
      <c r="N115" t="inlineStr">
        <is>
          <t>Montblanc Black &amp; Gold Limited Edition Rollerball Pen, crafted from precious resin and rose gold, sleek and elegant design, smooth writing, ideal for business, unisex, showcases timeless professionalism.</t>
        </is>
      </c>
      <c r="O115" t="inlineStr">
        <is>
          <t>{"choices":[{"finish_reason":"stop","index":0,"logprobs":null,"message":{"annotations":[],"content":"Mont Blanc,Pen,kakobuy,kakebuy2026,kekobuysheet,kakobuysheet2026,2026kakobuy,kakobuyspreadsheeet,kakobuylink,kakebuylist,Kakobuy MEGA Spreadsheet,kakobuysheetfind,kakobuysheetfind2026,2026kakobuysheetfind,kakobuysheet2026","refusal":null,"role":"assistant"}}],"created":1777015117,"id":"chatcmpl-DY565NS8y4lTLbsBq611Q6cRlg2q0","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15" t="inlineStr">
        <is>
          <t>Mont Blanc,Pen,kakobuy,kakebuy2026,kekobuysheet,kakobuysheet2026,2026kakobuy,kakobuyspreadsheeet,kakobuylink,kakebuylist,Kakobuy MEGA Spreadsheet,kakobuysheetfind,kakobuysheetfind2026,2026kakobuysheetfind,kakobuysheet2026</t>
        </is>
      </c>
      <c r="Q115"/>
      <c r="R115" t="inlineStr">
        <is>
          <t>recvhju1Cr13BC</t>
        </is>
      </c>
      <c r="S115" t="inlineStr">
        <is>
          <t>montblanc-black-gold-rollerball-pen-limited-edition-recvhju1cr13bc</t>
        </is>
      </c>
      <c r="T115"/>
      <c r="U115"/>
      <c r="V115"/>
      <c r="W115" t="inlineStr">
        <is>
          <t>{"choices":[{"finish_reason":"stop","index":0,"logprobs":null,"message":{"annotations":[],"content":"Mont Blanc：黑金双色限量款签字笔，甄选珍贵树脂与玫瑰金属材质，线条流畅优雅，细节精致，书写顺滑舒适，商务典雅风格，男女皆宜，彰显专业与品味。","refusal":null,"role":"assistant"}}],"created":1777012001,"id":"chatcmpl-DY4HpkKD2ichwEjzRLaDG7kGTriQR","model":"gpt-5-chat-latest","object":"chat.completion","service_tier":"default","system_fingerprint":"fp_ad66631dec","usage":{"completion_tokens":67,"completion_tokens_details":{"accepted_prediction_tokens":0,"audio_tokens":0,"reasoning_tokens":0,"rejected_prediction_tokens":0},"prompt_tokens":1300,"prompt_tokens_details":{"audio_tokens":0,"cached_tokens":1280},"total_tokens":1367}}</t>
        </is>
      </c>
      <c r="X115" t="inlineStr">
        <is>
          <t>Mont Blanc：黑金双色限量款签字笔，甄选珍贵树脂与玫瑰金属材质，线条流畅优雅，细节精致，书写顺滑舒适，商务典雅风格，男女皆宜，彰显专业与品味。</t>
        </is>
      </c>
    </row>
    <row r="116" ht="25.5" customHeight="1">
      <c r="A116">
        <v>1654975475</v>
      </c>
      <c r="B116">
        <v>7619107314</v>
      </c>
      <c r="C116" s="2" t="str">
        <f>=HYPERLINK("https://weidian.com/item.html?itemID=7619107314", "https://weidian.com/item.html?itemID=7619107314")</f>
        <v>https://weidian.com/item.html?itemID=7619107314</v>
      </c>
      <c r="D116"/>
      <c r="E116" s="2" t="str">
        <f>=HYPERLINK("https://si.geilicdn.com/pcitem2014204438-792d0000019abb61f1790a21146b_1080_1080.jpg?w=640&amp;h=640", "https://si.geilicdn.com/pcitem2014204438-792d0000019abb61f1790a21146b_1080_1080.jpg?w=640&amp;h=640")</f>
        <v>https://si.geilicdn.com/pcitem2014204438-792d0000019abb61f1790a21146b_1080_1080.jpg?w=640&amp;h=640</v>
      </c>
      <c r="F116" t="inlineStr">
        <is>
          <t>Accessories</t>
        </is>
      </c>
      <c r="G116" t="inlineStr">
        <is>
          <t>Mont Blanc</t>
        </is>
      </c>
      <c r="H116">
        <v>460</v>
      </c>
      <c r="I116">
        <v>66.67</v>
      </c>
      <c r="J116" t="inlineStr">
        <is>
          <t>{"id":"chatcmpl-DY4wnsftVhvuo2rAodT7HnjoaB1dH","object":"chat.completion","created":1777014541,"model":"gpt-5-chat-latest","choices":[{"index":0,"message":{"role":"assistant","content":"Mont Blanc Silver Check Engraved Luxury Rollerball Pen","refusal":null,"annotations":[]},"logprobs":null,"finish_reason":"stop"}],"usage":{"prompt_tokens":865,"completion_tokens":12,"total_tokens":877,"prompt_tokens_details":{"cached_tokens":0,"audio_tokens":0},"completion_tokens_details":{"reasoning_tokens":0,"audio_tokens":0,"accepted_prediction_tokens":0,"rejected_prediction_tokens":0}},"service_tier":"default","system_fingerprint":"fp_ad66631dec"}</t>
        </is>
      </c>
      <c r="K116" t="inlineStr">
        <is>
          <t>Mont Blanc Silver Check Engraved Luxury Rollerball Pen</t>
        </is>
      </c>
      <c r="L116" t="inlineStr">
        <is>
          <t>{"choices":[{"finish_reason":"stop","index":0,"logprobs":null,"message":{"annotations":[],"content":"Mont Blanc Silver Check Engraved Rollerball Pen – Premium Metal Body, Smooth Writing Experience, Elegant Business Style, Perfect for Professionals and Luxury Gift Choices.","refusal":null,"role":"assistant"}}],"created":1777013230,"id":"chatcmpl-DY4be8dqOWOzjLTNswkfbUfH5fgta","model":"gpt-5-chat-latest","object":"chat.completion","service_tier":"default","system_fingerprint":"fp_ad66631dec","usage":{"completion_tokens":32,"completion_tokens_details":{"accepted_prediction_tokens":0,"audio_tokens":0,"reasoning_tokens":0,"rejected_prediction_tokens":0},"prompt_tokens":876,"prompt_tokens_details":{"audio_tokens":0,"cached_tokens":0},"total_tokens":908}}</t>
        </is>
      </c>
      <c r="M116" t="inlineStr">
        <is>
          <t>{"alt-svc":"h3=\":443\"; ma=2592000","apim-request-id":"addef14b-2a8c-4090-a152-d4896a72024d","azureml-model-session":"d20260405212659-a9daa006","cache-control":"no-cache","connection":"close","content-length":"761","content-security-policy":"frame-ancestors 'self'","content-type":"application/json","date":"Fri, 24 Apr 2026 06:47:12 GMT","server":"nginx","skip-error-remapping":"true","strict-transport-security":"max-age=31536000; includeSubDomains; preload","via":"1.1 Caddy, 1.1 Caddy","x-api-request-id":"20260424144710290340287GdkUdc9A","x-content-type-options":"nosniff","x-frame-options":"SAMEORIGIN","x-ms-client-request-id":"Not-Set","x-ms-is-spilled-over":"false","x-ms-rai-invoked":"true","x-ms-region":"East US 2","x-new-api-version":"0.4.39","x-oneapi-request-id":"20260424064710992596818268d9d6xGc1AoeL","x-ratelimit-abusepenalty-active":"False","x-ratelimit-limit-requests":"3850","x-ratelimit-limit-tokens":"3850000","x-ratelimit-remaining-requests":"3849","x-ratelimit-remaining-tokens":"3848362","x-ratelimit-renewalperiod-requests":"60","x-ratelimit-renewalperiod-tokens":"60","x-ratelimit-reset-requests":"15","x-ratelimit-reset-tokens":"25","x-request-id":"44439b23-37f0-48e8-a845-fe534f47e778"}</t>
        </is>
      </c>
      <c r="N116" t="inlineStr">
        <is>
          <t>Mont Blanc Silver Check Engraved Rollerball Pen – Premium Metal Body, Smooth Writing Experience, Elegant Business Style, Perfect for Professionals and Luxury Gift Choices.</t>
        </is>
      </c>
      <c r="O116" t="inlineStr">
        <is>
          <t>{"id":"chatcmpl-DY51Tq3qMLL2AyTMSTmCl4YliX18O","object":"chat.completion","created":1777014831,"model":"gpt-5-chat-latest","choices":[{"index":0,"message":{"role":"assistant","content":"Mont Blanc,Pen,kakobuy,kakebuy2026,kekobuysheet,kakobuysheet2026,2026kakobuy,kakobuyspreadsheeet,kakobuylink,kakebuylist,Kakobuy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6" t="inlineStr">
        <is>
          <t>Mont Blanc,Pen,kakobuy,kakebuy2026,kekobuysheet,kakobuysheet2026,2026kakobuy,kakobuyspreadsheeet,kakobuylink,kakebuylist,Kakobuy MEGA Spreadsheet,kakobuysheetfind,kakobuysheetfind2026,2026kakobuysheetfind,kakobuysheet2026</t>
        </is>
      </c>
      <c r="Q116"/>
      <c r="R116" t="inlineStr">
        <is>
          <t>recvhju1CrIknh</t>
        </is>
      </c>
      <c r="S116" t="inlineStr">
        <is>
          <t>mont-blanc-silver-check-engraved-luxury-rollerball-pen-recvhju1crIknh</t>
        </is>
      </c>
      <c r="T116"/>
      <c r="U116"/>
      <c r="V116"/>
      <c r="W116" t="inlineStr">
        <is>
          <t>{"choices":[{"finish_reason":"stop","index":0,"logprobs":null,"message":{"annotations":[],"content":"Mont Blanc：银色格纹雕刻系列中性签字笔，优质金属笔身，流畅书写体验，典雅商务风格，彰显精致格调。","refusal":null,"role":"assistant"}}],"created":1777011606,"id":"chatcmpl-DY4BSRNIflcvHBVtXhPA3hm8Voqbl","model":"gpt-5-chat-latest","object":"chat.completion","service_tier":"default","system_fingerprint":"fp_ad66631dec","usage":{"completion_tokens":43,"completion_tokens_details":{"accepted_prediction_tokens":0,"audio_tokens":0,"reasoning_tokens":0,"rejected_prediction_tokens":0},"prompt_tokens":1300,"prompt_tokens_details":{"audio_tokens":0,"cached_tokens":0},"total_tokens":1343}}</t>
        </is>
      </c>
      <c r="X116" t="inlineStr">
        <is>
          <t>Mont Blanc：银色格纹雕刻系列中性签字笔，优质金属笔身，流畅书写体验，典雅商务风格，彰显精致格调。</t>
        </is>
      </c>
    </row>
    <row r="117" ht="25.5" customHeight="1">
      <c r="A117">
        <v>1654975475</v>
      </c>
      <c r="B117">
        <v>7619087528</v>
      </c>
      <c r="C117" s="2" t="str">
        <f>=HYPERLINK("https://weidian.com/item.html?itemID=7619087528", "https://weidian.com/item.html?itemID=7619087528")</f>
        <v>https://weidian.com/item.html?itemID=7619087528</v>
      </c>
      <c r="D117"/>
      <c r="E117" s="2" t="str">
        <f>=HYPERLINK("https://si.geilicdn.com/pcitem2014204438-40970000019abb6424710a210256_1264_1309.jpg?w=640&amp;h=640", "https://si.geilicdn.com/pcitem2014204438-40970000019abb6424710a210256_1264_1309.jpg?w=640&amp;h=640")</f>
        <v>https://si.geilicdn.com/pcitem2014204438-40970000019abb6424710a210256_1264_1309.jpg?w=640&amp;h=640</v>
      </c>
      <c r="F117" t="inlineStr">
        <is>
          <t>Accessories</t>
        </is>
      </c>
      <c r="G117" t="inlineStr">
        <is>
          <t>Mont Blanc</t>
        </is>
      </c>
      <c r="H117">
        <v>460</v>
      </c>
      <c r="I117">
        <v>66.67</v>
      </c>
      <c r="J117" t="inlineStr">
        <is>
          <t>{"choices":[{"finish_reason":"stop","index":0,"logprobs":null,"message":{"annotations":[],"content":"Mont Blanc Black Gold Classic Fountain Pen","refusal":null,"role":"assistant"}}],"created":1777014424,"id":"chatcmpl-DY4uuXBouynMKyKH4l9BZNdkeaDcj","model":"gpt-5-chat-latest","object":"chat.completion","service_tier":"default","system_fingerprint":"fp_ad66631dec","usage":{"completion_tokens":8,"completion_tokens_details":{"accepted_prediction_tokens":0,"audio_tokens":0,"reasoning_tokens":0,"rejected_prediction_tokens":0},"prompt_tokens":879,"prompt_tokens_details":{"audio_tokens":0,"cached_tokens":0},"total_tokens":887}}</t>
        </is>
      </c>
      <c r="K117" t="inlineStr">
        <is>
          <t>Mont Blanc Black Gold Classic Fountain Pen</t>
        </is>
      </c>
      <c r="L117" t="inlineStr">
        <is>
          <t>{"choices":[{"finish_reason":"stop","index":0,"logprobs":null,"message":{"annotations":[],"content":"Mont Blanc Black Gold Classic Fountain Pen—high-gloss black lacquer body, gold-plated rings, smooth German nib, elegant business style, perfect for men and women, collectible and practical.","refusal":null,"role":"assistant"}}],"created":1777013382,"id":"chatcmpl-DY4e6lsDmo6EuPnvWh6ROgfNOwudt","model":"gpt-5-chat-latest","object":"chat.completion","service_tier":"default","system_fingerprint":"fp_ad66631dec","usage":{"completion_tokens":39,"completion_tokens_details":{"accepted_prediction_tokens":0,"audio_tokens":0,"reasoning_tokens":0,"rejected_prediction_tokens":0},"prompt_tokens":896,"prompt_tokens_details":{"audio_tokens":0,"cached_tokens":0},"total_tokens":935}}</t>
        </is>
      </c>
      <c r="M117" t="inlineStr">
        <is>
          <t>{"alt-svc":"h3=\":443\"; ma=2592000","apim-request-id":"ce7a24df-cc11-4361-bca3-75d67a80236b","azureml-model-session":"d20260405234249-f9874baf","cache-control":"no-cache","connection":"close","content-length":"779","content-security-policy":"frame-ancestors 'self'","content-type":"application/json","date":"Fri, 24 Apr 2026 06:49:44 GMT","server":"Caddy","skip-error-remapping":"true","strict-transport-security":"max-age=31536000; includeSubDomains; preload","via":"1.1 Caddy","x-api-request-id":"20260424144941779087248QMds1i16","x-content-type-options":"nosniff","x-frame-options":"SAMEORIGIN","x-ms-client-request-id":"Not-Set","x-ms-is-spilled-over":"false","x-ms-rai-invoked":"true","x-ms-region":"East US 2","x-new-api-version":"0.4.39","x-oneapi-request-id":"202604240649414397919018268d9d66GSp0kFw","x-ratelimit-abusepenalty-active":"False","x-ratelimit-limit-requests":"3850","x-ratelimit-limit-tokens":"3850000","x-ratelimit-remaining-requests":"3848","x-ratelimit-remaining-tokens":"3847516","x-ratelimit-renewalperiod-requests":"60","x-ratelimit-renewalperiod-tokens":"60","x-ratelimit-reset-requests":"24","x-ratelimit-reset-tokens":"38","x-request-id":"0b7bd3d4-5808-4d0b-8ccd-213ce637baff"}</t>
        </is>
      </c>
      <c r="N117" t="inlineStr">
        <is>
          <t>Mont Blanc Black Gold Classic Fountain Pen—high-gloss black lacquer body, gold-plated rings, smooth German nib, elegant business style, perfect for men and women, collectible and practical.</t>
        </is>
      </c>
      <c r="O117" t="inlineStr">
        <is>
          <t>{"id":"chatcmpl-DY5458hyfquBI6jn7Bgb6wbPpUank","object":"chat.completion","created":1777014993,"model":"gpt-5-chat-latest","choices":[{"index":0,"message":{"role":"assistant","content":"Mont Blanc,pen,kakobuy,kakebuy2026,kekobuysheet,kakobuysheet2026,2026kakobuy,kakobuyspreadsheeet,kakobuylink,kakebuylist,Kakobuy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7" t="inlineStr">
        <is>
          <t>Mont Blanc,pen,kakobuy,kakebuy2026,kekobuysheet,kakobuysheet2026,2026kakobuy,kakobuyspreadsheeet,kakobuylink,kakebuylist,Kakobuy MEGA Spreadsheet,kakobuysheetfind,kakobuysheetfind2026,2026kakobuysheetfind,kakobuysheet2026</t>
        </is>
      </c>
      <c r="Q117"/>
      <c r="R117" t="inlineStr">
        <is>
          <t>recvhju1CrfEor</t>
        </is>
      </c>
      <c r="S117" t="inlineStr">
        <is>
          <t>mont-blanc-black-gold-classic-fountain-pen-recvhju1crfeor</t>
        </is>
      </c>
      <c r="T117"/>
      <c r="U117"/>
      <c r="V117"/>
      <c r="W117" t="inlineStr">
        <is>
          <t>{"id":"chatcmpl-DY4GM0gNQx0g8YMeb6BaqLlTTbQwk","object":"chat.completion","created":1777011910,"model":"gpt-5-chat-latest","choices":[{"index":0,"message":{"role":"assistant","content":"Mont Blanc：黑金经典系列钢笔，采用高光漆面黑色笔身与镀金笔环设计，彰显优雅商务气质。德国精工笔尖书写顺滑流畅，男女皆宜，经典复古风格兼具收藏与实用价值。","refusal":null,"annotations":[]},"logprobs":null,"finish_reason":"stop"}],"usage":{"prompt_tokens":1294,"completion_tokens":66,"total_tokens":1360,"prompt_tokens_details":{"cached_tokens":0,"audio_tokens":0},"completion_tokens_details":{"reasoning_tokens":0,"audio_tokens":0,"accepted_prediction_tokens":0,"rejected_prediction_tokens":0}},"service_tier":"default","system_fingerprint":"fp_ad66631dec"}</t>
        </is>
      </c>
      <c r="X117" t="inlineStr">
        <is>
          <t>Mont Blanc：黑金经典系列钢笔，采用高光漆面黑色笔身与镀金笔环设计，彰显优雅商务气质。德国精工笔尖书写顺滑流畅，男女皆宜，经典复古风格兼具收藏与实用价值。</t>
        </is>
      </c>
    </row>
    <row r="118" ht="25.5" customHeight="1">
      <c r="A118">
        <v>1654975475</v>
      </c>
      <c r="B118">
        <v>7619149960</v>
      </c>
      <c r="C118" s="2" t="str">
        <f>=HYPERLINK("https://weidian.com/item.html?itemID=7619149960", "https://weidian.com/item.html?itemID=7619149960")</f>
        <v>https://weidian.com/item.html?itemID=7619149960</v>
      </c>
      <c r="D118"/>
      <c r="E118" s="2" t="str">
        <f>=HYPERLINK("https://si.geilicdn.com/pcitem2014204438-40b00000019abb6630c80a23038e_1125_1125.jpg?w=640&amp;h=640", "https://si.geilicdn.com/pcitem2014204438-40b00000019abb6630c80a23038e_1125_1125.jpg?w=640&amp;h=640")</f>
        <v>https://si.geilicdn.com/pcitem2014204438-40b00000019abb6630c80a23038e_1125_1125.jpg?w=640&amp;h=640</v>
      </c>
      <c r="F118" t="inlineStr">
        <is>
          <t>Accessories</t>
        </is>
      </c>
      <c r="G118" t="inlineStr">
        <is>
          <t>Montblanc</t>
        </is>
      </c>
      <c r="H118">
        <v>460</v>
      </c>
      <c r="I118">
        <v>66.67</v>
      </c>
      <c r="J118" t="inlineStr">
        <is>
          <t>{"choices":[{"finish_reason":"stop","index":0,"logprobs":null,"message":{"annotations":[],"content":"Montblanc Black Gold Luxury Fountain Pen","refusal":null,"role":"assistant"}}],"created":1777014332,"id":"chatcmpl-DY4tQS9gKnSV4oTWiIRQnk7AgSjqL","model":"gpt-5-chat-latest","object":"chat.completion","service_tier":"default","system_fingerprint":"fp_ad66631dec","usage":{"completion_tokens":9,"completion_tokens_details":{"accepted_prediction_tokens":0,"audio_tokens":0,"reasoning_tokens":0,"rejected_prediction_tokens":0},"prompt_tokens":872,"prompt_tokens_details":{"audio_tokens":0,"cached_tokens":0},"total_tokens":881}}</t>
        </is>
      </c>
      <c r="K118" t="inlineStr">
        <is>
          <t>Montblanc Black Gold Luxury Fountain Pen</t>
        </is>
      </c>
      <c r="L118" t="inlineStr">
        <is>
          <t>{"choices":[{"finish_reason":"stop","index":0,"logprobs":null,"message":{"annotations":[],"content":"Montblanc Black-Gold Classic Fountain Pen: sleek black resin with gold-plated trims, smooth writing flow and timeless German craftsmanship, ideal for professionals and luxury collectors.","refusal":null,"role":"assistant"}}],"created":1777013155,"id":"chatcmpl-DY4aRabgMSFrHYuNgHh5H91vkpzJh","model":"gpt-5-chat-latest","object":"chat.completion","service_tier":"default","system_fingerprint":"fp_ad66631dec","usage":{"completion_tokens":35,"completion_tokens_details":{"accepted_prediction_tokens":0,"audio_tokens":0,"reasoning_tokens":0,"rejected_prediction_tokens":0},"prompt_tokens":917,"prompt_tokens_details":{"audio_tokens":0,"cached_tokens":0},"total_tokens":952}}</t>
        </is>
      </c>
      <c r="M118" t="inlineStr">
        <is>
          <t>{"alt-svc":"h3=\":443\"; ma=2592000","apim-request-id":"4ad91dde-0643-4712-8228-29084991d147","azureml-model-session":"d20260405225800-40f19e54","cache-control":"no-cache","connection":"close","content-length":"774","content-security-policy":"frame-ancestors 'self'","content-type":"application/json","date":"Fri, 24 Apr 2026 06:45:56 GMT","server":"Caddy","skip-error-remapping":"true","strict-transport-security":"max-age=31536000; includeSubDomains; preload","via":"1.1 Caddy","x-api-request-id":"20260424144554418311317qWHtXhrt","x-content-type-options":"nosniff","x-frame-options":"SAMEORIGIN","x-ms-client-request-id":"Not-Set","x-ms-is-spilled-over":"false","x-ms-rai-invoked":"true","x-ms-region":"East US 2","x-new-api-version":"0.4.39","x-oneapi-request-id":"202604240645543440840898268d9d6UXBPzb3t","x-ratelimit-abusepenalty-active":"False","x-ratelimit-limit-requests":"50","x-ratelimit-limit-tokens":"50000","x-ratelimit-remaining-requests":"49","x-ratelimit-remaining-tokens":"47499","x-ratelimit-renewalperiod-requests":"60","x-ratelimit-renewalperiod-tokens":"60","x-ratelimit-reset-requests":"1200","x-ratelimit-reset-tokens":"3001","x-request-id":"e71b22f2-283d-426c-929d-9c43c4f27726"}</t>
        </is>
      </c>
      <c r="N118" t="inlineStr">
        <is>
          <t>Montblanc Black-Gold Classic Fountain Pen: sleek black resin with gold-plated trims, smooth writing flow and timeless German craftsmanship, ideal for professionals and luxury collectors.</t>
        </is>
      </c>
      <c r="O118" t="inlineStr">
        <is>
          <t>{"id":"chatcmpl-DY57k1HSEJ2Tz2J9ytLh9GajsWA68","object":"chat.completion","created":1777015220,"model":"gpt-5-chat-latest","choices":[{"index":0,"message":{"role":"assistant","content":"Montblanc,Writing Instruments,kakobuy,kakebuy2026,kekobuysheet,kakobuysheet2026,2026kakobuy,kakobuyspreadsheeet,kakobuylink,kakebuylist,Kakobuy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ad66631dec"}</t>
        </is>
      </c>
      <c r="P118" t="inlineStr">
        <is>
          <t>Montblanc,Writing Instruments,kakobuy,kakebuy2026,kekobuysheet,kakobuysheet2026,2026kakobuy,kakobuyspreadsheeet,kakobuylink,kakebuylist,Kakobuy MEGA Spreadsheet,kakobuysheetfind,kakobuysheetfind2026,2026kakobuysheetfind,kakobuysheet2026</t>
        </is>
      </c>
      <c r="Q118"/>
      <c r="R118" t="inlineStr">
        <is>
          <t>recvhju1CrkL5K</t>
        </is>
      </c>
      <c r="S118" t="inlineStr">
        <is>
          <t>montblanc-black-gold-fountain-pen-recvhju1crkl5k</t>
        </is>
      </c>
      <c r="T118"/>
      <c r="U118"/>
      <c r="V118"/>
      <c r="W118" t="inlineStr">
        <is>
          <t>{"id":"chatcmpl-DY4Gz0aaJBl8tu8kNuN7FqN2wPnsp","object":"chat.completion","created":1777011949,"model":"gpt-5-chat-latest","choices":[{"index":0,"message":{"role":"assistant","content":"Montblanc：黑金系列经典钢笔，甄选亮黑树脂材质搭配镀金饰环，线条优雅流畅，书写顺滑，彰显德式工艺之美。商务绅士气质与现代极简风格融合，适用于男女专业场合，典藏级设计尽显奢华格调。","refusal":null,"annotations":[]},"logprobs":null,"finish_reason":"stop"}],"usage":{"prompt_tokens":1301,"completion_tokens":83,"total_tokens":1384,"prompt_tokens_details":{"cached_tokens":0,"audio_tokens":0},"completion_tokens_details":{"reasoning_tokens":0,"audio_tokens":0,"accepted_prediction_tokens":0,"rejected_prediction_tokens":0}},"service_tier":"default","system_fingerprint":"fp_ad66631dec"}</t>
        </is>
      </c>
      <c r="X118" t="inlineStr">
        <is>
          <t>Montblanc：黑金系列经典钢笔，甄选亮黑树脂材质搭配镀金饰环，线条优雅流畅，书写顺滑，彰显德式工艺之美。商务绅士气质与现代极简风格融合，适用于男女专业场合，典藏级设计尽显奢华格调。</t>
        </is>
      </c>
    </row>
    <row r="119" ht="25.5" customHeight="1">
      <c r="A119">
        <v>1654975475</v>
      </c>
      <c r="B119">
        <v>7616171959</v>
      </c>
      <c r="C119" s="2" t="str">
        <f>=HYPERLINK("https://weidian.com/item.html?itemID=7616171959", "https://weidian.com/item.html?itemID=7616171959")</f>
        <v>https://weidian.com/item.html?itemID=7616171959</v>
      </c>
      <c r="D119"/>
      <c r="E119" s="2" t="str">
        <f>=HYPERLINK("https://si.geilicdn.com/pcitem2014204438-44b60000019abb668c170a23041a_1080_1440.jpg?w=640&amp;h=640", "https://si.geilicdn.com/pcitem2014204438-44b60000019abb668c170a23041a_1080_1440.jpg?w=640&amp;h=640")</f>
        <v>https://si.geilicdn.com/pcitem2014204438-44b60000019abb668c170a23041a_1080_1440.jpg?w=640&amp;h=640</v>
      </c>
      <c r="F119" t="inlineStr">
        <is>
          <t>Accessories</t>
        </is>
      </c>
      <c r="G119" t="inlineStr">
        <is>
          <t>Montblanc</t>
        </is>
      </c>
      <c r="H119">
        <v>460</v>
      </c>
      <c r="I119">
        <v>66.67</v>
      </c>
      <c r="J119" t="inlineStr">
        <is>
          <t>{"choices":[{"finish_reason":"stop","index":0,"logprobs":null,"message":{"annotations":[],"content":"Montblanc Prestige Blue Steel Luxury Rollerball Pen","refusal":null,"role":"assistant"}}],"created":1777014234,"id":"chatcmpl-DY4rqsjvPOZAtZT4HuRiLnWHAHixL","model":"gpt-5-chat-latest","object":"chat.completion","service_tier":"default","system_fingerprint":"fp_ad66631dec","usage":{"completion_tokens":11,"completion_tokens_details":{"accepted_prediction_tokens":0,"audio_tokens":0,"reasoning_tokens":0,"rejected_prediction_tokens":0},"prompt_tokens":878,"prompt_tokens_details":{"audio_tokens":0,"cached_tokens":0},"total_tokens":889}}</t>
        </is>
      </c>
      <c r="K119" t="inlineStr">
        <is>
          <t>Montblanc Prestige Blue Steel Luxury Rollerball Pen</t>
        </is>
      </c>
      <c r="L119" t="inlineStr">
        <is>
          <t>{"choices":[{"finish_reason":"stop","index":0,"logprobs":null,"message":{"annotations":[],"content":"Montblanc Prestige Blue Steel Pen – crafted with high-gloss lacquer and stainless steel, featuring a sleek silver cap design for timeless elegance and professional style, suitable for men and women.","refusal":null,"role":"assistant"}}],"created":1777013630,"id":"chatcmpl-DY4i6I1HVjGU56tBPZGbELeJVE9gs","model":"gpt-5-chat-latest","object":"chat.completion","service_tier":"default","system_fingerprint":"fp_ad66631dec","usage":{"completion_tokens":38,"completion_tokens_details":{"accepted_prediction_tokens":0,"audio_tokens":0,"reasoning_tokens":0,"rejected_prediction_tokens":0},"prompt_tokens":892,"prompt_tokens_details":{"audio_tokens":0,"cached_tokens":0},"total_tokens":930}}</t>
        </is>
      </c>
      <c r="M119" t="inlineStr">
        <is>
          <t>{"alt-svc":"h3=\":443\"; ma=2592000","apim-request-id":"ed200a5f-1b6f-4954-9614-6ce803132098","azureml-model-session":"d20260405234249-f9874baf","cache-control":"no-cache","connection":"close","content-length":"788","content-security-policy":"frame-ancestors 'self'","content-type":"application/json","date":"Fri, 24 Apr 2026 06:53:52 GMT","server":"Caddy","skip-error-remapping":"true","strict-transport-security":"max-age=31536000; includeSubDomains; preload","via":"1.1 Caddy","x-api-request-id":"20260424145349515013328wKTqJDDj","x-content-type-options":"nosniff","x-frame-options":"SAMEORIGIN","x-ms-client-request-id":"Not-Set","x-ms-is-spilled-over":"false","x-ms-rai-invoked":"true","x-ms-region":"East US 2","x-new-api-version":"0.4.39","x-oneapi-request-id":"202604240653493768893538268d9d6IjChUnP0","x-ratelimit-abusepenalty-active":"False","x-ratelimit-limit-requests":"3850","x-ratelimit-limit-tokens":"3850000","x-ratelimit-remaining-requests":"3849","x-ratelimit-remaining-tokens":"3848346","x-ratelimit-renewalperiod-requests":"60","x-ratelimit-renewalperiod-tokens":"60","x-ratelimit-reset-requests":"15","x-ratelimit-reset-tokens":"25","x-request-id":"52cf0040-09a5-4fb7-8b7d-6a4a0ddb6ad3"}</t>
        </is>
      </c>
      <c r="N119" t="inlineStr">
        <is>
          <t>Montblanc Prestige Blue Steel Pen – crafted with high-gloss lacquer and stainless steel, featuring a sleek silver cap design for timeless elegance and professional style, suitable for men and women.</t>
        </is>
      </c>
      <c r="O119"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1777015303,"id":"chatcmpl-DY595WmUQHfOy3flVSXiCn4IrlRKi","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19" t="inlineStr">
        <is>
          <t>Montblanc,Accessories,kakobuy,kakebuy2026,kekobuysheet,kakobuysheet2026,2026kakobuy,kakobuyspreadsheeet,kakobuylink,kakebuylist,Kakobuy MEGA Spreadsheet,kakobuysheetfind,kakobuysheetfind2026,2026kakobuysheetfind,kakobuysheet2026</t>
        </is>
      </c>
      <c r="Q119"/>
      <c r="R119" t="inlineStr">
        <is>
          <t>recvhju1CrEltC</t>
        </is>
      </c>
      <c r="S119" t="inlineStr">
        <is>
          <t>montblanc-prestige-blue-steel-rollerball-recvhju1creltc</t>
        </is>
      </c>
      <c r="T119"/>
      <c r="U119"/>
      <c r="V119"/>
      <c r="W119" t="inlineStr">
        <is>
          <t>{"id":"chatcmpl-DY4C3v7MVVREwUTmfoKGvbsu0vNjh","object":"chat.completion","created":1777011643,"model":"gpt-5-chat-latest","choices":[{"index":0,"message":{"role":"assistant","content":"Montblanc：尊爵系列深蓝钢笔，甄选高光漆与精钢材质，搭配流线银饰笔帽设计，展现典雅商务风格，男女皆宜，彰显时代品味与书写格调。","refusal":null,"annotations":[]},"logprobs":null,"finish_reason":"stop"}],"usage":{"prompt_tokens":1299,"completion_tokens":59,"total_tokens":1358,"prompt_tokens_details":{"cached_tokens":0,"audio_tokens":0},"completion_tokens_details":{"reasoning_tokens":0,"audio_tokens":0,"accepted_prediction_tokens":0,"rejected_prediction_tokens":0}},"service_tier":"default","system_fingerprint":"fp_ad66631dec"}</t>
        </is>
      </c>
      <c r="X119" t="inlineStr">
        <is>
          <t>Montblanc：尊爵系列深蓝钢笔，甄选高光漆与精钢材质，搭配流线银饰笔帽设计，展现典雅商务风格，男女皆宜，彰显时代品味与书写格调。</t>
        </is>
      </c>
    </row>
    <row r="120" ht="25.5" customHeight="1">
      <c r="A120">
        <v>1654975475</v>
      </c>
      <c r="B120">
        <v>7615629011</v>
      </c>
      <c r="C120" s="2" t="str">
        <f>=HYPERLINK("https://weidian.com/item.html?itemID=7615629011", "https://weidian.com/item.html?itemID=7615629011")</f>
        <v>https://weidian.com/item.html?itemID=7615629011</v>
      </c>
      <c r="D120"/>
      <c r="E120" s="2" t="str">
        <f>=HYPERLINK("https://si.geilicdn.com/pcitem2014204438-41060000019abb66c23c0a2301b4_1283_1707.jpg?w=640&amp;h=640", "https://si.geilicdn.com/pcitem2014204438-41060000019abb66c23c0a2301b4_1283_1707.jpg?w=640&amp;h=640")</f>
        <v>https://si.geilicdn.com/pcitem2014204438-41060000019abb66c23c0a2301b4_1283_1707.jpg?w=640&amp;h=640</v>
      </c>
      <c r="F120" t="inlineStr">
        <is>
          <t>Accessories</t>
        </is>
      </c>
      <c r="G120" t="inlineStr">
        <is>
          <t>Montblanc</t>
        </is>
      </c>
      <c r="H120">
        <v>460</v>
      </c>
      <c r="I120">
        <v>66.67</v>
      </c>
      <c r="J120" t="inlineStr">
        <is>
          <t>{"choices":[{"finish_reason":"stop","index":0,"logprobs":null,"message":{"annotations":[],"content":"Montblanc Black Resin Ballpoint Pen Platinum Trim","refusal":null,"role":"assistant"}}],"created":1777014170,"id":"chatcmpl-DY4qoiT9DN9WdEmnuIdY41EiyTyXI","model":"gpt-5-chat-latest","object":"chat.completion","service_tier":"default","system_fingerprint":"fp_ad66631dec","usage":{"completion_tokens":11,"completion_tokens_details":{"accepted_prediction_tokens":0,"audio_tokens":0,"reasoning_tokens":0,"rejected_prediction_tokens":0},"prompt_tokens":878,"prompt_tokens_details":{"audio_tokens":0,"cached_tokens":0},"total_tokens":889}}</t>
        </is>
      </c>
      <c r="K120" t="inlineStr">
        <is>
          <t>Montblanc Black Resin Ballpoint Pen Platinum Trim</t>
        </is>
      </c>
      <c r="L120" t="inlineStr">
        <is>
          <t>{"id":"chatcmpl-DY4fd0e5vAdKO3KrcppuRCny1WvIc","object":"chat.completion","created":1777013477,"model":"gpt-5-chat-latest","choices":[{"index":0,"message":{"role":"assistant","content":"Montblanc Black Resin Ballpoint Pen with Platinum-Plated Detailing, Elegant Streamlined Design, Signature Brand Ring, Perfect for Modern Business Style, Ideal Gift for Men and Women.","refusal":null,"annotations":[]},"logprobs":null,"finish_reason":"stop"}],"usage":{"prompt_tokens":878,"completion_tokens":38,"total_tokens":916,"prompt_tokens_details":{"cached_tokens":0,"audio_tokens":0},"completion_tokens_details":{"reasoning_tokens":0,"audio_tokens":0,"accepted_prediction_tokens":0,"rejected_prediction_tokens":0}},"service_tier":"default","system_fingerprint":"fp_ad66631dec"}</t>
        </is>
      </c>
      <c r="M12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ma=2592000","apim-request-id":"6198c04b-44ae-40ac-a3cd-401b91594300","azureml-model-session":"d20260402075109-1fc5a0ec","cache-control":"no-cache, no-store, must-revalidate","connection":"close","content-length":"986","content-security-policy":"frame-ancestors 'self'","content-type":"application/json","date":"Fri, 24 Apr 2026 06:51:20 GMT","server":"nginx","skip-error-remapping":"true","strict-transport-security":"max-age=31536000; includeSubDomains; preload","via":"1.1 Caddy, 1.1 Caddy","x-api-request-id":"202604241451156969592788I2bmQZe","x-content-type-options":"nosniff","x-frame-options":"SAMEORIGIN","x-ms-is-spilled-over":"false","x-ms-rai-invoked":"false","x-ms-region":"Sweden Central","x-new-api-version":"0.4.39","x-oneapi-request-id":"202604240651152547259808268d9d6ZI4STZiD","x-ratelimit-abusepenalty-active":"False","x-ratelimit-limit-requests":"4998","x-ratelimit-limit-tokens":"4998000","x-ratelimit-remaining-requests":"4997","x-ratelimit-remaining-tokens":"4996360","x-ratelimit-renewalperiod-requests":"60","x-ratelimit-renewalperiod-tokens":"60","x-ratelimit-reset-requests":"12","x-ratelimit-reset-tokens":"19","x-request-id":"66f9b120-d4b6-4d3e-ba83-8127109b1b2b"}</t>
        </is>
      </c>
      <c r="N120" t="inlineStr">
        <is>
          <t>Montblanc Black Resin Ballpoint Pen with Platinum-Plated Detailing, Elegant Streamlined Design, Signature Brand Ring, Perfect for Modern Business Style, Ideal Gift for Men and Women.</t>
        </is>
      </c>
      <c r="O120"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1777014855,"id":"chatcmpl-DY51rFTqcLki4f0uKrzmiuSoPz2cB","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20" t="inlineStr">
        <is>
          <t>Montblanc,Pen,kakobuy,kakebuy2026,kekobuysheet,kakobuysheet2026,2026kakobuy,kakobuyspreadsheeet,kakobuylink,kakebuylist,Kakobuy MEGA Spreadsheet,kakobuysheetfind,kakobuysheetfind2026,2026kakobuysheetfind,kakobuysheet2026</t>
        </is>
      </c>
      <c r="Q120"/>
      <c r="R120" t="inlineStr">
        <is>
          <t>recvhju1CrJdOD</t>
        </is>
      </c>
      <c r="S120" t="inlineStr">
        <is>
          <t>montblanc-black-resin-ballpoint-pen-platinum-trim-recvhju1crjdod</t>
        </is>
      </c>
      <c r="T120"/>
      <c r="U120"/>
      <c r="V120"/>
      <c r="W120" t="inlineStr">
        <is>
          <t>{"choices":[{"finish_reason":"stop","index":0,"logprobs":null,"message":{"annotations":[],"content":"Montblanc：经典黑色树脂签字笔，铂金装饰环带品牌标识，简约流线设计展现现代商务优雅气质，男女皆宜。","refusal":null,"role":"assistant"}}],"created":1777011478,"id":"chatcmpl-DY49ODDctdShKf3LK9MzaFmI83zbp","model":"gpt-5-chat-latest","object":"chat.completion","service_tier":"default","system_fingerprint":"fp_ad66631dec","usage":{"completion_tokens":43,"completion_tokens_details":{"accepted_prediction_tokens":0,"audio_tokens":0,"reasoning_tokens":0,"rejected_prediction_tokens":0},"prompt_tokens":1303,"prompt_tokens_details":{"audio_tokens":0,"cached_tokens":0},"total_tokens":1346}}</t>
        </is>
      </c>
      <c r="X120" t="inlineStr">
        <is>
          <t>Montblanc：经典黑色树脂签字笔，铂金装饰环带品牌标识，简约流线设计展现现代商务优雅气质，男女皆宜。</t>
        </is>
      </c>
    </row>
    <row r="121" ht="25.5" customHeight="1">
      <c r="A121">
        <v>1654975475</v>
      </c>
      <c r="B121">
        <v>7619089200</v>
      </c>
      <c r="C121" s="2" t="str">
        <f>=HYPERLINK("https://weidian.com/item.html?itemID=7619089200", "https://weidian.com/item.html?itemID=7619089200")</f>
        <v>https://weidian.com/item.html?itemID=7619089200</v>
      </c>
      <c r="D121"/>
      <c r="E121" s="2" t="str">
        <f>=HYPERLINK("https://si.geilicdn.com/pcitem2014204438-2a970000019abb37c9ba0a20e672_1080_1080.jpg?w=640&amp;h=640", "https://si.geilicdn.com/pcitem2014204438-2a970000019abb37c9ba0a20e672_1080_1080.jpg?w=640&amp;h=640")</f>
        <v>https://si.geilicdn.com/pcitem2014204438-2a970000019abb37c9ba0a20e672_1080_1080.jpg?w=640&amp;h=640</v>
      </c>
      <c r="F121" t="inlineStr">
        <is>
          <t>Accessories</t>
        </is>
      </c>
      <c r="G121" t="inlineStr">
        <is>
          <t>Montblanc</t>
        </is>
      </c>
      <c r="H121">
        <v>460</v>
      </c>
      <c r="I121">
        <v>66.67</v>
      </c>
      <c r="J121" t="inlineStr">
        <is>
          <t>{"choices":[{"finish_reason":"stop","index":0,"logprobs":null,"message":{"annotations":[],"content":"Montblanc Black Silver Engraved Rollerball Pen","refusal":null,"role":"assistant"}}],"created":1777014279,"id":"chatcmpl-DY4sZ6aprdrv9n2CfJKTbc9dNWdPY","model":"gpt-5-chat-latest","object":"chat.completion","service_tier":"default","system_fingerprint":"fp_ad66631dec","usage":{"completion_tokens":12,"completion_tokens_details":{"accepted_prediction_tokens":0,"audio_tokens":0,"reasoning_tokens":0,"rejected_prediction_tokens":0},"prompt_tokens":882,"prompt_tokens_details":{"audio_tokens":0,"cached_tokens":0},"total_tokens":894}}</t>
        </is>
      </c>
      <c r="K121" t="inlineStr">
        <is>
          <t>Montblanc Black Silver Engraved Rollerball Pen</t>
        </is>
      </c>
      <c r="L121" t="inlineStr">
        <is>
          <t>{"choices":[{"finish_reason":"stop","index":0,"logprobs":null,"message":{"annotations":[],"content":"Montblanc Black Silver Engraved Rollerball Pen, chrome-plated metal with sapphire top, modern unisex design, elegant style for professionals, ideal for writing, gifting, and collectors.","refusal":null,"role":"assistant"}}],"created":1777013632,"id":"chatcmpl-DY4i8FDYZqcogC1nSMg2Hf64VdqjP","model":"gpt-5-chat-latest","object":"chat.completion","service_tier":"default","system_fingerprint":"fp_ad66631dec","usage":{"completion_tokens":40,"completion_tokens_details":{"accepted_prediction_tokens":0,"audio_tokens":0,"reasoning_tokens":0,"rejected_prediction_tokens":0},"prompt_tokens":886,"prompt_tokens_details":{"audio_tokens":0,"cached_tokens":0},"total_tokens":926}}</t>
        </is>
      </c>
      <c r="M121" t="inlineStr">
        <is>
          <t>{"alt-svc":"h3=\":443\"; ma=2592000","apim-request-id":"26439333-ca5c-4edb-b36d-26c598bcc1d1","azureml-model-session":"d20260402075109-1fc5a0ec","cache-control":"no-cache","connection":"close","content-length":"773","content-security-policy":"frame-ancestors 'self'","content-type":"application/json","date":"Fri, 24 Apr 2026 06:53:54 GMT","server":"Caddy","skip-error-remapping":"true","strict-transport-security":"max-age=31536000; includeSubDomains; preload","via":"1.1 Caddy","x-api-request-id":"20260424145351684354641KZlzxzZM","x-content-type-options":"nosniff","x-frame-options":"SAMEORIGIN","x-ms-client-request-id":"Not-Set","x-ms-is-spilled-over":"false","x-ms-rai-invoked":"true","x-ms-region":"East US 2","x-new-api-version":"0.4.39","x-oneapi-request-id":"20260424065351584705008268d9d6aofge4wD","x-ratelimit-abusepenalty-active":"False","x-ratelimit-limit-requests":"3850","x-ratelimit-limit-tokens":"3850000","x-ratelimit-remaining-requests":"3849","x-ratelimit-remaining-tokens":"3847089","x-ratelimit-renewalperiod-requests":"60","x-ratelimit-renewalperiod-tokens":"60","x-ratelimit-reset-requests":"15","x-ratelimit-reset-tokens":"45","x-request-id":"0dac6c89-0d25-45c4-b022-ee39f854f65d"}</t>
        </is>
      </c>
      <c r="N121" t="inlineStr">
        <is>
          <t>Montblanc Black Silver Engraved Rollerball Pen, chrome-plated metal with sapphire top, modern unisex design, elegant style for professionals, ideal for writing, gifting, and collectors.</t>
        </is>
      </c>
      <c r="O121" t="inlineStr">
        <is>
          <t>{"choices":[{"finish_reason":"stop","index":0,"logprobs":null,"message":{"annotations":[],"content":"Montblanc,Writing Instruments,kakobuy,kakebuy2026,kekobuysheet,kakobuysheet2026,2026kakobuy,kakobuyspreadsheeet,kakobuylink,kakebuylist,Kakobuy MEGA Spreadsheet,kakobuysheetfind,kakobuysheetfind2026,2026kakobuysheetfind,kakobuysheet2026","refusal":null,"role":"assistant"}}],"created":1777015310,"id":"chatcmpl-DY59CwOrvEbVQJlcY8Vtf8WI8na20","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121" t="inlineStr">
        <is>
          <t>Montblanc,Writing Instruments,kakobuy,kakebuy2026,kekobuysheet,kakobuysheet2026,2026kakobuy,kakobuyspreadsheeet,kakobuylink,kakebuylist,Kakobuy MEGA Spreadsheet,kakobuysheetfind,kakobuysheetfind2026,2026kakobuysheetfind,kakobuysheet2026</t>
        </is>
      </c>
      <c r="Q121"/>
      <c r="R121" t="inlineStr">
        <is>
          <t>recvhju1CrvR7J</t>
        </is>
      </c>
      <c r="S121" t="inlineStr">
        <is>
          <t>montblanc-black-silver-engraved-rollerball-recvhju1crvr7j</t>
        </is>
      </c>
      <c r="T121"/>
      <c r="U121"/>
      <c r="V121"/>
      <c r="W121" t="inlineStr">
        <is>
          <t>{"id":"chatcmpl-DY4CddIAarO8qGvQJtVTD1GDXpf1x","object":"chat.completion","created":1777011679,"model":"gpt-5-chat-latest","choices":[{"index":0,"message":{"role":"assistant","content":"Montblanc：黑银雕纹签字笔，金属镀铬材质搭配蓝宝石笔顶设计，现代绅士风格，男女皆宜，展现精英格调与收藏价值。","refusal":null,"annotations":[]},"logprobs":null,"finish_reason":"stop"}],"usage":{"prompt_tokens":1303,"completion_tokens":51,"total_tokens":1354,"prompt_tokens_details":{"cached_tokens":0,"audio_tokens":0},"completion_tokens_details":{"reasoning_tokens":0,"audio_tokens":0,"accepted_prediction_tokens":0,"rejected_prediction_tokens":0}},"service_tier":"default","system_fingerprint":"fp_ad66631dec"}</t>
        </is>
      </c>
      <c r="X121" t="inlineStr">
        <is>
          <t>Montblanc：黑银雕纹签字笔，金属镀铬材质搭配蓝宝石笔顶设计，现代绅士风格，男女皆宜，展现精英格调与收藏价值。</t>
        </is>
      </c>
    </row>
    <row r="122" ht="25.5" customHeight="1">
      <c r="A122">
        <v>1654975475</v>
      </c>
      <c r="B122">
        <v>7619151712</v>
      </c>
      <c r="C122" s="2" t="str">
        <f>=HYPERLINK("https://weidian.com/item.html?itemID=7619151712", "https://weidian.com/item.html?itemID=7619151712")</f>
        <v>https://weidian.com/item.html?itemID=7619151712</v>
      </c>
      <c r="D122"/>
      <c r="E122" s="2" t="str">
        <f>=HYPERLINK("https://si.geilicdn.com/pcitem2014204438-35f60000019abb3d8f980a2303ee_1080_1080.jpg?w=640&amp;h=640", "https://si.geilicdn.com/pcitem2014204438-35f60000019abb3d8f980a2303ee_1080_1080.jpg?w=640&amp;h=640")</f>
        <v>https://si.geilicdn.com/pcitem2014204438-35f60000019abb3d8f980a2303ee_1080_1080.jpg?w=640&amp;h=640</v>
      </c>
      <c r="F122" t="inlineStr">
        <is>
          <t>Accessories</t>
        </is>
      </c>
      <c r="G122" t="inlineStr">
        <is>
          <t>Montblanc</t>
        </is>
      </c>
      <c r="H122">
        <v>460</v>
      </c>
      <c r="I122">
        <v>66.67</v>
      </c>
      <c r="J122" t="inlineStr">
        <is>
          <t>{"choices":[{"finish_reason":"stop","index":0,"logprobs":null,"message":{"annotations":[],"content":"Montblanc Lago Black Silver Luxury Engraved Ballpoint Pen","refusal":null,"role":"assistant"}}],"created":1777014339,"id":"chatcmpl-DY4tXFFdbE7ZvVftPfVtLb6B1kik7","model":"gpt-5-chat-latest","object":"chat.completion","service_tier":"default","system_fingerprint":"fp_ad66631dec","usage":{"completion_tokens":14,"completion_tokens_details":{"accepted_prediction_tokens":0,"audio_tokens":0,"reasoning_tokens":0,"rejected_prediction_tokens":0},"prompt_tokens":884,"prompt_tokens_details":{"audio_tokens":0,"cached_tokens":0},"total_tokens":898}}</t>
        </is>
      </c>
      <c r="K122" t="inlineStr">
        <is>
          <t>Montblanc Lago Black Silver Luxury Engraved Ballpoint Pen</t>
        </is>
      </c>
      <c r="L122" t="inlineStr">
        <is>
          <t>{"id":"chatcmpl-DY4dLJ1VMJW3YIP5h9f7c6PZdD6nD","object":"chat.completion","created":1777013335,"model":"gpt-5-chat-latest","choices":[{"index":0,"message":{"role":"assistant","content":"Montblanc Lago Black Silver Engraved Ballpoint Pen, crafted from premium metal with elegant lines and blue crystal cap accent. A luxury German design for business style, perfect for men and women.","refusal":null,"annotations":[]},"logprobs":null,"finish_reason":"stop"}],"usage":{"prompt_tokens":913,"completion_tokens":41,"total_tokens":954,"prompt_tokens_details":{"cached_tokens":0,"audio_tokens":0},"completion_tokens_details":{"reasoning_tokens":0,"audio_tokens":0,"accepted_prediction_tokens":0,"rejected_prediction_tokens":0}},"service_tier":"default","system_fingerprint":"fp_ad66631dec"}</t>
        </is>
      </c>
      <c r="M12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ma=2592000","apim-request-id":"afaaf118-8a91-4467-8afd-a02913aa2a54","azureml-model-session":"d20260405221325-2e8d5e76","cache-control":"no-cache, no-store, must-revalidate","connection":"close","content-length":"1000","content-security-policy":"frame-ancestors 'self'","content-type":"application/json","date":"Fri, 24 Apr 2026 06:48:56 GMT","server":"Caddy","skip-error-remapping":"true","strict-transport-security":"max-age=31536000; includeSubDomains; preload","via":"1.1 Caddy","x-api-request-id":"20260424144854646871277pqxAWaGr","x-content-type-options":"nosniff","x-frame-options":"SAMEORIGIN","x-ms-is-spilled-over":"false","x-ms-rai-invoked":"false","x-ms-region":"East US 2","x-new-api-version":"0.4.39","x-oneapi-request-id":"202604240648543224050568268d9d6HcsiYV8L","x-ratelimit-abusepenalty-active":"False","x-ratelimit-limit-requests":"4992","x-ratelimit-limit-tokens":"4992000","x-ratelimit-remaining-requests":"4991","x-ratelimit-remaining-tokens":"4990325","x-ratelimit-renewalperiod-requests":"60","x-ratelimit-renewalperiod-tokens":"60","x-ratelimit-reset-requests":"12","x-ratelimit-reset-tokens":"20","x-request-id":"702aab04-bb11-462b-b9df-531d2e5eb4c9"}</t>
        </is>
      </c>
      <c r="N122" t="inlineStr">
        <is>
          <t>Montblanc Lago Black Silver Engraved Ballpoint Pen, crafted from premium metal with elegant lines and blue crystal cap accent. A luxury German design for business style, perfect for men and women.</t>
        </is>
      </c>
      <c r="O122"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1777015319,"id":"chatcmpl-DY59LqToAn8lwqhlvTK89SEhVlFWI","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22" t="inlineStr">
        <is>
          <t>Montblanc,Pen,kakobuy,kakebuy2026,kekobuysheet,kakobuysheet2026,2026kakobuy,kakobuyspreadsheeet,kakobuylink,kakebuylist,Kakobuy MEGA Spreadsheet,kakobuysheetfind,kakobuysheetfind2026,2026kakobuysheetfind,kakobuysheet2026</t>
        </is>
      </c>
      <c r="Q122"/>
      <c r="R122" t="inlineStr">
        <is>
          <t>recvhju1Crc45e</t>
        </is>
      </c>
      <c r="S122" t="inlineStr">
        <is>
          <t>montblanc-lago-black-silver-engraved-ballpoint-recvhju1crc45e</t>
        </is>
      </c>
      <c r="T122"/>
      <c r="U122"/>
      <c r="V122"/>
      <c r="W122" t="inlineStr">
        <is>
          <t>{"choices":[{"finish_reason":"stop","index":0,"logprobs":null,"message":{"annotations":[],"content":"Montblanc：Lago系列黑银色雕花圆珠笔，甄选金属材质打造，笔身线条优雅，笔帽点缀蓝色晶饰，展现德式精工美学。商务绅士风格，男女皆宜，兼具实用与收藏价值，彰显高端品味。","refusal":null,"role":"assistant"}}],"created":1777011867,"id":"chatcmpl-DY4FfS7CLFVuhXwdRsKIKlqlfWBsl","model":"gpt-5-chat-latest","object":"chat.completion","service_tier":"default","system_fingerprint":"fp_ad66631dec","usage":{"completion_tokens":78,"completion_tokens_details":{"accepted_prediction_tokens":0,"audio_tokens":0,"reasoning_tokens":0,"rejected_prediction_tokens":0},"prompt_tokens":1303,"prompt_tokens_details":{"audio_tokens":0,"cached_tokens":0},"total_tokens":1381}}</t>
        </is>
      </c>
      <c r="X122" t="inlineStr">
        <is>
          <t>Montblanc：Lago系列黑银色雕花圆珠笔，甄选金属材质打造，笔身线条优雅，笔帽点缀蓝色晶饰，展现德式精工美学。商务绅士风格，男女皆宜，兼具实用与收藏价值，彰显高端品味。</t>
        </is>
      </c>
    </row>
    <row r="123" ht="25.5" customHeight="1">
      <c r="A123">
        <v>1654975475</v>
      </c>
      <c r="B123">
        <v>7619101204</v>
      </c>
      <c r="C123" s="2" t="str">
        <f>=HYPERLINK("https://weidian.com/item.html?itemID=7619101204", "https://weidian.com/item.html?itemID=7619101204")</f>
        <v>https://weidian.com/item.html?itemID=7619101204</v>
      </c>
      <c r="D123"/>
      <c r="E123" s="2" t="str">
        <f>=HYPERLINK("https://si.geilicdn.com/pcitem2014204438-2f720000019abb30efae0a210256_1080_1080.jpg?w=640&amp;h=640", "https://si.geilicdn.com/pcitem2014204438-2f720000019abb30efae0a210256_1080_1080.jpg?w=640&amp;h=640")</f>
        <v>https://si.geilicdn.com/pcitem2014204438-2f720000019abb30efae0a210256_1080_1080.jpg?w=640&amp;h=640</v>
      </c>
      <c r="F123" t="inlineStr">
        <is>
          <t>Accessories</t>
        </is>
      </c>
      <c r="G123" t="inlineStr">
        <is>
          <t>Montblanc</t>
        </is>
      </c>
      <c r="H123">
        <v>460</v>
      </c>
      <c r="I123">
        <v>66.67</v>
      </c>
      <c r="J123" t="inlineStr">
        <is>
          <t>{"choices":[{"finish_reason":"stop","index":0,"logprobs":null,"message":{"annotations":[],"content":"Montblanc Black Heritage Platinum Lacquer Signature Pen","refusal":null,"role":"assistant"}}],"created":1777014454,"id":"chatcmpl-DY4vOSS1DeS50othK802cIvyUb4L2","model":"gpt-5-chat-latest","object":"chat.completion","service_tier":"default","system_fingerprint":"fp_ad66631dec","usage":{"completion_tokens":11,"completion_tokens_details":{"accepted_prediction_tokens":0,"audio_tokens":0,"reasoning_tokens":0,"rejected_prediction_tokens":0},"prompt_tokens":876,"prompt_tokens_details":{"audio_tokens":0,"cached_tokens":0},"total_tokens":887}}</t>
        </is>
      </c>
      <c r="K123" t="inlineStr">
        <is>
          <t>Montblanc Black Heritage Platinum Lacquer Signature Pen</t>
        </is>
      </c>
      <c r="L123" t="inlineStr">
        <is>
          <t>{"choices":[{"finish_reason":"stop","index":0,"logprobs":null,"message":{"annotations":[],"content":"Montblanc Black Heritage Signature Pen – crafted with high-gloss lacquer and platinum-plated details, showcasing sleek design, timeless elegance, and professional style for modern men and women.","refusal":null,"role":"assistant"}}],"created":1777013572,"id":"chatcmpl-DY4hAuCi67HSITjl8LjDqvIT4C4lr","model":"gpt-5-chat-latest","object":"chat.completion","service_tier":"default","system_fingerprint":"fp_ad66631dec","usage":{"completion_tokens":37,"completion_tokens_details":{"accepted_prediction_tokens":0,"audio_tokens":0,"reasoning_tokens":0,"rejected_prediction_tokens":0},"prompt_tokens":901,"prompt_tokens_details":{"audio_tokens":0,"cached_tokens":0},"total_tokens":938}}</t>
        </is>
      </c>
      <c r="M123" t="inlineStr">
        <is>
          <t>{"alt-svc":"h3=\":443\"; ma=2592000","apim-request-id":"b93846da-2cfc-467d-931b-2fac70d075aa","azureml-model-session":"d20260405221325-2e8d5e76","cache-control":"no-cache","connection":"close","content-length":"784","content-security-policy":"frame-ancestors 'self'","content-type":"application/json","date":"Fri, 24 Apr 2026 06:52:53 GMT","server":"nginx","skip-error-remapping":"true","strict-transport-security":"max-age=31536000; includeSubDomains; preload","via":"1.1 Caddy, 1.1 Caddy","x-api-request-id":"20260424145251524176400wzo9W4Vo","x-content-type-options":"nosniff","x-frame-options":"SAMEORIGIN","x-ms-client-request-id":"Not-Set","x-ms-is-spilled-over":"false","x-ms-rai-invoked":"true","x-ms-region":"East US 2","x-new-api-version":"0.4.39","x-oneapi-request-id":"202604240652511269337688268d9d6WViZGCYk","x-ratelimit-abusepenalty-active":"False","x-ratelimit-limit-requests":"3850","x-ratelimit-limit-tokens":"3850000","x-ratelimit-remaining-requests":"3849","x-ratelimit-remaining-tokens":"3848337","x-ratelimit-renewalperiod-requests":"60","x-ratelimit-renewalperiod-tokens":"60","x-ratelimit-reset-requests":"15","x-ratelimit-reset-tokens":"25","x-request-id":"cbad0606-c4fa-479e-9ddc-3a7bda37355f"}</t>
        </is>
      </c>
      <c r="N123" t="inlineStr">
        <is>
          <t>Montblanc Black Heritage Signature Pen – crafted with high-gloss lacquer and platinum-plated details, showcasing sleek design, timeless elegance, and professional style for modern men and women.</t>
        </is>
      </c>
      <c r="O123"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1777015067,"id":"chatcmpl-DY55HboKLpIX4X299SIiSbLf7BlVM","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23" t="inlineStr">
        <is>
          <t>Montblanc,Accessories,kakobuy,kakebuy2026,kekobuysheet,kakobuysheet2026,2026kakobuy,kakobuyspreadsheeet,kakobuylink,kakebuylist,Kakobuy MEGA Spreadsheet,kakobuysheetfind,kakobuysheetfind2026,2026kakobuysheetfind,kakobuysheet2026</t>
        </is>
      </c>
      <c r="Q123"/>
      <c r="R123" t="inlineStr">
        <is>
          <t>recvhju1CrrrhN</t>
        </is>
      </c>
      <c r="S123" t="inlineStr">
        <is>
          <t>montblanc-black-heritage-platinum-lacquer-signature-pen-recvhju1crrrhn</t>
        </is>
      </c>
      <c r="T123"/>
      <c r="U123"/>
      <c r="V123"/>
      <c r="W123" t="inlineStr">
        <is>
          <t>{"id":"chatcmpl-DY49ch3cHfRazVwANMmnhOfTqQH77","object":"chat.completion","created":1777011492,"model":"gpt-5-chat-latest","choices":[{"index":0,"message":{"role":"assistant","content":"Montblanc：黑色典藏系列签字笔，采用高光漆与铂金镀层设计，呈现优雅商务风格。笔身流线造型彰显品牌精湛工艺，男女皆宜，展现现代绅士品味与专业格调。","refusal":null,"annotations":[]},"logprobs":null,"finish_reason":"stop"}],"usage":{"prompt_tokens":1299,"completion_tokens":68,"total_tokens":1367,"prompt_tokens_details":{"cached_tokens":0,"audio_tokens":0},"completion_tokens_details":{"reasoning_tokens":0,"audio_tokens":0,"accepted_prediction_tokens":0,"rejected_prediction_tokens":0}},"service_tier":"default","system_fingerprint":"fp_ad66631dec"}</t>
        </is>
      </c>
      <c r="X123" t="inlineStr">
        <is>
          <t>Montblanc：黑色典藏系列签字笔，采用高光漆与铂金镀层设计，呈现优雅商务风格。笔身流线造型彰显品牌精湛工艺，男女皆宜，展现现代绅士品味与专业格调。</t>
        </is>
      </c>
    </row>
    <row r="124" ht="25.5" customHeight="1">
      <c r="A124">
        <v>1654975475</v>
      </c>
      <c r="B124">
        <v>7619075566</v>
      </c>
      <c r="C124" s="2" t="str">
        <f>=HYPERLINK("https://weidian.com/item.html?itemID=7619075566", "https://weidian.com/item.html?itemID=7619075566")</f>
        <v>https://weidian.com/item.html?itemID=7619075566</v>
      </c>
      <c r="D124"/>
      <c r="E124" s="2" t="str">
        <f>=HYPERLINK("https://si.geilicdn.com/pcitem2014204438-30af0000019abb6020440a239646_1080_1080.jpg?w=640&amp;h=640", "https://si.geilicdn.com/pcitem2014204438-30af0000019abb6020440a239646_1080_1080.jpg?w=640&amp;h=640")</f>
        <v>https://si.geilicdn.com/pcitem2014204438-30af0000019abb6020440a239646_1080_1080.jpg?w=640&amp;h=640</v>
      </c>
      <c r="F124" t="inlineStr">
        <is>
          <t>Accessories</t>
        </is>
      </c>
      <c r="G124" t="inlineStr">
        <is>
          <t>Montblanc</t>
        </is>
      </c>
      <c r="H124">
        <v>460</v>
      </c>
      <c r="I124">
        <v>66.67</v>
      </c>
      <c r="J124" t="inlineStr">
        <is>
          <t>{"id":"chatcmpl-DY4uaupt08e3GwKF1OrtLh5bOy9pu","object":"chat.completion","created":1777014404,"model":"gpt-5-chat-latest","choices":[{"index":0,"message":{"role":"assistant","content":"Montblanc Lago Red Wine Rollerball Pen","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124" t="inlineStr">
        <is>
          <t>Montblanc Lago Red Wine Rollerball Pen</t>
        </is>
      </c>
      <c r="L124" t="inlineStr">
        <is>
          <t>{"choices":[{"finish_reason":"stop","index":0,"logprobs":null,"message":{"annotations":[],"content":"Montblanc Lago Red Wine Rollerball Pen – sleek resin body with chrome accents, smooth writing luxury design for men and women, elegant modern business style that defines refined taste.","refusal":null,"role":"assistant"}}],"created":1777013506,"id":"chatcmpl-DY4g6NHQ95o4HyCbwErDxhHfJBdW1","model":"gpt-5-chat-latest","object":"chat.completion","service_tier":"default","system_fingerprint":"fp_ad66631dec","usage":{"completion_tokens":36,"completion_tokens_details":{"accepted_prediction_tokens":0,"audio_tokens":0,"reasoning_tokens":0,"rejected_prediction_tokens":0},"prompt_tokens":894,"prompt_tokens_details":{"audio_tokens":0,"cached_tokens":0},"total_tokens":930}}</t>
        </is>
      </c>
      <c r="M124" t="inlineStr">
        <is>
          <t>{"alt-svc":"h3=\":443\"; ma=2592000","apim-request-id":"7bb94da9-92a4-4929-aebb-ef09b369a48a","azureml-model-session":"d20260405221325-2e8d5e76","cache-control":"no-cache","connection":"close","content-length":"774","content-security-policy":"frame-ancestors 'self'","content-type":"application/json","date":"Fri, 24 Apr 2026 06:51:47 GMT","server":"Caddy","skip-error-remapping":"true","strict-transport-security":"max-age=31536000; includeSubDomains; preload","via":"1.1 Caddy","x-api-request-id":"20260424145145397518316qAwzuplW","x-content-type-options":"nosniff","x-frame-options":"SAMEORIGIN","x-ms-client-request-id":"Not-Set","x-ms-is-spilled-over":"false","x-ms-rai-invoked":"true","x-ms-region":"East US 2","x-new-api-version":"0.4.39","x-oneapi-request-id":"202604240651452287365308268d9d6gZvN16KS","x-ratelimit-abusepenalty-active":"False","x-ratelimit-limit-requests":"3850","x-ratelimit-limit-tokens":"3850000","x-ratelimit-remaining-requests":"3849","x-ratelimit-remaining-tokens":"3848344","x-ratelimit-renewalperiod-requests":"60","x-ratelimit-renewalperiod-tokens":"60","x-ratelimit-reset-requests":"15","x-ratelimit-reset-tokens":"25","x-request-id":"bd364bd1-f4d6-49d7-8858-f5bb5de6e3f0"}</t>
        </is>
      </c>
      <c r="N124" t="inlineStr">
        <is>
          <t>Montblanc Lago Red Wine Rollerball Pen – sleek resin body with chrome accents, smooth writing luxury design for men and women, elegant modern business style that defines refined taste.</t>
        </is>
      </c>
      <c r="O124"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1777014885,"id":"chatcmpl-DY52L1f86KUg6ijBz73Mn6S9YQltf","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24" t="inlineStr">
        <is>
          <t>Montblanc,Accessories,kakobuy,kakebuy2026,kekobuysheet,kakobuysheet2026,2026kakobuy,kakobuyspreadsheeet,kakobuylink,kakebuylist,Kakobuy MEGA Spreadsheet,kakobuysheetfind,kakobuysheetfind2026,2026kakobuysheetfind,kakobuysheet2026</t>
        </is>
      </c>
      <c r="Q124"/>
      <c r="R124" t="inlineStr">
        <is>
          <t>recvhju1CrVv4X</t>
        </is>
      </c>
      <c r="S124" t="inlineStr">
        <is>
          <t>montblanc-lago-red-wine-recvhju1crvv4x</t>
        </is>
      </c>
      <c r="T124"/>
      <c r="U124"/>
      <c r="V124"/>
      <c r="W124" t="inlineStr">
        <is>
          <t>{"choices":[{"finish_reason":"stop","index":0,"logprobs":null,"message":{"annotations":[],"content":"Montblanc：红酒色Lago系列签字笔，精致树脂笔身搭配镀铬金属笔环，流线设计尽显高雅格调，男女皆宜，现代商务风格书写顺滑，彰显优雅品味。","refusal":null,"role":"assistant"}}],"created":1777011531,"id":"chatcmpl-DY4AF22mZk1TXH8KDKZWCTjTrQ3oe","model":"gpt-5-chat-latest","object":"chat.completion","service_tier":"default","system_fingerprint":"fp_ad66631dec","usage":{"completion_tokens":62,"completion_tokens_details":{"accepted_prediction_tokens":0,"audio_tokens":0,"reasoning_tokens":0,"rejected_prediction_tokens":0},"prompt_tokens":1297,"prompt_tokens_details":{"audio_tokens":0,"cached_tokens":0},"total_tokens":1359}}</t>
        </is>
      </c>
      <c r="X124" t="inlineStr">
        <is>
          <t>Montblanc：红酒色Lago系列签字笔，精致树脂笔身搭配镀铬金属笔环，流线设计尽显高雅格调，男女皆宜，现代商务风格书写顺滑，彰显优雅品味。</t>
        </is>
      </c>
    </row>
    <row r="125" ht="25.5" customHeight="1">
      <c r="A125">
        <v>1654975475</v>
      </c>
      <c r="B125">
        <v>7619189686</v>
      </c>
      <c r="C125" s="2" t="str">
        <f>=HYPERLINK("https://weidian.com/item.html?itemID=7619189686", "https://weidian.com/item.html?itemID=7619189686")</f>
        <v>https://weidian.com/item.html?itemID=7619189686</v>
      </c>
      <c r="D125"/>
      <c r="E125" s="2" t="str">
        <f>=HYPERLINK("https://si.geilicdn.com/pcitem2014204438-3ed50000019abb615c300a20e284_1023_1373.jpg?w=640&amp;h=640", "https://si.geilicdn.com/pcitem2014204438-3ed50000019abb615c300a20e284_1023_1373.jpg?w=640&amp;h=640")</f>
        <v>https://si.geilicdn.com/pcitem2014204438-3ed50000019abb615c300a20e284_1023_1373.jpg?w=640&amp;h=640</v>
      </c>
      <c r="F125" t="inlineStr">
        <is>
          <t>Accessories</t>
        </is>
      </c>
      <c r="G125" t="inlineStr">
        <is>
          <t>Montblanc</t>
        </is>
      </c>
      <c r="H125">
        <v>460</v>
      </c>
      <c r="I125">
        <v>66.67</v>
      </c>
      <c r="J125" t="inlineStr">
        <is>
          <t>{"choices":[{"finish_reason":"stop","index":0,"logprobs":null,"message":{"annotations":[],"content":"Montblanc Silver Snake Pen Stainless Steel Luxury","refusal":null,"role":"assistant"}}],"created":1777014218,"id":"chatcmpl-DY4raSw4cTc1k5MKNOEVG4DLZzdK2","model":"gpt-5-chat-latest","object":"chat.completion","service_tier":"default","system_fingerprint":"fp_ad66631dec","usage":{"completion_tokens":10,"completion_tokens_details":{"accepted_prediction_tokens":0,"audio_tokens":0,"reasoning_tokens":0,"rejected_prediction_tokens":0},"prompt_tokens":878,"prompt_tokens_details":{"audio_tokens":0,"cached_tokens":0},"total_tokens":888}}</t>
        </is>
      </c>
      <c r="K125" t="inlineStr">
        <is>
          <t>Montblanc Silver Snake Pen Stainless Steel Luxury</t>
        </is>
      </c>
      <c r="L125" t="inlineStr">
        <is>
          <t>{"choices":[{"finish_reason":"stop","index":0,"logprobs":null,"message":{"annotations":[],"content":"Montblanc Silver Snake Engraved Pen – Brushed Stainless Steel barrel with rare metal accents, elegant collectible design for men and women, embodying luxury craftsmanship and timeless business style.","refusal":null,"role":"assistant"}}],"created":1777013602,"id":"chatcmpl-DY4hegCksTX6YJ1XV5ASLkhn0Rqa8","model":"gpt-5-chat-latest","object":"chat.completion","service_tier":"default","system_fingerprint":"fp_ad66631dec","usage":{"completion_tokens":38,"completion_tokens_details":{"accepted_prediction_tokens":0,"audio_tokens":0,"reasoning_tokens":0,"rejected_prediction_tokens":0},"prompt_tokens":900,"prompt_tokens_details":{"audio_tokens":0,"cached_tokens":0},"total_tokens":938}}</t>
        </is>
      </c>
      <c r="M125" t="inlineStr">
        <is>
          <t>{"alt-svc":"h3=\":443\"; ma=2592000","apim-request-id":"7db08c57-9d88-4777-9a77-ed45a5d00a4f","azureml-model-session":"d20260405221325-2e8d5e76","cache-control":"no-cache","connection":"close","content-length":"789","content-security-policy":"frame-ancestors 'self'","content-type":"application/json","date":"Fri, 24 Apr 2026 06:53:23 GMT","server":"nginx","skip-error-remapping":"true","strict-transport-security":"max-age=31536000; includeSubDomains; preload","via":"1.1 Caddy, 1.1 Caddy","x-api-request-id":"20260424145321193947417ioKygOHT","x-content-type-options":"nosniff","x-frame-options":"SAMEORIGIN","x-ms-client-request-id":"Not-Set","x-ms-is-spilled-over":"false","x-ms-rai-invoked":"true","x-ms-region":"East US 2","x-new-api-version":"0.4.39","x-oneapi-request-id":"20260424065321593146818268d9d6KyYnOZdh","x-ratelimit-abusepenalty-active":"False","x-ratelimit-limit-requests":"3850","x-ratelimit-limit-tokens":"3850000","x-ratelimit-remaining-requests":"3849","x-ratelimit-remaining-tokens":"3848338","x-ratelimit-renewalperiod-requests":"60","x-ratelimit-renewalperiod-tokens":"60","x-ratelimit-reset-requests":"15","x-ratelimit-reset-tokens":"25","x-request-id":"e6ce96bf-1e2c-488f-b764-1779542acbd3"}</t>
        </is>
      </c>
      <c r="N125" t="inlineStr">
        <is>
          <t>Montblanc Silver Snake Engraved Pen – Brushed Stainless Steel barrel with rare metal accents, elegant collectible design for men and women, embodying luxury craftsmanship and timeless business style.</t>
        </is>
      </c>
      <c r="O125"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1777014996,"id":"chatcmpl-DY548CBv6f5XGm8GzF2avmtOHDOgG","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25" t="inlineStr">
        <is>
          <t>Montblanc,Accessories,kakobuy,kakebuy2026,kekobuysheet,kakobuysheet2026,2026kakobuy,kakobuyspreadsheeet,kakobuylink,kakebuylist,Kakobuy MEGA Spreadsheet,kakobuysheetfind,kakobuysheetfind2026,2026kakobuysheetfind,kakobuysheet2026</t>
        </is>
      </c>
      <c r="Q125"/>
      <c r="R125" t="inlineStr">
        <is>
          <t>recvhju1CrqzaA</t>
        </is>
      </c>
      <c r="S125" t="inlineStr">
        <is>
          <t>montblanc-silver-snake-pen-recvhju1crqzaa</t>
        </is>
      </c>
      <c r="T125"/>
      <c r="U125"/>
      <c r="V125"/>
      <c r="W125" t="inlineStr">
        <is>
          <t>{"choices":[{"finish_reason":"stop","index":0,"logprobs":null,"message":{"annotations":[],"content":"Montblanc：银色蛇形雕纹签字笔，采用拉丝不锈钢笔身与珍稀金属装饰，造型雅致典藏感强，商务绅士风格，男女皆宜，彰显品牌高端工艺与独特设计美学。","refusal":null,"role":"assistant"}}],"created":1777011999,"id":"chatcmpl-DY4Hn47z3BWTo5ROc94rZjdM85MFu","model":"gpt-5-chat-latest","object":"chat.completion","service_tier":"default","system_fingerprint":"fp_ad66631dec","usage":{"completion_tokens":67,"completion_tokens_details":{"accepted_prediction_tokens":0,"audio_tokens":0,"reasoning_tokens":0,"rejected_prediction_tokens":0},"prompt_tokens":1299,"prompt_tokens_details":{"audio_tokens":0,"cached_tokens":0},"total_tokens":1366}}</t>
        </is>
      </c>
      <c r="X125" t="inlineStr">
        <is>
          <t>Montblanc：银色蛇形雕纹签字笔，采用拉丝不锈钢笔身与珍稀金属装饰，造型雅致典藏感强，商务绅士风格，男女皆宜，彰显品牌高端工艺与独特设计美学。</t>
        </is>
      </c>
    </row>
    <row r="126" ht="25.5" customHeight="1">
      <c r="A126">
        <v>1654975475</v>
      </c>
      <c r="B126">
        <v>7619140052</v>
      </c>
      <c r="C126" s="2" t="str">
        <f>=HYPERLINK("https://weidian.com/item.html?itemID=7619140052", "https://weidian.com/item.html?itemID=7619140052")</f>
        <v>https://weidian.com/item.html?itemID=7619140052</v>
      </c>
      <c r="D126"/>
      <c r="E126" s="2" t="str">
        <f>=HYPERLINK("https://si.geilicdn.com/pcitem2014204438-40a50000019abb65d08b0a23037f_1284_1712.jpg?w=640&amp;h=640", "https://si.geilicdn.com/pcitem2014204438-40a50000019abb65d08b0a23037f_1284_1712.jpg?w=640&amp;h=640")</f>
        <v>https://si.geilicdn.com/pcitem2014204438-40a50000019abb65d08b0a23037f_1284_1712.jpg?w=640&amp;h=640</v>
      </c>
      <c r="F126" t="inlineStr">
        <is>
          <t>Accessories</t>
        </is>
      </c>
      <c r="G126" t="inlineStr">
        <is>
          <t>Montblanc</t>
        </is>
      </c>
      <c r="H126">
        <v>460</v>
      </c>
      <c r="I126">
        <v>66.67</v>
      </c>
      <c r="J126" t="inlineStr">
        <is>
          <t>{"choices":[{"finish_reason":"stop","index":0,"logprobs":null,"message":{"annotations":[],"content":"Montblanc Black Gold Ruby Luxury Fountain Pen","refusal":null,"role":"assistant"}}],"created":1777014308,"id":"chatcmpl-DY4t2NNeod1zzV5HpGX80U2Gf5EWP","model":"gpt-5-chat-latest","object":"chat.completion","service_tier":"default","system_fingerprint":"fp_ad66631dec","usage":{"completion_tokens":10,"completion_tokens_details":{"accepted_prediction_tokens":0,"audio_tokens":0,"reasoning_tokens":0,"rejected_prediction_tokens":0},"prompt_tokens":874,"prompt_tokens_details":{"audio_tokens":0,"cached_tokens":0},"total_tokens":884}}</t>
        </is>
      </c>
      <c r="K126" t="inlineStr">
        <is>
          <t>Montblanc Black Gold Ruby Luxury Fountain Pen</t>
        </is>
      </c>
      <c r="L126" t="inlineStr">
        <is>
          <t>{"choices":[{"finish_reason":"stop","index":0,"logprobs":null,"message":{"annotations":[],"content":"Montblanc Black Gold Luxury Fountain Pen, glossy lacquer finish with gold accents, ruby-inlaid clip, vintage elegance, smooth ink flow, perfect for business professionals and collectors.","refusal":null,"role":"assistant"}}],"created":1777013326,"id":"chatcmpl-DY4dCZ5JtDth6OMN9HwUcspMJki6L","model":"gpt-5-chat-latest","object":"chat.completion","service_tier":"default","system_fingerprint":"fp_ad66631dec","usage":{"completion_tokens":36,"completion_tokens_details":{"accepted_prediction_tokens":0,"audio_tokens":0,"reasoning_tokens":0,"rejected_prediction_tokens":0},"prompt_tokens":900,"prompt_tokens_details":{"audio_tokens":0,"cached_tokens":0},"total_tokens":936}}</t>
        </is>
      </c>
      <c r="M126" t="inlineStr">
        <is>
          <t>{"alt-svc":"h3=\":443\"; ma=2592000","apim-request-id":"616b2cb7-b533-43a7-bb6c-b0dd72d51c10","azureml-model-session":"d20260402083108-57a85543","cache-control":"no-cache","connection":"close","content-length":"774","content-security-policy":"frame-ancestors 'self'","content-type":"application/json","date":"Fri, 24 Apr 2026 06:48:48 GMT","server":"Caddy","skip-error-remapping":"true","strict-transport-security":"max-age=31536000; includeSubDomains; preload","via":"1.1 Caddy","x-api-request-id":"20260424144845558016909HJ0h48qe","x-content-type-options":"nosniff","x-frame-options":"SAMEORIGIN","x-ms-client-request-id":"Not-Set","x-ms-is-spilled-over":"false","x-ms-rai-invoked":"true","x-ms-region":"East US 2","x-new-api-version":"0.4.39","x-oneapi-request-id":"202604240648454597834798268d9d6ZonRwNQ2","x-ratelimit-abusepenalty-active":"False","x-ratelimit-limit-requests":"3850","x-ratelimit-limit-tokens":"3850000","x-ratelimit-remaining-requests":"3848","x-ratelimit-remaining-tokens":"3845582","x-ratelimit-renewalperiod-requests":"60","x-ratelimit-renewalperiod-tokens":"60","x-ratelimit-reset-requests":"25","x-ratelimit-reset-tokens":"68","x-request-id":"19eacef4-b8f3-47ca-ad24-3c167d2acef2"}</t>
        </is>
      </c>
      <c r="N126" t="inlineStr">
        <is>
          <t>Montblanc Black Gold Luxury Fountain Pen, glossy lacquer finish with gold accents, ruby-inlaid clip, vintage elegance, smooth ink flow, perfect for business professionals and collectors.</t>
        </is>
      </c>
      <c r="O126"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1777014926,"id":"chatcmpl-DY530P4MSLffSf2tHkbYoxusGXw1d","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26" t="inlineStr">
        <is>
          <t>Montblanc,Accessories,kakobuy,kakebuy2026,kekobuysheet,kakobuysheet2026,2026kakobuy,kakobuyspreadsheeet,kakobuylink,kakebuylist,Kakobuy MEGA Spreadsheet,kakobuysheetfind,kakobuysheetfind2026,2026kakobuysheetfind,kakobuysheet2026</t>
        </is>
      </c>
      <c r="Q126"/>
      <c r="R126" t="inlineStr">
        <is>
          <t>recvhju1CrArCt</t>
        </is>
      </c>
      <c r="S126" t="inlineStr">
        <is>
          <t>montblanc-black-gold-ruby-fountain-pen-recvhju1crarct</t>
        </is>
      </c>
      <c r="T126"/>
      <c r="U126"/>
      <c r="V126"/>
      <c r="W126" t="inlineStr">
        <is>
          <t>{"choices":[{"finish_reason":"stop","index":0,"logprobs":null,"message":{"annotations":[],"content":"Montblanc：黑金配色奢华钢笔，甄选高光漆面与镀金装饰，笔夹嵌红宝石元素，优雅复古设计，书写流畅顺滑，商务绅士与经典收藏理想之选。","refusal":null,"role":"assistant"}}],"created":1777011912,"id":"chatcmpl-DY4GO2b1cLLquvYGtNjheUEymA55B","model":"gpt-5-chat-latest","object":"chat.completion","service_tier":"default","system_fingerprint":"fp_ad66631dec","usage":{"completion_tokens":65,"completion_tokens_details":{"accepted_prediction_tokens":0,"audio_tokens":0,"reasoning_tokens":0,"rejected_prediction_tokens":0},"prompt_tokens":1303,"prompt_tokens_details":{"audio_tokens":0,"cached_tokens":0},"total_tokens":1368}}</t>
        </is>
      </c>
      <c r="X126" t="inlineStr">
        <is>
          <t>Montblanc：黑金配色奢华钢笔，甄选高光漆面与镀金装饰，笔夹嵌红宝石元素，优雅复古设计，书写流畅顺滑，商务绅士与经典收藏理想之选。</t>
        </is>
      </c>
    </row>
    <row r="127" ht="25.5" customHeight="1">
      <c r="A127">
        <v>1654975475</v>
      </c>
      <c r="B127">
        <v>7616189859</v>
      </c>
      <c r="C127" s="2" t="str">
        <f>=HYPERLINK("https://weidian.com/item.html?itemID=7616189859", "https://weidian.com/item.html?itemID=7616189859")</f>
        <v>https://weidian.com/item.html?itemID=7616189859</v>
      </c>
      <c r="D127"/>
      <c r="E127" s="2" t="str">
        <f>=HYPERLINK("https://si.geilicdn.com/pcitem2014204438-42a10000019abb6113750a8133cc_1080_1440.jpg?w=640&amp;h=640", "https://si.geilicdn.com/pcitem2014204438-42a10000019abb6113750a8133cc_1080_1440.jpg?w=640&amp;h=640")</f>
        <v>https://si.geilicdn.com/pcitem2014204438-42a10000019abb6113750a8133cc_1080_1440.jpg?w=640&amp;h=640</v>
      </c>
      <c r="F127" t="inlineStr">
        <is>
          <t>Accessories</t>
        </is>
      </c>
      <c r="G127" t="inlineStr">
        <is>
          <t>Montblanc</t>
        </is>
      </c>
      <c r="H127">
        <v>460</v>
      </c>
      <c r="I127">
        <v>66.67</v>
      </c>
      <c r="J127" t="inlineStr">
        <is>
          <t>{"choices":[{"finish_reason":"stop","index":0,"logprobs":null,"message":{"annotations":[],"content":"Montblanc Classic Black Platinum Fountain Pen","refusal":null,"role":"assistant"}}],"created":1777014430,"id":"chatcmpl-DY4v0YXGbgJ7cPnix6F6eLm38wqXZ","model":"gpt-5-chat-latest","object":"chat.completion","service_tier":"default","system_fingerprint":"fp_ad66631dec","usage":{"completion_tokens":9,"completion_tokens_details":{"accepted_prediction_tokens":0,"audio_tokens":0,"reasoning_tokens":0,"rejected_prediction_tokens":0},"prompt_tokens":862,"prompt_tokens_details":{"audio_tokens":0,"cached_tokens":0},"total_tokens":871}}</t>
        </is>
      </c>
      <c r="K127" t="inlineStr">
        <is>
          <t>Montblanc Classic Black Platinum Fountain Pen</t>
        </is>
      </c>
      <c r="L127" t="inlineStr">
        <is>
          <t>{"choices":[{"finish_reason":"stop","index":0,"logprobs":null,"message":{"annotations":[],"content":"Montblanc Classic Black Resin Fountain Pen with Platinum Accents, sleek design for men and women, smooth precise writing, showcasing elegant German craftsmanship.","refusal":null,"role":"assistant"}}],"created":1777013360,"id":"chatcmpl-DY4dkwOr5WPhRFLXbRJl3PdHcZGKi","model":"gpt-5-chat-latest","object":"chat.completion","service_tier":"default","system_fingerprint":"fp_ad66631dec","usage":{"completion_tokens":30,"completion_tokens_details":{"accepted_prediction_tokens":0,"audio_tokens":0,"reasoning_tokens":0,"rejected_prediction_tokens":0},"prompt_tokens":886,"prompt_tokens_details":{"audio_tokens":0,"cached_tokens":0},"total_tokens":916}}</t>
        </is>
      </c>
      <c r="M127" t="inlineStr">
        <is>
          <t>{"alt-svc":"h3=\":443\"; ma=2592000","apim-request-id":"5747dfb5-c271-4dcd-b168-613f73638c52","azureml-model-session":"d20260405225800-40f19e54","cache-control":"no-cache","connection":"close","content-length":"750","content-security-policy":"frame-ancestors 'self'","content-type":"application/json","date":"Fri, 24 Apr 2026 06:49:21 GMT","server":"nginx","skip-error-remapping":"true","strict-transport-security":"max-age=31536000; includeSubDomains; preload","via":"1.1 Caddy, 1.1 Caddy","x-api-request-id":"20260424144919548278580orRK3sHP","x-content-type-options":"nosniff","x-frame-options":"SAMEORIGIN","x-ms-client-request-id":"Not-Set","x-ms-is-spilled-over":"false","x-ms-rai-invoked":"true","x-ms-region":"East US 2","x-new-api-version":"0.4.39","x-oneapi-request-id":"202604240649193144966778268d9d6xNZAVolP","x-ratelimit-abusepenalty-active":"False","x-ratelimit-limit-requests":"3850","x-ratelimit-limit-tokens":"3850000","x-ratelimit-remaining-requests":"3849","x-ratelimit-remaining-tokens":"3848352","x-ratelimit-renewalperiod-requests":"60","x-ratelimit-renewalperiod-tokens":"60","x-ratelimit-reset-requests":"15","x-ratelimit-reset-tokens":"25","x-request-id":"3310a93a-ccef-40c4-8e3a-cf32cac67aff"}</t>
        </is>
      </c>
      <c r="N127" t="inlineStr">
        <is>
          <t>Montblanc Classic Black Resin Fountain Pen with Platinum Accents, sleek design for men and women, smooth precise writing, showcasing elegant German craftsmanship.</t>
        </is>
      </c>
      <c r="O127"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1777014825,"id":"chatcmpl-DY51NpgNidiKYDBhttKGeEIMUR58W","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27" t="inlineStr">
        <is>
          <t>Montblanc,Accessories,kakobuy,kakebuy2026,kekobuysheet,kakobuysheet2026,2026kakobuy,kakobuyspreadsheeet,kakobuylink,kakebuylist,Kakobuy MEGA Spreadsheet,kakobuysheetfind,kakobuysheetfind2026,2026kakobuysheetfind,kakobuysheet2026</t>
        </is>
      </c>
      <c r="Q127"/>
      <c r="R127" t="inlineStr">
        <is>
          <t>recvhju1CrKJf4</t>
        </is>
      </c>
      <c r="S127" t="inlineStr">
        <is>
          <t>montblanc-classic-black-platinum-fountain-pen-recvhju1crkjf4</t>
        </is>
      </c>
      <c r="T127"/>
      <c r="U127"/>
      <c r="V127"/>
      <c r="W127" t="inlineStr">
        <is>
          <t>{"choices":[{"finish_reason":"stop","index":0,"logprobs":null,"message":{"annotations":[],"content":"Montblanc：经典黑色树脂钢笔，铂金饰件搭配流线型设计，彰显优雅商务格调，适合男女使用，书写顺滑精准，尽显德式工艺魅力。","refusal":null,"role":"assistant"}}],"created":1777011380,"id":"chatcmpl-DY47o81oCdfqlnktWKzFnT43mLDrE","model":"gpt-5-chat-latest","object":"chat.completion","service_tier":"default","system_fingerprint":"fp_ad66631dec","usage":{"completion_tokens":53,"completion_tokens_details":{"accepted_prediction_tokens":0,"audio_tokens":0,"reasoning_tokens":0,"rejected_prediction_tokens":0},"prompt_tokens":1299,"prompt_tokens_details":{"audio_tokens":0,"cached_tokens":1280},"total_tokens":1352}}</t>
        </is>
      </c>
      <c r="X127" t="inlineStr">
        <is>
          <t>Montblanc：经典黑色树脂钢笔，铂金饰件搭配流线型设计，彰显优雅商务格调，适合男女使用，书写顺滑精准，尽显德式工艺魅力。</t>
        </is>
      </c>
    </row>
    <row r="128" ht="25.5" customHeight="1">
      <c r="A128">
        <v>1654975475</v>
      </c>
      <c r="B128">
        <v>7619169820</v>
      </c>
      <c r="C128" s="2" t="str">
        <f>=HYPERLINK("https://weidian.com/item.html?itemID=7619169820", "https://weidian.com/item.html?itemID=7619169820")</f>
        <v>https://weidian.com/item.html?itemID=7619169820</v>
      </c>
      <c r="D128"/>
      <c r="E128" s="2" t="str">
        <f>=HYPERLINK("https://si.geilicdn.com/pcitem2014204438-3adf0000019abb560de30a23037f_1440_1920.jpg?w=640&amp;h=640", "https://si.geilicdn.com/pcitem2014204438-3adf0000019abb560de30a23037f_1440_1920.jpg?w=640&amp;h=640")</f>
        <v>https://si.geilicdn.com/pcitem2014204438-3adf0000019abb560de30a23037f_1440_1920.jpg?w=640&amp;h=640</v>
      </c>
      <c r="F128" t="inlineStr">
        <is>
          <t>Accessories</t>
        </is>
      </c>
      <c r="G128" t="inlineStr">
        <is>
          <t>Cartier</t>
        </is>
      </c>
      <c r="H128">
        <v>360</v>
      </c>
      <c r="I128">
        <v>52.17</v>
      </c>
      <c r="J128" t="inlineStr">
        <is>
          <t>{"id":"chatcmpl-DY4qHK1toESLV7EPcGRfbKyUjNSQl","object":"chat.completion","created":1777014137,"model":"gpt-5-chat-latest","choices":[{"index":0,"message":{"role":"assistant","content":"Cartier Classic Silver Engraved Metal Signature Pen","refusal":null,"annotations":[]},"logprobs":null,"finish_reason":"stop"}],"usage":{"prompt_tokens":869,"completion_tokens":11,"total_tokens":880,"prompt_tokens_details":{"cached_tokens":0,"audio_tokens":0},"completion_tokens_details":{"reasoning_tokens":0,"audio_tokens":0,"accepted_prediction_tokens":0,"rejected_prediction_tokens":0}},"service_tier":"default","system_fingerprint":"fp_ad66631dec"}</t>
        </is>
      </c>
      <c r="K128" t="inlineStr">
        <is>
          <t>Cartier Classic Silver Engraved Metal Signature Pen</t>
        </is>
      </c>
      <c r="L128" t="inlineStr">
        <is>
          <t>{"choices":[{"finish_reason":"stop","index":0,"logprobs":null,"message":{"annotations":[],"content":"Cartier classic silver engraved signature pen crafted from premium metal, featuring geometric patterns and timeless French elegance. Perfect for business or gift, elegant, unisex, collectible.","refusal":null,"role":"assistant"}}],"created":1777013525,"id":"chatcmpl-DY4gPshbapLHxpSlQh9plnTn0Ybkl","model":"gpt-5-chat-latest","object":"chat.completion","service_tier":"default","system_fingerprint":"fp_ad66631dec","usage":{"completion_tokens":34,"completion_tokens_details":{"accepted_prediction_tokens":0,"audio_tokens":0,"reasoning_tokens":0,"rejected_prediction_tokens":0},"prompt_tokens":913,"prompt_tokens_details":{"audio_tokens":0,"cached_tokens":0},"total_tokens":947}}</t>
        </is>
      </c>
      <c r="M128" t="inlineStr">
        <is>
          <t>{"alt-svc":"h3=\":443\"; ma=2592000","apim-request-id":"c0330365-88b5-4a3c-b4c9-b7f335238135","azureml-model-session":"d20260402083108-57a85543","cache-control":"no-cache","connection":"close","content-length":"780","content-security-policy":"frame-ancestors 'self'","content-type":"application/json","date":"Fri, 24 Apr 2026 06:52:06 GMT","server":"Caddy","skip-error-remapping":"true","strict-transport-security":"max-age=31536000; includeSubDomains; preload","via":"1.1 Caddy","x-api-request-id":"202604241452036654769906D9xHGxj","x-content-type-options":"nosniff","x-frame-options":"SAMEORIGIN","x-ms-client-request-id":"Not-Set","x-ms-is-spilled-over":"false","x-ms-rai-invoked":"true","x-ms-region":"East US 2","x-new-api-version":"0.4.39","x-oneapi-request-id":"202604240652033485038068268d9d6OpPEdfam","x-ratelimit-abusepenalty-active":"False","x-ratelimit-limit-requests":"3850","x-ratelimit-limit-tokens":"3850000","x-ratelimit-remaining-requests":"3848","x-ratelimit-remaining-tokens":"3837541","x-ratelimit-renewalperiod-requests":"60","x-ratelimit-renewalperiod-tokens":"60","x-ratelimit-reset-requests":"26","x-ratelimit-reset-tokens":"194","x-request-id":"47827e92-0761-4bf2-9550-f8be96edc030"}</t>
        </is>
      </c>
      <c r="N128" t="inlineStr">
        <is>
          <t>Cartier classic silver engraved signature pen crafted from premium metal, featuring geometric patterns and timeless French elegance. Perfect for business or gift, elegant, unisex, collectible.</t>
        </is>
      </c>
      <c r="O128" t="inlineStr">
        <is>
          <t>{"choices":[{"finish_reason":"stop","index":0,"logprobs":null,"message":{"annotations":[],"content":"Cartier,Accessories,kakobuy,kakebuy2026,kekobuysheet,kakobuysheet2026,2026kakobuy,kakobuyspreadsheeet,kakobuylink,kakebuylist,Kakobuy MEGA Spreadsheet,kakobuysheetfind,kakobuysheetfind2026,2026kakobuysheetfind,kakobuysheet2026","refusal":null,"role":"assistant"}}],"created":1777015337,"id":"chatcmpl-DY59d3KH8omgGDK4pebOKmuhl6Min","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28" t="inlineStr">
        <is>
          <t>Cartier,Accessories,kakobuy,kakebuy2026,kekobuysheet,kakobuysheet2026,2026kakobuy,kakobuyspreadsheeet,kakobuylink,kakebuylist,Kakobuy MEGA Spreadsheet,kakobuysheetfind,kakobuysheetfind2026,2026kakobuysheetfind,kakobuysheet2026</t>
        </is>
      </c>
      <c r="Q128"/>
      <c r="R128" t="inlineStr">
        <is>
          <t>recvhju1Cr25We</t>
        </is>
      </c>
      <c r="S128" t="inlineStr">
        <is>
          <t>cartier-classic-silver-engraved-pen-recvhju1cr25we</t>
        </is>
      </c>
      <c r="T128"/>
      <c r="U128"/>
      <c r="V128"/>
      <c r="W128" t="inlineStr">
        <is>
          <t>{"choices":[{"finish_reason":"stop","index":0,"logprobs":null,"message":{"annotations":[],"content":"Cartier：经典银色雕纹签字笔，甄选高档金属材质，笔身精密镌刻几何图腾，彰显法式奢华格调。简约精致设计兼具实用与收藏价值，男女皆宜，为商务及礼赠首选，体现品牌传承的优雅艺术气质。","refusal":null,"role":"assistant"}}],"created":1777011341,"id":"chatcmpl-DY47ByO2FlMAPuTem0ILjNzevtos9","model":"gpt-5-chat-latest","object":"chat.completion","service_tier":"default","system_fingerprint":"fp_ad66631dec","usage":{"completion_tokens":80,"completion_tokens_details":{"accepted_prediction_tokens":0,"audio_tokens":0,"reasoning_tokens":0,"rejected_prediction_tokens":0},"prompt_tokens":1299,"prompt_tokens_details":{"audio_tokens":0,"cached_tokens":0},"total_tokens":1379}}</t>
        </is>
      </c>
      <c r="X128" t="inlineStr">
        <is>
          <t>Cartier：经典银色雕纹签字笔，甄选高档金属材质，笔身精密镌刻几何图腾，彰显法式奢华格调。简约精致设计兼具实用与收藏价值，男女皆宜，为商务及礼赠首选，体现品牌传承的优雅艺术气质。</t>
        </is>
      </c>
    </row>
    <row r="129" ht="25.5" customHeight="1">
      <c r="A129">
        <v>1654975475</v>
      </c>
      <c r="B129">
        <v>7619159858</v>
      </c>
      <c r="C129" s="2" t="str">
        <f>=HYPERLINK("https://weidian.com/item.html?itemID=7619159858", "https://weidian.com/item.html?itemID=7619159858")</f>
        <v>https://weidian.com/item.html?itemID=7619159858</v>
      </c>
      <c r="D129"/>
      <c r="E129" s="2" t="str">
        <f>=HYPERLINK("https://si.geilicdn.com/pcitem2014204438-3bca0000019abb5830f30a2301b4_1080_1209.jpg?w=640&amp;h=640", "https://si.geilicdn.com/pcitem2014204438-3bca0000019abb5830f30a2301b4_1080_1209.jpg?w=640&amp;h=640")</f>
        <v>https://si.geilicdn.com/pcitem2014204438-3bca0000019abb5830f30a2301b4_1080_1209.jpg?w=640&amp;h=640</v>
      </c>
      <c r="F129" t="inlineStr">
        <is>
          <t>Accessories</t>
        </is>
      </c>
      <c r="G129" t="inlineStr">
        <is>
          <t>Montblanc</t>
        </is>
      </c>
      <c r="H129">
        <v>460</v>
      </c>
      <c r="I129">
        <v>66.67</v>
      </c>
      <c r="J129" t="inlineStr">
        <is>
          <t>{"choices":[{"finish_reason":"stop","index":0,"logprobs":null,"message":{"annotations":[],"content":"Montblanc Blue Resin Luxury Ballpoint Pen","refusal":null,"role":"assistant"}}],"created":1777014427,"id":"chatcmpl-DY4uxVK8eXdZ3jCu63OBLt9GqshLF","model":"gpt-5-chat-latest","object":"chat.completion","service_tier":"default","system_fingerprint":"fp_ad66631dec","usage":{"completion_tokens":10,"completion_tokens_details":{"accepted_prediction_tokens":0,"audio_tokens":0,"reasoning_tokens":0,"rejected_prediction_tokens":0},"prompt_tokens":868,"prompt_tokens_details":{"audio_tokens":0,"cached_tokens":0},"total_tokens":878}}</t>
        </is>
      </c>
      <c r="K129" t="inlineStr">
        <is>
          <t>Montblanc Blue Resin Luxury Ballpoint Pen</t>
        </is>
      </c>
      <c r="L129" t="inlineStr">
        <is>
          <t>{"id":"chatcmpl-DY4c3QddCciOO3fV2EmPUyggf9Bly","object":"chat.completion","created":1777013255,"model":"gpt-5-chat-latest","choices":[{"index":0,"message":{"role":"assistant","content":"Montblanc Blue Resin Ballpoint Pen with sleek chrome clip, elegant minimalist design for men and women, modern business style that reflects refined luxury and professional taste.","refusal":null,"annotations":[]},"logprobs":null,"finish_reason":"stop"}],"usage":{"prompt_tokens":884,"completion_tokens":33,"total_tokens":917,"prompt_tokens_details":{"cached_tokens":0,"audio_tokens":0},"completion_tokens_details":{"reasoning_tokens":0,"audio_tokens":0,"accepted_prediction_tokens":0,"rejected_prediction_tokens":0}},"service_tier":"default","system_fingerprint":"fp_ad66631dec"}</t>
        </is>
      </c>
      <c r="M12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ma=2592000","apim-request-id":"9ff83b74-c2f5-4a66-be40-4fdfa98d9df2","azureml-model-session":"d20260402074105-51db401e","cache-control":"no-cache, no-store, must-revalidate","connection":"close","content-length":"982","content-security-policy":"frame-ancestors 'self'","content-type":"application/json","date":"Fri, 24 Apr 2026 06:47:38 GMT","server":"Caddy","skip-error-remapping":"true","strict-transport-security":"max-age=31536000; includeSubDomains; preload","via":"1.1 Caddy","x-api-request-id":"20260424144733749818821j9YnxStP","x-content-type-options":"nosniff","x-frame-options":"SAMEORIGIN","x-ms-is-spilled-over":"false","x-ms-rai-invoked":"false","x-ms-region":"Sweden Central","x-new-api-version":"0.4.39","x-oneapi-request-id":"202604240647336328298978268d9d6xFCCBkhX","x-ratelimit-abusepenalty-active":"False","x-ratelimit-limit-requests":"4998","x-ratelimit-limit-tokens":"4998000","x-ratelimit-remaining-requests":"4997","x-ratelimit-remaining-tokens":"4996354","x-ratelimit-renewalperiod-requests":"60","x-ratelimit-renewalperiod-tokens":"60","x-ratelimit-reset-requests":"12","x-ratelimit-reset-tokens":"19","x-request-id":"107f09ad-7cd5-49f4-8f9c-8976f0cacad7"}</t>
        </is>
      </c>
      <c r="N129" t="inlineStr">
        <is>
          <t>Montblanc Blue Resin Ballpoint Pen with sleek chrome clip, elegant minimalist design for men and women, modern business style that reflects refined luxury and professional taste.</t>
        </is>
      </c>
      <c r="O129"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1777015022,"id":"chatcmpl-DY54YFe0x2YO3swz3ZmB8U05qCQR7","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29" t="inlineStr">
        <is>
          <t>Montblanc,Accessories,kakobuy,kakebuy2026,kekobuysheet,kakobuysheet2026,2026kakobuy,kakobuyspreadsheeet,kakobuylink,kakebuylist,Kakobuy MEGA Spreadsheet,kakobuysheetfind,kakobuysheetfind2026,2026kakobuysheetfind,kakobuysheet2026</t>
        </is>
      </c>
      <c r="Q129"/>
      <c r="R129" t="inlineStr">
        <is>
          <t>recvhju1CrUcQp</t>
        </is>
      </c>
      <c r="S129" t="inlineStr">
        <is>
          <t>montblanc-blue-resin-luxury-ballpoint-pen-recvhju1crucqp</t>
        </is>
      </c>
      <c r="T129"/>
      <c r="U129"/>
      <c r="V129"/>
      <c r="W129" t="inlineStr">
        <is>
          <t>{"choices":[{"finish_reason":"stop","index":0,"logprobs":null,"message":{"annotations":[],"content":"Montblanc：蓝色树脂签字笔，简约流线设计搭配镀铬夹扣，质感典雅，男女皆宜，现代商务风格，彰显尊贵品味。","refusal":null,"role":"assistant"}}],"created":1777011861,"id":"chatcmpl-DY4FZg9uvVGpjr86NVLmuhZYPxzOC","model":"gpt-5-chat-latest","object":"chat.completion","service_tier":"default","system_fingerprint":"fp_ad66631dec","usage":{"completion_tokens":48,"completion_tokens_details":{"accepted_prediction_tokens":0,"audio_tokens":0,"reasoning_tokens":0,"rejected_prediction_tokens":0},"prompt_tokens":1305,"prompt_tokens_details":{"audio_tokens":0,"cached_tokens":0},"total_tokens":1353}}</t>
        </is>
      </c>
      <c r="X129" t="inlineStr">
        <is>
          <t>Montblanc：蓝色树脂签字笔，简约流线设计搭配镀铬夹扣，质感典雅，男女皆宜，现代商务风格，彰显尊贵品味。</t>
        </is>
      </c>
    </row>
    <row r="130" ht="25.5" customHeight="1">
      <c r="A130">
        <v>1654975475</v>
      </c>
      <c r="B130">
        <v>7616207709</v>
      </c>
      <c r="C130" s="2" t="str">
        <f>=HYPERLINK("https://weidian.com/item.html?itemID=7616207709", "https://weidian.com/item.html?itemID=7616207709")</f>
        <v>https://weidian.com/item.html?itemID=7616207709</v>
      </c>
      <c r="D130"/>
      <c r="E130" s="2" t="str">
        <f>=HYPERLINK("https://si.geilicdn.com/pcitem2014204438-4a2b0000019abb6284980a2315ef_1080_1080.jpg?w=640&amp;h=640", "https://si.geilicdn.com/pcitem2014204438-4a2b0000019abb6284980a2315ef_1080_1080.jpg?w=640&amp;h=640")</f>
        <v>https://si.geilicdn.com/pcitem2014204438-4a2b0000019abb6284980a2315ef_1080_1080.jpg?w=640&amp;h=640</v>
      </c>
      <c r="F130" t="inlineStr">
        <is>
          <t>Accessories</t>
        </is>
      </c>
      <c r="G130" t="inlineStr">
        <is>
          <t>Montblanc</t>
        </is>
      </c>
      <c r="H130">
        <v>476</v>
      </c>
      <c r="I130">
        <v>68.99</v>
      </c>
      <c r="J130" t="inlineStr">
        <is>
          <t>{"id":"chatcmpl-DY4sGEBEdQj1DCIiR6rri43zQTPbq","object":"chat.completion","created":1777014260,"model":"gpt-5-chat-latest","choices":[{"index":0,"message":{"role":"assistant","content":"Montblanc Black Classic Gold Nib Fountain Pen","refusal":null,"annotations":[]},"logprobs":null,"finish_reason":"stop"}],"usage":{"prompt_tokens":868,"completion_tokens":11,"total_tokens":879,"prompt_tokens_details":{"cached_tokens":0,"audio_tokens":0},"completion_tokens_details":{"reasoning_tokens":0,"audio_tokens":0,"accepted_prediction_tokens":0,"rejected_prediction_tokens":0}},"service_tier":"default","system_fingerprint":"fp_ad66631dec"}</t>
        </is>
      </c>
      <c r="K130" t="inlineStr">
        <is>
          <t>Montblanc Black Classic Gold Nib Fountain Pen</t>
        </is>
      </c>
      <c r="L130" t="inlineStr">
        <is>
          <t>{"id":"chatcmpl-DY4d3wwblpdFb1jruaYvkizDy6rHX","object":"chat.completion","created":1777013317,"model":"gpt-5-chat-latest","choices":[{"index":0,"message":{"role":"assistant","content":"Montblanc Black Classic Fountain Pen – crafted from precious resin with platinum-coated details, gold nib for smooth writing, elegant unisex design showcasing modern German craftsmanship.","refusal":null,"annotations":[]},"logprobs":null,"finish_reason":"stop"}],"usage":{"prompt_tokens":904,"completion_tokens":33,"total_tokens":937,"prompt_tokens_details":{"cached_tokens":0,"audio_tokens":0},"completion_tokens_details":{"reasoning_tokens":0,"audio_tokens":0,"accepted_prediction_tokens":0,"rejected_prediction_tokens":0}},"service_tier":"default","system_fingerprint":"fp_ad66631dec"}</t>
        </is>
      </c>
      <c r="M13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ma=2592000","apim-request-id":"2c3160dd-2611-41c8-887b-0e70a81af026","azureml-model-session":"d20260402083108-57a85543","cache-control":"no-cache, no-store, must-revalidate","connection":"close","content-length":"993","content-security-policy":"frame-ancestors 'self'","content-type":"application/json","date":"Fri, 24 Apr 2026 06:48:39 GMT","server":"Caddy","skip-error-remapping":"true","strict-transport-security":"max-age=31536000; includeSubDomains; preload","via":"1.1 Caddy","x-api-request-id":"2026042414483549748725HneyM1Ov","x-content-type-options":"nosniff","x-frame-options":"SAMEORIGIN","x-ms-is-spilled-over":"false","x-ms-rai-invoked":"false","x-ms-region":"Sweden Central","x-new-api-version":"0.4.39","x-oneapi-request-id":"202604240648334301693178268d9d6GY9zabZN","x-ratelimit-abusepenalty-active":"False","x-ratelimit-limit-requests":"4998","x-ratelimit-limit-tokens":"4998000","x-ratelimit-remaining-requests":"4997","x-ratelimit-remaining-tokens":"4995755","x-ratelimit-renewalperiod-requests":"60","x-ratelimit-renewalperiod-tokens":"60","x-ratelimit-reset-requests":"12","x-ratelimit-reset-tokens":"26","x-request-id":"1ef4bb62-196e-46fa-bc42-abc33d8930c2"}</t>
        </is>
      </c>
      <c r="N130" t="inlineStr">
        <is>
          <t>Montblanc Black Classic Fountain Pen – crafted from precious resin with platinum-coated details, gold nib for smooth writing, elegant unisex design showcasing modern German craftsmanship.</t>
        </is>
      </c>
      <c r="O130"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1777014881,"id":"chatcmpl-DY52HrzqyYL3eEKB3zXc0Pwg7JwaC","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30" t="inlineStr">
        <is>
          <t>Montblanc,Accessories,kakobuy,kakebuy2026,kekobuysheet,kakobuysheet2026,2026kakobuy,kakobuyspreadsheeet,kakobuylink,kakebuylist,Kakobuy MEGA Spreadsheet,kakobuysheetfind,kakobuysheetfind2026,2026kakobuysheetfind,kakobuysheet2026</t>
        </is>
      </c>
      <c r="Q130"/>
      <c r="R130" t="inlineStr">
        <is>
          <t>recvhju1CrHisq</t>
        </is>
      </c>
      <c r="S130" t="inlineStr">
        <is>
          <t>montblanc-black-classic-gold-nib-fountain-pen-recvhju1crhisq</t>
        </is>
      </c>
      <c r="T130"/>
      <c r="U130"/>
      <c r="V130"/>
      <c r="W130" t="inlineStr">
        <is>
          <t>{"choices":[{"finish_reason":"stop","index":0,"logprobs":null,"message":{"annotations":[],"content":"Montblanc：黑色经典系列钢笔，精制树脂笔身搭配镀铂金属饰件，流线设计彰显优雅品味，金质笔尖书写顺滑细腻，男女皆宜，现代商务风格，尽显德式工艺魅力。","refusal":null,"role":"assistant"}}],"created":1777011455,"id":"chatcmpl-DY491WrJAOVVJ1XAVUtXQxS6YpFLd","model":"gpt-5-chat-latest","object":"chat.completion","service_tier":"default","system_fingerprint":"fp_ad66631dec","usage":{"completion_tokens":69,"completion_tokens_details":{"accepted_prediction_tokens":0,"audio_tokens":0,"reasoning_tokens":0,"rejected_prediction_tokens":0},"prompt_tokens":1303,"prompt_tokens_details":{"audio_tokens":0,"cached_tokens":0},"total_tokens":1372}}</t>
        </is>
      </c>
      <c r="X130" t="inlineStr">
        <is>
          <t>Montblanc：黑色经典系列钢笔，精制树脂笔身搭配镀铂金属饰件，流线设计彰显优雅品味，金质笔尖书写顺滑细腻，男女皆宜，现代商务风格，尽显德式工艺魅力。</t>
        </is>
      </c>
    </row>
    <row r="131" ht="25.5" customHeight="1">
      <c r="A131">
        <v>1654975475</v>
      </c>
      <c r="B131">
        <v>7619171828</v>
      </c>
      <c r="C131" s="2" t="str">
        <f>=HYPERLINK("https://weidian.com/item.html?itemID=7619171828", "https://weidian.com/item.html?itemID=7619171828")</f>
        <v>https://weidian.com/item.html?itemID=7619171828</v>
      </c>
      <c r="D131"/>
      <c r="E131" s="2" t="str">
        <f>=HYPERLINK("https://si.geilicdn.com/pcitem2014204438-05df0000019abb655c430a231316_1284_1714.jpg?w=640&amp;h=640", "https://si.geilicdn.com/pcitem2014204438-05df0000019abb655c430a231316_1284_1714.jpg?w=640&amp;h=640")</f>
        <v>https://si.geilicdn.com/pcitem2014204438-05df0000019abb655c430a231316_1284_1714.jpg?w=640&amp;h=640</v>
      </c>
      <c r="F131" t="inlineStr">
        <is>
          <t>Accessories</t>
        </is>
      </c>
      <c r="G131" t="inlineStr">
        <is>
          <t>Montblanc</t>
        </is>
      </c>
      <c r="H131">
        <v>460</v>
      </c>
      <c r="I131">
        <v>66.67</v>
      </c>
      <c r="J131" t="inlineStr">
        <is>
          <t>{"choices":[{"finish_reason":"stop","index":0,"logprobs":null,"message":{"annotations":[],"content":"Montblanc White Signature Luxury Chrome Pen","refusal":null,"role":"assistant"}}],"created":1777014296,"id":"chatcmpl-DY4sqlgr39RK8Gmk8kIl12FqG1gQD","model":"gpt-5-chat-latest","object":"chat.completion","service_tier":"default","system_fingerprint":"fp_ad66631dec","usage":{"completion_tokens":9,"completion_tokens_details":{"accepted_prediction_tokens":0,"audio_tokens":0,"reasoning_tokens":0,"rejected_prediction_tokens":0},"prompt_tokens":868,"prompt_tokens_details":{"audio_tokens":0,"cached_tokens":0},"total_tokens":877}}</t>
        </is>
      </c>
      <c r="K131" t="inlineStr">
        <is>
          <t>Montblanc White Signature Luxury Chrome Pen</t>
        </is>
      </c>
      <c r="L131" t="inlineStr">
        <is>
          <t>{"choices":[{"finish_reason":"stop","index":0,"logprobs":null,"message":{"annotations":[],"content":"Montblanc White Signature Pen – Elegant German craftsmanship meets modern minimalist design, sleek white barrel with chrome accents, perfect luxury writing instrument for business or everyday use.","refusal":null,"role":"assistant"}}],"created":1777013313,"id":"chatcmpl-DY4czHVUEJ6PueQbd0tp4PG0oKy6m","model":"gpt-5-chat-latest","object":"chat.completion","service_tier":"default","system_fingerprint":"fp_ad66631dec","usage":{"completion_tokens":33,"completion_tokens_details":{"accepted_prediction_tokens":0,"audio_tokens":0,"reasoning_tokens":0,"rejected_prediction_tokens":0},"prompt_tokens":889,"prompt_tokens_details":{"audio_tokens":0,"cached_tokens":0},"total_tokens":922}}</t>
        </is>
      </c>
      <c r="M131" t="inlineStr">
        <is>
          <t>{"alt-svc":"h3=\":443\"; ma=2592000","apim-request-id":"f796ffa0-bfcf-4402-a7af-52a852ff8762","azureml-model-session":"d20260405225800-40f19e54","cache-control":"no-cache","connection":"close","content-length":"786","content-security-policy":"frame-ancestors 'self'","content-type":"application/json","date":"Fri, 24 Apr 2026 06:48:35 GMT","server":"nginx","skip-error-remapping":"true","strict-transport-security":"max-age=31536000; includeSubDomains; preload","via":"1.1 Caddy, 1.1 Caddy","x-api-request-id":"20260424144832983680436NZ0JixSZ","x-content-type-options":"nosniff","x-frame-options":"SAMEORIGIN","x-ms-client-request-id":"Not-Set","x-ms-is-spilled-over":"false","x-ms-rai-invoked":"true","x-ms-region":"East US 2","x-new-api-version":"0.4.39","x-oneapi-request-id":"202604240648324793047938268d9d6JMRhPfdY","x-ratelimit-abusepenalty-active":"False","x-ratelimit-limit-requests":"3850","x-ratelimit-limit-tokens":"3850000","x-ratelimit-remaining-requests":"3849","x-ratelimit-remaining-tokens":"3847810","x-ratelimit-renewalperiod-requests":"60","x-ratelimit-renewalperiod-tokens":"60","x-ratelimit-reset-requests":"15","x-ratelimit-reset-tokens":"34","x-request-id":"81562bf5-b88e-4008-b0c2-ac40c66d1741"}</t>
        </is>
      </c>
      <c r="N131" t="inlineStr">
        <is>
          <t>Montblanc White Signature Pen – Elegant German craftsmanship meets modern minimalist design, sleek white barrel with chrome accents, perfect luxury writing instrument for business or everyday use.</t>
        </is>
      </c>
      <c r="O131"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1777015012,"id":"chatcmpl-DY54OElQVXEBRWzZt43MGe9RWS25S","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31" t="inlineStr">
        <is>
          <t>Montblanc,pen,kakobuy,kakebuy2026,kekobuysheet,kakobuysheet2026,2026kakobuy,kakobuyspreadsheeet,kakobuylink,kakebuylist,Kakobuy MEGA Spreadsheet,kakobuysheetfind,kakobuysheetfind2026,2026kakobuysheetfind,kakobuysheet2026</t>
        </is>
      </c>
      <c r="Q131"/>
      <c r="R131" t="inlineStr">
        <is>
          <t>recvhju1CrHefE</t>
        </is>
      </c>
      <c r="S131" t="inlineStr">
        <is>
          <t>montblanc-white-signature-chrome-pen-recvhju1crhefe</t>
        </is>
      </c>
      <c r="T131"/>
      <c r="U131"/>
      <c r="V131"/>
      <c r="W131" t="inlineStr">
        <is>
          <t>{"choices":[{"finish_reason":"stop","index":0,"logprobs":null,"message":{"annotations":[],"content":"Montblanc：白色典雅签字笔，彰显德国精湛工艺与现代极简设计，流线型笔身搭配镀铬装饰，商务与日常皆宜，男女通用高端书写工具。","refusal":null,"role":"assistant"}}],"created":1777012023,"id":"chatcmpl-DY4IBUg8BxgH2rRElRdk4lUKARmF1","model":"gpt-5-chat-latest","object":"chat.completion","service_tier":"default","system_fingerprint":"fp_ad66631dec","usage":{"completion_tokens":57,"completion_tokens_details":{"accepted_prediction_tokens":0,"audio_tokens":0,"reasoning_tokens":0,"rejected_prediction_tokens":0},"prompt_tokens":1297,"prompt_tokens_details":{"audio_tokens":0,"cached_tokens":0},"total_tokens":1354}}</t>
        </is>
      </c>
      <c r="X131" t="inlineStr">
        <is>
          <t>Montblanc：白色典雅签字笔，彰显德国精湛工艺与现代极简设计，流线型笔身搭配镀铬装饰，商务与日常皆宜，男女通用高端书写工具。</t>
        </is>
      </c>
    </row>
    <row r="132" ht="25.5" customHeight="1">
      <c r="A132">
        <v>1654975475</v>
      </c>
      <c r="B132">
        <v>7619081546</v>
      </c>
      <c r="C132" s="2" t="str">
        <f>=HYPERLINK("https://weidian.com/item.html?itemID=7619081546", "https://weidian.com/item.html?itemID=7619081546")</f>
        <v>https://weidian.com/item.html?itemID=7619081546</v>
      </c>
      <c r="D132"/>
      <c r="E132" s="2" t="str">
        <f>=HYPERLINK("https://si.geilicdn.com/pcitem2014204438-49d90000019abb61a80d0a2315ef_1075_1325.jpg?w=640&amp;h=640", "https://si.geilicdn.com/pcitem2014204438-49d90000019abb61a80d0a2315ef_1075_1325.jpg?w=640&amp;h=640")</f>
        <v>https://si.geilicdn.com/pcitem2014204438-49d90000019abb61a80d0a2315ef_1075_1325.jpg?w=640&amp;h=640</v>
      </c>
      <c r="F132" t="inlineStr">
        <is>
          <t>Accessories</t>
        </is>
      </c>
      <c r="G132" t="inlineStr">
        <is>
          <t>Montblanc</t>
        </is>
      </c>
      <c r="H132">
        <v>460</v>
      </c>
      <c r="I132">
        <v>66.67</v>
      </c>
      <c r="J132" t="inlineStr">
        <is>
          <t>{"choices":[{"finish_reason":"stop","index":0,"logprobs":null,"message":{"annotations":[],"content":"Montblanc Classic Gold Mesh Fountain Pen","refusal":null,"role":"assistant"}}],"created":1777014166,"id":"chatcmpl-DY4qkdhYs9JOzQJf13q3A5vyMtmTT","model":"gpt-5-chat-latest","object":"chat.completion","service_tier":"default","system_fingerprint":"fp_ad66631dec","usage":{"completion_tokens":9,"completion_tokens_details":{"accepted_prediction_tokens":0,"audio_tokens":0,"reasoning_tokens":0,"rejected_prediction_tokens":0},"prompt_tokens":874,"prompt_tokens_details":{"audio_tokens":0,"cached_tokens":0},"total_tokens":883}}</t>
        </is>
      </c>
      <c r="K132" t="inlineStr">
        <is>
          <t>Montblanc Classic Gold Mesh Fountain Pen</t>
        </is>
      </c>
      <c r="L132" t="inlineStr">
        <is>
          <t>{"choices":[{"finish_reason":"stop","index":0,"logprobs":null,"message":{"annotations":[],"content":"Montblanc Classic Gold-Plated Fountain Pen with Brass Mesh Body, Black Resin Cap and Gold Clip—French Elegance for Men and Women, Ideal for Business or Collection.","refusal":null,"role":"assistant"}}],"created":1777013149,"id":"chatcmpl-DY4aLhXCDPYo7Xq3V0bcmmKHAmy2a","model":"gpt-5-chat-latest","object":"chat.completion","service_tier":"default","system_fingerprint":"fp_ad66631dec","usage":{"completion_tokens":36,"completion_tokens_details":{"accepted_prediction_tokens":0,"audio_tokens":0,"reasoning_tokens":0,"rejected_prediction_tokens":0},"prompt_tokens":896,"prompt_tokens_details":{"audio_tokens":0,"cached_tokens":0},"total_tokens":932}}</t>
        </is>
      </c>
      <c r="M132" t="inlineStr">
        <is>
          <t>{"alt-svc":"h3=\":443\"; ma=2592000","apim-request-id":"e207c1cf-a96f-4184-a8bb-4810325f97bf","azureml-model-session":"d20260405221325-2e8d5e76","cache-control":"no-cache","connection":"close","content-length":"753","content-security-policy":"frame-ancestors 'self'","content-type":"application/json","date":"Fri, 24 Apr 2026 06:45:51 GMT","server":"nginx","skip-error-remapping":"true","strict-transport-security":"max-age=31536000; includeSubDomains; preload","via":"1.1 Caddy, 1.1 Caddy","x-api-request-id":"20260424144548732890852e1f6EWSO","x-content-type-options":"nosniff","x-frame-options":"SAMEORIGIN","x-ms-client-request-id":"Not-Set","x-ms-is-spilled-over":"false","x-ms-rai-invoked":"true","x-ms-region":"East US 2","x-new-api-version":"0.4.39","x-oneapi-request-id":"202604240645485455515748268d9d6PMRalJs9","x-ratelimit-abusepenalty-active":"False","x-ratelimit-limit-requests":"3850","x-ratelimit-limit-tokens":"3850000","x-ratelimit-remaining-requests":"3848","x-ratelimit-remaining-tokens":"3847356","x-ratelimit-renewalperiod-requests":"60","x-ratelimit-renewalperiod-tokens":"60","x-ratelimit-reset-requests":"29","x-ratelimit-reset-tokens":"41","x-request-id":"8e8444eb-91b2-4f0c-a184-d2888c252ba0"}</t>
        </is>
      </c>
      <c r="N132" t="inlineStr">
        <is>
          <t>Montblanc Classic Gold-Plated Fountain Pen with Brass Mesh Body, Black Resin Cap and Gold Clip—French Elegance for Men and Women, Ideal for Business or Collection.</t>
        </is>
      </c>
      <c r="O132"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1777015094,"id":"chatcmpl-DY55ivFqpCkiVzpssQB0yDi5fy3xu","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32" t="inlineStr">
        <is>
          <t>Montblanc,Accessories,kakobuy,kakebuy2026,kekobuysheet,kakobuysheet2026,2026kakobuy,kakobuyspreadsheeet,kakobuylink,kakebuylist,Kakobuy MEGA Spreadsheet,kakobuysheetfind,kakobuysheetfind2026,2026kakobuysheetfind,kakobuysheet2026</t>
        </is>
      </c>
      <c r="Q132"/>
      <c r="R132" t="inlineStr">
        <is>
          <t>recvhju1CrUkd4</t>
        </is>
      </c>
      <c r="S132" t="inlineStr">
        <is>
          <t>montblanc-classic-gold-mesh-fountain-pen-recvhju1cr.ukd4</t>
        </is>
      </c>
      <c r="T132"/>
      <c r="U132"/>
      <c r="V132"/>
      <c r="W132" t="inlineStr">
        <is>
          <t>{"id":"chatcmpl-DY47HU5ve58ysOmzjfYhPANOWK7g7","object":"chat.completion","created":1777011347,"model":"gpt-5-chat-latest","choices":[{"index":0,"message":{"role":"assistant","content":"Montblanc：经典系列金色镀金钢笔，铜质笔身镂空网纹工艺，黑色树脂笔帽搭配金质夹扣，彰显法式优雅格调，男女皆宜，商务与收藏皆臻品。","refusal":null,"annotations":[]},"logprobs":null,"finish_reason":"stop"}],"usage":{"prompt_tokens":1303,"completion_tokens":61,"total_tokens":1364,"prompt_tokens_details":{"cached_tokens":0,"audio_tokens":0},"completion_tokens_details":{"reasoning_tokens":0,"audio_tokens":0,"accepted_prediction_tokens":0,"rejected_prediction_tokens":0}},"service_tier":"default","system_fingerprint":"fp_ad66631dec"}</t>
        </is>
      </c>
      <c r="X132" t="inlineStr">
        <is>
          <t>Montblanc：经典系列金色镀金钢笔，铜质笔身镂空网纹工艺，黑色树脂笔帽搭配金质夹扣，彰显法式优雅格调，男女皆宜，商务与收藏皆臻品。</t>
        </is>
      </c>
    </row>
    <row r="133" ht="25.5" customHeight="1">
      <c r="A133">
        <v>1654975475</v>
      </c>
      <c r="B133">
        <v>7616197755</v>
      </c>
      <c r="C133" s="2" t="str">
        <f>=HYPERLINK("https://weidian.com/item.html?itemID=7616197755", "https://weidian.com/item.html?itemID=7616197755")</f>
        <v>https://weidian.com/item.html?itemID=7616197755</v>
      </c>
      <c r="D133"/>
      <c r="E133" s="2" t="str">
        <f>=HYPERLINK("https://si.geilicdn.com/pcitem2014204438-04f30000019abb62c5d60a231316_1080_1080.jpg?w=640&amp;h=640", "https://si.geilicdn.com/pcitem2014204438-04f30000019abb62c5d60a231316_1080_1080.jpg?w=640&amp;h=640")</f>
        <v>https://si.geilicdn.com/pcitem2014204438-04f30000019abb62c5d60a231316_1080_1080.jpg?w=640&amp;h=640</v>
      </c>
      <c r="F133" t="inlineStr">
        <is>
          <t>Accessories</t>
        </is>
      </c>
      <c r="G133" t="inlineStr">
        <is>
          <t>Montblanc</t>
        </is>
      </c>
      <c r="H133">
        <v>476</v>
      </c>
      <c r="I133">
        <v>68.99</v>
      </c>
      <c r="J133" t="inlineStr">
        <is>
          <t>{"choices":[{"finish_reason":"stop","index":0,"logprobs":null,"message":{"annotations":[],"content":"Montblanc Black Classic Fine Resin Fountain Pen","refusal":null,"role":"assistant"}}],"created":1777014551,"id":"chatcmpl-DY4wx4Uz28rpoHiGijwUFK513i6bB","model":"gpt-5-chat-latest","object":"chat.completion","service_tier":"default","system_fingerprint":"fp_ad66631dec","usage":{"completion_tokens":10,"completion_tokens_details":{"accepted_prediction_tokens":0,"audio_tokens":0,"reasoning_tokens":0,"rejected_prediction_tokens":0},"prompt_tokens":872,"prompt_tokens_details":{"audio_tokens":0,"cached_tokens":0},"total_tokens":882}}</t>
        </is>
      </c>
      <c r="K133" t="inlineStr">
        <is>
          <t>Montblanc Black Classic Fine Resin Fountain Pen</t>
        </is>
      </c>
      <c r="L133" t="inlineStr">
        <is>
          <t>{"choices":[{"finish_reason":"stop","index":0,"logprobs":null,"message":{"annotations":[],"content":"Montblanc Black Classic Fountain Pen – crafted from fine resin and platinum-coated metal, smooth elegant nib for refined writing, perfect for business men and women seeking timeless sophistication.","refusal":null,"role":"assistant"}}],"created":1777013274,"id":"chatcmpl-DY4cMx5zXmXgipx7mY2XynjrNcAX6","model":"gpt-5-chat-latest","object":"chat.completion","service_tier":"default","system_fingerprint":"fp_ad66631dec","usage":{"completion_tokens":35,"completion_tokens_details":{"accepted_prediction_tokens":0,"audio_tokens":0,"reasoning_tokens":0,"rejected_prediction_tokens":0},"prompt_tokens":882,"prompt_tokens_details":{"audio_tokens":0,"cached_tokens":0},"total_tokens":917}}</t>
        </is>
      </c>
      <c r="M133" t="inlineStr">
        <is>
          <t>{"alt-svc":"h3=\":443\"; ma=2592000","apim-request-id":"f06cc513-45e3-4a9e-892e-d867ad4f3066","azureml-model-session":"d20260405234249-f9874baf","cache-control":"no-cache","connection":"close","content-length":"787","content-security-policy":"frame-ancestors 'self'","content-type":"application/json","date":"Fri, 24 Apr 2026 06:47:56 GMT","server":"Caddy","skip-error-remapping":"true","strict-transport-security":"max-age=31536000; includeSubDomains; preload","via":"1.1 Caddy","x-api-request-id":"20260424144753699751089Y1BAANYd","x-content-type-options":"nosniff","x-frame-options":"SAMEORIGIN","x-ms-client-request-id":"Not-Set","x-ms-is-spilled-over":"false","x-ms-rai-invoked":"true","x-ms-region":"East US 2","x-new-api-version":"0.4.39","x-oneapi-request-id":"202604240647535371798608268d9d636OTnVBT","x-ratelimit-abusepenalty-active":"False","x-ratelimit-limit-requests":"3850","x-ratelimit-limit-tokens":"3850000","x-ratelimit-remaining-requests":"3848","x-ratelimit-remaining-tokens":"3845640","x-ratelimit-renewalperiod-requests":"60","x-ratelimit-renewalperiod-tokens":"60","x-ratelimit-reset-requests":"31","x-ratelimit-reset-tokens":"67","x-request-id":"c2c940ff-e321-46c9-8601-7ef6082231c5"}</t>
        </is>
      </c>
      <c r="N133" t="inlineStr">
        <is>
          <t>Montblanc Black Classic Fountain Pen – crafted from fine resin and platinum-coated metal, smooth elegant nib for refined writing, perfect for business men and women seeking timeless sophistication.</t>
        </is>
      </c>
      <c r="O133"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1777015025,"id":"chatcmpl-DY54bmgjdrrwj0vluCtAjva33PgR5","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33" t="inlineStr">
        <is>
          <t>Montblanc,Accessories,kakobuy,kakebuy2026,kekobuysheet,kakobuysheet2026,2026kakobuy,kakobuyspreadsheeet,kakobuylink,kakebuylist,Kakobuy MEGA Spreadsheet,kakobuysheetfind,kakobuysheetfind2026,2026kakobuysheetfind,kakobuysheet2026</t>
        </is>
      </c>
      <c r="Q133"/>
      <c r="R133" t="inlineStr">
        <is>
          <t>recvhju1CrsqZt</t>
        </is>
      </c>
      <c r="S133" t="inlineStr">
        <is>
          <t>montblanc-black-classic-fine-resin-fountain-pen-recvhju1crsqzt</t>
        </is>
      </c>
      <c r="T133"/>
      <c r="U133"/>
      <c r="V133"/>
      <c r="W133" t="inlineStr">
        <is>
          <t>{"choices":[{"finish_reason":"stop","index":0,"logprobs":null,"message":{"annotations":[],"content":"Montblanc：黑色经典系列钢笔，精致树脂与镀铂金属打造，笔尖流畅优雅，商务风格男女皆宜，展现高雅书写格调。","refusal":null,"role":"assistant"}}],"created":1777011757,"id":"chatcmpl-DY4DtQv7Z9SE1RENNUiKOF0yL8yr4","model":"gpt-5-chat-latest","object":"chat.completion","service_tier":"default","system_fingerprint":"fp_ad66631dec","usage":{"completion_tokens":48,"completion_tokens_details":{"accepted_prediction_tokens":0,"audio_tokens":0,"reasoning_tokens":0,"rejected_prediction_tokens":0},"prompt_tokens":1301,"prompt_tokens_details":{"audio_tokens":0,"cached_tokens":0},"total_tokens":1349}}</t>
        </is>
      </c>
      <c r="X133" t="inlineStr">
        <is>
          <t>Montblanc：黑色经典系列钢笔，精致树脂与镀铂金属打造，笔尖流畅优雅，商务风格男女皆宜，展现高雅书写格调。</t>
        </is>
      </c>
    </row>
    <row r="134" ht="25.5" customHeight="1">
      <c r="A134">
        <v>1654975475</v>
      </c>
      <c r="B134">
        <v>7618417282</v>
      </c>
      <c r="C134" s="2" t="str">
        <f>=HYPERLINK("https://weidian.com/item.html?itemID=7618417282", "https://weidian.com/item.html?itemID=7618417282")</f>
        <v>https://weidian.com/item.html?itemID=7618417282</v>
      </c>
      <c r="D134"/>
      <c r="E134" s="2" t="str">
        <f>=HYPERLINK("https://si.geilicdn.com/pcitem2014204438-3ab10000019abb670ab00a20e672_1284_1710.jpg?w=640&amp;h=640", "https://si.geilicdn.com/pcitem2014204438-3ab10000019abb670ab00a20e672_1284_1710.jpg?w=640&amp;h=640")</f>
        <v>https://si.geilicdn.com/pcitem2014204438-3ab10000019abb670ab00a20e672_1284_1710.jpg?w=640&amp;h=640</v>
      </c>
      <c r="F134" t="inlineStr">
        <is>
          <t>Accessories</t>
        </is>
      </c>
      <c r="G134" t="inlineStr">
        <is>
          <t>Montblanc</t>
        </is>
      </c>
      <c r="H134">
        <v>460</v>
      </c>
      <c r="I134">
        <v>66.67</v>
      </c>
      <c r="J134" t="inlineStr">
        <is>
          <t>{"choices":[{"finish_reason":"stop","index":0,"logprobs":null,"message":{"annotations":[],"content":"Montblanc Classic Black Gold Luxury Fountain Pen","refusal":null,"role":"assistant"}}],"created":1777014215,"id":"chatcmpl-DY4rX1thVNFThqJOui6WMACdoBkFy","model":"gpt-5-chat-latest","object":"chat.completion","service_tier":"default","system_fingerprint":"fp_ad66631dec","usage":{"completion_tokens":10,"completion_tokens_details":{"accepted_prediction_tokens":0,"audio_tokens":0,"reasoning_tokens":0,"rejected_prediction_tokens":0},"prompt_tokens":878,"prompt_tokens_details":{"audio_tokens":0,"cached_tokens":0},"total_tokens":888}}</t>
        </is>
      </c>
      <c r="K134" t="inlineStr">
        <is>
          <t>Montblanc Classic Black Gold Luxury Fountain Pen</t>
        </is>
      </c>
      <c r="L134" t="inlineStr">
        <is>
          <t>{"choices":[{"finish_reason":"stop","index":0,"logprobs":null,"message":{"annotations":[],"content":"Montblanc Classic Black Gold Fountain Pen—crafted from premium resin and gold-plated metal, elegant streamlined design, engraved nib, perfect for business or gifting, timeless German luxury style.","refusal":null,"role":"assistant"}}],"created":1777013615,"id":"chatcmpl-DY4hrHqg64oEcNEBYkwxkUwpxGiui","model":"gpt-5-chat-latest","object":"chat.completion","service_tier":"default","system_fingerprint":"fp_ad66631dec","usage":{"completion_tokens":38,"completion_tokens_details":{"accepted_prediction_tokens":0,"audio_tokens":0,"reasoning_tokens":0,"rejected_prediction_tokens":0},"prompt_tokens":916,"prompt_tokens_details":{"audio_tokens":0,"cached_tokens":0},"total_tokens":954}}</t>
        </is>
      </c>
      <c r="M134" t="inlineStr">
        <is>
          <t>{"alt-svc":"h3=\":443\"; ma=2592000","apim-request-id":"ed53e300-7eb6-496d-95dd-7516c548565a","azureml-model-session":"d20260405225800-40f19e54","cache-control":"no-cache","connection":"close","content-length":"786","content-security-policy":"frame-ancestors 'self'","content-type":"application/json","date":"Fri, 24 Apr 2026 06:53:37 GMT","server":"Caddy","skip-error-remapping":"true","strict-transport-security":"max-age=31536000; includeSubDomains; preload","via":"1.1 Caddy","x-api-request-id":"20260424145334580066272qSRvKIqj","x-content-type-options":"nosniff","x-frame-options":"SAMEORIGIN","x-ms-client-request-id":"Not-Set","x-ms-is-spilled-over":"false","x-ms-rai-invoked":"true","x-ms-region":"East US 2","x-new-api-version":"0.4.39","x-oneapi-request-id":"202604240653342291219708268d9d6lEJTZFO4","x-ratelimit-abusepenalty-active":"False","x-ratelimit-limit-requests":"3850","x-ratelimit-limit-tokens":"3850000","x-ratelimit-remaining-requests":"3849","x-ratelimit-remaining-tokens":"3848322","x-ratelimit-renewalperiod-requests":"60","x-ratelimit-renewalperiod-tokens":"60","x-ratelimit-reset-requests":"15","x-ratelimit-reset-tokens":"26","x-request-id":"458ad74b-7349-48dc-88af-8ba24405ce41"}</t>
        </is>
      </c>
      <c r="N134" t="inlineStr">
        <is>
          <t>Montblanc Classic Black Gold Fountain Pen—crafted from premium resin and gold-plated metal, elegant streamlined design, engraved nib, perfect for business or gifting, timeless German luxury style.</t>
        </is>
      </c>
      <c r="O134" t="inlineStr">
        <is>
          <t>{"id":"chatcmpl-DY59d1cQcizHTymdEuYRM9BPjJXFy","object":"chat.completion","created":1777015337,"model":"gpt-5-chat-latest","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34" t="inlineStr">
        <is>
          <t>Montblanc,Pen,kakobuy,kakebuy2026,kekobuysheet,kakobuysheet2026,2026kakobuy,kakobuyspreadsheeet,kakobuylink,kakebuylist,Kakobuy MEGA Spreadsheet,kakobuysheetfind,kakobuysheetfind2026,2026kakobuysheetfind,kakobuysheet2026</t>
        </is>
      </c>
      <c r="Q134"/>
      <c r="R134" t="inlineStr">
        <is>
          <t>recvhju1CrLkiE</t>
        </is>
      </c>
      <c r="S134" t="inlineStr">
        <is>
          <t>montblanc-classic-black-gold-fountain-pen-recvhju1crlkie</t>
        </is>
      </c>
      <c r="T134"/>
      <c r="U134"/>
      <c r="V134"/>
      <c r="W134" t="inlineStr">
        <is>
          <t>{"id":"chatcmpl-DY47qFDnSK4v5Hn7keMe4HmmbK0bp","object":"chat.completion","created":1777011382,"model":"gpt-5-chat-latest","choices":[{"index":0,"message":{"role":"assistant","content":"Montblanc：经典黑金系列钢笔，甄选高级树脂与镀金金属材质，笔身线条流畅典雅，金色笔尖雕刻精致纹饰，彰显德系工艺匠心。适合商务与礼赠场合，男女皆宜，展现优雅现代风格与不凡品味。","refusal":null,"annotations":[]},"logprobs":null,"finish_reason":"stop"}],"usage":{"prompt_tokens":1299,"completion_tokens":83,"total_tokens":1382,"prompt_tokens_details":{"cached_tokens":0,"audio_tokens":0},"completion_tokens_details":{"reasoning_tokens":0,"audio_tokens":0,"accepted_prediction_tokens":0,"rejected_prediction_tokens":0}},"service_tier":"default","system_fingerprint":"fp_ad66631dec"}</t>
        </is>
      </c>
      <c r="X134" t="inlineStr">
        <is>
          <t>Montblanc：经典黑金系列钢笔，甄选高级树脂与镀金金属材质，笔身线条流畅典雅，金色笔尖雕刻精致纹饰，彰显德系工艺匠心。适合商务与礼赠场合，男女皆宜，展现优雅现代风格与不凡品味。</t>
        </is>
      </c>
    </row>
    <row r="135" ht="25.5" customHeight="1">
      <c r="A135">
        <v>1654975475</v>
      </c>
      <c r="B135">
        <v>7619126516</v>
      </c>
      <c r="C135" s="2" t="str">
        <f>=HYPERLINK("https://weidian.com/item.html?itemID=7619126516", "https://weidian.com/item.html?itemID=7619126516")</f>
        <v>https://weidian.com/item.html?itemID=7619126516</v>
      </c>
      <c r="D135"/>
      <c r="E135" s="2" t="str">
        <f>=HYPERLINK("https://si.geilicdn.com/pcitem2014204438-2a020000019abb48e8560a239846_1139_991.jpg?w=640&amp;h=640", "https://si.geilicdn.com/pcitem2014204438-2a020000019abb48e8560a239846_1139_991.jpg?w=640&amp;h=640")</f>
        <v>https://si.geilicdn.com/pcitem2014204438-2a020000019abb48e8560a239846_1139_991.jpg?w=640&amp;h=640</v>
      </c>
      <c r="F135" t="inlineStr">
        <is>
          <t>Accessories</t>
        </is>
      </c>
      <c r="G135" t="inlineStr">
        <is>
          <t>Montblanc</t>
        </is>
      </c>
      <c r="H135">
        <v>460</v>
      </c>
      <c r="I135">
        <v>66.67</v>
      </c>
      <c r="J135" t="inlineStr">
        <is>
          <t>{"choices":[{"finish_reason":"stop","index":0,"logprobs":null,"message":{"annotations":[],"content":"Montblanc Meisterstück Black Platinum Rollerball Pen Luxury Gift","refusal":null,"role":"assistant"}}],"created":1777014121,"id":"chatcmpl-DY4q1ep4Ym3LgVTuw54Rp9zivW0zw","model":"gpt-5-chat-latest","object":"chat.completion","service_tier":"default","system_fingerprint":"fp_ad66631dec","usage":{"completion_tokens":13,"completion_tokens_details":{"accepted_prediction_tokens":0,"audio_tokens":0,"reasoning_tokens":0,"rejected_prediction_tokens":0},"prompt_tokens":876,"prompt_tokens_details":{"audio_tokens":0,"cached_tokens":0},"total_tokens":889}}</t>
        </is>
      </c>
      <c r="K135" t="inlineStr">
        <is>
          <t>Montblanc Meisterstück Black Platinum Rollerball Pen Luxury Gift</t>
        </is>
      </c>
      <c r="L135" t="inlineStr">
        <is>
          <t>{"choices":[{"finish_reason":"stop","index":0,"logprobs":null,"message":{"annotations":[],"content":"Montblanc Meisterstück Black Rollerball Pen, crafted from precious black resin with platinum details, smooth writing, timeless German elegance, ideal for business, men and women luxury gift.","refusal":null,"role":"assistant"}}],"created":1777013261,"id":"chatcmpl-DY4c9K7Rv1qiChzSZIrc212Q1HfMS","model":"gpt-5-chat-latest","object":"chat.completion","service_tier":"default","system_fingerprint":"fp_ad66631dec","usage":{"completion_tokens":37,"completion_tokens_details":{"accepted_prediction_tokens":0,"audio_tokens":0,"reasoning_tokens":0,"rejected_prediction_tokens":0},"prompt_tokens":893,"prompt_tokens_details":{"audio_tokens":0,"cached_tokens":0},"total_tokens":930}}</t>
        </is>
      </c>
      <c r="M135" t="inlineStr">
        <is>
          <t>{"alt-svc":"h3=\":443\"; ma=2592000","apim-request-id":"655de126-234d-42c2-aff3-cb9c0263ba28","azureml-model-session":"d20260402083108-57a85543","cache-control":"no-cache","connection":"close","content-length":"779","content-security-policy":"frame-ancestors 'self'","content-type":"application/json","date":"Fri, 24 Apr 2026 06:47:44 GMT","server":"Caddy","skip-error-remapping":"true","strict-transport-security":"max-age=31536000; includeSubDomains; preload","via":"1.1 Caddy","x-api-request-id":"20260424144740817677085pTxsbdII","x-content-type-options":"nosniff","x-frame-options":"SAMEORIGIN","x-ms-client-request-id":"Not-Set","x-ms-is-spilled-over":"false","x-ms-rai-invoked":"true","x-ms-region":"East US 2","x-new-api-version":"0.4.39","x-oneapi-request-id":"202604240647403334584358268d9d6jtsZt3IM","x-ratelimit-abusepenalty-active":"False","x-ratelimit-limit-requests":"3850","x-ratelimit-limit-tokens":"3850000","x-ratelimit-remaining-requests":"3849","x-ratelimit-remaining-tokens":"3848345","x-ratelimit-renewalperiod-requests":"60","x-ratelimit-renewalperiod-tokens":"60","x-ratelimit-reset-requests":"15","x-ratelimit-reset-tokens":"25","x-request-id":"9ab4a1cb-8965-4076-bbb0-0ea4270a81c0"}</t>
        </is>
      </c>
      <c r="N135" t="inlineStr">
        <is>
          <t>Montblanc Meisterstück Black Rollerball Pen, crafted from precious black resin with platinum details, smooth writing, timeless German elegance, ideal for business, men and women luxury gift.</t>
        </is>
      </c>
      <c r="O135"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1777015073,"id":"chatcmpl-DY55NsmPeQV9hO5qUmNLoCQXHBDRR","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35" t="inlineStr">
        <is>
          <t>Montblanc,Accessories,kakobuy,kakebuy2026,kekobuysheet,kakobuysheet2026,2026kakobuy,kakobuyspreadsheeet,kakobuylink,kakebuylist,Kakobuy MEGA Spreadsheet,kakobuysheetfind,kakobuysheetfind2026,2026kakobuysheetfind,kakobuysheet2026</t>
        </is>
      </c>
      <c r="Q135"/>
      <c r="R135" t="inlineStr">
        <is>
          <t>recvhju1Crpvgh</t>
        </is>
      </c>
      <c r="S135" t="inlineStr">
        <is>
          <t>montblanc-meisterstuck-black-platinum-rollerball-recvhju1crpvgh</t>
        </is>
      </c>
      <c r="T135"/>
      <c r="U135"/>
      <c r="V135"/>
      <c r="W135" t="inlineStr">
        <is>
          <t>{"choices":[{"finish_reason":"stop","index":0,"logprobs":null,"message":{"annotations":[],"content":"Montblanc：大师系列黑色签字笔，甄选亮黑树脂与铂金镶饰，笔身流线设计彰显经典德式优雅，男女皆宜，书写顺滑舒适，尽显商务奢华格调。","refusal":null,"role":"assistant"}}],"created":1777011828,"id":"chatcmpl-DY4F2yy0bTXwWAMAY1opice32uxhF","model":"gpt-5-chat-latest","object":"chat.completion","service_tier":"default","system_fingerprint":"fp_ad66631dec","usage":{"completion_tokens":61,"completion_tokens_details":{"accepted_prediction_tokens":0,"audio_tokens":0,"reasoning_tokens":0,"rejected_prediction_tokens":0},"prompt_tokens":1297,"prompt_tokens_details":{"audio_tokens":0,"cached_tokens":0},"total_tokens":1358}}</t>
        </is>
      </c>
      <c r="X135" t="inlineStr">
        <is>
          <t>Montblanc：大师系列黑色签字笔，甄选亮黑树脂与铂金镶饰，笔身流线设计彰显经典德式优雅，男女皆宜，书写顺滑舒适，尽显商务奢华格调。</t>
        </is>
      </c>
    </row>
    <row r="136" ht="25.5" customHeight="1">
      <c r="A136">
        <v>1654975475</v>
      </c>
      <c r="B136">
        <v>7619189636</v>
      </c>
      <c r="C136" s="2" t="str">
        <f>=HYPERLINK("https://weidian.com/item.html?itemID=7619189636", "https://weidian.com/item.html?itemID=7619189636")</f>
        <v>https://weidian.com/item.html?itemID=7619189636</v>
      </c>
      <c r="D136"/>
      <c r="E136" s="2" t="str">
        <f>=HYPERLINK("https://si.geilicdn.com/pcitem2014204438-10ee0000019abb5471380a2304aa_2000_1500.jpg?w=640&amp;h=640", "https://si.geilicdn.com/pcitem2014204438-10ee0000019abb5471380a2304aa_2000_1500.jpg?w=640&amp;h=640")</f>
        <v>https://si.geilicdn.com/pcitem2014204438-10ee0000019abb5471380a2304aa_2000_1500.jpg?w=640&amp;h=640</v>
      </c>
      <c r="F136" t="inlineStr">
        <is>
          <t>Accessories</t>
        </is>
      </c>
      <c r="G136" t="inlineStr">
        <is>
          <t>Montblanc</t>
        </is>
      </c>
      <c r="H136">
        <v>560</v>
      </c>
      <c r="I136">
        <v>81.16</v>
      </c>
      <c r="J136" t="inlineStr">
        <is>
          <t>{"id":"chatcmpl-DY4w5bHbQrxU7sBguVUCR0T6KliOX","object":"chat.completion","created":1777014497,"model":"gpt-5-chat-latest","choices":[{"index":0,"message":{"role":"assistant","content":"Montblanc Classic Black Gold Signature Pen Gift Set","refusal":null,"annotations":[]},"logprobs":null,"finish_reason":"stop"}],"usage":{"prompt_tokens":598,"completion_tokens":11,"total_tokens":609,"prompt_tokens_details":{"cached_tokens":0,"audio_tokens":0},"completion_tokens_details":{"reasoning_tokens":0,"audio_tokens":0,"accepted_prediction_tokens":0,"rejected_prediction_tokens":0}},"service_tier":"default","system_fingerprint":"fp_ad66631dec"}</t>
        </is>
      </c>
      <c r="K136" t="inlineStr">
        <is>
          <t>Montblanc Classic Black Gold Signature Pen Gift Set</t>
        </is>
      </c>
      <c r="L136" t="inlineStr">
        <is>
          <t>{"choices":[{"finish_reason":"stop","index":0,"logprobs":null,"message":{"annotations":[],"content":"Montblanc Classic Black Signature Pen Gift Set, crafted from high-gloss resin with gold-plated accents. Smooth ink flow, elegant minimalist design, perfect for business and fashion professionals.","refusal":null,"role":"assistant"}}],"created":1777013488,"id":"chatcmpl-DY4fo8J5Xknc7LE0z9WbE1vQFPOcp","model":"gpt-5-chat-latest","object":"chat.completion","service_tier":"default","system_fingerprint":"fp_ad66631dec","usage":{"completion_tokens":38,"completion_tokens_details":{"accepted_prediction_tokens":0,"audio_tokens":0,"reasoning_tokens":0,"rejected_prediction_tokens":0},"prompt_tokens":626,"prompt_tokens_details":{"audio_tokens":0,"cached_tokens":0},"total_tokens":664}}</t>
        </is>
      </c>
      <c r="M136" t="inlineStr">
        <is>
          <t>{"alt-svc":"h3=\":443\"; ma=2592000","apim-request-id":"1b8ebbdd-25ce-45d1-8f1e-8d88afe37931","azureml-model-session":"d20260402083108-57a85543","cache-control":"no-cache","connection":"close","content-length":"783","content-security-policy":"frame-ancestors 'self'","content-type":"application/json","date":"Fri, 24 Apr 2026 06:51:30 GMT","server":"Caddy","skip-error-remapping":"true","strict-transport-security":"max-age=31536000; includeSubDomains; preload","via":"1.1 Caddy","x-api-request-id":"20260424145128379436613GSM2N5fR","x-content-type-options":"nosniff","x-frame-options":"SAMEORIGIN","x-ms-client-request-id":"Not-Set","x-ms-is-spilled-over":"false","x-ms-rai-invoked":"true","x-ms-region":"East US 2","x-new-api-version":"0.4.39","x-oneapi-request-id":"20260424065128925345008268d9d6nFK8pOz8","x-ratelimit-abusepenalty-active":"False","x-ratelimit-limit-requests":"3850","x-ratelimit-limit-tokens":"3850000","x-ratelimit-remaining-requests":"3849","x-ratelimit-remaining-tokens":"3848610","x-ratelimit-renewalperiod-requests":"60","x-ratelimit-renewalperiod-tokens":"60","x-ratelimit-reset-requests":"15","x-ratelimit-reset-tokens":"21","x-request-id":"7aba04d1-1cae-4f3d-8da7-f60a9ba592cc"}</t>
        </is>
      </c>
      <c r="N136" t="inlineStr">
        <is>
          <t>Montblanc Classic Black Signature Pen Gift Set, crafted from high-gloss resin with gold-plated accents. Smooth ink flow, elegant minimalist design, perfect for business and fashion professionals.</t>
        </is>
      </c>
      <c r="O136"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1777015300,"id":"chatcmpl-DY592t0Zp2vIoopo4lcIzx7pCcKsD","model":"gpt-5-chat-latest","object":"chat.completion","service_tier":"default","system_fingerprint":"fp_ad66631dec","usage":{"completion_tokens":88,"completion_tokens_details":{"accepted_prediction_tokens":0,"audio_tokens":0,"reasoning_tokens":0,"rejected_prediction_tokens":0},"prompt_tokens":503,"prompt_tokens_details":{"audio_tokens":0,"cached_tokens":0},"total_tokens":591}}</t>
        </is>
      </c>
      <c r="P136" t="inlineStr">
        <is>
          <t>Montblanc,Accessories,kakobuy,kakebuy2026,kekobuysheet,kakobuysheet2026,2026kakobuy,kakobuyspreadsheeet,kakobuylink,kakebuylist,Kakobuy MEGA Spreadsheet,kakobuysheetfind,kakobuysheetfind2026,2026kakobuysheetfind,kakobuysheet2026</t>
        </is>
      </c>
      <c r="Q136"/>
      <c r="R136" t="inlineStr">
        <is>
          <t>recvhju1Cr4UUl</t>
        </is>
      </c>
      <c r="S136" t="inlineStr">
        <is>
          <t>montblanc-classic-black-gold-signature-pen-recvhju1cr4uul</t>
        </is>
      </c>
      <c r="T136"/>
      <c r="U136"/>
      <c r="V136"/>
      <c r="W136" t="inlineStr">
        <is>
          <t>{"choices":[{"finish_reason":"stop","index":0,"logprobs":null,"message":{"annotations":[],"content":"Montblanc：经典黑色签字笔礼盒套装，甄选高光树脂笔身搭配镀金饰件，笔尖流畅顺滑，书写体验非凡。优雅简约设计，商务精英与时尚人士皆宜，尽显尊贵品味与专业格调。","refusal":null,"role":"assistant"}}],"created":1777011906,"id":"chatcmpl-DY4GIcqnEoBBTlSTMetCdmipULukU","model":"gpt-5-chat-latest","object":"chat.completion","service_tier":"default","system_fingerprint":"fp_ad66631dec","usage":{"completion_tokens":73,"completion_tokens_details":{"accepted_prediction_tokens":0,"audio_tokens":0,"reasoning_tokens":0,"rejected_prediction_tokens":0},"prompt_tokens":1019,"prompt_tokens_details":{"audio_tokens":0,"cached_tokens":0},"total_tokens":1092}}</t>
        </is>
      </c>
      <c r="X136" t="inlineStr">
        <is>
          <t>Montblanc：经典黑色签字笔礼盒套装，甄选高光树脂笔身搭配镀金饰件，笔尖流畅顺滑，书写体验非凡。优雅简约设计，商务精英与时尚人士皆宜，尽显尊贵品味与专业格调。</t>
        </is>
      </c>
    </row>
    <row r="137" ht="25.5" customHeight="1">
      <c r="A137">
        <v>1654975475</v>
      </c>
      <c r="B137">
        <v>7616154279</v>
      </c>
      <c r="C137" s="2" t="str">
        <f>=HYPERLINK("https://weidian.com/item.html?itemID=7616154279", "https://weidian.com/item.html?itemID=7616154279")</f>
        <v>https://weidian.com/item.html?itemID=7616154279</v>
      </c>
      <c r="D137"/>
      <c r="E137" s="2" t="str">
        <f>=HYPERLINK("https://si.geilicdn.com/pcitem2014204438-418c0000019abb5f90550a2303ee_1080_1080.jpg?w=640&amp;h=640", "https://si.geilicdn.com/pcitem2014204438-418c0000019abb5f90550a2303ee_1080_1080.jpg?w=640&amp;h=640")</f>
        <v>https://si.geilicdn.com/pcitem2014204438-418c0000019abb5f90550a2303ee_1080_1080.jpg?w=640&amp;h=640</v>
      </c>
      <c r="F137" t="inlineStr">
        <is>
          <t>Accessories</t>
        </is>
      </c>
      <c r="G137" t="inlineStr">
        <is>
          <t>Montblanc</t>
        </is>
      </c>
      <c r="H137">
        <v>460</v>
      </c>
      <c r="I137">
        <v>66.67</v>
      </c>
      <c r="J137" t="inlineStr">
        <is>
          <t>{"choices":[{"finish_reason":"stop","index":0,"logprobs":null,"message":{"annotations":[],"content":"Montblanc Silver Chrome Engraved Ballpoint Pen for Business","refusal":null,"role":"assistant"}}],"created":1777014343,"id":"chatcmpl-DY4tb6bIeXA6a6Hl7mtVnNyxRm8Wi","model":"gpt-5-chat-latest","object":"chat.completion","service_tier":"default","system_fingerprint":"fp_ad66631dec","usage":{"completion_tokens":14,"completion_tokens_details":{"accepted_prediction_tokens":0,"audio_tokens":0,"reasoning_tokens":0,"rejected_prediction_tokens":0},"prompt_tokens":866,"prompt_tokens_details":{"audio_tokens":0,"cached_tokens":0},"total_tokens":880}}</t>
        </is>
      </c>
      <c r="K137" t="inlineStr">
        <is>
          <t>Montblanc Silver Chrome Engraved Ballpoint Pen for Business</t>
        </is>
      </c>
      <c r="L137" t="inlineStr">
        <is>
          <t>{"choices":[{"finish_reason":"stop","index":0,"logprobs":null,"message":{"annotations":[],"content":"Montblanc Silver Chrome Ballpoint Pen with sleek engraved steel body, modern elegant design for business or everyday writing, unisex premium craftsmanship and timeless style.","refusal":null,"role":"assistant"}}],"created":1777013374,"id":"chatcmpl-DY4dy1PZFeTjl5OkeTJF0PKxPdvgl","model":"gpt-5-chat-latest","object":"chat.completion","service_tier":"default","system_fingerprint":"fp_ad66631dec","usage":{"completion_tokens":32,"completion_tokens_details":{"accepted_prediction_tokens":0,"audio_tokens":0,"reasoning_tokens":0,"rejected_prediction_tokens":0},"prompt_tokens":884,"prompt_tokens_details":{"audio_tokens":0,"cached_tokens":0},"total_tokens":916}}</t>
        </is>
      </c>
      <c r="M137" t="inlineStr">
        <is>
          <t>{"alt-svc":"h3=\":443\"; ma=2592000","apim-request-id":"3a6ad2ce-0b5a-4a31-b8b8-6b84d5085555","azureml-model-session":"d20260405221325-2e8d5e76","cache-control":"no-cache","connection":"close","content-length":"762","content-security-policy":"frame-ancestors 'self'","content-type":"application/json","date":"Fri, 24 Apr 2026 06:49:36 GMT","server":"Caddy","skip-error-remapping":"true","strict-transport-security":"max-age=31536000; includeSubDomains; preload","via":"1.1 Caddy","x-api-request-id":"202604241449334702334552WrKydBo","x-content-type-options":"nosniff","x-frame-options":"SAMEORIGIN","x-ms-client-request-id":"Not-Set","x-ms-is-spilled-over":"false","x-ms-rai-invoked":"true","x-ms-region":"East US 2","x-new-api-version":"0.4.39","x-oneapi-request-id":"202604240649329420591958268d9d6nVLrdQrQ","x-ratelimit-abusepenalty-active":"False","x-ratelimit-limit-requests":"3850","x-ratelimit-limit-tokens":"3850000","x-ratelimit-remaining-requests":"3849","x-ratelimit-remaining-tokens":"3848354","x-ratelimit-renewalperiod-requests":"60","x-ratelimit-renewalperiod-tokens":"60","x-ratelimit-reset-requests":"15","x-ratelimit-reset-tokens":"25","x-request-id":"26037bdd-e529-4e18-aeb1-42fd9095a202"}</t>
        </is>
      </c>
      <c r="N137" t="inlineStr">
        <is>
          <t>Montblanc Silver Chrome Ballpoint Pen with sleek engraved steel body, modern elegant design for business or everyday writing, unisex premium craftsmanship and timeless style.</t>
        </is>
      </c>
      <c r="O137" t="inlineStr">
        <is>
          <t>{"id":"chatcmpl-DY57Tuun4osA0PGdvDjkP4B2cxTLc","object":"chat.completion","created":1777015203,"model":"gpt-5-chat-latest","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37" t="inlineStr">
        <is>
          <t>Montblanc,Pen,kakobuy,kakebuy2026,kekobuysheet,kakobuysheet2026,2026kakobuy,kakobuyspreadsheeet,kakobuylink,kakebuylist,Kakobuy MEGA Spreadsheet,kakobuysheetfind,kakobuysheetfind2026,2026kakobuysheetfind,kakobuysheet2026</t>
        </is>
      </c>
      <c r="Q137"/>
      <c r="R137" t="inlineStr">
        <is>
          <t>recvhju1CrKYrK</t>
        </is>
      </c>
      <c r="S137" t="inlineStr">
        <is>
          <t>montblanc-silver-chrome-engraved-ballpoint-pen-recvhju1crkyrk</t>
        </is>
      </c>
      <c r="T137"/>
      <c r="U137"/>
      <c r="V137"/>
      <c r="W137" t="inlineStr">
        <is>
          <t>{"choices":[{"finish_reason":"stop","index":0,"logprobs":null,"message":{"annotations":[],"content":"Montblanc：银色镀铬钢制签字笔，流线型雕刻笔身设计，彰显现代优雅格调，男女皆宜，商务与日常书写皆臻品质体验。","refusal":null,"role":"assistant"}}],"created":1777011652,"id":"chatcmpl-DY4CCytGM4GHarfyiUK1YbdziBs0d","model":"gpt-5-chat-latest","object":"chat.completion","service_tier":"default","system_fingerprint":"fp_ad66631dec","usage":{"completion_tokens":50,"completion_tokens_details":{"accepted_prediction_tokens":0,"audio_tokens":0,"reasoning_tokens":0,"rejected_prediction_tokens":0},"prompt_tokens":1301,"prompt_tokens_details":{"audio_tokens":0,"cached_tokens":0},"total_tokens":1351}}</t>
        </is>
      </c>
      <c r="X137" t="inlineStr">
        <is>
          <t>Montblanc：银色镀铬钢制签字笔，流线型雕刻笔身设计，彰显现代优雅格调，男女皆宜，商务与日常书写皆臻品质体验。</t>
        </is>
      </c>
    </row>
    <row r="138" ht="25.5" customHeight="1">
      <c r="A138">
        <v>1654975475</v>
      </c>
      <c r="B138">
        <v>7616146757</v>
      </c>
      <c r="C138" s="2" t="str">
        <f>=HYPERLINK("https://weidian.com/item.html?itemID=7616146757", "https://weidian.com/item.html?itemID=7616146757")</f>
        <v>https://weidian.com/item.html?itemID=7616146757</v>
      </c>
      <c r="D138"/>
      <c r="E138" s="2" t="str">
        <f>=HYPERLINK("https://si.geilicdn.com/pcitem2014204438-418d0000019abb5dc8940a23041a_1080_1080.jpg?w=640&amp;h=640", "https://si.geilicdn.com/pcitem2014204438-418d0000019abb5dc8940a23041a_1080_1080.jpg?w=640&amp;h=640")</f>
        <v>https://si.geilicdn.com/pcitem2014204438-418d0000019abb5dc8940a23041a_1080_1080.jpg?w=640&amp;h=640</v>
      </c>
      <c r="F138" t="inlineStr">
        <is>
          <t>Accessories</t>
        </is>
      </c>
      <c r="G138" t="inlineStr">
        <is>
          <t>Montblanc</t>
        </is>
      </c>
      <c r="H138">
        <v>460</v>
      </c>
      <c r="I138">
        <v>66.67</v>
      </c>
      <c r="J138" t="inlineStr">
        <is>
          <t>{"choices":[{"finish_reason":"stop","index":0,"logprobs":null,"message":{"annotations":[],"content":"Montblanc Muses Rose Gold Gradient Pen","refusal":null,"role":"assistant"}}],"created":1777014385,"id":"chatcmpl-DY4uHhdiShHwxWOtujDT6f5axLmu5","model":"gpt-5-chat-latest","object":"chat.completion","service_tier":"default","system_fingerprint":"fp_ad66631dec","usage":{"completion_tokens":10,"completion_tokens_details":{"accepted_prediction_tokens":0,"audio_tokens":0,"reasoning_tokens":0,"rejected_prediction_tokens":0},"prompt_tokens":872,"prompt_tokens_details":{"audio_tokens":0,"cached_tokens":0},"total_tokens":882}}</t>
        </is>
      </c>
      <c r="K138" t="inlineStr">
        <is>
          <t>Montblanc Muses Rose Gold Gradient Pen</t>
        </is>
      </c>
      <c r="L138" t="inlineStr">
        <is>
          <t>{"id":"chatcmpl-DY4ddQO1cvcs8p1WFZJCizR09q2GW","object":"chat.completion","created":1777013353,"model":"gpt-5-chat-latest","choices":[{"index":0,"message":{"role":"assistant","content":"Montblanc Muses Collection Rose Gold Gradient Pen, stainless steel body with sleek design, elegant and modern style, perfect for men and women, showcasing timeless writing artistry.","refusal":null,"annotations":[]},"logprobs":null,"finish_reason":"stop"}],"usage":{"prompt_tokens":883,"completion_tokens":35,"total_tokens":918,"prompt_tokens_details":{"cached_tokens":0,"audio_tokens":0},"completion_tokens_details":{"reasoning_tokens":0,"audio_tokens":0,"accepted_prediction_tokens":0,"rejected_prediction_tokens":0}},"service_tier":"default","system_fingerprint":"fp_ad66631dec"}</t>
        </is>
      </c>
      <c r="M13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ma=2592000","apim-request-id":"63621a8e-5a76-4aa5-a46f-8e9d3c1d49b0","azureml-model-session":"d20260402075109-1fc5a0ec","cache-control":"no-cache, no-store, must-revalidate","connection":"close","content-length":"985","content-security-policy":"frame-ancestors 'self'","content-type":"application/json","date":"Fri, 24 Apr 2026 06:49:15 GMT","server":"Caddy","skip-error-remapping":"true","strict-transport-security":"max-age=31536000; includeSubDomains; preload","via":"1.1 Caddy","x-api-request-id":"20260424144912115623195KWqhkNwN","x-content-type-options":"nosniff","x-frame-options":"SAMEORIGIN","x-ms-is-spilled-over":"false","x-ms-rai-invoked":"false","x-ms-region":"East US 2","x-new-api-version":"0.4.39","x-oneapi-request-id":"20260424064912401563338268d9d6ZWtRQ8Xr","x-ratelimit-abusepenalty-active":"False","x-ratelimit-limit-requests":"4992","x-ratelimit-limit-tokens":"4992000","x-ratelimit-remaining-requests":"4991","x-ratelimit-remaining-tokens":"4990355","x-ratelimit-renewalperiod-requests":"60","x-ratelimit-renewalperiod-tokens":"60","x-ratelimit-reset-requests":"12","x-ratelimit-reset-tokens":"19","x-request-id":"cd9b4ae6-a06f-4b58-968f-81be5e40734c"}</t>
        </is>
      </c>
      <c r="N138" t="inlineStr">
        <is>
          <t>Montblanc Muses Collection Rose Gold Gradient Pen, stainless steel body with sleek design, elegant and modern style, perfect for men and women, showcasing timeless writing artistry.</t>
        </is>
      </c>
      <c r="O138"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1777014966,"id":"chatcmpl-DY53eYvizZWDm6kTQVNG5xqHkivXO","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38" t="inlineStr">
        <is>
          <t>Montblanc,Pen,kakobuy,kakebuy2026,kekobuysheet,kakobuysheet2026,2026kakobuy,kakobuyspreadsheeet,kakobuylink,kakebuylist,Kakobuy MEGA Spreadsheet,kakobuysheetfind,kakobuysheetfind2026,2026kakobuysheetfind,kakobuysheet2026</t>
        </is>
      </c>
      <c r="Q138"/>
      <c r="R138" t="inlineStr">
        <is>
          <t>recvhju1CrGfv0</t>
        </is>
      </c>
      <c r="S138" t="inlineStr">
        <is>
          <t>montblanc-muses-rose-gold-gradient-pen-recvhju1crgfv0</t>
        </is>
      </c>
      <c r="T138"/>
      <c r="U138"/>
      <c r="V138"/>
      <c r="W138" t="inlineStr">
        <is>
          <t>{"choices":[{"finish_reason":"stop","index":0,"logprobs":null,"message":{"annotations":[],"content":"Montblanc：缪斯系列玫瑰金渐变色签字笔，精钢笔身搭配流线设计，优雅现代风格，男女皆宜，演绎经典书写艺术。","refusal":null,"role":"assistant"}}],"created":1777011990,"id":"chatcmpl-DY4HeYMv7Kb6JQz5suGcciX3iNJEG","model":"gpt-5-chat-latest","object":"chat.completion","service_tier":"default","system_fingerprint":"fp_ad66631dec","usage":{"completion_tokens":49,"completion_tokens_details":{"accepted_prediction_tokens":0,"audio_tokens":0,"reasoning_tokens":0,"rejected_prediction_tokens":0},"prompt_tokens":1301,"prompt_tokens_details":{"audio_tokens":0,"cached_tokens":1280},"total_tokens":1350}}</t>
        </is>
      </c>
      <c r="X138" t="inlineStr">
        <is>
          <t>Montblanc：缪斯系列玫瑰金渐变色签字笔，精钢笔身搭配流线设计，优雅现代风格，男女皆宜，演绎经典书写艺术。</t>
        </is>
      </c>
    </row>
    <row r="139" ht="25.5" customHeight="1">
      <c r="A139">
        <v>1654975475</v>
      </c>
      <c r="B139">
        <v>7616045491</v>
      </c>
      <c r="C139" s="2" t="str">
        <f>=HYPERLINK("https://weidian.com/item.html?itemID=7616045491", "https://weidian.com/item.html?itemID=7616045491")</f>
        <v>https://weidian.com/item.html?itemID=7616045491</v>
      </c>
      <c r="D139"/>
      <c r="E139" s="2" t="str">
        <f>=HYPERLINK("https://si.geilicdn.com/pcitem2014204438-3b930000019abb64f0070a2102c5_1284_1712.jpg?w=640&amp;h=640", "https://si.geilicdn.com/pcitem2014204438-3b930000019abb64f0070a2102c5_1284_1712.jpg?w=640&amp;h=640")</f>
        <v>https://si.geilicdn.com/pcitem2014204438-3b930000019abb64f0070a2102c5_1284_1712.jpg?w=640&amp;h=640</v>
      </c>
      <c r="F139" t="inlineStr">
        <is>
          <t>Accessories</t>
        </is>
      </c>
      <c r="G139" t="inlineStr">
        <is>
          <t>Chanel</t>
        </is>
      </c>
      <c r="H139">
        <v>460</v>
      </c>
      <c r="I139">
        <v>66.67</v>
      </c>
      <c r="J139" t="inlineStr">
        <is>
          <t>{"choices":[{"finish_reason":"stop","index":0,"logprobs":null,"message":{"annotations":[],"content":"Montblanc Meisterstück Black Silver Luxury Signature Pen","refusal":null,"role":"assistant"}}],"created":1777014117,"id":"chatcmpl-DY4pxzNmq5ZBIk7spg9Hg6jkPVJyc","model":"gpt-5-chat-latest","object":"chat.completion","service_tier":"default","system_fingerprint":"fp_ad66631dec","usage":{"completion_tokens":11,"completion_tokens_details":{"accepted_prediction_tokens":0,"audio_tokens":0,"reasoning_tokens":0,"rejected_prediction_tokens":0},"prompt_tokens":881,"prompt_tokens_details":{"audio_tokens":0,"cached_tokens":0},"total_tokens":892}}</t>
        </is>
      </c>
      <c r="K139" t="inlineStr">
        <is>
          <t>Montblanc Meisterstück Black Silver Luxury Signature Pen</t>
        </is>
      </c>
      <c r="L139" t="inlineStr">
        <is>
          <t>{"choices":[{"finish_reason":"stop","index":0,"logprobs":null,"message":{"annotations":[],"content":"Montblanc Meisterstück Black and Silver Signature Pen, crafted in Germany with resin and platinum-coated clip, sapphire crown, sleek lines, perfect for business and art, ideal for men and women.","refusal":null,"role":"assistant"}}],"created":1777013386,"id":"chatcmpl-DY4eAH5JJbuHCZlBzQ8ySpRh3E5zq","model":"gpt-5-chat-latest","object":"chat.completion","service_tier":"default","system_fingerprint":"fp_ad66631dec","usage":{"completion_tokens":40,"completion_tokens_details":{"accepted_prediction_tokens":0,"audio_tokens":0,"reasoning_tokens":0,"rejected_prediction_tokens":0},"prompt_tokens":896,"prompt_tokens_details":{"audio_tokens":0,"cached_tokens":0},"total_tokens":936}}</t>
        </is>
      </c>
      <c r="M139" t="inlineStr">
        <is>
          <t>{"alt-svc":"h3=\":443\"; ma=2592000","apim-request-id":"4e068b7e-a6a1-4a4f-a6cd-d2d793bd818b","azureml-model-session":"d20260402083108-57a85543","cache-control":"no-cache","connection":"close","content-length":"783","content-security-policy":"frame-ancestors 'self'","content-type":"application/json","date":"Fri, 24 Apr 2026 06:49:47 GMT","server":"nginx","skip-error-remapping":"true","strict-transport-security":"max-age=31536000; includeSubDomains; preload","via":"1.1 Caddy, 1.1 Caddy","x-api-request-id":"2026042414494537759856H7XloVGa","x-content-type-options":"nosniff","x-frame-options":"SAMEORIGIN","x-ms-client-request-id":"Not-Set","x-ms-is-spilled-over":"false","x-ms-rai-invoked":"true","x-ms-region":"East US 2","x-new-api-version":"0.4.39","x-oneapi-request-id":"202604240649447126688388268d9d6y87HOR5D","x-ratelimit-abusepenalty-active":"False","x-ratelimit-limit-requests":"3850","x-ratelimit-limit-tokens":"3850000","x-ratelimit-remaining-requests":"3849","x-ratelimit-remaining-tokens":"3848342","x-ratelimit-renewalperiod-requests":"60","x-ratelimit-renewalperiod-tokens":"60","x-ratelimit-reset-requests":"15","x-ratelimit-reset-tokens":"25","x-request-id":"95546766-3f21-4538-a07c-e886c7868ade"}</t>
        </is>
      </c>
      <c r="N139" t="inlineStr">
        <is>
          <t>Montblanc Meisterstück Black and Silver Signature Pen, crafted in Germany with resin and platinum-coated clip, sapphire crown, sleek lines, perfect for business and art, ideal for men and women.</t>
        </is>
      </c>
      <c r="O139" t="inlineStr">
        <is>
          <t>{"id":"chatcmpl-DY58FMcURGrBlZ7e4VmKnc1V6w99W","object":"chat.completion","created":1777015251,"model":"gpt-5-chat-latest","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39" t="inlineStr">
        <is>
          <t>Montblanc,Pen,kakobuy,kakebuy2026,kekobuysheet,kakobuysheet2026,2026kakobuy,kakobuyspreadsheeet,kakobuylink,kakebuylist,Kakobuy MEGA Spreadsheet,kakobuysheetfind,kakobuysheetfind2026,2026kakobuysheetfind,kakobuysheet2026</t>
        </is>
      </c>
      <c r="Q139"/>
      <c r="R139" t="inlineStr">
        <is>
          <t>recvhju1CrB87t</t>
        </is>
      </c>
      <c r="S139" t="inlineStr">
        <is>
          <t>montblanc-meisterstuck-black-silver-pen-recvhju1crb87t</t>
        </is>
      </c>
      <c r="T139"/>
      <c r="U139"/>
      <c r="V139"/>
      <c r="W139" t="inlineStr">
        <is>
          <t>{"choices":[{"finish_reason":"stop","index":0,"logprobs":null,"message":{"annotations":[],"content":"Montblanc：大班系列黑银色签字笔，德国精制树脂与铂金镀层笔夹设计，蓝宝石笔顶点缀优雅光泽，笔身线条流畅，商务与艺术完美融合，男女皆宜。","refusal":null,"role":"assistant"}}],"created":1777011434,"id":"chatcmpl-DY48gU3lW8EPUdl3rjHY2Aa9h8088","model":"gpt-5-chat-latest","object":"chat.completion","service_tier":"default","system_fingerprint":"fp_ad66631dec","usage":{"completion_tokens":62,"completion_tokens_details":{"accepted_prediction_tokens":0,"audio_tokens":0,"reasoning_tokens":0,"rejected_prediction_tokens":0},"prompt_tokens":1301,"prompt_tokens_details":{"audio_tokens":0,"cached_tokens":0},"total_tokens":1363}}</t>
        </is>
      </c>
      <c r="X139" t="inlineStr">
        <is>
          <t>Montblanc：大班系列黑银色签字笔，德国精制树脂与铂金镀层笔夹设计，蓝宝石笔顶点缀优雅光泽，笔身线条流畅，商务与艺术完美融合，男女皆宜。</t>
        </is>
      </c>
    </row>
    <row r="140" ht="25.5" customHeight="1">
      <c r="A140">
        <v>1654975475</v>
      </c>
      <c r="B140">
        <v>7619077160</v>
      </c>
      <c r="C140" s="2" t="str">
        <f>=HYPERLINK("https://weidian.com/item.html?itemID=7619077160", "https://weidian.com/item.html?itemID=7619077160")</f>
        <v>https://weidian.com/item.html?itemID=7619077160</v>
      </c>
      <c r="D140"/>
      <c r="E140" s="2" t="str">
        <f>=HYPERLINK("https://si.geilicdn.com/pcitem2014204438-69f80000019abb0ea4b30a231316_1440_1920.jpg?w=640&amp;h=640", "https://si.geilicdn.com/pcitem2014204438-69f80000019abb0ea4b30a231316_1440_1920.jpg?w=640&amp;h=640")</f>
        <v>https://si.geilicdn.com/pcitem2014204438-69f80000019abb0ea4b30a231316_1440_1920.jpg?w=640&amp;h=640</v>
      </c>
      <c r="F140" t="inlineStr">
        <is>
          <t>Accessories</t>
        </is>
      </c>
      <c r="G140" t="inlineStr">
        <is>
          <t>Chanel</t>
        </is>
      </c>
      <c r="H140">
        <v>360</v>
      </c>
      <c r="I140">
        <v>52.17</v>
      </c>
      <c r="J140" t="inlineStr">
        <is>
          <t>{"choices":[{"finish_reason":"stop","index":0,"logprobs":null,"message":{"annotations":[],"content":"Chanel Black Gold Camellia Leather Notebook Set","refusal":null,"role":"assistant"}}],"created":1777014263,"id":"chatcmpl-DY4sJtyid04f33zM9Si7cQPO74rcg","model":"gpt-5-chat-latest","object":"chat.completion","service_tier":"default","system_fingerprint":"fp_ad66631dec","usage":{"completion_tokens":11,"completion_tokens_details":{"accepted_prediction_tokens":0,"audio_tokens":0,"reasoning_tokens":0,"rejected_prediction_tokens":0},"prompt_tokens":871,"prompt_tokens_details":{"audio_tokens":0,"cached_tokens":0},"total_tokens":882}}</t>
        </is>
      </c>
      <c r="K140" t="inlineStr">
        <is>
          <t>Chanel Black Gold Camellia Leather Notebook Set</t>
        </is>
      </c>
      <c r="L140" t="inlineStr">
        <is>
          <t>{"id":"chatcmpl-DY4aQNcT0iQVWa1uLhMHIAiuXkP81","object":"chat.completion","created":1777013154,"model":"gpt-5-chat-latest","choices":[{"index":0,"message":{"role":"assistant","content":"Chanel Black Gold Camellia Business Notebook Gift Set, crafted from refined leather with metal accents, showcases timeless French elegance, perfect for daily office use or luxury gifting.","refusal":null,"annotations":[]},"logprobs":null,"finish_reason":"stop"}],"usage":{"prompt_tokens":888,"completion_tokens":35,"total_tokens":923,"prompt_tokens_details":{"cached_tokens":0,"audio_tokens":0},"completion_tokens_details":{"reasoning_tokens":0,"audio_tokens":0,"accepted_prediction_tokens":0,"rejected_prediction_tokens":0}},"service_tier":"default","system_fingerprint":"fp_ad66631dec"}</t>
        </is>
      </c>
      <c r="M14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ma=2592000","apim-request-id":"d09feca3-db2d-42c3-ac8a-7137177241b2","azureml-model-session":"d20260405234249-f9874baf","cache-control":"no-cache, no-store, must-revalidate","connection":"close","content-length":"991","content-security-policy":"frame-ancestors 'self'","content-type":"application/json","date":"Fri, 24 Apr 2026 06:45:55 GMT","server":"Caddy","skip-error-remapping":"true","strict-transport-security":"max-age=31536000; includeSubDomains; preload","via":"1.1 Caddy","x-api-request-id":"2026042414455295760586305Nts89P","x-content-type-options":"nosniff","x-frame-options":"SAMEORIGIN","x-ms-is-spilled-over":"false","x-ms-rai-invoked":"false","x-ms-region":"East US 2","x-new-api-version":"0.4.39","x-oneapi-request-id":"202604240645527541232428268d9d6zfBiVS6I","x-ratelimit-abusepenalty-active":"False","x-ratelimit-limit-requests":"4992","x-ratelimit-limit-tokens":"4992000","x-ratelimit-remaining-requests":"4991","x-ratelimit-remaining-tokens":"4990350","x-ratelimit-renewalperiod-requests":"60","x-ratelimit-renewalperiod-tokens":"60","x-ratelimit-reset-requests":"12","x-ratelimit-reset-tokens":"19","x-request-id":"b637fd98-e953-4192-bea4-4de32883621c"}</t>
        </is>
      </c>
      <c r="N140" t="inlineStr">
        <is>
          <t>Chanel Black Gold Camellia Business Notebook Gift Set, crafted from refined leather with metal accents, showcases timeless French elegance, perfect for daily office use or luxury gifting.</t>
        </is>
      </c>
      <c r="O140" t="inlineStr">
        <is>
          <t>{"id":"chatcmpl-DY580uOVeTqy8v7D2irF6s4lML6hD","object":"chat.completion","created":1777015236,"model":"gpt-5-chat-latest","choices":[{"index":0,"message":{"role":"assistant","content":"Chanel,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0" t="inlineStr">
        <is>
          <t>Chanel, Accessories, kakobuy, kakebuy2026, kekobuysheet, kakobuysheet2026, 2026kakobuy, kakobuyspreadsheeet, kakobuylink, kakebuylist, Kakobuy MEGA Spreadsheet, kakobuysheetfind, kakobuysheetfind2026, 2026kakobuysheetfind, kakobuysheet2026</t>
        </is>
      </c>
      <c r="Q140" t="inlineStr">
        <is>
          <t>Chanel, Black Gold, Business, Leather, Elegant, Women</t>
        </is>
      </c>
      <c r="R140" t="inlineStr">
        <is>
          <t>recvhju1Crbaqd</t>
        </is>
      </c>
      <c r="S140" t="inlineStr">
        <is>
          <t>chanel-black-gold-camellia-leather-notebook-recvhju1crbaqd</t>
        </is>
      </c>
      <c r="T140"/>
      <c r="U140"/>
      <c r="V140"/>
      <c r="W140" t="inlineStr">
        <is>
          <t>{"id":"chatcmpl-DY46rTWdahETeM3Xy3Jw6LR8tLZ6q","object":"chat.completion","created":1777011321,"model":"gpt-5-chat-latest","choices":[{"index":0,"message":{"role":"assistant","content":"Chanel：黑金色山茶花系列商务笔记本套装，甄选细腻皮质搭配金属扣饰，简约高级设计展现法式优雅，适合男女日常办公与礼赠收藏。","refusal":null,"annotations":[]},"logprobs":null,"finish_reason":"stop"}],"usage":{"prompt_tokens":1299,"completion_tokens":55,"total_tokens":1354,"prompt_tokens_details":{"cached_tokens":0,"audio_tokens":0},"completion_tokens_details":{"reasoning_tokens":0,"audio_tokens":0,"accepted_prediction_tokens":0,"rejected_prediction_tokens":0}},"service_tier":"default","system_fingerprint":"fp_ad66631dec"}</t>
        </is>
      </c>
      <c r="X140" t="inlineStr">
        <is>
          <t>Chanel：黑金色山茶花系列商务笔记本套装，甄选细腻皮质搭配金属扣饰，简约高级设计展现法式优雅，适合男女日常办公与礼赠收藏。</t>
        </is>
      </c>
    </row>
    <row r="141" ht="25.5" customHeight="1">
      <c r="A141">
        <v>1654975475</v>
      </c>
      <c r="B141">
        <v>7616146483</v>
      </c>
      <c r="C141" s="2" t="str">
        <f>=HYPERLINK("https://weidian.com/item.html?itemID=7616146483", "https://weidian.com/item.html?itemID=7616146483")</f>
        <v>https://weidian.com/item.html?itemID=7616146483</v>
      </c>
      <c r="D141"/>
      <c r="E141" s="2" t="str">
        <f>=HYPERLINK("https://si.geilicdn.com/pcitem2014204438-528a0000019abb31b11a0a2103bd_1080_1080.jpg?w=640&amp;h=640", "https://si.geilicdn.com/pcitem2014204438-528a0000019abb31b11a0a2103bd_1080_1080.jpg?w=640&amp;h=640")</f>
        <v>https://si.geilicdn.com/pcitem2014204438-528a0000019abb31b11a0a2103bd_1080_1080.jpg?w=640&amp;h=640</v>
      </c>
      <c r="F141" t="inlineStr">
        <is>
          <t>Accessories</t>
        </is>
      </c>
      <c r="G141" t="inlineStr">
        <is>
          <t>Montblanc</t>
        </is>
      </c>
      <c r="H141">
        <v>460</v>
      </c>
      <c r="I141">
        <v>66.67</v>
      </c>
      <c r="J141" t="inlineStr">
        <is>
          <t>{"id":"chatcmpl-DY4tPR5fhq1o5TsuBpmxga22ZnhTO","object":"chat.completion","created":1777014331,"model":"gpt-5-chat-latest","choices":[{"index":0,"message":{"role":"assistant","content":"Montblanc Rose Gold Gradient Luxury Rollerball Pen","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141" t="inlineStr">
        <is>
          <t>Montblanc Rose Gold Gradient Luxury Rollerball Pen</t>
        </is>
      </c>
      <c r="L141" t="inlineStr">
        <is>
          <t>{"id":"chatcmpl-DY4endbMaHsnlmwwhmx4mLf7s9qqZ","object":"chat.completion","created":1777013425,"model":"gpt-5-chat-latest","choices":[{"index":0,"message":{"role":"assistant","content":"Montblanc Rose Gold Gradient Rollerball Pen, crafted with premium metal and resin, features a sleek design with silver clip and white star emblem, blending business style and artistic luxury.","refusal":null,"annotations":[]},"logprobs":null,"finish_reason":"stop"}],"usage":{"prompt_tokens":906,"completion_tokens":37,"total_tokens":943,"prompt_tokens_details":{"cached_tokens":0,"audio_tokens":0},"completion_tokens_details":{"reasoning_tokens":0,"audio_tokens":0,"accepted_prediction_tokens":0,"rejected_prediction_tokens":0}},"service_tier":"default","system_fingerprint":"fp_ad66631dec"}</t>
        </is>
      </c>
      <c r="M14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ma=2592000","apim-request-id":"beacafee-e4c3-4055-8869-e5044d0bde16","azureml-model-session":"d20260402083108-57a85543","cache-control":"no-cache, no-store, must-revalidate","connection":"close","content-length":"995","content-security-policy":"frame-ancestors 'self'","content-type":"application/json","date":"Fri, 24 Apr 2026 06:50:28 GMT","server":"Caddy","skip-error-remapping":"true","strict-transport-security":"max-age=31536000; includeSubDomains; preload","via":"1.1 Caddy","x-api-request-id":"20260424145023142580197vdZk4fMP","x-content-type-options":"nosniff","x-frame-options":"SAMEORIGIN","x-ms-is-spilled-over":"false","x-ms-rai-invoked":"false","x-ms-region":"Sweden Central","x-new-api-version":"0.4.39","x-oneapi-request-id":"202604240650228242463678268d9d6Mkh0Vrme","x-ratelimit-abusepenalty-active":"False","x-ratelimit-limit-requests":"4998","x-ratelimit-limit-tokens":"4998000","x-ratelimit-remaining-requests":"4997","x-ratelimit-remaining-tokens":"4996332","x-ratelimit-renewalperiod-requests":"60","x-ratelimit-renewalperiod-tokens":"60","x-ratelimit-reset-requests":"12","x-ratelimit-reset-tokens":"20","x-request-id":"7faae01c-105f-4bfc-a3b0-45d4c15561be"}</t>
        </is>
      </c>
      <c r="N141" t="inlineStr">
        <is>
          <t>Montblanc Rose Gold Gradient Rollerball Pen, crafted with premium metal and resin, features a sleek design with silver clip and white star emblem, blending business style and artistic luxury.</t>
        </is>
      </c>
      <c r="O141"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1777014996,"id":"chatcmpl-DY548HNOuOG8SMcFxpCYWdIlh1VeE","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41" t="inlineStr">
        <is>
          <t>Montblanc,Pen,kakobuy,kakebuy2026,kekobuysheet,kakobuysheet2026,2026kakobuy,kakobuyspreadsheeet,kakobuylink,kakebuylist,Kakobuy MEGA Spreadsheet,kakobuysheetfind,kakobuysheetfind2026,2026kakobuysheetfind,kakobuysheet2026</t>
        </is>
      </c>
      <c r="Q141"/>
      <c r="R141" t="inlineStr">
        <is>
          <t>recvhju1Cr9OvV</t>
        </is>
      </c>
      <c r="S141" t="inlineStr">
        <is>
          <t>montblanc-rose-gold-gradient-rollerball-pen-recvhju1cr9ovv</t>
        </is>
      </c>
      <c r="T141"/>
      <c r="U141"/>
      <c r="V141"/>
      <c r="W141" t="inlineStr">
        <is>
          <t>{"choices":[{"finish_reason":"stop","index":0,"logprobs":null,"message":{"annotations":[],"content":"Montblanc：玫瑰金渐变签字笔，精选金属与树脂材质，流线型设计优雅精致，银色笔夹点缀六角白星徽标，兼具商务与艺术气息，男女皆宜，展现现代奢华书写美学。","refusal":null,"role":"assistant"}}],"created":1777011866,"id":"chatcmpl-DY4FeZXMPkU0mY8zXr0n7UOgijPIt","model":"gpt-5-chat-latest","object":"chat.completion","service_tier":"default","system_fingerprint":"fp_ad66631dec","usage":{"completion_tokens":71,"completion_tokens_details":{"accepted_prediction_tokens":0,"audio_tokens":0,"reasoning_tokens":0,"rejected_prediction_tokens":0},"prompt_tokens":1303,"prompt_tokens_details":{"audio_tokens":0,"cached_tokens":0},"total_tokens":1374}}</t>
        </is>
      </c>
      <c r="X141" t="inlineStr">
        <is>
          <t>Montblanc：玫瑰金渐变签字笔，精选金属与树脂材质，流线型设计优雅精致，银色笔夹点缀六角白星徽标，兼具商务与艺术气息，男女皆宜，展现现代奢华书写美学。</t>
        </is>
      </c>
    </row>
    <row r="142" ht="25.5" customHeight="1">
      <c r="A142">
        <v>1654975475</v>
      </c>
      <c r="B142">
        <v>7616039347</v>
      </c>
      <c r="C142" s="2" t="str">
        <f>=HYPERLINK("https://weidian.com/item.html?itemID=7616039347", "https://weidian.com/item.html?itemID=7616039347")</f>
        <v>https://weidian.com/item.html?itemID=7616039347</v>
      </c>
      <c r="D142"/>
      <c r="E142" s="2" t="str">
        <f>=HYPERLINK("https://si.geilicdn.com/pcitem2014204438-05c80000019abb3201080a20e2c5_1080_1080.jpg?w=640&amp;h=640", "https://si.geilicdn.com/pcitem2014204438-05c80000019abb3201080a20e2c5_1080_1080.jpg?w=640&amp;h=640")</f>
        <v>https://si.geilicdn.com/pcitem2014204438-05c80000019abb3201080a20e2c5_1080_1080.jpg?w=640&amp;h=640</v>
      </c>
      <c r="F142" t="inlineStr">
        <is>
          <t>Accessories</t>
        </is>
      </c>
      <c r="G142" t="inlineStr">
        <is>
          <t>Montblanc</t>
        </is>
      </c>
      <c r="H142">
        <v>460</v>
      </c>
      <c r="I142">
        <v>66.67</v>
      </c>
      <c r="J142" t="inlineStr">
        <is>
          <t>{"id":"chatcmpl-DY4t4Eavt6zS1ptVnKs1lw2dKhQa0","object":"chat.completion","created":1777014310,"model":"gpt-5-chat-latest","choices":[{"index":0,"message":{"role":"assistant","content":"Montblanc Bronze Rose Gold Luxury Signature Pen","refusal":null,"annotations":[]},"logprobs":null,"finish_reason":"stop"}],"usage":{"prompt_tokens":876,"completion_tokens":10,"total_tokens":886,"prompt_tokens_details":{"cached_tokens":0,"audio_tokens":0},"completion_tokens_details":{"reasoning_tokens":0,"audio_tokens":0,"accepted_prediction_tokens":0,"rejected_prediction_tokens":0}},"service_tier":"default","system_fingerprint":"fp_ad66631dec"}</t>
        </is>
      </c>
      <c r="K142" t="inlineStr">
        <is>
          <t>Montblanc Bronze Rose Gold Luxury Signature Pen</t>
        </is>
      </c>
      <c r="L142" t="inlineStr">
        <is>
          <t>{"choices":[{"finish_reason":"stop","index":0,"logprobs":null,"message":{"annotations":[],"content":"Montblanc Bronze Rose Gold Signature Pen, featuring a sleek metallic body with chrome clip, elegant design blending modern simplicity and luxury, smooth writing, perfect for business or gift collectors.","refusal":null,"role":"assistant"}}],"created":1777013385,"id":"chatcmpl-DY4e9A1aCwfdvodgSIvrqpz5rzrVO","model":"gpt-5-chat-latest","object":"chat.completion","service_tier":"default","system_fingerprint":"fp_ad66631dec","usage":{"completion_tokens":37,"completion_tokens_details":{"accepted_prediction_tokens":0,"audio_tokens":0,"reasoning_tokens":0,"rejected_prediction_tokens":0},"prompt_tokens":901,"prompt_tokens_details":{"audio_tokens":0,"cached_tokens":0},"total_tokens":938}}</t>
        </is>
      </c>
      <c r="M142" t="inlineStr">
        <is>
          <t>{"alt-svc":"h3=\":443\"; ma=2592000","apim-request-id":"ac6d342a-5a22-4841-af82-77e8e24213df","azureml-model-session":"d20260402083108-57a85543","cache-control":"no-cache","connection":"close","content-length":"790","content-security-policy":"frame-ancestors 'self'","content-type":"application/json","date":"Fri, 24 Apr 2026 06:49:46 GMT","server":"Caddy","skip-error-remapping":"true","strict-transport-security":"max-age=31536000; includeSubDomains; preload","via":"1.1 Caddy","x-api-request-id":"20260424144944192153051gC7eBDsz","x-content-type-options":"nosniff","x-frame-options":"SAMEORIGIN","x-ms-client-request-id":"Not-Set","x-ms-is-spilled-over":"false","x-ms-rai-invoked":"true","x-ms-region":"East US 2","x-new-api-version":"0.4.39","x-oneapi-request-id":"20260424064944399326568268d9d6lSMJIJO3","x-ratelimit-abusepenalty-active":"False","x-ratelimit-limit-requests":"3850","x-ratelimit-limit-tokens":"3850000","x-ratelimit-remaining-requests":"3849","x-ratelimit-remaining-tokens":"3848337","x-ratelimit-renewalperiod-requests":"60","x-ratelimit-renewalperiod-tokens":"60","x-ratelimit-reset-requests":"15","x-ratelimit-reset-tokens":"25","x-request-id":"b675bdbe-a069-4c8d-a461-5b900f5845d5"}</t>
        </is>
      </c>
      <c r="N142" t="inlineStr">
        <is>
          <t>Montblanc Bronze Rose Gold Signature Pen, featuring a sleek metallic body with chrome clip, elegant design blending modern simplicity and luxury, smooth writing, perfect for business or gift collectors.</t>
        </is>
      </c>
      <c r="O142" t="inlineStr">
        <is>
          <t>{"id":"chatcmpl-DY51OkkR1QK7AhfjK3ZmY72Vs0lXL","object":"chat.completion","created":1777014826,"model":"gpt-5-chat-latest","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42" t="inlineStr">
        <is>
          <t>Montblanc,Pen,kakobuy,kakebuy2026,kekobuysheet,kakobuysheet2026,2026kakobuy,kakobuyspreadsheeet,kakobuylink,kakebuylist,Kakobuy MEGA Spreadsheet,kakobuysheetfind,kakobuysheetfind2026,2026kakobuysheetfind,kakobuysheet2026</t>
        </is>
      </c>
      <c r="Q142"/>
      <c r="R142" t="inlineStr">
        <is>
          <t>recvhju1Cr8AlJ</t>
        </is>
      </c>
      <c r="S142" t="inlineStr">
        <is>
          <t>montblanc-bronze-rose-gold-luxury-signature-pen-recvhju1cr8alj</t>
        </is>
      </c>
      <c r="T142"/>
      <c r="U142"/>
      <c r="V142"/>
      <c r="W142" t="inlineStr">
        <is>
          <t>{"choices":[{"finish_reason":"stop","index":0,"logprobs":null,"message":{"annotations":[],"content":"Montblanc：古铜玫瑰金触感签字笔，金属光泽笔身搭配精致镀铬笔夹，典雅设计融合现代简约风格，展现高端商务品味，男女皆宜，书写流畅兼具收藏价值。","refusal":null,"role":"assistant"}}],"created":1777011969,"id":"chatcmpl-DY4HJ97ufI9CPzLi4GMICbeOxEXf5","model":"gpt-5-chat-latest","object":"chat.completion","service_tier":"default","system_fingerprint":"fp_ad66631dec","usage":{"completion_tokens":66,"completion_tokens_details":{"accepted_prediction_tokens":0,"audio_tokens":0,"reasoning_tokens":0,"rejected_prediction_tokens":0},"prompt_tokens":1303,"prompt_tokens_details":{"audio_tokens":0,"cached_tokens":0},"total_tokens":1369}}</t>
        </is>
      </c>
      <c r="X142" t="inlineStr">
        <is>
          <t>Montblanc：古铜玫瑰金触感签字笔，金属光泽笔身搭配精致镀铬笔夹，典雅设计融合现代简约风格，展现高端商务品味，男女皆宜，书写流畅兼具收藏价值。</t>
        </is>
      </c>
    </row>
    <row r="143" ht="25.5" customHeight="1">
      <c r="A143">
        <v>1654975475</v>
      </c>
      <c r="B143">
        <v>7619087254</v>
      </c>
      <c r="C143" s="2" t="str">
        <f>=HYPERLINK("https://weidian.com/item.html?itemID=7619087254", "https://weidian.com/item.html?itemID=7619087254")</f>
        <v>https://weidian.com/item.html?itemID=7619087254</v>
      </c>
      <c r="D143"/>
      <c r="E143" s="2" t="str">
        <f>=HYPERLINK("https://si.geilicdn.com/pcitem2014204438-2f5e0000019abb3384820a20e284_1080_1438.jpg?w=640&amp;h=640", "https://si.geilicdn.com/pcitem2014204438-2f5e0000019abb3384820a20e284_1080_1438.jpg?w=640&amp;h=640")</f>
        <v>https://si.geilicdn.com/pcitem2014204438-2f5e0000019abb3384820a20e284_1080_1438.jpg?w=640&amp;h=640</v>
      </c>
      <c r="F143" t="inlineStr">
        <is>
          <t>Accessories</t>
        </is>
      </c>
      <c r="G143" t="inlineStr">
        <is>
          <t>Montblanc</t>
        </is>
      </c>
      <c r="H143">
        <v>460</v>
      </c>
      <c r="I143">
        <v>66.67</v>
      </c>
      <c r="J143" t="inlineStr">
        <is>
          <t>{"id":"chatcmpl-DY4uDWtpQQMO5ay1cggPaoLdO2cYd","object":"chat.completion","created":1777014381,"model":"gpt-5-chat-latest","choices":[{"index":0,"message":{"role":"assistant","content":"Montblanc Meisterstück Black Gold Rollerball Pen Luxury Gift","refusal":null,"annotations":[]},"logprobs":null,"finish_reason":"stop"}],"usage":{"prompt_tokens":862,"completion_tokens":13,"total_tokens":875,"prompt_tokens_details":{"cached_tokens":0,"audio_tokens":0},"completion_tokens_details":{"reasoning_tokens":0,"audio_tokens":0,"accepted_prediction_tokens":0,"rejected_prediction_tokens":0}},"service_tier":"default","system_fingerprint":"fp_ad66631dec"}</t>
        </is>
      </c>
      <c r="K143" t="inlineStr">
        <is>
          <t>Montblanc Meisterstück Black Gold Rollerball Pen Luxury Gift</t>
        </is>
      </c>
      <c r="L143" t="inlineStr">
        <is>
          <t>{"id":"chatcmpl-DY4hhFINGRIfh5uKT5GfTNvNhy7Mi","object":"chat.completion","created":1777013605,"model":"gpt-5-chat-latest","choices":[{"index":0,"message":{"role":"assistant","content":"Montblanc Meisterstück Black Gold Rollerball Pen – premium resin and gold-plated metal, sleek German craftsmanship, timeless luxury for business professionals.","refusal":null,"annotations":[]},"logprobs":null,"finish_reason":"stop"}],"usage":{"prompt_tokens":908,"completion_tokens":30,"total_tokens":938,"prompt_tokens_details":{"cached_tokens":0,"audio_tokens":0},"completion_tokens_details":{"reasoning_tokens":0,"audio_tokens":0,"accepted_prediction_tokens":0,"rejected_prediction_tokens":0}},"service_tier":"default","system_fingerprint":"fp_ad66631dec"}</t>
        </is>
      </c>
      <c r="M14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ma=2592000","apim-request-id":"8dabda2f-8ad9-419c-bef7-fc5fa0cb9146","azureml-model-session":"d20260405225800-40f19e54","cache-control":"no-cache, no-store, must-revalidate","connection":"close","content-length":"966","content-security-policy":"frame-ancestors 'self'","content-type":"application/json","date":"Fri, 24 Apr 2026 06:53:26 GMT","server":"nginx","skip-error-remapping":"true","strict-transport-security":"max-age=31536000; includeSubDomains; preload","via":"1.1 Caddy, 1.1 Caddy","x-api-request-id":"202604241453244224472572HnlRH3J","x-content-type-options":"nosniff","x-frame-options":"SAMEORIGIN","x-ms-is-spilled-over":"false","x-ms-rai-invoked":"false","x-ms-region":"East US 2","x-new-api-version":"0.4.39","x-oneapi-request-id":"202604240653241739511438268d9d6KGxYAxMR","x-ratelimit-abusepenalty-active":"False","x-ratelimit-limit-requests":"4992","x-ratelimit-limit-tokens":"4992000","x-ratelimit-remaining-requests":"4991","x-ratelimit-remaining-tokens":"4990330","x-ratelimit-renewalperiod-requests":"60","x-ratelimit-renewalperiod-tokens":"60","x-ratelimit-reset-requests":"12","x-ratelimit-reset-tokens":"20","x-request-id":"8d722ed9-c80b-40e7-b44c-956943277e7b"}</t>
        </is>
      </c>
      <c r="N143" t="inlineStr">
        <is>
          <t>Montblanc Meisterstück Black Gold Rollerball Pen – premium resin and gold-plated metal, sleek German craftsmanship, timeless luxury for business professionals.</t>
        </is>
      </c>
      <c r="O143"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1777015337,"id":"chatcmpl-DY59dSDfow55yWzgysxbbV6JzgK9a","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43" t="inlineStr">
        <is>
          <t>Montblanc,Pen,kakobuy,kakebuy2026,kekobuysheet,kakobuysheet2026,2026kakobuy,kakobuyspreadsheeet,kakobuylink,kakebuylist,Kakobuy MEGA Spreadsheet,kakobuysheetfind,kakobuysheetfind2026,2026kakobuysheetfind,kakobuysheet2026</t>
        </is>
      </c>
      <c r="Q143"/>
      <c r="R143" t="inlineStr">
        <is>
          <t>recvhju1Cr2swn</t>
        </is>
      </c>
      <c r="S143" t="inlineStr">
        <is>
          <t>montblanc-meisterstuck-black-gold-rollerball-recvhju1cr2swn</t>
        </is>
      </c>
      <c r="T143"/>
      <c r="U143"/>
      <c r="V143"/>
      <c r="W143" t="inlineStr">
        <is>
          <t>{"choices":[{"finish_reason":"stop","index":0,"logprobs":null,"message":{"annotations":[],"content":"Montblanc：Meisterstück黑金配色签字笔，甄选优质树脂与镀金金属材质，笔身线条流畅雅致，秉承经典德式工艺与品牌传承，商务精英男女皆宜，彰显永恒奢华与专业品味。","refusal":null,"role":"assistant"}}],"created":1777011312,"id":"chatcmpl-DY46iwb72qELMAKRalbcZtCN7ggRY","model":"gpt-5-chat-latest","object":"chat.completion","service_tier":"default","system_fingerprint":"fp_ad66631dec","usage":{"completion_tokens":73,"completion_tokens_details":{"accepted_prediction_tokens":0,"audio_tokens":0,"reasoning_tokens":0,"rejected_prediction_tokens":0},"prompt_tokens":1303,"prompt_tokens_details":{"audio_tokens":0,"cached_tokens":0},"total_tokens":1376}}</t>
        </is>
      </c>
      <c r="X143" t="inlineStr">
        <is>
          <t>Montblanc：Meisterstück黑金配色签字笔，甄选优质树脂与镀金金属材质，笔身线条流畅雅致，秉承经典德式工艺与品牌传承，商务精英男女皆宜，彰显永恒奢华与专业品味。</t>
        </is>
      </c>
    </row>
    <row r="144" ht="25.5" customHeight="1">
      <c r="A144">
        <v>1654975475</v>
      </c>
      <c r="B144">
        <v>7618413194</v>
      </c>
      <c r="C144" s="2" t="str">
        <f>=HYPERLINK("https://weidian.com/item.html?itemID=7618413194", "https://weidian.com/item.html?itemID=7618413194")</f>
        <v>https://weidian.com/item.html?itemID=7618413194</v>
      </c>
      <c r="D144"/>
      <c r="E144" s="2" t="str">
        <f>=HYPERLINK("https://si.geilicdn.com/pcitem2014204438-26410000019abb14bba30a2301b4_1080_1080.jpg?w=640&amp;h=640", "https://si.geilicdn.com/pcitem2014204438-26410000019abb14bba30a2301b4_1080_1080.jpg?w=640&amp;h=640")</f>
        <v>https://si.geilicdn.com/pcitem2014204438-26410000019abb14bba30a2301b4_1080_1080.jpg?w=640&amp;h=640</v>
      </c>
      <c r="F144" t="inlineStr">
        <is>
          <t>Accessories</t>
        </is>
      </c>
      <c r="G144" t="inlineStr">
        <is>
          <t>Montblanc</t>
        </is>
      </c>
      <c r="H144">
        <v>460</v>
      </c>
      <c r="I144">
        <v>66.67</v>
      </c>
      <c r="J144" t="inlineStr">
        <is>
          <t>{"id":"chatcmpl-DY4s1axomGixCZnXYhGXqKHjrgdMi","object":"chat.completion","created":1777014245,"model":"gpt-5-chat-latest","choices":[{"index":0,"message":{"role":"assistant","content":"Montblanc Silver Classic Stainless Steel Signature Pen","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144" t="inlineStr">
        <is>
          <t>Montblanc Silver Classic Stainless Steel Signature Pen</t>
        </is>
      </c>
      <c r="L144" t="inlineStr">
        <is>
          <t>{"choices":[{"finish_reason":"stop","index":0,"logprobs":null,"message":{"annotations":[],"content":"Montblanc Silver Classic Signature Pen, crafted from premium stainless steel with sleek engraved lines, exudes timeless elegance. Perfect for men and women, ideal for business or gifting.","refusal":null,"role":"assistant"}}],"created":1777013299,"id":"chatcmpl-DY4clY2MM09O6BW65Q3QyT69DKCci","model":"gpt-5-chat-latest","object":"chat.completion","service_tier":"default","system_fingerprint":"fp_ad66631dec","usage":{"completion_tokens":36,"completion_tokens_details":{"accepted_prediction_tokens":0,"audio_tokens":0,"reasoning_tokens":0,"rejected_prediction_tokens":0},"prompt_tokens":880,"prompt_tokens_details":{"audio_tokens":0,"cached_tokens":0},"total_tokens":916}}</t>
        </is>
      </c>
      <c r="M144" t="inlineStr">
        <is>
          <t>{"alt-svc":"h3=\":443\"; ma=2592000","apim-request-id":"a907a036-a5dd-4e39-aa83-ce55c35d05fb","azureml-model-session":"d20260402084046-4209e968","cache-control":"no-cache","connection":"close","content-length":"775","content-security-policy":"frame-ancestors 'self'","content-type":"application/json","date":"Fri, 24 Apr 2026 06:48:21 GMT","server":"Caddy","skip-error-remapping":"true","strict-transport-security":"max-age=31536000; includeSubDomains; preload","via":"1.1 Caddy","x-api-request-id":"202604241448182350952396rMpVoOz","x-content-type-options":"nosniff","x-frame-options":"SAMEORIGIN","x-ms-client-request-id":"Not-Set","x-ms-is-spilled-over":"false","x-ms-rai-invoked":"true","x-ms-region":"East US 2","x-new-api-version":"0.4.39","x-oneapi-request-id":"202604240648179359758408268d9d6Jc0w0cQA","x-ratelimit-abusepenalty-active":"False","x-ratelimit-limit-requests":"3850","x-ratelimit-limit-tokens":"3850000","x-ratelimit-remaining-requests":"3849","x-ratelimit-remaining-tokens":"3848358","x-ratelimit-renewalperiod-requests":"60","x-ratelimit-renewalperiod-tokens":"60","x-ratelimit-reset-requests":"15","x-ratelimit-reset-tokens":"25","x-request-id":"19eac327-173b-4662-b6ea-5fbd17571c97"}</t>
        </is>
      </c>
      <c r="N144" t="inlineStr">
        <is>
          <t>Montblanc Silver Classic Signature Pen, crafted from premium stainless steel with sleek engraved lines, exudes timeless elegance. Perfect for men and women, ideal for business or gifting.</t>
        </is>
      </c>
      <c r="O144"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1777015050,"id":"chatcmpl-DY550mDNtSe3NmbsKXldZlcWR0Lwv","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44" t="inlineStr">
        <is>
          <t>Montblanc,Accessories,kakobuy,kakebuy2026,kekobuysheet,kakobuysheet2026,2026kakobuy,kakobuyspreadsheeet,kakobuylink,kakebuylist,Kakobuy MEGA Spreadsheet,kakobuysheetfind,kakobuysheetfind2026,2026kakobuysheetfind,kakobuysheet2026</t>
        </is>
      </c>
      <c r="Q144"/>
      <c r="R144" t="inlineStr">
        <is>
          <t>recvhju1Cr0jPj</t>
        </is>
      </c>
      <c r="S144" t="inlineStr">
        <is>
          <t>montblanc-silver-classic-stainless-steel-signature-pen-recvhju1cr0jPj</t>
        </is>
      </c>
      <c r="T144"/>
      <c r="U144"/>
      <c r="V144"/>
      <c r="W144" t="inlineStr">
        <is>
          <t>{"choices":[{"finish_reason":"stop","index":0,"logprobs":null,"message":{"annotations":[],"content":"Montblanc：银色经典系列签字笔，甄选精钢材质，流线雕纹设计彰显雅致格调，男女皆宜，商务与礼赠皆臻品。","refusal":null,"role":"assistant"}}],"created":1777011865,"id":"chatcmpl-DY4FdeCMPwIovNq1y80TMkLEVvV9A","model":"gpt-5-chat-latest","object":"chat.completion","service_tier":"default","system_fingerprint":"fp_ad66631dec","usage":{"completion_tokens":46,"completion_tokens_details":{"accepted_prediction_tokens":0,"audio_tokens":0,"reasoning_tokens":0,"rejected_prediction_tokens":0},"prompt_tokens":1301,"prompt_tokens_details":{"audio_tokens":0,"cached_tokens":0},"total_tokens":1347}}</t>
        </is>
      </c>
      <c r="X144" t="inlineStr">
        <is>
          <t>Montblanc：银色经典系列签字笔，甄选精钢材质，流线雕纹设计彰显雅致格调，男女皆宜，商务与礼赠皆臻品。</t>
        </is>
      </c>
    </row>
    <row r="145" ht="25.5" customHeight="1">
      <c r="A145">
        <v>1654975475</v>
      </c>
      <c r="B145">
        <v>7619093224</v>
      </c>
      <c r="C145" s="2" t="str">
        <f>=HYPERLINK("https://weidian.com/item.html?itemID=7619093224", "https://weidian.com/item.html?itemID=7619093224")</f>
        <v>https://weidian.com/item.html?itemID=7619093224</v>
      </c>
      <c r="D145"/>
      <c r="E145" s="2" t="str">
        <f>=HYPERLINK("https://si.geilicdn.com/pcitem2014204438-2e3f0000019abb31536f0a23047e_1080_1080.jpg?w=640&amp;h=640", "https://si.geilicdn.com/pcitem2014204438-2e3f0000019abb31536f0a23047e_1080_1080.jpg?w=640&amp;h=640")</f>
        <v>https://si.geilicdn.com/pcitem2014204438-2e3f0000019abb31536f0a23047e_1080_1080.jpg?w=640&amp;h=640</v>
      </c>
      <c r="F145" t="inlineStr">
        <is>
          <t>Accessories</t>
        </is>
      </c>
      <c r="G145" t="inlineStr">
        <is>
          <t>Montblanc</t>
        </is>
      </c>
      <c r="H145">
        <v>460</v>
      </c>
      <c r="I145">
        <v>66.67</v>
      </c>
      <c r="J145" t="inlineStr">
        <is>
          <t>{"choices":[{"finish_reason":"stop","index":0,"logprobs":null,"message":{"annotations":[],"content":"Montblanc Gradient Gold Brown Limited Edition Rollerball Pen","refusal":null,"role":"assistant"}}],"created":1777014408,"id":"chatcmpl-DY4ueZKx991C10BwDxW2jEsi8vKXP","model":"gpt-5-chat-latest","object":"chat.completion","service_tier":"default","system_fingerprint":"fp_ad66631dec","usage":{"completion_tokens":12,"completion_tokens_details":{"accepted_prediction_tokens":0,"audio_tokens":0,"reasoning_tokens":0,"rejected_prediction_tokens":0},"prompt_tokens":872,"prompt_tokens_details":{"audio_tokens":0,"cached_tokens":0},"total_tokens":884}}</t>
        </is>
      </c>
      <c r="K145" t="inlineStr">
        <is>
          <t>Montblanc Gradient Gold Brown Limited Edition Rollerball Pen</t>
        </is>
      </c>
      <c r="L145" t="inlineStr">
        <is>
          <t>{"choices":[{"finish_reason":"stop","index":0,"logprobs":null,"message":{"annotations":[],"content":"Montblanc Limited Edition Gradient Gold-Brown Rollerball Pen, crafted from premium metal with gold-plated details, vintage gentleman style, perfect for business professionals and collectors.","refusal":null,"role":"assistant"}}],"created":1777013360,"id":"chatcmpl-DY4dkPVLl4Q2jSdHyU1wA5dehJRZb","model":"gpt-5-chat-latest","object":"chat.completion","service_tier":"default","system_fingerprint":"fp_ad66631dec","usage":{"completion_tokens":35,"completion_tokens_details":{"accepted_prediction_tokens":0,"audio_tokens":0,"reasoning_tokens":0,"rejected_prediction_tokens":0},"prompt_tokens":898,"prompt_tokens_details":{"audio_tokens":0,"cached_tokens":0},"total_tokens":933}}</t>
        </is>
      </c>
      <c r="M145" t="inlineStr">
        <is>
          <t>{"alt-svc":"h3=\":443\"; ma=2592000","apim-request-id":"8da0a384-8f17-49ab-a729-9373fb191791","azureml-model-session":"d20260402083108-57a85543","cache-control":"no-cache","connection":"close","content-length":"778","content-security-policy":"frame-ancestors 'self'","content-type":"application/json","date":"Fri, 24 Apr 2026 06:49:21 GMT","server":"nginx","skip-error-remapping":"true","strict-transport-security":"max-age=31536000; includeSubDomains; preload","via":"1.1 Caddy, 1.1 Caddy","x-api-request-id":"20260424144919238064565CAK2ANvQ","x-content-type-options":"nosniff","x-frame-options":"SAMEORIGIN","x-ms-client-request-id":"Not-Set","x-ms-is-spilled-over":"false","x-ms-rai-invoked":"true","x-ms-region":"East US 2","x-new-api-version":"0.4.39","x-oneapi-request-id":"202604240649191434417948268d9d6B8RrwGxK","x-ratelimit-abusepenalty-active":"False","x-ratelimit-limit-requests":"3850","x-ratelimit-limit-tokens":"3850000","x-ratelimit-remaining-requests":"3849","x-ratelimit-remaining-tokens":"3833143","x-ratelimit-renewalperiod-requests":"60","x-ratelimit-renewalperiod-tokens":"60","x-ratelimit-reset-requests":"15","x-ratelimit-reset-tokens":"262","x-request-id":"d095e0f2-e95a-483b-b94a-f728bb727ebf"}</t>
        </is>
      </c>
      <c r="N145" t="inlineStr">
        <is>
          <t>Montblanc Limited Edition Gradient Gold-Brown Rollerball Pen, crafted from premium metal with gold-plated details, vintage gentleman style, perfect for business professionals and collectors.</t>
        </is>
      </c>
      <c r="O145" t="inlineStr">
        <is>
          <t>{"id":"chatcmpl-DY55y9s3naUP8YuPowCT91jLyTAlw","object":"chat.completion","created":1777015110,"model":"gpt-5-chat-latest","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45" t="inlineStr">
        <is>
          <t>Montblanc,Accessories,kakobuy,kakebuy2026,kekobuysheet,kakobuysheet2026,2026kakobuy,kakobuyspreadsheeet,kakobuylink,kakebuylist,Kakobuy MEGA Spreadsheet,kakobuysheetfind,kakobuysheetfind2026,2026kakobuysheetfind,kakobuysheet2026</t>
        </is>
      </c>
      <c r="Q145"/>
      <c r="R145" t="inlineStr">
        <is>
          <t>recvhju1CrCo9G</t>
        </is>
      </c>
      <c r="S145" t="inlineStr">
        <is>
          <t>montblanc-gradient-gold-brown-rollerball-recvhju1crco9g</t>
        </is>
      </c>
      <c r="T145"/>
      <c r="U145"/>
      <c r="V145"/>
      <c r="W145" t="inlineStr">
        <is>
          <t>{"id":"chatcmpl-DY4CchULy65fou4PTCsN92Mvxy4dJ","object":"chat.completion","created":1777011678,"model":"gpt-5-chat-latest","choices":[{"index":0,"message":{"role":"assistant","content":"Montblanc：限量版渐变金棕色签字笔，甄选高端金属与镀金饰件，优雅流线设计，复古绅士风格，兼具收藏与书写功能，适合商务男女精英使用。","refusal":null,"annotations":[]},"logprobs":null,"finish_reason":"stop"}],"usage":{"prompt_tokens":1305,"completion_tokens":62,"total_tokens":1367,"prompt_tokens_details":{"cached_tokens":0,"audio_tokens":0},"completion_tokens_details":{"reasoning_tokens":0,"audio_tokens":0,"accepted_prediction_tokens":0,"rejected_prediction_tokens":0}},"service_tier":"default","system_fingerprint":"fp_ad66631dec"}</t>
        </is>
      </c>
      <c r="X145" t="inlineStr">
        <is>
          <t>Montblanc：限量版渐变金棕色签字笔，甄选高端金属与镀金饰件，优雅流线设计，复古绅士风格，兼具收藏与书写功能，适合商务男女精英使用。</t>
        </is>
      </c>
    </row>
    <row r="146" ht="25.5" customHeight="1">
      <c r="A146">
        <v>1654975475</v>
      </c>
      <c r="B146">
        <v>7619061354</v>
      </c>
      <c r="C146" s="2" t="str">
        <f>=HYPERLINK("https://weidian.com/item.html?itemID=7619061354", "https://weidian.com/item.html?itemID=7619061354")</f>
        <v>https://weidian.com/item.html?itemID=7619061354</v>
      </c>
      <c r="D146"/>
      <c r="E146" s="2" t="str">
        <f>=HYPERLINK("https://si.geilicdn.com/pcitem2014204438-24360000019abb0e27b00a20e284_1170_2532.jpg?w=640&amp;h=640", "https://si.geilicdn.com/pcitem2014204438-24360000019abb0e27b00a20e284_1170_2532.jpg?w=640&amp;h=640")</f>
        <v>https://si.geilicdn.com/pcitem2014204438-24360000019abb0e27b00a20e284_1170_2532.jpg?w=640&amp;h=640</v>
      </c>
      <c r="F146" t="inlineStr">
        <is>
          <t>Accessories</t>
        </is>
      </c>
      <c r="G146" t="inlineStr">
        <is>
          <t>Montblanc</t>
        </is>
      </c>
      <c r="H146">
        <v>460</v>
      </c>
      <c r="I146">
        <v>66.67</v>
      </c>
      <c r="J146" t="inlineStr">
        <is>
          <t>{"choices":[{"finish_reason":"stop","index":0,"logprobs":null,"message":{"annotations":[],"content":"Montblanc Limited Edition Black Diamond Luxury Pen","refusal":null,"role":"assistant"}}],"created":1777014333,"id":"chatcmpl-DY4tRcX9euf2UJmdBPKCvs45Wbj8Z","model":"gpt-5-chat-latest","object":"chat.completion","service_tier":"default","system_fingerprint":"fp_ad66631dec","usage":{"completion_tokens":10,"completion_tokens_details":{"accepted_prediction_tokens":0,"audio_tokens":0,"reasoning_tokens":0,"rejected_prediction_tokens":0},"prompt_tokens":1154,"prompt_tokens_details":{"audio_tokens":0,"cached_tokens":0},"total_tokens":1164}}</t>
        </is>
      </c>
      <c r="K146" t="inlineStr">
        <is>
          <t>Montblanc Limited Edition Black Diamond Luxury Pen</t>
        </is>
      </c>
      <c r="L146" t="inlineStr">
        <is>
          <t>{"choices":[{"finish_reason":"stop","index":0,"logprobs":null,"message":{"annotations":[],"content":"Montblanc Limited Edition Black Diamond Pen – crafted from precious metals and adorned with dazzling diamonds. Sleek, elegant, and timeless, a perfect luxury gift for business professionals.","refusal":null,"role":"assistant"}}],"created":1777013466,"id":"chatcmpl-DY4fSRo7AX17HuOR3FJgp4N9eLFBS","model":"gpt-5-chat-latest","object":"chat.completion","service_tier":"default","system_fingerprint":"fp_ad66631dec","usage":{"completion_tokens":36,"completion_tokens_details":{"accepted_prediction_tokens":0,"audio_tokens":0,"reasoning_tokens":0,"rejected_prediction_tokens":0},"prompt_tokens":1195,"prompt_tokens_details":{"audio_tokens":0,"cached_tokens":0},"total_tokens":1231}}</t>
        </is>
      </c>
      <c r="M146" t="inlineStr">
        <is>
          <t>{"alt-svc":"h3=\":443\"; ma=2592000","apim-request-id":"5e3ad451-f79c-42cf-9083-5c11bc6ac40c","azureml-model-session":"d20260402074105-51db401e","cache-control":"no-cache","connection":"close","content-length":"782","content-security-policy":"frame-ancestors 'self'","content-type":"application/json","date":"Fri, 24 Apr 2026 06:51:08 GMT","server":"nginx","skip-error-remapping":"true","strict-transport-security":"max-age=31536000; includeSubDomains; preload","via":"1.1 Caddy, 1.1 Caddy","x-api-request-id":"20260424145105180600375ZiCHPRBD","x-content-type-options":"nosniff","x-frame-options":"SAMEORIGIN","x-ms-client-request-id":"Not-Set","x-ms-is-spilled-over":"false","x-ms-rai-invoked":"true","x-ms-region":"East US 2","x-new-api-version":"0.4.39","x-oneapi-request-id":"20260424065105396539398268d9d6SsjtDO6t","x-ratelimit-abusepenalty-active":"False","x-ratelimit-limit-requests":"3850","x-ratelimit-limit-tokens":"3850000","x-ratelimit-remaining-requests":"3849","x-ratelimit-remaining-tokens":"3848042","x-ratelimit-renewalperiod-requests":"60","x-ratelimit-renewalperiod-tokens":"60","x-ratelimit-reset-requests":"15","x-ratelimit-reset-tokens":"30","x-request-id":"13df253a-2309-437b-8527-aa52f1aff7be"}</t>
        </is>
      </c>
      <c r="N146" t="inlineStr">
        <is>
          <t>Montblanc Limited Edition Black Diamond Pen – crafted from precious metals and adorned with dazzling diamonds. Sleek, elegant, and timeless, a perfect luxury gift for business professionals.</t>
        </is>
      </c>
      <c r="O146"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1777014861,"id":"chatcmpl-DY51x2OfX8eerGVT1drFFpBX3x7nJ","model":"gpt-5-chat-latest","object":"chat.completion","service_tier":"default","system_fingerprint":"fp_ad66631dec","usage":{"completion_tokens":88,"completion_tokens_details":{"accepted_prediction_tokens":0,"audio_tokens":0,"reasoning_tokens":0,"rejected_prediction_tokens":0},"prompt_tokens":1063,"prompt_tokens_details":{"audio_tokens":0,"cached_tokens":0},"total_tokens":1151}}</t>
        </is>
      </c>
      <c r="P146" t="inlineStr">
        <is>
          <t>Montblanc,Pen,kakobuy,kakebuy2026,kekobuysheet,kakobuysheet2026,2026kakobuy,kakobuyspreadsheeet,kakobuylink,kakebuylist,Kakobuy MEGA Spreadsheet,kakobuysheetfind,kakobuysheetfind2026,2026kakobuysheetfind,kakobuysheet2026</t>
        </is>
      </c>
      <c r="Q146"/>
      <c r="R146" t="inlineStr">
        <is>
          <t>recvhju1CrgHyS</t>
        </is>
      </c>
      <c r="S146" t="inlineStr">
        <is>
          <t>montblanc-black-diamond-luxury-pen-recvhju1crghys</t>
        </is>
      </c>
      <c r="T146"/>
      <c r="U146"/>
      <c r="V146"/>
      <c r="W146" t="inlineStr">
        <is>
          <t>{"choices":[{"finish_reason":"stop","index":0,"logprobs":null,"message":{"annotations":[],"content":"Montblanc：限量款黑色钻石签字笔，甄选珍稀贵金属与钻石镶饰，笔身流线典雅，细节精致闪耀。融合现代奢华与经典设计，彰显非凡品味，适合商务绅士与优雅女士使用，尽显尊贵格调。","refusal":null,"role":"assistant"}}],"created":1777011786,"id":"chatcmpl-DY4EMDZfL7nvzSzxFPl72POzEJ30E","model":"gpt-5-chat-latest","object":"chat.completion","service_tier":"default","system_fingerprint":"fp_ad66631dec","usage":{"completion_tokens":81,"completion_tokens_details":{"accepted_prediction_tokens":0,"audio_tokens":0,"reasoning_tokens":0,"rejected_prediction_tokens":0},"prompt_tokens":1581,"prompt_tokens_details":{"audio_tokens":0,"cached_tokens":1536},"total_tokens":1662}}</t>
        </is>
      </c>
      <c r="X146" t="inlineStr">
        <is>
          <t>Montblanc：限量款黑色钻石签字笔，甄选珍稀贵金属与钻石镶饰，笔身流线典雅，细节精致闪耀。融合现代奢华与经典设计，彰显非凡品味，适合商务绅士与优雅女士使用，尽显尊贵格调。</t>
        </is>
      </c>
    </row>
    <row r="147" ht="25.5" customHeight="1">
      <c r="A147">
        <v>1654975475</v>
      </c>
      <c r="B147">
        <v>7616132983</v>
      </c>
      <c r="C147" s="2" t="str">
        <f>=HYPERLINK("https://weidian.com/item.html?itemID=7616132983", "https://weidian.com/item.html?itemID=7616132983")</f>
        <v>https://weidian.com/item.html?itemID=7616132983</v>
      </c>
      <c r="D147"/>
      <c r="E147" s="2" t="str">
        <f>=HYPERLINK("https://si.geilicdn.com/pcitem2014204438-20c70000019abb0fd87a0a8134f0_1080_1080.jpg?w=640&amp;h=640", "https://si.geilicdn.com/pcitem2014204438-20c70000019abb0fd87a0a8134f0_1080_1080.jpg?w=640&amp;h=640")</f>
        <v>https://si.geilicdn.com/pcitem2014204438-20c70000019abb0fd87a0a8134f0_1080_1080.jpg?w=640&amp;h=640</v>
      </c>
      <c r="F147" t="inlineStr">
        <is>
          <t>Accessories</t>
        </is>
      </c>
      <c r="G147" t="inlineStr">
        <is>
          <t>Montblanc</t>
        </is>
      </c>
      <c r="H147">
        <v>460</v>
      </c>
      <c r="I147">
        <v>66.67</v>
      </c>
      <c r="J147" t="inlineStr">
        <is>
          <t>{"id":"chatcmpl-DY4wtmE3H9oHb0InbQMrG08shEkct","object":"chat.completion","created":1777014547,"model":"gpt-5-chat-latest","choices":[{"index":0,"message":{"role":"assistant","content":"Montblanc Classic Deep Blue Silver Luxury Fountain Pen","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ad66631dec"}</t>
        </is>
      </c>
      <c r="K147" t="inlineStr">
        <is>
          <t>Montblanc Classic Deep Blue Silver Luxury Fountain Pen</t>
        </is>
      </c>
      <c r="L147" t="inlineStr">
        <is>
          <t>{"choices":[{"finish_reason":"stop","index":0,"logprobs":null,"message":{"annotations":[],"content":"Montblanc Classic Deep Blue Silver Fountain Pen, sleek resin body with platinum-coated engraved cap, exuding elegant business style and German craftsmanship for men and women alike.","refusal":null,"role":"assistant"}}],"created":1777013459,"id":"chatcmpl-DY4fLPKt97PPIjnJvGyaRV6T7kCek","model":"gpt-5-chat-latest","object":"chat.completion","service_tier":"default","system_fingerprint":"fp_ad66631dec","usage":{"completion_tokens":34,"completion_tokens_details":{"accepted_prediction_tokens":0,"audio_tokens":0,"reasoning_tokens":0,"rejected_prediction_tokens":0},"prompt_tokens":892,"prompt_tokens_details":{"audio_tokens":0,"cached_tokens":0},"total_tokens":926}}</t>
        </is>
      </c>
      <c r="M147" t="inlineStr">
        <is>
          <t>{"alt-svc":"h3=\":443\"; ma=2592000","apim-request-id":"dbb447ea-784e-4953-a96c-1aebeb4485b6","azureml-model-session":"d20260405234249-f9874baf","cache-control":"no-cache","connection":"close","content-length":"769","content-security-policy":"frame-ancestors 'self'","content-type":"application/json","date":"Fri, 24 Apr 2026 06:51:00 GMT","server":"Caddy","skip-error-remapping":"true","strict-transport-security":"max-age=31536000; includeSubDomains; preload","via":"1.1 Caddy","x-api-request-id":"20260424145058608837675P8ghshsk","x-content-type-options":"nosniff","x-frame-options":"SAMEORIGIN","x-ms-client-request-id":"Not-Set","x-ms-is-spilled-over":"false","x-ms-rai-invoked":"true","x-ms-region":"East US 2","x-new-api-version":"0.4.39","x-oneapi-request-id":"202604240650579513237718268d9d6xINy2ylg","x-ratelimit-abusepenalty-active":"False","x-ratelimit-limit-requests":"3850","x-ratelimit-limit-tokens":"3850000","x-ratelimit-remaining-requests":"3849","x-ratelimit-remaining-tokens":"3848346","x-ratelimit-renewalperiod-requests":"60","x-ratelimit-renewalperiod-tokens":"60","x-ratelimit-reset-requests":"15","x-ratelimit-reset-tokens":"25","x-request-id":"83194679-4fe3-4c9d-a0d6-14d660d1526d"}</t>
        </is>
      </c>
      <c r="N147" t="inlineStr">
        <is>
          <t>Montblanc Classic Deep Blue Silver Fountain Pen, sleek resin body with platinum-coated engraved cap, exuding elegant business style and German craftsmanship for men and women alike.</t>
        </is>
      </c>
      <c r="O147"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1777015220,"id":"chatcmpl-DY57kj9kAQZr5DeFRCdq0CEMS4S9f","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47" t="inlineStr">
        <is>
          <t>Montblanc,Accessories,kakobuy,kakebuy2026,kekobuysheet,kakobuysheet2026,2026kakobuy,kakobuyspreadsheeet,kakobuylink,kakebuylist,Kakobuy MEGA Spreadsheet,kakobuysheetfind,kakobuysheetfind2026,2026kakobuysheetfind,kakobuysheet2026</t>
        </is>
      </c>
      <c r="Q147"/>
      <c r="R147" t="inlineStr">
        <is>
          <t>recvhju1CrNe1J</t>
        </is>
      </c>
      <c r="S147" t="inlineStr">
        <is>
          <t>montblanc-classic-deep-blue-silver-fountain-pen-recvhju1crne1j</t>
        </is>
      </c>
      <c r="T147"/>
      <c r="U147"/>
      <c r="V147"/>
      <c r="W147" t="inlineStr">
        <is>
          <t>{"choices":[{"finish_reason":"stop","index":0,"logprobs":null,"message":{"annotations":[],"content":"Montblanc：精选深蓝银饰经典款钢笔，流线型树脂笔身搭配镀铂金笔帽雕纹设计，彰显典雅商务格调，男女皆宜，尽显德式精工魅力。","refusal":null,"role":"assistant"}}],"created":1777011581,"id":"chatcmpl-DY4B3zxNJs51U9YPrvT37iKawfLJs","model":"gpt-5-chat-latest","object":"chat.completion","service_tier":"default","system_fingerprint":"fp_ad66631dec","usage":{"completion_tokens":56,"completion_tokens_details":{"accepted_prediction_tokens":0,"audio_tokens":0,"reasoning_tokens":0,"rejected_prediction_tokens":0},"prompt_tokens":1305,"prompt_tokens_details":{"audio_tokens":0,"cached_tokens":0},"total_tokens":1361}}</t>
        </is>
      </c>
      <c r="X147" t="inlineStr">
        <is>
          <t>Montblanc：精选深蓝银饰经典款钢笔，流线型树脂笔身搭配镀铂金笔帽雕纹设计，彰显典雅商务格调，男女皆宜，尽显德式精工魅力。</t>
        </is>
      </c>
    </row>
    <row r="148" ht="25.5" customHeight="1">
      <c r="A148">
        <v>1654975475</v>
      </c>
      <c r="B148">
        <v>7619083178</v>
      </c>
      <c r="C148" s="2" t="str">
        <f>=HYPERLINK("https://weidian.com/item.html?itemID=7619083178", "https://weidian.com/item.html?itemID=7619083178")</f>
        <v>https://weidian.com/item.html?itemID=7619083178</v>
      </c>
      <c r="D148"/>
      <c r="E148" s="2" t="str">
        <f>=HYPERLINK("https://si.geilicdn.com/pcitem2014204438-6a850000019abb1082ed0a231316_1080_1080.jpg?w=640&amp;h=640", "https://si.geilicdn.com/pcitem2014204438-6a850000019abb1082ed0a231316_1080_1080.jpg?w=640&amp;h=640")</f>
        <v>https://si.geilicdn.com/pcitem2014204438-6a850000019abb1082ed0a231316_1080_1080.jpg?w=640&amp;h=640</v>
      </c>
      <c r="F148" t="inlineStr">
        <is>
          <t>Accessories</t>
        </is>
      </c>
      <c r="G148" t="inlineStr">
        <is>
          <t>Montblanc</t>
        </is>
      </c>
      <c r="H148">
        <v>460</v>
      </c>
      <c r="I148">
        <v>66.67</v>
      </c>
      <c r="J148" t="inlineStr">
        <is>
          <t>{"id":"chatcmpl-DY4wW7UEViS5Sa0afAEOBLD2KAII6","object":"chat.completion","created":1777014524,"model":"gpt-5-chat-latest","choices":[{"index":0,"message":{"role":"assistant","content":"Montblanc Prestige Blue Silver Rollerball Pen for Business","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148" t="inlineStr">
        <is>
          <t>Montblanc Prestige Blue Silver Rollerball Pen for Business</t>
        </is>
      </c>
      <c r="L148" t="inlineStr">
        <is>
          <t>{"id":"chatcmpl-DY4fmVz2hyUmyoT6W9V36aFviW3Tr","object":"chat.completion","created":1777013486,"model":"gpt-5-chat-latest","choices":[{"index":0,"message":{"role":"assistant","content":"Montblanc Prestige Blue Silver Series Rollerball Pen features deep blue lacquer with engraved silver cap, offering smooth writing, timeless elegance, and a refined business style for men and women.","refusal":null,"annotations":[]},"logprobs":null,"finish_reason":"stop"}],"usage":{"prompt_tokens":904,"completion_tokens":37,"total_tokens":941,"prompt_tokens_details":{"cached_tokens":0,"audio_tokens":0},"completion_tokens_details":{"reasoning_tokens":0,"audio_tokens":0,"accepted_prediction_tokens":0,"rejected_prediction_tokens":0}},"service_tier":"default","system_fingerprint":"fp_ad66631dec"}</t>
        </is>
      </c>
      <c r="M14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ma=2592000","apim-request-id":"9ea2b0e2-8833-4574-b397-80ddc63ecc75","azureml-model-session":"d20260402084046-4209e968","cache-control":"no-cache, no-store, must-revalidate","connection":"close","content-length":"1001","content-security-policy":"frame-ancestors 'self'","content-type":"application/json","date":"Fri, 24 Apr 2026 06:51:27 GMT","server":"Caddy","skip-error-remapping":"true","strict-transport-security":"max-age=31536000; includeSubDomains; preload","via":"1.1 Caddy","x-api-request-id":"202604241451259200694mf9ZKF6T","x-content-type-options":"nosniff","x-frame-options":"SAMEORIGIN","x-ms-is-spilled-over":"false","x-ms-rai-invoked":"false","x-ms-region":"East US 2","x-new-api-version":"0.4.39","x-oneapi-request-id":"202604240651246890817518268d9d6OLiNYroi","x-ratelimit-abusepenalty-active":"False","x-ratelimit-limit-requests":"4992","x-ratelimit-limit-tokens":"4992000","x-ratelimit-remaining-requests":"4991","x-ratelimit-remaining-tokens":"4990334","x-ratelimit-renewalperiod-requests":"60","x-ratelimit-renewalperiod-tokens":"60","x-ratelimit-reset-requests":"12","x-ratelimit-reset-tokens":"20","x-request-id":"00f05297-4a97-4e7f-939d-5542f1029da4"}</t>
        </is>
      </c>
      <c r="N148" t="inlineStr">
        <is>
          <t>Montblanc Prestige Blue Silver Series Rollerball Pen features deep blue lacquer with engraved silver cap, offering smooth writing, timeless elegance, and a refined business style for men and women.</t>
        </is>
      </c>
      <c r="O148"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1777015159,"id":"chatcmpl-DY56lZwOaIZS8IOf3p94hIPERCfqw","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48" t="inlineStr">
        <is>
          <t>Montblanc,Accessories,kakobuy,kakebuy2026,kekobuysheet,kakobuysheet2026,2026kakobuy,kakobuyspreadsheeet,kakobuylink,kakebuylist,Kakobuy MEGA Spreadsheet,kakobuysheetfind,kakobuysheetfind2026,2026kakobuysheetfind,kakobuysheet2026</t>
        </is>
      </c>
      <c r="Q148"/>
      <c r="R148" t="inlineStr">
        <is>
          <t>recvhju1CrkJh1</t>
        </is>
      </c>
      <c r="S148" t="inlineStr">
        <is>
          <t>montblanc-prestige-blue-silver-rollerball-recvhju1crkjh1</t>
        </is>
      </c>
      <c r="T148"/>
      <c r="U148"/>
      <c r="V148"/>
      <c r="W148" t="inlineStr">
        <is>
          <t>{"choices":[{"finish_reason":"stop","index":0,"logprobs":null,"message":{"annotations":[],"content":"Montblanc：尊爵蓝银系列签字笔，笔身以深蓝漆面搭配镀银雕纹笔帽，展现精湛工艺与优雅格调。男女皆宜，经典商务风格设计，顺滑书写体验，尽显高端品味与时代感。","refusal":null,"role":"assistant"}}],"created":1777011994,"id":"chatcmpl-DY4HiS0KcmtopH7FEvRalPTnfKIM7","model":"gpt-5-chat-latest","object":"chat.completion","service_tier":"default","system_fingerprint":"fp_ad66631dec","usage":{"completion_tokens":71,"completion_tokens_details":{"accepted_prediction_tokens":0,"audio_tokens":0,"reasoning_tokens":0,"rejected_prediction_tokens":0},"prompt_tokens":1299,"prompt_tokens_details":{"audio_tokens":0,"cached_tokens":0},"total_tokens":1370}}</t>
        </is>
      </c>
      <c r="X148" t="inlineStr">
        <is>
          <t>Montblanc：尊爵蓝银系列签字笔，笔身以深蓝漆面搭配镀银雕纹笔帽，展现精湛工艺与优雅格调。男女皆宜，经典商务风格设计，顺滑书写体验，尽显高端品味与时代感。</t>
        </is>
      </c>
    </row>
    <row r="149" ht="25.5" customHeight="1">
      <c r="A149">
        <v>1654975475</v>
      </c>
      <c r="B149">
        <v>7619118988</v>
      </c>
      <c r="C149" s="2" t="str">
        <f>=HYPERLINK("https://weidian.com/item.html?itemID=7619118988", "https://weidian.com/item.html?itemID=7619118988")</f>
        <v>https://weidian.com/item.html?itemID=7619118988</v>
      </c>
      <c r="D149"/>
      <c r="E149" s="2" t="str">
        <f>=HYPERLINK("https://si.geilicdn.com/pcitem2014204438-2eac0000019abb3292a60a23047e_1080_1442.jpg?w=640&amp;h=640", "https://si.geilicdn.com/pcitem2014204438-2eac0000019abb3292a60a23047e_1080_1442.jpg?w=640&amp;h=640")</f>
        <v>https://si.geilicdn.com/pcitem2014204438-2eac0000019abb3292a60a23047e_1080_1442.jpg?w=640&amp;h=640</v>
      </c>
      <c r="F149" t="inlineStr">
        <is>
          <t>Accessories</t>
        </is>
      </c>
      <c r="G149" t="inlineStr">
        <is>
          <t>Montblanc</t>
        </is>
      </c>
      <c r="H149">
        <v>460</v>
      </c>
      <c r="I149">
        <v>66.67</v>
      </c>
      <c r="J149" t="inlineStr">
        <is>
          <t>{"choices":[{"finish_reason":"stop","index":0,"logprobs":null,"message":{"annotations":[],"content":"Montblanc Heritage Black Silver Rollerball Pen","refusal":null,"role":"assistant"}}],"created":1777014268,"id":"chatcmpl-DY4sO6tPPFt85AkAACWXW2BLzn8i7","model":"gpt-5-chat-latest","object":"chat.completion","service_tier":"default","system_fingerprint":"fp_ad66631dec","usage":{"completion_tokens":10,"completion_tokens_details":{"accepted_prediction_tokens":0,"audio_tokens":0,"reasoning_tokens":0,"rejected_prediction_tokens":0},"prompt_tokens":868,"prompt_tokens_details":{"audio_tokens":0,"cached_tokens":0},"total_tokens":878}}</t>
        </is>
      </c>
      <c r="K149" t="inlineStr">
        <is>
          <t>Montblanc Heritage Black Silver Rollerball Pen</t>
        </is>
      </c>
      <c r="L149" t="inlineStr">
        <is>
          <t>{"id":"chatcmpl-DY4hO7g1KsGS20PWym5SVzHceWOqV","object":"chat.completion","created":1777013586,"model":"gpt-5-chat-latest","choices":[{"index":0,"message":{"role":"assistant","content":"Montblanc Black &amp; Silver Heritage Rollerball Pen, featuring a stainless steel cap with geometric engraving and black resin barrel, timeless German craftsmanship for elegant business writing.","refusal":null,"annotations":[]},"logprobs":null,"finish_reason":"stop"}],"usage":{"prompt_tokens":895,"completion_tokens":33,"total_tokens":928,"prompt_tokens_details":{"cached_tokens":0,"audio_tokens":0},"completion_tokens_details":{"reasoning_tokens":0,"audio_tokens":0,"accepted_prediction_tokens":0,"rejected_prediction_tokens":0}},"service_tier":"default","system_fingerprint":"fp_ad66631dec"}</t>
        </is>
      </c>
      <c r="M14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ma=2592000","apim-request-id":"e78c2e3a-0b4d-475f-b606-d41e3064aaf3","azureml-model-session":"d20260405234249-f9874baf","cache-control":"no-cache, no-store, must-revalidate","connection":"close","content-length":"994","content-security-policy":"frame-ancestors 'self'","content-type":"application/json","date":"Fri, 24 Apr 2026 06:53:07 GMT","server":"nginx","skip-error-remapping":"true","strict-transport-security":"max-age=31536000; includeSubDomains; preload","via":"1.1 Caddy, 1.1 Caddy","x-api-request-id":"20260424145304915444834brAsIMEn","x-content-type-options":"nosniff","x-frame-options":"SAMEORIGIN","x-ms-is-spilled-over":"false","x-ms-rai-invoked":"false","x-ms-region":"East US 2","x-new-api-version":"0.4.39","x-oneapi-request-id":"202604240653045209642888268d9d6KudiG8gg","x-ratelimit-abusepenalty-active":"False","x-ratelimit-limit-requests":"4992","x-ratelimit-limit-tokens":"4992000","x-ratelimit-remaining-requests":"4991","x-ratelimit-remaining-tokens":"4990343","x-ratelimit-renewalperiod-requests":"60","x-ratelimit-renewalperiod-tokens":"60","x-ratelimit-reset-requests":"12","x-ratelimit-reset-tokens":"19","x-request-id":"928f59d6-7b34-413f-8ce4-22d0cc3166c2"}</t>
        </is>
      </c>
      <c r="N149" t="inlineStr">
        <is>
          <t>Montblanc Black &amp; Silver Heritage Rollerball Pen, featuring a stainless steel cap with geometric engraving and black resin barrel, timeless German craftsmanship for elegant business writing.</t>
        </is>
      </c>
      <c r="O149" t="inlineStr">
        <is>
          <t>{"id":"chatcmpl-DY56cSfqeDzhrIjKlVc7fBYMfbO0j","object":"chat.completion","created":1777015150,"model":"gpt-5-chat-latest","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49" t="inlineStr">
        <is>
          <t>Montblanc,Accessories,kakobuy,kakebuy2026,kekobuysheet,kakobuysheet2026,2026kakobuy,kakobuyspreadsheeet,kakobuylink,kakebuylist,Kakobuy MEGA Spreadsheet,kakobuysheetfind,kakobuysheetfind2026,2026kakobuysheetfind,kakobuysheet2026</t>
        </is>
      </c>
      <c r="Q149"/>
      <c r="R149" t="inlineStr">
        <is>
          <t>recvhju1Crcx6o</t>
        </is>
      </c>
      <c r="S149" t="inlineStr">
        <is>
          <t>montblanc-heritage-black-silver-recvhju1crcx6o</t>
        </is>
      </c>
      <c r="T149"/>
      <c r="U149"/>
      <c r="V149"/>
      <c r="W149" t="inlineStr">
        <is>
          <t>{"id":"chatcmpl-DY4FaV5xuKvrDN03MpIZwDB0hFWkI","object":"chat.completion","created":1777011862,"model":"gpt-5-chat-latest","choices":[{"index":0,"message":{"role":"assistant","content":"Montblanc: 黑银典藏系列签字笔，采用精钢笔帽与黑色树脂笔身，雕刻几何纹理设计，典雅商务风格，男女皆宜，彰显德国工艺与时代格调精品书写之选。","refusal":null,"annotations":[]},"logprobs":null,"finish_reason":"stop"}],"usage":{"prompt_tokens":1303,"completion_tokens":60,"total_tokens":1363,"prompt_tokens_details":{"cached_tokens":0,"audio_tokens":0},"completion_tokens_details":{"reasoning_tokens":0,"audio_tokens":0,"accepted_prediction_tokens":0,"rejected_prediction_tokens":0}},"service_tier":"default","system_fingerprint":"fp_ad66631dec"}</t>
        </is>
      </c>
      <c r="X149" t="inlineStr">
        <is>
          <t>Montblanc: 黑银典藏系列签字笔，采用精钢笔帽与黑色树脂笔身，雕刻几何纹理设计，典雅商务风格，男女皆宜，彰显德国工艺与时代格调精品书写之选。</t>
        </is>
      </c>
    </row>
    <row r="150" ht="25.5" customHeight="1">
      <c r="A150">
        <v>1654975475</v>
      </c>
      <c r="B150">
        <v>7619163604</v>
      </c>
      <c r="C150" s="2" t="str">
        <f>=HYPERLINK("https://weidian.com/item.html?itemID=7619163604", "https://weidian.com/item.html?itemID=7619163604")</f>
        <v>https://weidian.com/item.html?itemID=7619163604</v>
      </c>
      <c r="D150"/>
      <c r="E150" s="2" t="str">
        <f>=HYPERLINK("https://si.geilicdn.com/pcitem2014204438-389e0000019abb33f0d30a23111a_1284_1715.jpg?w=640&amp;h=640", "https://si.geilicdn.com/pcitem2014204438-389e0000019abb33f0d30a23111a_1284_1715.jpg?w=640&amp;h=640")</f>
        <v>https://si.geilicdn.com/pcitem2014204438-389e0000019abb33f0d30a23111a_1284_1715.jpg?w=640&amp;h=640</v>
      </c>
      <c r="F150" t="inlineStr">
        <is>
          <t>Accessories</t>
        </is>
      </c>
      <c r="G150" t="inlineStr">
        <is>
          <t>Montblanc</t>
        </is>
      </c>
      <c r="H150">
        <v>460</v>
      </c>
      <c r="I150">
        <v>66.67</v>
      </c>
      <c r="J150" t="inlineStr">
        <is>
          <t>{"id":"chatcmpl-DY4rtGoVaTlDVDeIz9JY1No9egICT","object":"chat.completion","created":1777014237,"model":"gpt-5-chat-latest","choices":[{"index":0,"message":{"role":"assistant","content":"Montblanc Meisterstück Black Platinum Ballpoint Pen","refusal":null,"annotations":[]},"logprobs":null,"finish_reason":"stop"}],"usage":{"prompt_tokens":880,"completion_tokens":11,"total_tokens":891,"prompt_tokens_details":{"cached_tokens":0,"audio_tokens":0},"completion_tokens_details":{"reasoning_tokens":0,"audio_tokens":0,"accepted_prediction_tokens":0,"rejected_prediction_tokens":0}},"service_tier":"default","system_fingerprint":"fp_ad66631dec"}</t>
        </is>
      </c>
      <c r="K150" t="inlineStr">
        <is>
          <t>Montblanc Meisterstück Black Platinum Ballpoint Pen</t>
        </is>
      </c>
      <c r="L150" t="inlineStr">
        <is>
          <t>{"choices":[{"finish_reason":"stop","index":0,"logprobs":null,"message":{"annotations":[],"content":"Montblanc Meisterstück Black Ballpoint Pen, crafted from premium resin with platinum-coated accents, sleek design for business style, smooth writing, elegant for men and women, pure German craftsmanship.","refusal":null,"role":"assistant"}}],"created":1777013404,"id":"chatcmpl-DY4eSI3foWnjFTz6pKKwHPTClc0g8","model":"gpt-5-chat-latest","object":"chat.completion","service_tier":"default","system_fingerprint":"fp_ad66631dec","usage":{"completion_tokens":39,"completion_tokens_details":{"accepted_prediction_tokens":0,"audio_tokens":0,"reasoning_tokens":0,"rejected_prediction_tokens":0},"prompt_tokens":900,"prompt_tokens_details":{"audio_tokens":0,"cached_tokens":0},"total_tokens":939}}</t>
        </is>
      </c>
      <c r="M150" t="inlineStr">
        <is>
          <t>{"alt-svc":"h3=\":443\"; ma=2592000","apim-request-id":"c5daf612-8db6-4bb7-8c7b-6c897b6d7dab","azureml-model-session":"d20260405234249-f9874baf","cache-control":"no-cache","connection":"close","content-length":"792","content-security-policy":"frame-ancestors 'self'","content-type":"application/json","date":"Fri, 24 Apr 2026 06:50:06 GMT","server":"Caddy","skip-error-remapping":"true","strict-transport-security":"max-age=31536000; includeSubDomains; preload","via":"1.1 Caddy","x-api-request-id":"202604241450043162714hLULNwet","x-content-type-options":"nosniff","x-frame-options":"SAMEORIGIN","x-ms-client-request-id":"Not-Set","x-ms-is-spilled-over":"false","x-ms-rai-invoked":"true","x-ms-region":"East US 2","x-new-api-version":"0.4.39","x-oneapi-request-id":"202604240650039256416488268d9d6wTki52x6","x-ratelimit-abusepenalty-active":"False","x-ratelimit-limit-requests":"3850","x-ratelimit-limit-tokens":"3850000","x-ratelimit-remaining-requests":"3849","x-ratelimit-remaining-tokens":"3635110","x-ratelimit-renewalperiod-requests":"60","x-ratelimit-renewalperiod-tokens":"60","x-ratelimit-reset-requests":"15","x-ratelimit-reset-tokens":"3348","x-request-id":"c0f7f723-9c58-476f-abe0-38df7a722001"}</t>
        </is>
      </c>
      <c r="N150" t="inlineStr">
        <is>
          <t>Montblanc Meisterstück Black Ballpoint Pen, crafted from premium resin with platinum-coated accents, sleek design for business style, smooth writing, elegant for men and women, pure German craftsmanship.</t>
        </is>
      </c>
      <c r="O150" t="inlineStr">
        <is>
          <t>{"id":"chatcmpl-DY55mpUZ1R2Tpwgv8g29SFlSN0gsT","object":"chat.completion","created":1777015098,"model":"gpt-5-chat-latest","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50" t="inlineStr">
        <is>
          <t>Montblanc,Accessories,kakobuy,kakebuy2026,kekobuysheet,kakobuysheet2026,2026kakobuy,kakobuyspreadsheeet,kakobuylink,kakebuylist,Kakobuy MEGA Spreadsheet,kakobuysheetfind,kakobuysheetfind2026,2026kakobuysheetfind,kakobuysheet2026</t>
        </is>
      </c>
      <c r="Q150"/>
      <c r="R150" t="inlineStr">
        <is>
          <t>recvhju1CrFbdz</t>
        </is>
      </c>
      <c r="S150" t="inlineStr">
        <is>
          <t>montblanc-meisterstuck-black-platinum-recvhju1crfbdz</t>
        </is>
      </c>
      <c r="T150"/>
      <c r="U150"/>
      <c r="V150"/>
      <c r="W150" t="inlineStr">
        <is>
          <t>{"choices":[{"finish_reason":"stop","index":0,"logprobs":null,"message":{"annotations":[],"content":"Montblanc：Meisterstück黑色圆珠笔，甄选优质树脂材质搭配镀铂金属饰件，流线型设计彰显经典商务格调，男女皆宜，书写顺滑优雅，尽显德系精工魅力。","refusal":null,"role":"assistant"}}],"created":1777011528,"id":"chatcmpl-DY4ACYorSyqgU7jyrfBDnMW5tlDUJ","model":"gpt-5-chat-latest","object":"chat.completion","service_tier":"default","system_fingerprint":"fp_ad66631dec","usage":{"completion_tokens":65,"completion_tokens_details":{"accepted_prediction_tokens":0,"audio_tokens":0,"reasoning_tokens":0,"rejected_prediction_tokens":0},"prompt_tokens":1303,"prompt_tokens_details":{"audio_tokens":0,"cached_tokens":1280},"total_tokens":1368}}</t>
        </is>
      </c>
      <c r="X150" t="inlineStr">
        <is>
          <t>Montblanc：Meisterstück黑色圆珠笔，甄选优质树脂材质搭配镀铂金属饰件，流线型设计彰显经典商务格调，男女皆宜，书写顺滑优雅，尽显德系精工魅力。</t>
        </is>
      </c>
    </row>
    <row r="151" ht="25.5" customHeight="1">
      <c r="A151">
        <v>1654975475</v>
      </c>
      <c r="B151">
        <v>7616179669</v>
      </c>
      <c r="C151" s="2" t="str">
        <f>=HYPERLINK("https://weidian.com/item.html?itemID=7616179669", "https://weidian.com/item.html?itemID=7616179669")</f>
        <v>https://weidian.com/item.html?itemID=7616179669</v>
      </c>
      <c r="D151"/>
      <c r="E151" s="2" t="str">
        <f>=HYPERLINK("https://si.geilicdn.com/pcitem2014204438-30ac0000019abb375af50a23038e_1350_1347.jpg?w=640&amp;h=640", "https://si.geilicdn.com/pcitem2014204438-30ac0000019abb375af50a23038e_1350_1347.jpg?w=640&amp;h=640")</f>
        <v>https://si.geilicdn.com/pcitem2014204438-30ac0000019abb375af50a23038e_1350_1347.jpg?w=640&amp;h=640</v>
      </c>
      <c r="F151" t="inlineStr">
        <is>
          <t>Accessories</t>
        </is>
      </c>
      <c r="G151" t="inlineStr">
        <is>
          <t>Montblanc</t>
        </is>
      </c>
      <c r="H151">
        <v>460</v>
      </c>
      <c r="I151">
        <v>66.67</v>
      </c>
      <c r="J151" t="inlineStr">
        <is>
          <t>{"choices":[{"finish_reason":"stop","index":0,"logprobs":null,"message":{"annotations":[],"content":"Montblanc Classic Black Platinum Signature Pen","refusal":null,"role":"assistant"}}],"created":1777014286,"id":"chatcmpl-DY4sg4yzesdokInG4fHUeIGsQjWFE","model":"gpt-5-chat-latest","object":"chat.completion","service_tier":"default","system_fingerprint":"fp_ad66631dec","usage":{"completion_tokens":9,"completion_tokens_details":{"accepted_prediction_tokens":0,"audio_tokens":0,"reasoning_tokens":0,"rejected_prediction_tokens":0},"prompt_tokens":880,"prompt_tokens_details":{"audio_tokens":0,"cached_tokens":0},"total_tokens":889}}</t>
        </is>
      </c>
      <c r="K151" t="inlineStr">
        <is>
          <t>Montblanc Classic Black Platinum Signature Pen</t>
        </is>
      </c>
      <c r="L151" t="inlineStr">
        <is>
          <t>{"choices":[{"finish_reason":"stop","index":0,"logprobs":null,"message":{"annotations":[],"content":"Montblanc Classic Black Signature Pen, crafted from high-gloss resin with platinum-coated details; sleek, elegant design ideal for business, office, or gift use for both men and women.","refusal":null,"role":"assistant"}}],"created":1777013342,"id":"chatcmpl-DY4dSOtVPVUQGxj8zNclnQqp84kTz","model":"gpt-5-chat-latest","object":"chat.completion","service_tier":"default","system_fingerprint":"fp_ad66631dec","usage":{"completion_tokens":39,"completion_tokens_details":{"accepted_prediction_tokens":0,"audio_tokens":0,"reasoning_tokens":0,"rejected_prediction_tokens":0},"prompt_tokens":888,"prompt_tokens_details":{"audio_tokens":0,"cached_tokens":0},"total_tokens":927}}</t>
        </is>
      </c>
      <c r="M151" t="inlineStr">
        <is>
          <t>{"alt-svc":"h3=\":443\"; ma=2592000","apim-request-id":"ae530eaa-e142-43f1-92b0-bf12635bd4a1","azureml-model-session":"d20260402083108-57a85543","cache-control":"no-cache","connection":"close","content-length":"772","content-security-policy":"frame-ancestors 'self'","content-type":"application/json","date":"Fri, 24 Apr 2026 06:49:03 GMT","server":"Caddy","skip-error-remapping":"true","strict-transport-security":"max-age=31536000; includeSubDomains; preload","via":"1.1 Caddy","x-api-request-id":"20260424144901383620213iR4XdbFX","x-content-type-options":"nosniff","x-frame-options":"SAMEORIGIN","x-ms-client-request-id":"Not-Set","x-ms-is-spilled-over":"false","x-ms-rai-invoked":"true","x-ms-region":"East US 2","x-new-api-version":"0.4.39","x-oneapi-request-id":"202604240649011981260498268d9d6m6f678Mr","x-ratelimit-abusepenalty-active":"False","x-ratelimit-limit-requests":"3850","x-ratelimit-limit-tokens":"3850000","x-ratelimit-remaining-requests":"3849","x-ratelimit-remaining-tokens":"3848350","x-ratelimit-renewalperiod-requests":"60","x-ratelimit-renewalperiod-tokens":"60","x-ratelimit-reset-requests":"15","x-ratelimit-reset-tokens":"25","x-request-id":"c27513d6-8b85-4f62-bb97-9e0f528b1f18"}</t>
        </is>
      </c>
      <c r="N151" t="inlineStr">
        <is>
          <t>Montblanc Classic Black Signature Pen, crafted from high-gloss resin with platinum-coated details; sleek, elegant design ideal for business, office, or gift use for both men and women.</t>
        </is>
      </c>
      <c r="O151"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1777014966,"id":"chatcmpl-DY53elzCzQEcXbsSSpgsCbCToAPGV","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51" t="inlineStr">
        <is>
          <t>Montblanc,Accessories,kakobuy,kakebuy2026,kekobuysheet,kakobuysheet2026,2026kakobuy,kakobuyspreadsheeet,kakobuylink,kakebuylist,Kakobuy MEGA Spreadsheet,kakobuysheetfind,kakobuysheetfind2026,2026kakobuysheetfind,kakobuysheet2026</t>
        </is>
      </c>
      <c r="Q151"/>
      <c r="R151" t="inlineStr">
        <is>
          <t>recvhju1CrFs8N</t>
        </is>
      </c>
      <c r="S151" t="inlineStr">
        <is>
          <t>montblanc-classic-black-platinum-signature-pen-recvhju1crfs8n</t>
        </is>
      </c>
      <c r="T151"/>
      <c r="U151"/>
      <c r="V151"/>
      <c r="W151" t="inlineStr">
        <is>
          <t>{"choices":[{"finish_reason":"stop","index":0,"logprobs":null,"message":{"annotations":[],"content":"Montblanc：经典黑色签字笔，采用高光树脂与镀铂金属饰件，流线造型彰显优雅商务格调，男女皆宜，办公与礼赠皆臻典雅之选。","refusal":null,"role":"assistant"}}],"created":1777011413,"id":"chatcmpl-DY48LEDQErJDhzFKazxeR84rCclFe","model":"gpt-5-chat-latest","object":"chat.completion","service_tier":"default","system_fingerprint":"fp_ad66631dec","usage":{"completion_tokens":55,"completion_tokens_details":{"accepted_prediction_tokens":0,"audio_tokens":0,"reasoning_tokens":0,"rejected_prediction_tokens":0},"prompt_tokens":1299,"prompt_tokens_details":{"audio_tokens":0,"cached_tokens":0},"total_tokens":1354}}</t>
        </is>
      </c>
      <c r="X151" t="inlineStr">
        <is>
          <t>Montblanc：经典黑色签字笔，采用高光树脂与镀铂金属饰件，流线造型彰显优雅商务格调，男女皆宜，办公与礼赠皆臻典雅之选。</t>
        </is>
      </c>
    </row>
    <row r="152" ht="25.5" customHeight="1">
      <c r="A152">
        <v>1654975475</v>
      </c>
      <c r="B152">
        <v>7619101212</v>
      </c>
      <c r="C152" s="2" t="str">
        <f>=HYPERLINK("https://weidian.com/item.html?itemID=7619101212", "https://weidian.com/item.html?itemID=7619101212")</f>
        <v>https://weidian.com/item.html?itemID=7619101212</v>
      </c>
      <c r="D152"/>
      <c r="E152" s="2" t="str">
        <f>=HYPERLINK("https://si.geilicdn.com/pcitem2014204438-53020000019abb32fb8c0a2103bd_1284_1707.jpg?w=640&amp;h=640", "https://si.geilicdn.com/pcitem2014204438-53020000019abb32fb8c0a2103bd_1284_1707.jpg?w=640&amp;h=640")</f>
        <v>https://si.geilicdn.com/pcitem2014204438-53020000019abb32fb8c0a2103bd_1284_1707.jpg?w=640&amp;h=640</v>
      </c>
      <c r="F152" t="inlineStr">
        <is>
          <t>Accessories</t>
        </is>
      </c>
      <c r="G152" t="inlineStr">
        <is>
          <t>Montblanc</t>
        </is>
      </c>
      <c r="H152">
        <v>460</v>
      </c>
      <c r="I152">
        <v>66.67</v>
      </c>
      <c r="J152" t="inlineStr">
        <is>
          <t>{"choices":[{"finish_reason":"stop","index":0,"logprobs":null,"message":{"annotations":[],"content":"Montblanc Blue Violet Platinum Signature Pen","refusal":null,"role":"assistant"}}],"created":1777014451,"id":"chatcmpl-DY4vLrhGYRNAFsgY307Jf7D1WIcFq","model":"gpt-5-chat-latest","object":"chat.completion","service_tier":"default","system_fingerprint":"fp_ad66631dec","usage":{"completion_tokens":9,"completion_tokens_details":{"accepted_prediction_tokens":0,"audio_tokens":0,"reasoning_tokens":0,"rejected_prediction_tokens":0},"prompt_tokens":874,"prompt_tokens_details":{"audio_tokens":0,"cached_tokens":0},"total_tokens":883}}</t>
        </is>
      </c>
      <c r="K152" t="inlineStr">
        <is>
          <t>Montblanc Blue Violet Platinum Signature Pen</t>
        </is>
      </c>
      <c r="L152" t="inlineStr">
        <is>
          <t>{"id":"chatcmpl-DY4caEPZdAWVVf7XXo07HbDhMlPF8","object":"chat.completion","created":1777013288,"model":"gpt-5-chat-latest","choices":[{"index":0,"message":{"role":"assistant","content":"Montblanc Blue Violet Platinum-Coated Signature Pen with glossy lacquer barrel and geometric engraved metal cap, showcasing modern elegance for both men and women, ideal for business or collection.","refusal":null,"annotations":[]},"logprobs":null,"finish_reason":"stop"}],"usage":{"prompt_tokens":889,"completion_tokens":36,"total_tokens":925,"prompt_tokens_details":{"cached_tokens":0,"audio_tokens":0},"completion_tokens_details":{"reasoning_tokens":0,"audio_tokens":0,"accepted_prediction_tokens":0,"rejected_prediction_tokens":0}},"service_tier":"default","system_fingerprint":"fp_ad66631dec"}</t>
        </is>
      </c>
      <c r="M15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ma=2592000","apim-request-id":"c2dc3202-3355-410e-9689-31650f7806d8","azureml-model-session":"d20260402084046-4209e968","cache-control":"no-cache, no-store, must-revalidate","connection":"close","content-length":"1001","content-security-policy":"frame-ancestors 'self'","content-type":"application/json","date":"Fri, 24 Apr 2026 06:48:10 GMT","server":"Caddy","skip-error-remapping":"true","strict-transport-security":"max-age=31536000; includeSubDomains; preload","via":"1.1 Caddy","x-api-request-id":"20260424144806714910960AClhQVqy","x-content-type-options":"nosniff","x-frame-options":"SAMEORIGIN","x-ms-is-spilled-over":"false","x-ms-rai-invoked":"false","x-ms-region":"East US 2","x-new-api-version":"0.4.39","x-oneapi-request-id":"202604240648064016269448268d9d63BedsT5K","x-ratelimit-abusepenalty-active":"False","x-ratelimit-limit-requests":"4992","x-ratelimit-limit-tokens":"4992000","x-ratelimit-remaining-requests":"4991","x-ratelimit-remaining-tokens":"4990349","x-ratelimit-renewalperiod-requests":"60","x-ratelimit-renewalperiod-tokens":"60","x-ratelimit-reset-requests":"12","x-ratelimit-reset-tokens":"19","x-request-id":"a5eac468-50da-4fe1-a708-91f72e308a16"}</t>
        </is>
      </c>
      <c r="N152" t="inlineStr">
        <is>
          <t>Montblanc Blue Violet Platinum-Coated Signature Pen with glossy lacquer barrel and geometric engraved metal cap, showcasing modern elegance for both men and women, ideal for business or collection.</t>
        </is>
      </c>
      <c r="O152" t="inlineStr">
        <is>
          <t>{"id":"chatcmpl-DY51xiHC84zH1bc9GFNms5d1rpSnU","object":"chat.completion","created":1777014861,"model":"gpt-5-chat-latest","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52" t="inlineStr">
        <is>
          <t>Montblanc,Pen,kakobuy,kakebuy2026,kekobuysheet,kakobuysheet2026,2026kakobuy,kakobuyspreadsheeet,kakobuylink,kakebuylist,Kakobuy MEGA Spreadsheet,kakobuysheetfind,kakobuysheetfind2026,2026kakobuysheetfind,kakobuysheet2026</t>
        </is>
      </c>
      <c r="Q152"/>
      <c r="R152" t="inlineStr">
        <is>
          <t>recvhju1Crl8Cv</t>
        </is>
      </c>
      <c r="S152" t="inlineStr">
        <is>
          <t>montblanc-blue-violet-platinum-signature-pen-recvhju1crl8cv</t>
        </is>
      </c>
      <c r="T152"/>
      <c r="U152"/>
      <c r="V152"/>
      <c r="W152" t="inlineStr">
        <is>
          <t>{"choices":[{"finish_reason":"stop","index":0,"logprobs":null,"message":{"annotations":[],"content":"Montblanc：蓝紫色镀铂金系列签字笔，采用高光漆面笔身与几何雕纹金属笔帽设计，尽显现代优雅格调，男女皆宜，商务与收藏兼备。","refusal":null,"role":"assistant"}}],"created":1777011595,"id":"chatcmpl-DY4BHEVh6pAJ8rm89z842dedO63dY","model":"gpt-5-chat-latest","object":"chat.completion","service_tier":"default","system_fingerprint":"fp_ad66631dec","usage":{"completion_tokens":55,"completion_tokens_details":{"accepted_prediction_tokens":0,"audio_tokens":0,"reasoning_tokens":0,"rejected_prediction_tokens":0},"prompt_tokens":1301,"prompt_tokens_details":{"audio_tokens":0,"cached_tokens":1280},"total_tokens":1356}}</t>
        </is>
      </c>
      <c r="X152" t="inlineStr">
        <is>
          <t>Montblanc：蓝紫色镀铂金系列签字笔，采用高光漆面笔身与几何雕纹金属笔帽设计，尽显现代优雅格调，男女皆宜，商务与收藏兼备。</t>
        </is>
      </c>
    </row>
    <row r="153" ht="25.5" customHeight="1">
      <c r="A153">
        <v>1654975475</v>
      </c>
      <c r="B153">
        <v>7619065206</v>
      </c>
      <c r="C153" s="2" t="str">
        <f>=HYPERLINK("https://weidian.com/item.html?itemID=7619065206", "https://weidian.com/item.html?itemID=7619065206")</f>
        <v>https://weidian.com/item.html?itemID=7619065206</v>
      </c>
      <c r="D153"/>
      <c r="E153" s="2" t="str">
        <f>=HYPERLINK("https://si.geilicdn.com/pcitem2014204438-172a0000019abb0ccba10a20e7c7_1280_1516.jpg?w=640&amp;h=640", "https://si.geilicdn.com/pcitem2014204438-172a0000019abb0ccba10a20e7c7_1280_1516.jpg?w=640&amp;h=640")</f>
        <v>https://si.geilicdn.com/pcitem2014204438-172a0000019abb0ccba10a20e7c7_1280_1516.jpg?w=640&amp;h=640</v>
      </c>
      <c r="F153" t="inlineStr">
        <is>
          <t>Accessories</t>
        </is>
      </c>
      <c r="G153" t="inlineStr">
        <is>
          <t>Montblanc</t>
        </is>
      </c>
      <c r="H153">
        <v>460</v>
      </c>
      <c r="I153">
        <v>66.67</v>
      </c>
      <c r="J153" t="inlineStr">
        <is>
          <t>{"id":"chatcmpl-DY4sB9XuQgj2aT17Y3ksHSsj3qZl4","object":"chat.completion","created":1777014255,"model":"gpt-5-chat-latest","choices":[{"index":0,"message":{"role":"assistant","content":"Montblanc Meisterstück Blue-Grey Luxury Fountain Pen","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153" t="inlineStr">
        <is>
          <t>Montblanc Meisterstück Blue-Grey Luxury Fountain Pen</t>
        </is>
      </c>
      <c r="L153" t="inlineStr">
        <is>
          <t>{"choices":[{"finish_reason":"stop","index":0,"logprobs":null,"message":{"annotations":[],"content":"Montblanc Meisterstück Blue-Grey Fountain Pen, crafted from fine resin and platinum-coated metal, features elegant feather engravings and a smooth nib for luxury writing and collectible appeal.","refusal":null,"role":"assistant"}}],"created":1777013525,"id":"chatcmpl-DY4gPv3M45a7zaZfGT50mcAoZktzO","model":"gpt-5-chat-latest","object":"chat.completion","service_tier":"default","system_fingerprint":"fp_ad66631dec","usage":{"completion_tokens":37,"completion_tokens_details":{"accepted_prediction_tokens":0,"audio_tokens":0,"reasoning_tokens":0,"rejected_prediction_tokens":0},"prompt_tokens":917,"prompt_tokens_details":{"audio_tokens":0,"cached_tokens":0},"total_tokens":954}}</t>
        </is>
      </c>
      <c r="M153" t="inlineStr">
        <is>
          <t>{"alt-svc":"h3=\":443\"; ma=2592000","apim-request-id":"2e5e29a1-e451-4797-a497-de0ffeb98ace","azureml-model-session":"d20260402083108-57a85543","cache-control":"no-cache","connection":"close","content-length":"782","content-security-policy":"frame-ancestors 'self'","content-type":"application/json","date":"Fri, 24 Apr 2026 06:52:06 GMT","server":"nginx","skip-error-remapping":"true","strict-transport-security":"max-age=31536000; includeSubDomains; preload","via":"1.1 Caddy, 1.1 Caddy","x-api-request-id":"20260424145204485661198w5y70DcM","x-content-type-options":"nosniff","x-frame-options":"SAMEORIGIN","x-ms-client-request-id":"Not-Set","x-ms-is-spilled-over":"false","x-ms-rai-invoked":"true","x-ms-region":"East US 2","x-new-api-version":"0.4.39","x-oneapi-request-id":"202604240652041194427408268d9d6Z2Mirs3J","x-ratelimit-abusepenalty-active":"False","x-ratelimit-limit-requests":"3850","x-ratelimit-limit-tokens":"3850000","x-ratelimit-remaining-requests":"3849","x-ratelimit-remaining-tokens":"3848321","x-ratelimit-renewalperiod-requests":"60","x-ratelimit-renewalperiod-tokens":"60","x-ratelimit-reset-requests":"15","x-ratelimit-reset-tokens":"26","x-request-id":"a5e28094-8ef5-4eaf-9880-666bba07dad0"}</t>
        </is>
      </c>
      <c r="N153" t="inlineStr">
        <is>
          <t>Montblanc Meisterstück Blue-Grey Fountain Pen, crafted from fine resin and platinum-coated metal, features elegant feather engravings and a smooth nib for luxury writing and collectible appeal.</t>
        </is>
      </c>
      <c r="O153"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1777015207,"id":"chatcmpl-DY57Xb4fIbIEm7JdrjiqDI8mYBbIz","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53" t="inlineStr">
        <is>
          <t>Montblanc,Accessories,kakobuy,kakebuy2026,kekobuysheet,kakobuysheet2026,2026kakobuy,kakobuyspreadsheeet,kakobuylink,kakebuylist,Kakobuy MEGA Spreadsheet,kakobuysheetfind,kakobuysheetfind2026,2026kakobuysheetfind,kakobuysheet2026</t>
        </is>
      </c>
      <c r="Q153"/>
      <c r="R153" t="inlineStr">
        <is>
          <t>recvhju1Crn1vR</t>
        </is>
      </c>
      <c r="S153" t="inlineStr">
        <is>
          <t>montblanc-meisterstuck-blue-grey-fountain-pen-recvhju1crn1vr</t>
        </is>
      </c>
      <c r="T153"/>
      <c r="U153"/>
      <c r="V153"/>
      <c r="W153" t="inlineStr">
        <is>
          <t>{"choices":[{"finish_reason":"stop","index":0,"logprobs":null,"message":{"annotations":[],"content":"Montblanc：大班系列蓝灰色书写钢笔，甄选优质树脂与镀铂金属材质，笔身饰羽翼浮雕装饰，展现典雅艺术风格。精致笔尖设计流畅顺滑，商务与日常书写皆宜，兼具收藏价值与奢华质感。","refusal":null,"role":"assistant"}}],"created":1777011375,"id":"chatcmpl-DY47jnYcCtxDZEzUZ1TTQnJPOlNUm","model":"gpt-5-chat-latest","object":"chat.completion","service_tier":"default","system_fingerprint":"fp_ad66631dec","usage":{"completion_tokens":81,"completion_tokens_details":{"accepted_prediction_tokens":0,"audio_tokens":0,"reasoning_tokens":0,"rejected_prediction_tokens":0},"prompt_tokens":1305,"prompt_tokens_details":{"audio_tokens":0,"cached_tokens":1280},"total_tokens":1386}}</t>
        </is>
      </c>
      <c r="X153" t="inlineStr">
        <is>
          <t>Montblanc：大班系列蓝灰色书写钢笔，甄选优质树脂与镀铂金属材质，笔身饰羽翼浮雕装饰，展现典雅艺术风格。精致笔尖设计流畅顺滑，商务与日常书写皆宜，兼具收藏价值与奢华质感。</t>
        </is>
      </c>
    </row>
    <row r="154" ht="25.5" customHeight="1">
      <c r="A154">
        <v>1654975475</v>
      </c>
      <c r="B154">
        <v>7616153919</v>
      </c>
      <c r="C154" s="2" t="str">
        <f>=HYPERLINK("https://weidian.com/item.html?itemID=7616153919", "https://weidian.com/item.html?itemID=7616153919")</f>
        <v>https://weidian.com/item.html?itemID=7616153919</v>
      </c>
      <c r="D154"/>
      <c r="E154" s="2" t="str">
        <f>=HYPERLINK("https://si.geilicdn.com/pcitem2014204438-185c0000019abb110d960a20e7c7_1080_1080.jpg?w=640&amp;h=640", "https://si.geilicdn.com/pcitem2014204438-185c0000019abb110d960a20e7c7_1080_1080.jpg?w=640&amp;h=640")</f>
        <v>https://si.geilicdn.com/pcitem2014204438-185c0000019abb110d960a20e7c7_1080_1080.jpg?w=640&amp;h=640</v>
      </c>
      <c r="F154" t="inlineStr">
        <is>
          <t>Accessories</t>
        </is>
      </c>
      <c r="G154" t="inlineStr">
        <is>
          <t>Montblanc</t>
        </is>
      </c>
      <c r="H154">
        <v>460</v>
      </c>
      <c r="I154">
        <v>66.67</v>
      </c>
      <c r="J154" t="inlineStr">
        <is>
          <t>{"id":"chatcmpl-DY4vcUdKC5UhYo4FpSX1kHC9CQQMJ","object":"chat.completion","created":1777014468,"model":"gpt-5-chat-latest","choices":[{"index":0,"message":{"role":"assistant","content":"Montblanc Silver Checkered Steel Rhodium Fountain Pen","refusal":null,"annotations":[]},"logprobs":null,"finish_reason":"stop"}],"usage":{"prompt_tokens":884,"completion_tokens":12,"total_tokens":896,"prompt_tokens_details":{"cached_tokens":0,"audio_tokens":0},"completion_tokens_details":{"reasoning_tokens":0,"audio_tokens":0,"accepted_prediction_tokens":0,"rejected_prediction_tokens":0}},"service_tier":"default","system_fingerprint":"fp_ad66631dec"}</t>
        </is>
      </c>
      <c r="K154" t="inlineStr">
        <is>
          <t>Montblanc Silver Checkered Steel Rhodium Fountain Pen</t>
        </is>
      </c>
      <c r="L154" t="inlineStr">
        <is>
          <t>{"choices":[{"finish_reason":"stop","index":0,"logprobs":null,"message":{"annotations":[],"content":"Montblanc Silver Checkered Steel Fountain Pen with rhodium-plated nib, precision-engraved barrel, smooth ink flow, timeless business elegance, perfect for men and women, modern gentleman style.","refusal":null,"role":"assistant"}}],"created":1777013434,"id":"chatcmpl-DY4ewgKaLqDLskfNCat8SrvSDnSlp","model":"gpt-5-chat-latest","object":"chat.completion","service_tier":"default","system_fingerprint":"fp_ad66631dec","usage":{"completion_tokens":41,"completion_tokens_details":{"accepted_prediction_tokens":0,"audio_tokens":0,"reasoning_tokens":0,"rejected_prediction_tokens":0},"prompt_tokens":890,"prompt_tokens_details":{"audio_tokens":0,"cached_tokens":0},"total_tokens":931}}</t>
        </is>
      </c>
      <c r="M154" t="inlineStr">
        <is>
          <t>{"alt-svc":"h3=\":443\"; ma=2592000","apim-request-id":"00c71885-e133-4b44-a47d-24f36afed34d","azureml-model-session":"d20260402083108-57a85543","cache-control":"no-cache","connection":"close","content-length":"781","content-security-policy":"frame-ancestors 'self'","content-type":"application/json","date":"Fri, 24 Apr 2026 06:50:35 GMT","server":"Caddy","skip-error-remapping":"true","strict-transport-security":"max-age=31536000; includeSubDomains; preload","via":"1.1 Caddy","x-api-request-id":"20260424145033175909142u6lE5Tok","x-content-type-options":"nosniff","x-frame-options":"SAMEORIGIN","x-ms-client-request-id":"Not-Set","x-ms-is-spilled-over":"false","x-ms-rai-invoked":"true","x-ms-region":"East US 2","x-new-api-version":"0.4.39","x-oneapi-request-id":"202604240650331036135578268d9d6r5AqP7mV","x-ratelimit-abusepenalty-active":"False","x-ratelimit-limit-requests":"3850","x-ratelimit-limit-tokens":"3850000","x-ratelimit-remaining-requests":"3849","x-ratelimit-remaining-tokens":"3804364","x-ratelimit-renewalperiod-requests":"60","x-ratelimit-renewalperiod-tokens":"60","x-ratelimit-reset-requests":"15","x-ratelimit-reset-tokens":"711","x-request-id":"b3e68f9f-1f20-4c49-9387-d10a6c062ebe"}</t>
        </is>
      </c>
      <c r="N154" t="inlineStr">
        <is>
          <t>Montblanc Silver Checkered Steel Fountain Pen with rhodium-plated nib, precision-engraved barrel, smooth ink flow, timeless business elegance, perfect for men and women, modern gentleman style.</t>
        </is>
      </c>
      <c r="O154"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1777015364,"id":"chatcmpl-DY5A4NSQxkuKWu36f61riQ74aDqfe","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54" t="inlineStr">
        <is>
          <t>Montblanc,Accessories,kakobuy,kakebuy2026,kekobuysheet,kakobuysheet2026,2026kakobuy,kakobuyspreadsheeet,kakobuylink,kakebuylist,Kakobuy MEGA Spreadsheet,kakobuysheetfind,kakobuysheetfind2026,2026kakobuysheetfind,kakobuysheet2026</t>
        </is>
      </c>
      <c r="Q154"/>
      <c r="R154" t="inlineStr">
        <is>
          <t>recvhju1Crxk9o</t>
        </is>
      </c>
      <c r="S154" t="inlineStr">
        <is>
          <t>montblanc-silver-checkered-steel-rhodium-fountain-pen-recvhju1crxk9o</t>
        </is>
      </c>
      <c r="T154"/>
      <c r="U154"/>
      <c r="V154"/>
      <c r="W154" t="inlineStr">
        <is>
          <t>{"choices":[{"finish_reason":"stop","index":0,"logprobs":null,"message":{"annotations":[],"content":"Montblanc：银色格纹钢制钢笔，采用精密雕刻笔身与镀铑笔尖设计，书写顺滑高雅，经典商务风格，男女皆宜，展现现代绅士格调。","refusal":null,"role":"assistant"}}],"created":1777011678,"id":"chatcmpl-DY4Cc779a8kRBZQsBbrzVmbvsxikj","model":"gpt-5-chat-latest","object":"chat.completion","service_tier":"default","system_fingerprint":"fp_ad66631dec","usage":{"completion_tokens":55,"completion_tokens_details":{"accepted_prediction_tokens":0,"audio_tokens":0,"reasoning_tokens":0,"rejected_prediction_tokens":0},"prompt_tokens":1303,"prompt_tokens_details":{"audio_tokens":0,"cached_tokens":0},"total_tokens":1358}}</t>
        </is>
      </c>
      <c r="X154" t="inlineStr">
        <is>
          <t>Montblanc：银色格纹钢制钢笔，采用精密雕刻笔身与镀铑笔尖设计，书写顺滑高雅，经典商务风格，男女皆宜，展现现代绅士格调。</t>
        </is>
      </c>
    </row>
    <row r="155" ht="25.5" customHeight="1">
      <c r="A155">
        <v>1654975475</v>
      </c>
      <c r="B155">
        <v>7616142719</v>
      </c>
      <c r="C155" s="2" t="str">
        <f>=HYPERLINK("https://weidian.com/item.html?itemID=7616142719", "https://weidian.com/item.html?itemID=7616142719")</f>
        <v>https://weidian.com/item.html?itemID=7616142719</v>
      </c>
      <c r="D155"/>
      <c r="E155" s="2" t="str">
        <f>=HYPERLINK("https://si.geilicdn.com/pcitem2014204438-52300000019abb308ad70a2103bd_1080_1080.jpg?w=640&amp;h=640", "https://si.geilicdn.com/pcitem2014204438-52300000019abb308ad70a2103bd_1080_1080.jpg?w=640&amp;h=640")</f>
        <v>https://si.geilicdn.com/pcitem2014204438-52300000019abb308ad70a2103bd_1080_1080.jpg?w=640&amp;h=640</v>
      </c>
      <c r="F155" t="inlineStr">
        <is>
          <t>Accessories</t>
        </is>
      </c>
      <c r="G155" t="inlineStr">
        <is>
          <t>Montblanc</t>
        </is>
      </c>
      <c r="H155">
        <v>460</v>
      </c>
      <c r="I155">
        <v>66.67</v>
      </c>
      <c r="J155" t="inlineStr">
        <is>
          <t>{"choices":[{"finish_reason":"stop","index":0,"logprobs":null,"message":{"annotations":[],"content":"Montblanc Black Platinum Rollerball Pen Classic","refusal":null,"role":"assistant"}}],"created":1777014402,"id":"chatcmpl-DY4uYIvrOC9SoYVj6mMzHC75YbJMg","model":"gpt-5-chat-latest","object":"chat.completion","service_tier":"default","system_fingerprint":"fp_ad66631dec","usage":{"completion_tokens":10,"completion_tokens_details":{"accepted_prediction_tokens":0,"audio_tokens":0,"reasoning_tokens":0,"rejected_prediction_tokens":0},"prompt_tokens":876,"prompt_tokens_details":{"audio_tokens":0,"cached_tokens":0},"total_tokens":886}}</t>
        </is>
      </c>
      <c r="K155" t="inlineStr">
        <is>
          <t>Montblanc Black Platinum Rollerball Pen Classic</t>
        </is>
      </c>
      <c r="L155" t="inlineStr">
        <is>
          <t>{"choices":[{"finish_reason":"stop","index":0,"logprobs":null,"message":{"annotations":[],"content":"Montblanc Black Classic Rollerball Pen blends fine steel and black resin, features platinum-coated details, sleek design, smooth precise writing, ideal for business, gift, or collection.","refusal":null,"role":"assistant"}}],"created":1777013363,"id":"chatcmpl-DY4dnvweJaJf7acT3Y8zuG5dFTkBA","model":"gpt-5-chat-latest","object":"chat.completion","service_tier":"default","system_fingerprint":"fp_ad66631dec","usage":{"completion_tokens":37,"completion_tokens_details":{"accepted_prediction_tokens":0,"audio_tokens":0,"reasoning_tokens":0,"rejected_prediction_tokens":0},"prompt_tokens":902,"prompt_tokens_details":{"audio_tokens":0,"cached_tokens":0},"total_tokens":939}}</t>
        </is>
      </c>
      <c r="M155" t="inlineStr">
        <is>
          <t>{"alt-svc":"h3=\":443\"; ma=2592000","apim-request-id":"17dc708b-a1e3-46d4-a972-dcf4da715e0b","azureml-model-session":"d20260402074105-51db401e","cache-control":"no-cache","connection":"close","content-length":"774","content-security-policy":"frame-ancestors 'self'","content-type":"application/json","date":"Fri, 24 Apr 2026 06:49:24 GMT","server":"nginx","skip-error-remapping":"true","strict-transport-security":"max-age=31536000; includeSubDomains; preload","via":"1.1 Caddy, 1.1 Caddy","x-api-request-id":"20260424144922564678155xcsgSWzj","x-content-type-options":"nosniff","x-frame-options":"SAMEORIGIN","x-ms-client-request-id":"Not-Set","x-ms-is-spilled-over":"false","x-ms-rai-invoked":"true","x-ms-region":"East US 2","x-new-api-version":"0.4.39","x-oneapi-request-id":"202604240649223138207478268d9d6bOGTacNq","x-ratelimit-abusepenalty-active":"False","x-ratelimit-limit-requests":"3850","x-ratelimit-limit-tokens":"3850000","x-ratelimit-remaining-requests":"3849","x-ratelimit-remaining-tokens":"3847598","x-ratelimit-renewalperiod-requests":"60","x-ratelimit-renewalperiod-tokens":"60","x-ratelimit-reset-requests":"21","x-ratelimit-reset-tokens":"37","x-request-id":"381b43a7-8279-4632-b083-d974750865cc"}</t>
        </is>
      </c>
      <c r="N155" t="inlineStr">
        <is>
          <t>Montblanc Black Classic Rollerball Pen blends fine steel and black resin, features platinum-coated details, sleek design, smooth precise writing, ideal for business, gift, or collection.</t>
        </is>
      </c>
      <c r="O155"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1777014876,"id":"chatcmpl-DY52CiaKtZi2Ysxdrx1Tpzu1syaxe","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55" t="inlineStr">
        <is>
          <t>Montblanc,Accessories,kakobuy,kakebuy2026,kekobuysheet,kakobuysheet2026,2026kakobuy,kakobuyspreadsheeet,kakobuylink,kakebuylist,Kakobuy MEGA Spreadsheet,kakobuysheetfind,kakobuysheetfind2026,2026kakobuysheetfind,kakobuysheet2026</t>
        </is>
      </c>
      <c r="Q155"/>
      <c r="R155" t="inlineStr">
        <is>
          <t>recvhju1Crbjn7</t>
        </is>
      </c>
      <c r="S155" t="inlineStr">
        <is>
          <t>montblanc-black-platinum-rollerball-pen-classic-recvhju1crbjn7</t>
        </is>
      </c>
      <c r="T155"/>
      <c r="U155"/>
      <c r="V155"/>
      <c r="W155" t="inlineStr">
        <is>
          <t>{"id":"chatcmpl-DY48AATD284NpT9KSM76xgzV47xbv","object":"chat.completion","created":1777011402,"model":"gpt-5-chat-latest","choices":[{"index":0,"message":{"role":"assistant","content":"Montblanc：黑色经典系列签字笔，精钢与黑色树脂融合设计，流线笔身彰显优雅气质，镀铂细节尽显匠心工艺，男女皆宜，现代商务风格，书写顺滑精准，收藏与馈赠之选。","refusal":null,"annotations":[]},"logprobs":null,"finish_reason":"stop"}],"usage":{"prompt_tokens":1297,"completion_tokens":70,"total_tokens":1367,"prompt_tokens_details":{"cached_tokens":0,"audio_tokens":0},"completion_tokens_details":{"reasoning_tokens":0,"audio_tokens":0,"accepted_prediction_tokens":0,"rejected_prediction_tokens":0}},"service_tier":"default","system_fingerprint":"fp_ad66631dec"}</t>
        </is>
      </c>
      <c r="X155" t="inlineStr">
        <is>
          <t>Montblanc：黑色经典系列签字笔，精钢与黑色树脂融合设计，流线笔身彰显优雅气质，镀铂细节尽显匠心工艺，男女皆宜，现代商务风格，书写顺滑精准，收藏与馈赠之选。</t>
        </is>
      </c>
    </row>
    <row r="156" ht="25.5" customHeight="1">
      <c r="A156">
        <v>1654975475</v>
      </c>
      <c r="B156">
        <v>7616138859</v>
      </c>
      <c r="C156" s="2" t="str">
        <f>=HYPERLINK("https://weidian.com/item.html?itemID=7616138859", "https://weidian.com/item.html?itemID=7616138859")</f>
        <v>https://weidian.com/item.html?itemID=7616138859</v>
      </c>
      <c r="D156"/>
      <c r="E156" s="2" t="str">
        <f>=HYPERLINK("https://si.geilicdn.com/pcitem2014204438-24030000019abb0f58930a23047e_1080_1080.jpg?w=640&amp;h=640", "https://si.geilicdn.com/pcitem2014204438-24030000019abb0f58930a23047e_1080_1080.jpg?w=640&amp;h=640")</f>
        <v>https://si.geilicdn.com/pcitem2014204438-24030000019abb0f58930a23047e_1080_1080.jpg?w=640&amp;h=640</v>
      </c>
      <c r="F156" t="inlineStr">
        <is>
          <t>Accessories</t>
        </is>
      </c>
      <c r="G156" t="inlineStr">
        <is>
          <t>Montblanc</t>
        </is>
      </c>
      <c r="H156">
        <v>460</v>
      </c>
      <c r="I156">
        <v>66.67</v>
      </c>
      <c r="J156" t="inlineStr">
        <is>
          <t>{"choices":[{"finish_reason":"stop","index":0,"logprobs":null,"message":{"annotations":[],"content":"Montblanc Red Brown Resin Silver Clip Fountain Pen","refusal":null,"role":"assistant"}}],"created":1777014240,"id":"chatcmpl-DY4rwQBaAkPzFtXlblPriztdXltKA","model":"gpt-5-chat-latest","object":"chat.completion","service_tier":"default","system_fingerprint":"fp_ad66631dec","usage":{"completion_tokens":11,"completion_tokens_details":{"accepted_prediction_tokens":0,"audio_tokens":0,"reasoning_tokens":0,"rejected_prediction_tokens":0},"prompt_tokens":872,"prompt_tokens_details":{"audio_tokens":0,"cached_tokens":0},"total_tokens":883}}</t>
        </is>
      </c>
      <c r="K156" t="inlineStr">
        <is>
          <t>Montblanc Red Brown Resin Silver Clip Fountain Pen</t>
        </is>
      </c>
      <c r="L156" t="inlineStr">
        <is>
          <t>{"id":"chatcmpl-DY4hETPYSWqnYNnhmI6Zwe9QQRl94","object":"chat.completion","created":1777013576,"model":"gpt-5-chat-latest","choices":[{"index":0,"message":{"role":"assistant","content":"Montblanc red-brown resin fountain pen with elegant silver hollow clip, smooth lines and refined metal details. A timeless classic for business, gifting, or daily writing.","refusal":null,"annotations":[]},"logprobs":null,"finish_reason":"stop"}],"usage":{"prompt_tokens":921,"completion_tokens":35,"total_tokens":956,"prompt_tokens_details":{"cached_tokens":0,"audio_tokens":0},"completion_tokens_details":{"reasoning_tokens":0,"audio_tokens":0,"accepted_prediction_tokens":0,"rejected_prediction_tokens":0}},"service_tier":"default","system_fingerprint":"fp_ad66631dec"}</t>
        </is>
      </c>
      <c r="M15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ma=2592000","apim-request-id":"03797ca4-705c-4b53-8432-b313104b58c3","azureml-model-session":"d20260402083108-57a85543","cache-control":"no-cache, no-store, must-revalidate","connection":"close","content-length":"975","content-security-policy":"frame-ancestors 'self'","content-type":"application/json","date":"Fri, 24 Apr 2026 06:52:58 GMT","server":"nginx","skip-error-remapping":"true","strict-transport-security":"max-age=31536000; includeSubDomains; preload","via":"1.1 Caddy, 1.1 Caddy","x-api-request-id":"20260424145254311855002UjdS78bF","x-content-type-options":"nosniff","x-frame-options":"SAMEORIGIN","x-ms-is-spilled-over":"false","x-ms-rai-invoked":"false","x-ms-region":"Sweden Central","x-new-api-version":"0.4.39","x-oneapi-request-id":"202604240652542251318218268d9d6EfzhJPhn","x-ratelimit-abusepenalty-active":"False","x-ratelimit-limit-requests":"4998","x-ratelimit-limit-tokens":"4998000","x-ratelimit-remaining-requests":"4997","x-ratelimit-remaining-tokens":"4990885","x-ratelimit-renewalperiod-requests":"60","x-ratelimit-renewalperiod-tokens":"60","x-ratelimit-reset-requests":"12","x-ratelimit-reset-tokens":"85","x-request-id":"bd4504ef-166f-4c89-b10f-325a2e70ed39"}</t>
        </is>
      </c>
      <c r="N156" t="inlineStr">
        <is>
          <t>Montblanc red-brown resin fountain pen with elegant silver hollow clip, smooth lines and refined metal details. A timeless classic for business, gifting, or daily writing.</t>
        </is>
      </c>
      <c r="O156"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1777015135,"id":"chatcmpl-DY56NQvftmNPEk9SGdoZSgHYbidLM","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56" t="inlineStr">
        <is>
          <t>Montblanc,Pen,kakobuy,kakebuy2026,kekobuysheet,kakobuysheet2026,2026kakobuy,kakobuyspreadsheeet,kakobuylink,kakebuylist,Kakobuy MEGA Spreadsheet,kakobuysheetfind,kakobuysheetfind2026,2026kakobuysheetfind,kakobuysheet2026</t>
        </is>
      </c>
      <c r="Q156"/>
      <c r="R156" t="inlineStr">
        <is>
          <t>recvhju1CrFCN3</t>
        </is>
      </c>
      <c r="S156" t="inlineStr">
        <is>
          <t>montblanc-red-brown-resin-silver-clip-fountain-pen-recvhju1crfcn3</t>
        </is>
      </c>
      <c r="T156"/>
      <c r="U156"/>
      <c r="V156"/>
      <c r="W156" t="inlineStr">
        <is>
          <t>{"choices":[{"finish_reason":"stop","index":0,"logprobs":null,"message":{"annotations":[],"content":"Montblanc：红褐色树脂钢笔，采用精致银质镂空笔夹设计，笔身线条优雅流畅，彰显品牌典雅艺术格调。柔光金属细节结合高级树脂材质，书写顺滑细腻，男女皆宜。经典系列收藏级设计，适合商务、礼赠与日常书写使用。","refusal":null,"role":"assistant"}}],"created":1777011605,"id":"chatcmpl-DY4BRdyEQrdL0TIvK4XslQgEBqN1w","model":"gpt-5-chat-latest","object":"chat.completion","service_tier":"default","system_fingerprint":"fp_ad66631dec","usage":{"completion_tokens":88,"completion_tokens_details":{"accepted_prediction_tokens":0,"audio_tokens":0,"reasoning_tokens":0,"rejected_prediction_tokens":0},"prompt_tokens":1299,"prompt_tokens_details":{"audio_tokens":0,"cached_tokens":1280},"total_tokens":1387}}</t>
        </is>
      </c>
      <c r="X156" t="inlineStr">
        <is>
          <t>Montblanc：红褐色树脂钢笔，采用精致银质镂空笔夹设计，笔身线条优雅流畅，彰显品牌典雅艺术格调。柔光金属细节结合高级树脂材质，书写顺滑细腻，男女皆宜。经典系列收藏级设计，适合商务、礼赠与日常书写使用。</t>
        </is>
      </c>
    </row>
    <row r="157" ht="25.5" customHeight="1">
      <c r="A157">
        <v>1654975475</v>
      </c>
      <c r="B157">
        <v>7619130102</v>
      </c>
      <c r="C157" s="2" t="str">
        <f>=HYPERLINK("https://weidian.com/item.html?itemID=7619130102", "https://weidian.com/item.html?itemID=7619130102")</f>
        <v>https://weidian.com/item.html?itemID=7619130102</v>
      </c>
      <c r="D157"/>
      <c r="E157" s="2" t="str">
        <f>=HYPERLINK("https://si.geilicdn.com/pcitem2014204438-30820000019abb3445840a210256_1283_1710.jpg?w=640&amp;h=640", "https://si.geilicdn.com/pcitem2014204438-30820000019abb3445840a210256_1283_1710.jpg?w=640&amp;h=640")</f>
        <v>https://si.geilicdn.com/pcitem2014204438-30820000019abb3445840a210256_1283_1710.jpg?w=640&amp;h=640</v>
      </c>
      <c r="F157" t="inlineStr">
        <is>
          <t>Accessories</t>
        </is>
      </c>
      <c r="G157" t="inlineStr">
        <is>
          <t>Montblanc</t>
        </is>
      </c>
      <c r="H157">
        <v>460</v>
      </c>
      <c r="I157">
        <v>66.67</v>
      </c>
      <c r="J157" t="inlineStr">
        <is>
          <t>{"id":"chatcmpl-DY4x2f1lxL1iY4iqrOQ1hpHnRMAgP","object":"chat.completion","created":1777014556,"model":"gpt-5-chat-latest","choices":[{"index":0,"message":{"role":"assistant","content":"Montblanc Blue Resin Silver Clip Luxury Pen","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is>
      </c>
      <c r="K157" t="inlineStr">
        <is>
          <t>Montblanc Blue Resin Silver Clip Luxury Pen</t>
        </is>
      </c>
      <c r="L157" t="inlineStr">
        <is>
          <t>{"choices":[{"finish_reason":"stop","index":0,"logprobs":null,"message":{"annotations":[],"content":"Montblanc Blue Resin Pen with sleek silver clip and dual rings, classic rounded barrel for smooth balance. Perfect for business or daily writing, unisex, modern elegance with timeless luxury.","refusal":null,"role":"assistant"}}],"created":1777013208,"id":"chatcmpl-DY4bIwGBANbUsORz7hzRvWgBklRvA","model":"gpt-5-chat-latest","object":"chat.completion","service_tier":"default","system_fingerprint":"fp_ad66631dec","usage":{"completion_tokens":38,"completion_tokens_details":{"accepted_prediction_tokens":0,"audio_tokens":0,"reasoning_tokens":0,"rejected_prediction_tokens":0},"prompt_tokens":902,"prompt_tokens_details":{"audio_tokens":0,"cached_tokens":0},"total_tokens":940}}</t>
        </is>
      </c>
      <c r="M157" t="inlineStr">
        <is>
          <t>{"alt-svc":"h3=\":443\"; ma=2592000","apim-request-id":"b530604a-17f5-4f90-8f89-5f3d78f5f756","azureml-model-session":"d20260402083108-57a85543","cache-control":"no-cache","connection":"close","content-length":"779","content-security-policy":"frame-ancestors 'self'","content-type":"application/json","date":"Fri, 24 Apr 2026 06:46:51 GMT","server":"Caddy","skip-error-remapping":"true","strict-transport-security":"max-age=31536000; includeSubDomains; preload","via":"1.1 Caddy","x-api-request-id":"20260424144647893726802Mo7Ts19L","x-content-type-options":"nosniff","x-frame-options":"SAMEORIGIN","x-ms-client-request-id":"Not-Set","x-ms-is-spilled-over":"false","x-ms-rai-invoked":"true","x-ms-region":"East US 2","x-new-api-version":"0.4.39","x-oneapi-request-id":"202604240646477783593638268d9d6qr2Ni06m","x-ratelimit-abusepenalty-active":"False","x-ratelimit-limit-requests":"3850","x-ratelimit-limit-tokens":"3850000","x-ratelimit-remaining-requests":"3849","x-ratelimit-remaining-tokens":"3847926","x-ratelimit-renewalperiod-requests":"60","x-ratelimit-renewalperiod-tokens":"60","x-ratelimit-reset-requests":"15","x-ratelimit-reset-tokens":"32","x-request-id":"0259e866-451c-4be7-8436-b14f1fd5157b"}</t>
        </is>
      </c>
      <c r="N157" t="inlineStr">
        <is>
          <t>Montblanc Blue Resin Pen with sleek silver clip and dual rings, classic rounded barrel for smooth balance. Perfect for business or daily writing, unisex, modern elegance with timeless luxury.</t>
        </is>
      </c>
      <c r="O157"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1777015360,"id":"chatcmpl-DY5A09iM6VtvlrwBIqk6fPZZXI2HM","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57" t="inlineStr">
        <is>
          <t>Montblanc,Accessories,kakobuy,kakebuy2026,kekobuysheet,kakobuysheet2026,2026kakobuy,kakobuyspreadsheeet,kakobuylink,kakebuylist,Kakobuy MEGA Spreadsheet,kakobuysheetfind,kakobuysheetfind2026,2026kakobuysheetfind,kakobuysheet2026</t>
        </is>
      </c>
      <c r="Q157"/>
      <c r="R157" t="inlineStr">
        <is>
          <t>recvhju1CrZ4qC</t>
        </is>
      </c>
      <c r="S157" t="inlineStr">
        <is>
          <t>montblanc-blue-resin-silver-clip-pen-recvhju1crz4qc</t>
        </is>
      </c>
      <c r="T157"/>
      <c r="U157"/>
      <c r="V157"/>
      <c r="W157" t="inlineStr">
        <is>
          <t>{"choices":[{"finish_reason":"stop","index":0,"logprobs":null,"message":{"annotations":[],"content":"Montblanc：蓝色树脂钢笔，经典圆润笔杆设计，银色金属笔夹与双环装饰，彰显优雅格调。流线型造型平衡顺手，适合商务与日常书写，男女皆宜，现代风格尽显尊贵品位。","refusal":null,"role":"assistant"}}],"created":1777011797,"id":"chatcmpl-DY4EXeSKGMOVwbDRj3DqPusBDpuY1","model":"gpt-5-chat-latest","object":"chat.completion","service_tier":"default","system_fingerprint":"fp_ad66631dec","usage":{"completion_tokens":71,"completion_tokens_details":{"accepted_prediction_tokens":0,"audio_tokens":0,"reasoning_tokens":0,"rejected_prediction_tokens":0},"prompt_tokens":1295,"prompt_tokens_details":{"audio_tokens":0,"cached_tokens":1280},"total_tokens":1366}}</t>
        </is>
      </c>
      <c r="X157" t="inlineStr">
        <is>
          <t>Montblanc：蓝色树脂钢笔，经典圆润笔杆设计，银色金属笔夹与双环装饰，彰显优雅格调。流线型造型平衡顺手，适合商务与日常书写，男女皆宜，现代风格尽显尊贵品位。</t>
        </is>
      </c>
    </row>
    <row r="158" ht="25.5" customHeight="1">
      <c r="A158">
        <v>1654975475</v>
      </c>
      <c r="B158">
        <v>7615455233</v>
      </c>
      <c r="C158" s="2" t="str">
        <f>=HYPERLINK("https://weidian.com/item.html?itemID=7615455233", "https://weidian.com/item.html?itemID=7615455233")</f>
        <v>https://weidian.com/item.html?itemID=7615455233</v>
      </c>
      <c r="D158"/>
      <c r="E158" s="2" t="str">
        <f>=HYPERLINK("https://si.geilicdn.com/pcitem2014204438-239d0000019abb0dd5970a207569_1170_2532.jpg?w=640&amp;h=640", "https://si.geilicdn.com/pcitem2014204438-239d0000019abb0dd5970a207569_1170_2532.jpg?w=640&amp;h=640")</f>
        <v>https://si.geilicdn.com/pcitem2014204438-239d0000019abb0dd5970a207569_1170_2532.jpg?w=640&amp;h=640</v>
      </c>
      <c r="F158" t="inlineStr">
        <is>
          <t>Accessories</t>
        </is>
      </c>
      <c r="G158" t="inlineStr">
        <is>
          <t>Montblanc</t>
        </is>
      </c>
      <c r="H158">
        <v>460</v>
      </c>
      <c r="I158">
        <v>66.67</v>
      </c>
      <c r="J158" t="inlineStr">
        <is>
          <t>{"choices":[{"finish_reason":"stop","index":0,"logprobs":null,"message":{"annotations":[],"content":"Montblanc Black Diamond Limited Edition Luxury Pen","refusal":null,"role":"assistant"}}],"created":1777014417,"id":"chatcmpl-DY4unFJ2npQcq0gxpM8zwRBoXYBic","model":"gpt-5-chat-latest","object":"chat.completion","service_tier":"default","system_fingerprint":"fp_ad66631dec","usage":{"completion_tokens":10,"completion_tokens_details":{"accepted_prediction_tokens":0,"audio_tokens":0,"reasoning_tokens":0,"rejected_prediction_tokens":0},"prompt_tokens":1158,"prompt_tokens_details":{"audio_tokens":0,"cached_tokens":1152},"total_tokens":1168}}</t>
        </is>
      </c>
      <c r="K158" t="inlineStr">
        <is>
          <t>Montblanc Black Diamond Limited Edition Luxury Pen</t>
        </is>
      </c>
      <c r="L158" t="inlineStr">
        <is>
          <t>{"choices":[{"finish_reason":"stop","index":0,"logprobs":null,"message":{"annotations":[],"content":"Montblanc Limited Edition Black Diamond Signature Pen – crafted with rare diamonds and high-gloss metal. Elegant, luxurious, and timeless. Perfect for professionals, collectors, and gift giving.","refusal":null,"role":"assistant"}}],"created":1777013460,"id":"chatcmpl-DY4fMgTjSIbOeMAb7RpJNYt3zlOHu","model":"gpt-5-chat-latest","object":"chat.completion","service_tier":"default","system_fingerprint":"fp_ad66631dec","usage":{"completion_tokens":38,"completion_tokens_details":{"accepted_prediction_tokens":0,"audio_tokens":0,"reasoning_tokens":0,"rejected_prediction_tokens":0},"prompt_tokens":1185,"prompt_tokens_details":{"audio_tokens":0,"cached_tokens":0},"total_tokens":1223}}</t>
        </is>
      </c>
      <c r="M158" t="inlineStr">
        <is>
          <t>{"alt-svc":"h3=\":443\"; ma=2592000","apim-request-id":"913b2874-2de1-4201-b6ca-a3760d31684f","azureml-model-session":"d20260402074105-51db401e","cache-control":"no-cache","connection":"close","content-length":"786","content-security-policy":"frame-ancestors 'self'","content-type":"application/json","date":"Fri, 24 Apr 2026 06:51:01 GMT","server":"Caddy","skip-error-remapping":"true","strict-transport-security":"max-age=31536000; includeSubDomains; preload","via":"1.1 Caddy","x-api-request-id":"20260424145058823251332pJtkTwbD","x-content-type-options":"nosniff","x-frame-options":"SAMEORIGIN","x-ms-client-request-id":"Not-Set","x-ms-is-spilled-over":"false","x-ms-rai-invoked":"true","x-ms-region":"East US 2","x-new-api-version":"0.4.39","x-oneapi-request-id":"202604240650587159120688268d9d6XN460ywk","x-ratelimit-abusepenalty-active":"False","x-ratelimit-limit-requests":"3850","x-ratelimit-limit-tokens":"3850000","x-ratelimit-remaining-requests":"3849","x-ratelimit-remaining-tokens":"3848052","x-ratelimit-renewalperiod-requests":"60","x-ratelimit-renewalperiod-tokens":"60","x-ratelimit-reset-requests":"15","x-ratelimit-reset-tokens":"30","x-request-id":"02477cf9-1ee4-4025-9617-5d894c8c3455"}</t>
        </is>
      </c>
      <c r="N158" t="inlineStr">
        <is>
          <t>Montblanc Limited Edition Black Diamond Signature Pen – crafted with rare diamonds and high-gloss metal. Elegant, luxurious, and timeless. Perfect for professionals, collectors, and gift giving.</t>
        </is>
      </c>
      <c r="O158"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1777015305,"id":"chatcmpl-DY597zu0MKQmxaNrn7pQTvIVj0JAt","model":"gpt-5-chat-latest","object":"chat.completion","service_tier":"default","system_fingerprint":"fp_ad66631dec","usage":{"completion_tokens":88,"completion_tokens_details":{"accepted_prediction_tokens":0,"audio_tokens":0,"reasoning_tokens":0,"rejected_prediction_tokens":0},"prompt_tokens":1063,"prompt_tokens_details":{"audio_tokens":0,"cached_tokens":0},"total_tokens":1151}}</t>
        </is>
      </c>
      <c r="P158" t="inlineStr">
        <is>
          <t>Montblanc,pen,kakobuy,kakebuy2026,kekobuysheet,kakobuysheet2026,2026kakobuy,kakobuyspreadsheeet,kakobuylink,kakebuylist,Kakobuy MEGA Spreadsheet,kakobuysheetfind,kakobuysheetfind2026,2026kakobuysheetfind,kakobuysheet2026</t>
        </is>
      </c>
      <c r="Q158"/>
      <c r="R158" t="inlineStr">
        <is>
          <t>recvhju1CrvnA3</t>
        </is>
      </c>
      <c r="S158" t="inlineStr">
        <is>
          <t>montblanc-black-diamond-limited-edition-luxury-pen-recvhju1crvna3</t>
        </is>
      </c>
      <c r="T158"/>
      <c r="U158"/>
      <c r="V158"/>
      <c r="W158" t="inlineStr">
        <is>
          <t>{"id":"chatcmpl-DY4AoXwcftij4kCH1hOoFQQwTpOTG","object":"chat.completion","created":1777011566,"model":"gpt-5-chat-latest","choices":[{"index":0,"message":{"role":"assistant","content":"Montblanc：限量款黑色钻石签字笔，甄选高光金属与珍稀钻石镶嵌设计，笔身线条优雅流畅，低调奢华彰显非凡品味，男女皆宜，商务与收藏皆臻典雅之选。","refusal":null,"annotations":[]},"logprobs":null,"finish_reason":"stop"}],"usage":{"prompt_tokens":1579,"completion_tokens":72,"total_tokens":1651,"prompt_tokens_details":{"cached_tokens":0,"audio_tokens":0},"completion_tokens_details":{"reasoning_tokens":0,"audio_tokens":0,"accepted_prediction_tokens":0,"rejected_prediction_tokens":0}},"service_tier":"default","system_fingerprint":"fp_ad66631dec"}</t>
        </is>
      </c>
      <c r="X158" t="inlineStr">
        <is>
          <t>Montblanc：限量款黑色钻石签字笔，甄选高光金属与珍稀钻石镶嵌设计，笔身线条优雅流畅，低调奢华彰显非凡品味，男女皆宜，商务与收藏皆臻典雅之选。</t>
        </is>
      </c>
    </row>
    <row r="159" ht="25.5" customHeight="1">
      <c r="A159">
        <v>1654975475</v>
      </c>
      <c r="B159">
        <v>7616150119</v>
      </c>
      <c r="C159" s="2" t="str">
        <f>=HYPERLINK("https://weidian.com/item.html?itemID=7616150119", "https://weidian.com/item.html?itemID=7616150119")</f>
        <v>https://weidian.com/item.html?itemID=7616150119</v>
      </c>
      <c r="D159"/>
      <c r="E159" s="2" t="str">
        <f>=HYPERLINK("https://si.geilicdn.com/pcitem2014204438-32d80000019abb3646ce0a23057e_1361_1500.jpg?w=640&amp;h=640", "https://si.geilicdn.com/pcitem2014204438-32d80000019abb3646ce0a23057e_1361_1500.jpg?w=640&amp;h=640")</f>
        <v>https://si.geilicdn.com/pcitem2014204438-32d80000019abb3646ce0a23057e_1361_1500.jpg?w=640&amp;h=640</v>
      </c>
      <c r="F159" t="inlineStr">
        <is>
          <t>Accessories</t>
        </is>
      </c>
      <c r="G159" t="inlineStr">
        <is>
          <t>Montblanc</t>
        </is>
      </c>
      <c r="H159">
        <v>460</v>
      </c>
      <c r="I159">
        <v>66.67</v>
      </c>
      <c r="J159" t="inlineStr">
        <is>
          <t>{"id":"chatcmpl-DY4t96qnXfjVZzVzKXjMgkaaNgmHE","object":"chat.completion","created":1777014315,"model":"gpt-5-chat-latest","choices":[{"index":0,"message":{"role":"assistant","content":"Montblanc Meisterstück Black Signature Luxury Pen","refusal":null,"annotations":[]},"logprobs":null,"finish_reason":"stop"}],"usage":{"prompt_tokens":872,"completion_tokens":10,"total_tokens":882,"prompt_tokens_details":{"cached_tokens":0,"audio_tokens":0},"completion_tokens_details":{"reasoning_tokens":0,"audio_tokens":0,"accepted_prediction_tokens":0,"rejected_prediction_tokens":0}},"service_tier":"default","system_fingerprint":"fp_ad66631dec"}</t>
        </is>
      </c>
      <c r="K159" t="inlineStr">
        <is>
          <t>Montblanc Meisterstück Black Signature Luxury Pen</t>
        </is>
      </c>
      <c r="L159" t="inlineStr">
        <is>
          <t>{"choices":[{"finish_reason":"stop","index":0,"logprobs":null,"message":{"annotations":[],"content":"Montblanc Meisterstück Black Signature Pen, crafted from polished resin and metal, showcases German precision with a sleek, minimalist design for timeless business elegance for men and women.","refusal":null,"role":"assistant"}}],"created":1777013411,"id":"chatcmpl-DY4eZXtls83DPSIvqlplWoG5jivWH","model":"gpt-5-chat-latest","object":"chat.completion","service_tier":"default","system_fingerprint":"fp_ad66631dec","usage":{"completion_tokens":35,"completion_tokens_details":{"accepted_prediction_tokens":0,"audio_tokens":0,"reasoning_tokens":0,"rejected_prediction_tokens":0},"prompt_tokens":892,"prompt_tokens_details":{"audio_tokens":0,"cached_tokens":0},"total_tokens":927}}</t>
        </is>
      </c>
      <c r="M159" t="inlineStr">
        <is>
          <t>{"alt-svc":"h3=\":443\"; ma=2592000","apim-request-id":"4a1b1c21-6c79-4ecc-8802-118e17790ad4","azureml-model-session":"d20260402083108-57a85543","cache-control":"no-cache","connection":"close","content-length":"780","content-security-policy":"frame-ancestors 'self'","content-type":"application/json","date":"Fri, 24 Apr 2026 06:50:13 GMT","server":"Caddy","skip-error-remapping":"true","strict-transport-security":"max-age=31536000; includeSubDomains; preload","via":"1.1 Caddy","x-api-request-id":"20260424145010559248425rwbrKL5C","x-content-type-options":"nosniff","x-frame-options":"SAMEORIGIN","x-ms-client-request-id":"Not-Set","x-ms-is-spilled-over":"false","x-ms-rai-invoked":"true","x-ms-region":"East US 2","x-new-api-version":"0.4.39","x-oneapi-request-id":"202604240650104837431988268d9d6lcNRQFUx","x-ratelimit-abusepenalty-active":"False","x-ratelimit-limit-requests":"3850","x-ratelimit-limit-tokens":"3850000","x-ratelimit-remaining-requests":"3849","x-ratelimit-remaining-tokens":"3780178","x-ratelimit-renewalperiod-requests":"60","x-ratelimit-renewalperiod-tokens":"60","x-ratelimit-reset-requests":"15","x-ratelimit-reset-tokens":"1088","x-request-id":"da1f1608-ed7e-4115-a3dc-36767f3b96c6"}</t>
        </is>
      </c>
      <c r="N159" t="inlineStr">
        <is>
          <t>Montblanc Meisterstück Black Signature Pen, crafted from polished resin and metal, showcases German precision with a sleek, minimalist design for timeless business elegance for men and women.</t>
        </is>
      </c>
      <c r="O159"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1777015081,"id":"chatcmpl-DY55Vy6AaQHN7MLd12eO9Do3GjcN8","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59" t="inlineStr">
        <is>
          <t>Montblanc,Accessories,kakobuy,kakebuy2026,kekobuysheet,kakobuysheet2026,2026kakobuy,kakobuyspreadsheeet,kakobuylink,kakebuylist,Kakobuy MEGA Spreadsheet,kakobuysheetfind,kakobuysheetfind2026,2026kakobuysheetfind,kakobuysheet2026</t>
        </is>
      </c>
      <c r="Q159"/>
      <c r="R159" t="inlineStr">
        <is>
          <t>recvhju1Cro7n9</t>
        </is>
      </c>
      <c r="S159" t="inlineStr">
        <is>
          <t>montblanc-meisterstuck-black-signature-pen-recvhju1cro7n9</t>
        </is>
      </c>
      <c r="T159"/>
      <c r="U159"/>
      <c r="V159"/>
      <c r="W159" t="inlineStr">
        <is>
          <t>{"choices":[{"finish_reason":"stop","index":0,"logprobs":null,"message":{"annotations":[],"content":"Montblanc：Meisterstück黑色签字笔，金属笔身搭配抛光树脂材质，简约流线设计，商务典雅风格，男女皆宜，展现德式精工与高端书写品味。","refusal":null,"role":"assistant"}}],"created":1777011534,"id":"chatcmpl-DY4AINaIFyP9Qg8gKjE8Xb2CgHszy","model":"gpt-5-chat-latest","object":"chat.completion","service_tier":"default","system_fingerprint":"fp_ad66631dec","usage":{"completion_tokens":58,"completion_tokens_details":{"accepted_prediction_tokens":0,"audio_tokens":0,"reasoning_tokens":0,"rejected_prediction_tokens":0},"prompt_tokens":1301,"prompt_tokens_details":{"audio_tokens":0,"cached_tokens":1280},"total_tokens":1359}}</t>
        </is>
      </c>
      <c r="X159" t="inlineStr">
        <is>
          <t>Montblanc：Meisterstück黑色签字笔，金属笔身搭配抛光树脂材质，简约流线设计，商务典雅风格，男女皆宜，展现德式精工与高端书写品味。</t>
        </is>
      </c>
    </row>
    <row r="160" ht="25.5" customHeight="1">
      <c r="A160">
        <v>1654975475</v>
      </c>
      <c r="B160">
        <v>7616073529</v>
      </c>
      <c r="C160" s="2" t="str">
        <f>=HYPERLINK("https://weidian.com/item.html?itemID=7616073529", "https://weidian.com/item.html?itemID=7616073529")</f>
        <v>https://weidian.com/item.html?itemID=7616073529</v>
      </c>
      <c r="D160"/>
      <c r="E160" s="2" t="str">
        <f>=HYPERLINK("https://si.geilicdn.com/pcitem2014204438-33a00000019abb3e26230a210256_1080_1080.jpg?w=640&amp;h=640", "https://si.geilicdn.com/pcitem2014204438-33a00000019abb3e26230a210256_1080_1080.jpg?w=640&amp;h=640")</f>
        <v>https://si.geilicdn.com/pcitem2014204438-33a00000019abb3e26230a210256_1080_1080.jpg?w=640&amp;h=640</v>
      </c>
      <c r="F160" t="inlineStr">
        <is>
          <t>Accessories</t>
        </is>
      </c>
      <c r="G160" t="inlineStr">
        <is>
          <t>Montblanc</t>
        </is>
      </c>
      <c r="H160">
        <v>460</v>
      </c>
      <c r="I160">
        <v>66.67</v>
      </c>
      <c r="J160" t="inlineStr">
        <is>
          <t>{"choices":[{"finish_reason":"stop","index":0,"logprobs":null,"message":{"annotations":[],"content":"Montblanc Heritage Deep Blue Silver-Plated Pen","refusal":null,"role":"assistant"}}],"created":1777014209,"id":"chatcmpl-DY4rRpn7NGq8iRQ9kpBwhJYGPMgJx","model":"gpt-5-chat-latest","object":"chat.completion","service_tier":"default","system_fingerprint":"fp_ad66631dec","usage":{"completion_tokens":11,"completion_tokens_details":{"accepted_prediction_tokens":0,"audio_tokens":0,"reasoning_tokens":0,"rejected_prediction_tokens":0},"prompt_tokens":872,"prompt_tokens_details":{"audio_tokens":0,"cached_tokens":0},"total_tokens":883}}</t>
        </is>
      </c>
      <c r="K160" t="inlineStr">
        <is>
          <t>Montblanc Heritage Deep Blue Silver-Plated Pen</t>
        </is>
      </c>
      <c r="L160" t="inlineStr">
        <is>
          <t>{"id":"chatcmpl-DY4fKsLkuSC9OgO5TRIQjrpRjBNQn","object":"chat.completion","created":1777013458,"model":"gpt-5-chat-latest","choices":[{"index":0,"message":{"role":"assistant","content":"Montblanc Heritage Collection Deep Blue Silver-Plated Pen — sleek resin barrel, platinum-coated cap with star emblem, smooth elegant writing, the timeless choice for refined businessmen.","refusal":null,"annotations":[]},"logprobs":null,"finish_reason":"stop"}],"usage":{"prompt_tokens":885,"completion_tokens":35,"total_tokens":920,"prompt_tokens_details":{"cached_tokens":0,"audio_tokens":0},"completion_tokens_details":{"reasoning_tokens":0,"audio_tokens":0,"accepted_prediction_tokens":0,"rejected_prediction_tokens":0}},"service_tier":"default","system_fingerprint":"fp_ad66631dec"}</t>
        </is>
      </c>
      <c r="M16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ma=2592000","apim-request-id":"659597f5-03b4-45c9-a8f0-119b23163735","azureml-model-session":"d20260405234249-f9874baf","cache-control":"no-cache, no-store, must-revalidate","connection":"close","content-length":"992","content-security-policy":"frame-ancestors 'self'","content-type":"application/json","date":"Fri, 24 Apr 2026 06:50:59 GMT","server":"nginx","skip-error-remapping":"true","strict-transport-security":"max-age=31536000; includeSubDomains; preload","via":"1.1 Caddy, 1.1 Caddy","x-api-request-id":"202604241450566850763661nQ8Fe3r","x-content-type-options":"nosniff","x-frame-options":"SAMEORIGIN","x-ms-is-spilled-over":"false","x-ms-rai-invoked":"false","x-ms-region":"East US 2","x-new-api-version":"0.4.39","x-oneapi-request-id":"202604240650563538235988268d9d6KpQGnRVy","x-ratelimit-abusepenalty-active":"False","x-ratelimit-limit-requests":"4992","x-ratelimit-limit-tokens":"4992000","x-ratelimit-remaining-requests":"4991","x-ratelimit-remaining-tokens":"4990353","x-ratelimit-renewalperiod-requests":"60","x-ratelimit-renewalperiod-tokens":"60","x-ratelimit-reset-requests":"12","x-ratelimit-reset-tokens":"19","x-request-id":"951a3c04-60a7-4179-a4ef-2427993bfd07"}</t>
        </is>
      </c>
      <c r="N160" t="inlineStr">
        <is>
          <t>Montblanc Heritage Collection Deep Blue Silver-Plated Pen — sleek resin barrel, platinum-coated cap with star emblem, smooth elegant writing, the timeless choice for refined businessmen.</t>
        </is>
      </c>
      <c r="O160"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1777015102,"id":"chatcmpl-DY55qYsD60xvy0uTfJUsII8wh5NoD","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60" t="inlineStr">
        <is>
          <t>Montblanc,Pen,kakobuy,kakebuy2026,kekobuysheet,kakobuysheet2026,2026kakobuy,kakobuyspreadsheeet,kakobuylink,kakebuylist,Kakobuy MEGA Spreadsheet,kakobuysheetfind,kakobuysheetfind2026,2026kakobuysheetfind,kakobuysheet2026</t>
        </is>
      </c>
      <c r="Q160"/>
      <c r="R160" t="inlineStr">
        <is>
          <t>recvhju1CrRdWj</t>
        </is>
      </c>
      <c r="S160" t="inlineStr">
        <is>
          <t>montblanc-heritage-deep-blue-silver-plated-pen-recvhju1crrdwj</t>
        </is>
      </c>
      <c r="T160"/>
      <c r="U160"/>
      <c r="V160"/>
      <c r="W160" t="inlineStr">
        <is>
          <t>{"choices":[{"finish_reason":"stop","index":0,"logprobs":null,"message":{"annotations":[],"content":"Montblanc：典藏系列深蓝银饰钢笔，精致树脂笔身搭配镀铂金笔帽雕刻星徽图腾，书写流畅优雅，商务绅士经典之选。","refusal":null,"role":"assistant"}}],"created":1777011595,"id":"chatcmpl-DY4BHYvwchTxzPnAI4tE7gkQl2yHX","model":"gpt-5-chat-latest","object":"chat.completion","service_tier":"default","system_fingerprint":"fp_ad66631dec","usage":{"completion_tokens":52,"completion_tokens_details":{"accepted_prediction_tokens":0,"audio_tokens":0,"reasoning_tokens":0,"rejected_prediction_tokens":0},"prompt_tokens":1299,"prompt_tokens_details":{"audio_tokens":0,"cached_tokens":0},"total_tokens":1351}}</t>
        </is>
      </c>
      <c r="X160" t="inlineStr">
        <is>
          <t>Montblanc：典藏系列深蓝银饰钢笔，精致树脂笔身搭配镀铂金笔帽雕刻星徽图腾，书写流畅优雅，商务绅士经典之选。</t>
        </is>
      </c>
    </row>
    <row r="161" ht="25.5" customHeight="1">
      <c r="A161">
        <v>1654975475</v>
      </c>
      <c r="B161">
        <v>7618604944</v>
      </c>
      <c r="C161" s="2" t="str">
        <f>=HYPERLINK("https://weidian.com/item.html?itemID=7618604944", "https://weidian.com/item.html?itemID=7618604944")</f>
        <v>https://weidian.com/item.html?itemID=7618604944</v>
      </c>
      <c r="D161"/>
      <c r="E161" s="2" t="str">
        <f>=HYPERLINK("https://si.geilicdn.com/pcitem2014204438-2f5a0000019abb402a100a8134f0_1080_1080.jpg?w=640&amp;h=640", "https://si.geilicdn.com/pcitem2014204438-2f5a0000019abb402a100a8134f0_1080_1080.jpg?w=640&amp;h=640")</f>
        <v>https://si.geilicdn.com/pcitem2014204438-2f5a0000019abb402a100a8134f0_1080_1080.jpg?w=640&amp;h=640</v>
      </c>
      <c r="F161" t="inlineStr">
        <is>
          <t>Accessories</t>
        </is>
      </c>
      <c r="G161" t="inlineStr">
        <is>
          <t>Montblanc</t>
        </is>
      </c>
      <c r="H161">
        <v>460</v>
      </c>
      <c r="I161">
        <v>66.67</v>
      </c>
      <c r="J161" t="inlineStr">
        <is>
          <t>{"choices":[{"finish_reason":"stop","index":0,"logprobs":null,"message":{"annotations":[],"content":"Montblanc Red Limited Edition Rose Gold Fountain Pen","refusal":null,"role":"assistant"}}],"created":1777014357,"id":"chatcmpl-DY4tpYBEZd5qFUSkmCQ8y5uIu5KPV","model":"gpt-5-chat-latest","object":"chat.completion","service_tier":"default","system_fingerprint":"fp_ad66631dec","usage":{"completion_tokens":11,"completion_tokens_details":{"accepted_prediction_tokens":0,"audio_tokens":0,"reasoning_tokens":0,"rejected_prediction_tokens":0},"prompt_tokens":874,"prompt_tokens_details":{"audio_tokens":0,"cached_tokens":0},"total_tokens":885}}</t>
        </is>
      </c>
      <c r="K161" t="inlineStr">
        <is>
          <t>Montblanc Red Limited Edition Rose Gold Fountain Pen</t>
        </is>
      </c>
      <c r="L161" t="inlineStr">
        <is>
          <t>{"choices":[{"finish_reason":"stop","index":0,"logprobs":null,"message":{"annotations":[],"content":"Montblanc Red Limited Edition Fountain Pen, crafted from premium resin with rose gold accents, features an engraved star emblem nib and sleek, elegant design for modern luxury writing artistry.","refusal":null,"role":"assistant"}}],"created":1777013288,"id":"chatcmpl-DY4ca4DVv5JuytLZIrdLC0LKZyRxd","model":"gpt-5-chat-latest","object":"chat.completion","service_tier":"default","system_fingerprint":"fp_ad66631dec","usage":{"completion_tokens":36,"completion_tokens_details":{"accepted_prediction_tokens":0,"audio_tokens":0,"reasoning_tokens":0,"rejected_prediction_tokens":0},"prompt_tokens":897,"prompt_tokens_details":{"audio_tokens":0,"cached_tokens":0},"total_tokens":933}}</t>
        </is>
      </c>
      <c r="M161" t="inlineStr">
        <is>
          <t>{"alt-svc":"h3=\":443\"; ma=2592000","apim-request-id":"23601cb0-8ed4-4cf2-af4b-57bd7161d30b","azureml-model-session":"d20260402084046-4209e968","cache-control":"no-cache","connection":"close","content-length":"781","content-security-policy":"frame-ancestors 'self'","content-type":"application/json","date":"Fri, 24 Apr 2026 06:48:11 GMT","server":"nginx","skip-error-remapping":"true","strict-transport-security":"max-age=31536000; includeSubDomains; preload","via":"1.1 Caddy, 1.1 Caddy","x-api-request-id":"20260424144807195219876VZ8HIVzo","x-content-type-options":"nosniff","x-frame-options":"SAMEORIGIN","x-ms-client-request-id":"Not-Set","x-ms-is-spilled-over":"false","x-ms-rai-invoked":"true","x-ms-region":"East US 2","x-new-api-version":"0.4.39","x-oneapi-request-id":"202604240648064224984188268d9d62rFoNMpA","x-ratelimit-abusepenalty-active":"False","x-ratelimit-limit-requests":"3850","x-ratelimit-limit-tokens":"3850000","x-ratelimit-remaining-requests":"3849","x-ratelimit-remaining-tokens":"3848341","x-ratelimit-renewalperiod-requests":"60","x-ratelimit-renewalperiod-tokens":"60","x-ratelimit-reset-requests":"15","x-ratelimit-reset-tokens":"25","x-request-id":"7f5c7326-3d15-45c6-bdd1-08a33607e045"}</t>
        </is>
      </c>
      <c r="N161" t="inlineStr">
        <is>
          <t>Montblanc Red Limited Edition Fountain Pen, crafted from premium resin with rose gold accents, features an engraved star emblem nib and sleek, elegant design for modern luxury writing artistry.</t>
        </is>
      </c>
      <c r="O161" t="inlineStr">
        <is>
          <t>{"id":"chatcmpl-DY56GAFmqdcUFEvzN5qs2dQhG9WZN","object":"chat.completion","created":1777015128,"model":"gpt-5-chat-latest","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61" t="inlineStr">
        <is>
          <t>Montblanc,Accessories,kakobuy,kakebuy2026,kekobuysheet,kakobuysheet2026,2026kakobuy,kakobuyspreadsheeet,kakobuylink,kakebuylist,Kakobuy MEGA Spreadsheet,kakobuysheetfind,kakobuysheetfind2026,2026kakobuysheetfind,kakobuysheet2026</t>
        </is>
      </c>
      <c r="Q161"/>
      <c r="R161" t="inlineStr">
        <is>
          <t>recvhju1CrpzQn</t>
        </is>
      </c>
      <c r="S161" t="inlineStr">
        <is>
          <t>montblanc-red-rose-gold-fountain-pen-recvhju1crpzqn</t>
        </is>
      </c>
      <c r="T161"/>
      <c r="U161"/>
      <c r="V161"/>
      <c r="W161" t="inlineStr">
        <is>
          <t>{"choices":[{"finish_reason":"stop","index":0,"logprobs":null,"message":{"annotations":[],"content":"Montblanc：红色限量款钢笔，甄选高级树脂与玫瑰金饰面，笔尖雕刻精致星徽图腾，流线设计典雅精致，男女皆宜，彰显现代奢华书写艺术。","refusal":null,"role":"assistant"}}],"created":1777011738,"id":"chatcmpl-DY4DarH1w4rQVqtcfQIZsDXHtzvXp","model":"gpt-5-chat-latest","object":"chat.completion","service_tier":"default","system_fingerprint":"fp_ad66631dec","usage":{"completion_tokens":61,"completion_tokens_details":{"accepted_prediction_tokens":0,"audio_tokens":0,"reasoning_tokens":0,"rejected_prediction_tokens":0},"prompt_tokens":1305,"prompt_tokens_details":{"audio_tokens":0,"cached_tokens":0},"total_tokens":1366}}</t>
        </is>
      </c>
      <c r="X161" t="inlineStr">
        <is>
          <t>Montblanc：红色限量款钢笔，甄选高级树脂与玫瑰金饰面，笔尖雕刻精致星徽图腾，流线设计典雅精致，男女皆宜，彰显现代奢华书写艺术。</t>
        </is>
      </c>
    </row>
    <row r="162" ht="25.5" customHeight="1">
      <c r="A162">
        <v>1654975475</v>
      </c>
      <c r="B162">
        <v>7616115231</v>
      </c>
      <c r="C162" s="2" t="str">
        <f>=HYPERLINK("https://weidian.com/item.html?itemID=7616115231", "https://weidian.com/item.html?itemID=7616115231")</f>
        <v>https://weidian.com/item.html?itemID=7616115231</v>
      </c>
      <c r="D162"/>
      <c r="E162" s="2" t="str">
        <f>=HYPERLINK("https://si.geilicdn.com/pcitem2014204438-30770000019abb36cb040a23038e_1361_1500.jpg?w=640&amp;h=640", "https://si.geilicdn.com/pcitem2014204438-30770000019abb36cb040a23038e_1361_1500.jpg?w=640&amp;h=640")</f>
        <v>https://si.geilicdn.com/pcitem2014204438-30770000019abb36cb040a23038e_1361_1500.jpg?w=640&amp;h=640</v>
      </c>
      <c r="F162" t="inlineStr">
        <is>
          <t>Accessories</t>
        </is>
      </c>
      <c r="G162" t="inlineStr">
        <is>
          <t>Montblanc</t>
        </is>
      </c>
      <c r="H162">
        <v>460</v>
      </c>
      <c r="I162">
        <v>66.67</v>
      </c>
      <c r="J162" t="inlineStr">
        <is>
          <t>{"choices":[{"finish_reason":"stop","index":0,"logprobs":null,"message":{"annotations":[],"content":"Montblanc Black Classic Luxury Ballpoint Pen","refusal":null,"role":"assistant"}}],"created":1777014204,"id":"chatcmpl-DY4rMyZs63OqbdACnI0gkZFWgfgDD","model":"gpt-5-chat-latest","object":"chat.completion","service_tier":"default","system_fingerprint":"fp_ad66631dec","usage":{"completion_tokens":10,"completion_tokens_details":{"accepted_prediction_tokens":0,"audio_tokens":0,"reasoning_tokens":0,"rejected_prediction_tokens":0},"prompt_tokens":872,"prompt_tokens_details":{"audio_tokens":0,"cached_tokens":0},"total_tokens":882}}</t>
        </is>
      </c>
      <c r="K162" t="inlineStr">
        <is>
          <t>Montblanc Black Classic Luxury Ballpoint Pen</t>
        </is>
      </c>
      <c r="L162" t="inlineStr">
        <is>
          <t>{"id":"chatcmpl-DY4gGEEg8dWFo9j4RdqZoRQG8EaLb","object":"chat.completion","created":1777013516,"model":"gpt-5-chat-latest","choices":[{"index":0,"message":{"role":"assistant","content":"Montblanc Black Classic Ballpoint Pen – sleek metal barrel with polished silver clip, smooth ink flow, stylish minimalist design for business professionals, unisex luxury writing experience.","refusal":null,"annotations":[]},"logprobs":null,"finish_reason":"stop"}],"usage":{"prompt_tokens":886,"completion_tokens":35,"total_tokens":921,"prompt_tokens_details":{"cached_tokens":0,"audio_tokens":0},"completion_tokens_details":{"reasoning_tokens":0,"audio_tokens":0,"accepted_prediction_tokens":0,"rejected_prediction_tokens":0}},"service_tier":"default","system_fingerprint":"fp_ad66631dec"}</t>
        </is>
      </c>
      <c r="M16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ma=2592000","apim-request-id":"0743e8d4-509c-41c0-bbce-1d1f5ff128e4","azureml-model-session":"d20260405225800-40f19e54","cache-control":"no-cache, no-store, must-revalidate","connection":"close","content-length":"996","content-security-policy":"frame-ancestors 'self'","content-type":"application/json","date":"Fri, 24 Apr 2026 06:51:58 GMT","server":"nginx","skip-error-remapping":"true","strict-transport-security":"max-age=31536000; includeSubDomains; preload","via":"1.1 Caddy, 1.1 Caddy","x-api-request-id":"20260424145155102461306TJqVtSfI","x-content-type-options":"nosniff","x-frame-options":"SAMEORIGIN","x-ms-is-spilled-over":"false","x-ms-rai-invoked":"false","x-ms-region":"Sweden Central","x-new-api-version":"0.4.39","x-oneapi-request-id":"202604240651549678693708268d9d6daJOJg6G","x-ratelimit-abusepenalty-active":"False","x-ratelimit-limit-requests":"4998","x-ratelimit-limit-tokens":"4998000","x-ratelimit-remaining-requests":"4997","x-ratelimit-remaining-tokens":"4996352","x-ratelimit-renewalperiod-requests":"60","x-ratelimit-renewalperiod-tokens":"60","x-ratelimit-reset-requests":"12","x-ratelimit-reset-tokens":"19","x-request-id":"b93a4772-442a-463b-be3d-469bb7403ede"}</t>
        </is>
      </c>
      <c r="N162" t="inlineStr">
        <is>
          <t>Montblanc Black Classic Ballpoint Pen – sleek metal barrel with polished silver clip, smooth ink flow, stylish minimalist design for business professionals, unisex luxury writing experience.</t>
        </is>
      </c>
      <c r="O162"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1777014912,"id":"chatcmpl-DY52mV2Dzz4aEr2wwMZEnY2S0j4uD","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62" t="inlineStr">
        <is>
          <t>Montblanc,Accessories,kakobuy,kakebuy2026,kekobuysheet,kakobuysheet2026,2026kakobuy,kakobuyspreadsheeet,kakobuylink,kakebuylist,Kakobuy MEGA Spreadsheet,kakobuysheetfind,kakobuysheetfind2026,2026kakobuysheetfind,kakobuysheet2026</t>
        </is>
      </c>
      <c r="Q162"/>
      <c r="R162" t="inlineStr">
        <is>
          <t>recvhju1CrVmFA</t>
        </is>
      </c>
      <c r="S162" t="inlineStr">
        <is>
          <t>montblanc-black-classic-luxury-ballpoint-pen-recvhju1crvmfa</t>
        </is>
      </c>
      <c r="T162"/>
      <c r="U162"/>
      <c r="V162"/>
      <c r="W162" t="inlineStr">
        <is>
          <t>{"id":"chatcmpl-DY4DOZrw2pF5plTWoQxUGBEPmQ3hR","object":"chat.completion","created":1777011726,"model":"gpt-5-chat-latest","choices":[{"index":0,"message":{"role":"assistant","content":"Montblanc：黑色经典系列签字笔，金属笔杆搭配抛光银色笔夹，造型简约商务风格，男女皆宜，书写流畅，彰显低调奢华气质。","refusal":null,"annotations":[]},"logprobs":null,"finish_reason":"stop"}],"usage":{"prompt_tokens":1297,"completion_tokens":54,"total_tokens":1351,"prompt_tokens_details":{"cached_tokens":0,"audio_tokens":0},"completion_tokens_details":{"reasoning_tokens":0,"audio_tokens":0,"accepted_prediction_tokens":0,"rejected_prediction_tokens":0}},"service_tier":"default","system_fingerprint":"fp_ad66631dec"}</t>
        </is>
      </c>
      <c r="X162" t="inlineStr">
        <is>
          <t>Montblanc：黑色经典系列签字笔，金属笔杆搭配抛光银色笔夹，造型简约商务风格，男女皆宜，书写流畅，彰显低调奢华气质。</t>
        </is>
      </c>
    </row>
    <row r="163" ht="25.5" customHeight="1">
      <c r="A163">
        <v>1654975475</v>
      </c>
      <c r="B163">
        <v>7616139031</v>
      </c>
      <c r="C163" s="2" t="str">
        <f>=HYPERLINK("https://weidian.com/item.html?itemID=7616139031", "https://weidian.com/item.html?itemID=7616139031")</f>
        <v>https://weidian.com/item.html?itemID=7616139031</v>
      </c>
      <c r="D163"/>
      <c r="E163" s="2" t="str">
        <f>=HYPERLINK("https://si.geilicdn.com/pcitem2014204438-2d950000019abb4debce0a2396f4_1080_1080.jpg?w=640&amp;h=640", "https://si.geilicdn.com/pcitem2014204438-2d950000019abb4debce0a2396f4_1080_1080.jpg?w=640&amp;h=640")</f>
        <v>https://si.geilicdn.com/pcitem2014204438-2d950000019abb4debce0a2396f4_1080_1080.jpg?w=640&amp;h=640</v>
      </c>
      <c r="F163" t="inlineStr">
        <is>
          <t>Accessories</t>
        </is>
      </c>
      <c r="G163" t="inlineStr">
        <is>
          <t>Montblanc</t>
        </is>
      </c>
      <c r="H163">
        <v>460</v>
      </c>
      <c r="I163">
        <v>66.67</v>
      </c>
      <c r="J163" t="inlineStr">
        <is>
          <t>{"choices":[{"finish_reason":"stop","index":0,"logprobs":null,"message":{"annotations":[],"content":"Montblanc Heritage Burgundy Fountain Pen Platinum Trim","refusal":null,"role":"assistant"}}],"created":1777014168,"id":"chatcmpl-DY4qmSVAfkud5nclwSzIrEZ7I4hn9","model":"gpt-5-chat-latest","object":"chat.completion","service_tier":"default","system_fingerprint":"fp_ad66631dec","usage":{"completion_tokens":10,"completion_tokens_details":{"accepted_prediction_tokens":0,"audio_tokens":0,"reasoning_tokens":0,"rejected_prediction_tokens":0},"prompt_tokens":866,"prompt_tokens_details":{"audio_tokens":0,"cached_tokens":0},"total_tokens":876}}</t>
        </is>
      </c>
      <c r="K163" t="inlineStr">
        <is>
          <t>Montblanc Heritage Burgundy Fountain Pen Platinum Trim</t>
        </is>
      </c>
      <c r="L163" t="inlineStr">
        <is>
          <t>{"id":"chatcmpl-DY4hhZ5hCkJ4JuRe7A04PniiBVRiq","object":"chat.completion","created":1777013605,"model":"gpt-5-chat-latest","choices":[{"index":0,"message":{"role":"assistant","content":"Montblanc Heritage Burgundy Fountain Pen crafted from precious resin and platinum-coated metal, featuring elegant lines, smooth precision writing, perfect for business and daily use.","refusal":null,"annotations":[]},"logprobs":null,"finish_reason":"stop"}],"usage":{"prompt_tokens":913,"completion_tokens":32,"total_tokens":945,"prompt_tokens_details":{"cached_tokens":0,"audio_tokens":0},"completion_tokens_details":{"reasoning_tokens":0,"audio_tokens":0,"accepted_prediction_tokens":0,"rejected_prediction_tokens":0}},"service_tier":"default","system_fingerprint":"fp_ad66631dec"}</t>
        </is>
      </c>
      <c r="M16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ma=2592000","apim-request-id":"e8aa36eb-66b1-4689-9d27-75bcddbb7c9b","azureml-model-session":"d20260402083108-57a85543","cache-control":"no-cache, no-store, must-revalidate","connection":"close","content-length":"986","content-security-policy":"frame-ancestors 'self'","content-type":"application/json","date":"Fri, 24 Apr 2026 06:53:27 GMT","server":"Caddy","skip-error-remapping":"true","strict-transport-security":"max-age=31536000; includeSubDomains; preload","via":"1.1 Caddy","x-api-request-id":"20260424145324696539379UWhrdG8N","x-content-type-options":"nosniff","x-frame-options":"SAMEORIGIN","x-ms-is-spilled-over":"false","x-ms-rai-invoked":"false","x-ms-region":"East US 2","x-new-api-version":"0.4.39","x-oneapi-request-id":"202604240653242668498618268d9d6ubuNisAI","x-ratelimit-abusepenalty-active":"False","x-ratelimit-limit-requests":"4992","x-ratelimit-limit-tokens":"4992000","x-ratelimit-remaining-requests":"4991","x-ratelimit-remaining-tokens":"4990325","x-ratelimit-renewalperiod-requests":"60","x-ratelimit-renewalperiod-tokens":"60","x-ratelimit-reset-requests":"12","x-ratelimit-reset-tokens":"20","x-request-id":"886cd59c-e415-4016-b746-dc7c55699332"}</t>
        </is>
      </c>
      <c r="N163" t="inlineStr">
        <is>
          <t>Montblanc Heritage Burgundy Fountain Pen crafted from precious resin and platinum-coated metal, featuring elegant lines, smooth precision writing, perfect for business and daily use.</t>
        </is>
      </c>
      <c r="O163"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1777015075,"id":"chatcmpl-DY55PxBqKpNjZkuO7V6mg6tkNnuPm","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63" t="inlineStr">
        <is>
          <t>Montblanc,pen,kakobuy,kakebuy2026,kekobuysheet,kakobuysheet2026,2026kakobuy,kakobuyspreadsheeet,kakobuylink,kakebuylist,Kakobuy MEGA Spreadsheet,kakobuysheetfind,kakobuysheetfind2026,2026kakobuysheetfind,kakobuysheet2026</t>
        </is>
      </c>
      <c r="Q163"/>
      <c r="R163" t="inlineStr">
        <is>
          <t>recvhju1Creu2M</t>
        </is>
      </c>
      <c r="S163" t="inlineStr">
        <is>
          <t>montblanc-heritage-burgundy-fountain-pen-platinum-trim-recvhju1creu2m</t>
        </is>
      </c>
      <c r="T163"/>
      <c r="U163"/>
      <c r="V163"/>
      <c r="W163" t="inlineStr">
        <is>
          <t>{"choices":[{"finish_reason":"stop","index":0,"logprobs":null,"message":{"annotations":[],"content":"Montblanc：传承系列酒红色钢笔，采用珍贵树脂与镀铂金属材质打造，线条流畅典雅，笔身呈现低调奢华光泽，书写顺滑精准，商务与日常皆宜，彰显现代绅士品味与百年工艺魅力。","refusal":null,"role":"assistant"}}],"created":1777011318,"id":"chatcmpl-DY46oEonow6QBkYOap7kyOlTVxK1x","model":"gpt-5-chat-latest","object":"chat.completion","service_tier":"default","system_fingerprint":"fp_ad66631dec","usage":{"completion_tokens":78,"completion_tokens_details":{"accepted_prediction_tokens":0,"audio_tokens":0,"reasoning_tokens":0,"rejected_prediction_tokens":0},"prompt_tokens":1303,"prompt_tokens_details":{"audio_tokens":0,"cached_tokens":0},"total_tokens":1381}}</t>
        </is>
      </c>
      <c r="X163" t="inlineStr">
        <is>
          <t>Montblanc：传承系列酒红色钢笔，采用珍贵树脂与镀铂金属材质打造，线条流畅典雅，笔身呈现低调奢华光泽，书写顺滑精准，商务与日常皆宜，彰显现代绅士品味与百年工艺魅力。</t>
        </is>
      </c>
    </row>
    <row r="164" ht="25.5" customHeight="1">
      <c r="A164">
        <v>1654975475</v>
      </c>
      <c r="B164">
        <v>7619065472</v>
      </c>
      <c r="C164" s="2" t="str">
        <f>=HYPERLINK("https://weidian.com/item.html?itemID=7619065472", "https://weidian.com/item.html?itemID=7619065472")</f>
        <v>https://weidian.com/item.html?itemID=7619065472</v>
      </c>
      <c r="D164"/>
      <c r="E164" s="2" t="str">
        <f>=HYPERLINK("https://si.geilicdn.com/pcitem2014204438-30540000019abb49e0240a20e672_1440_1920.jpg?w=640&amp;h=640", "https://si.geilicdn.com/pcitem2014204438-30540000019abb49e0240a20e672_1440_1920.jpg?w=640&amp;h=640")</f>
        <v>https://si.geilicdn.com/pcitem2014204438-30540000019abb49e0240a20e672_1440_1920.jpg?w=640&amp;h=640</v>
      </c>
      <c r="F164" t="inlineStr">
        <is>
          <t>Accessories</t>
        </is>
      </c>
      <c r="G164" t="inlineStr">
        <is>
          <t>Montblanc</t>
        </is>
      </c>
      <c r="H164">
        <v>460</v>
      </c>
      <c r="I164">
        <v>66.67</v>
      </c>
      <c r="J164" t="inlineStr">
        <is>
          <t>{"choices":[{"finish_reason":"stop","index":0,"logprobs":null,"message":{"annotations":[],"content":"Montblanc Orange Resin Marble Fountain Pen","refusal":null,"role":"assistant"}}],"created":1777014404,"id":"chatcmpl-DY4uaoz7nbH2ta4LiWOhdOXl1Jmkc","model":"gpt-5-chat-latest","object":"chat.completion","service_tier":"default","system_fingerprint":"fp_ad66631dec","usage":{"completion_tokens":9,"completion_tokens_details":{"accepted_prediction_tokens":0,"audio_tokens":0,"reasoning_tokens":0,"rejected_prediction_tokens":0},"prompt_tokens":874,"prompt_tokens_details":{"audio_tokens":0,"cached_tokens":0},"total_tokens":883}}</t>
        </is>
      </c>
      <c r="K164" t="inlineStr">
        <is>
          <t>Montblanc Orange Resin Marble Fountain Pen</t>
        </is>
      </c>
      <c r="L164" t="inlineStr">
        <is>
          <t>{"choices":[{"finish_reason":"stop","index":0,"logprobs":null,"message":{"annotations":[],"content":"Montblanc Limited Edition Orange Resin Fountain Pen, inspired by art classics with elegant marble texture and silver accents. Smooth writing, modern design, ideal for collectors and business gifts.","refusal":null,"role":"assistant"}}],"created":1777013637,"id":"chatcmpl-DY4iDVWBDQm9Cq1tTUt8GfaT94FA5","model":"gpt-5-chat-latest","object":"chat.completion","service_tier":"default","system_fingerprint":"fp_ad66631dec","usage":{"completion_tokens":36,"completion_tokens_details":{"accepted_prediction_tokens":0,"audio_tokens":0,"reasoning_tokens":0,"rejected_prediction_tokens":0},"prompt_tokens":903,"prompt_tokens_details":{"audio_tokens":0,"cached_tokens":0},"total_tokens":939}}</t>
        </is>
      </c>
      <c r="M164" t="inlineStr">
        <is>
          <t>{"alt-svc":"h3=\":443\"; ma=2592000","apim-request-id":"b7f0b522-a5a1-43fb-bd1f-d4614d63fcbe","azureml-model-session":"d20260402084046-4209e968","cache-control":"no-cache","connection":"close","content-length":"785","content-security-policy":"frame-ancestors 'self'","content-type":"application/json","date":"Fri, 24 Apr 2026 06:53:58 GMT","server":"Caddy","skip-error-remapping":"true","strict-transport-security":"max-age=31536000; includeSubDomains; preload","via":"1.1 Caddy","x-api-request-id":"20260424145356812947648uiIdGBDD","x-content-type-options":"nosniff","x-frame-options":"SAMEORIGIN","x-ms-client-request-id":"Not-Set","x-ms-is-spilled-over":"false","x-ms-rai-invoked":"true","x-ms-region":"East US 2","x-new-api-version":"0.4.39","x-oneapi-request-id":"202604240653562985938008268d9d69tO9wQm2","x-ratelimit-abusepenalty-active":"False","x-ratelimit-limit-requests":"3850","x-ratelimit-limit-tokens":"3850000","x-ratelimit-remaining-requests":"3849","x-ratelimit-remaining-tokens":"3848335","x-ratelimit-renewalperiod-requests":"60","x-ratelimit-renewalperiod-tokens":"60","x-ratelimit-reset-requests":"15","x-ratelimit-reset-tokens":"25","x-request-id":"cca3c57e-224b-48fd-a726-e4f97287c9a1"}</t>
        </is>
      </c>
      <c r="N164" t="inlineStr">
        <is>
          <t>Montblanc Limited Edition Orange Resin Fountain Pen, inspired by art classics with elegant marble texture and silver accents. Smooth writing, modern design, ideal for collectors and business gifts.</t>
        </is>
      </c>
      <c r="O164"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1777014906,"id":"chatcmpl-DY52griSlnFabXIij8zy3sGVymSDP","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64" t="inlineStr">
        <is>
          <t>Montblanc,Pen,kakobuy,kakebuy2026,kekobuysheet,kakobuysheet2026,2026kakobuy,kakobuyspreadsheeet,kakobuylink,kakebuylist,Kakobuy MEGA Spreadsheet,kakobuysheetfind,kakobuysheetfind2026,2026kakobuysheetfind,kakobuysheet2026</t>
        </is>
      </c>
      <c r="Q164"/>
      <c r="R164" t="inlineStr">
        <is>
          <t>recvhju1CrkXTB</t>
        </is>
      </c>
      <c r="S164" t="inlineStr">
        <is>
          <t>montblanc-orange-resin-marble-fountain-pen-recvhju1crkxtb</t>
        </is>
      </c>
      <c r="T164"/>
      <c r="U164"/>
      <c r="V164"/>
      <c r="W164" t="inlineStr">
        <is>
          <t>{"id":"chatcmpl-DY4GGE9ps89tm7ftgyIJzeUb5XCqE","object":"chat.completion","created":1777011904,"model":"gpt-5-chat-latest","choices":[{"index":0,"message":{"role":"assistant","content":"Montblanc：限量版橙色树脂钢笔，灵感源自艺术经典，笔身大理石纹理高雅独特，银质镶饰彰显尊贵气质。流畅书写体验融合现代设计美学，男女皆宜，收藏与商务馈赠首选。","refusal":null,"annotations":[]},"logprobs":null,"finish_reason":"stop"}],"usage":{"prompt_tokens":1299,"completion_tokens":70,"total_tokens":1369,"prompt_tokens_details":{"cached_tokens":0,"audio_tokens":0},"completion_tokens_details":{"reasoning_tokens":0,"audio_tokens":0,"accepted_prediction_tokens":0,"rejected_prediction_tokens":0}},"service_tier":"default","system_fingerprint":"fp_ad66631dec"}</t>
        </is>
      </c>
      <c r="X164" t="inlineStr">
        <is>
          <t>Montblanc：限量版橙色树脂钢笔，灵感源自艺术经典，笔身大理石纹理高雅独特，银质镶饰彰显尊贵气质。流畅书写体验融合现代设计美学，男女皆宜，收藏与商务馈赠首选。</t>
        </is>
      </c>
    </row>
    <row r="165" ht="25.5" customHeight="1">
      <c r="A165">
        <v>1654975475</v>
      </c>
      <c r="B165">
        <v>7616171907</v>
      </c>
      <c r="C165" s="2" t="str">
        <f>=HYPERLINK("https://weidian.com/item.html?itemID=7616171907", "https://weidian.com/item.html?itemID=7616171907")</f>
        <v>https://weidian.com/item.html?itemID=7616171907</v>
      </c>
      <c r="D165"/>
      <c r="E165" s="2" t="str">
        <f>=HYPERLINK("https://si.geilicdn.com/pcitem2014204438-3a840000019abb559bf70a23038e_1440_1920.jpg?w=640&amp;h=640", "https://si.geilicdn.com/pcitem2014204438-3a840000019abb559bf70a23038e_1440_1920.jpg?w=640&amp;h=640")</f>
        <v>https://si.geilicdn.com/pcitem2014204438-3a840000019abb559bf70a23038e_1440_1920.jpg?w=640&amp;h=640</v>
      </c>
      <c r="F165" t="inlineStr">
        <is>
          <t>Accessories</t>
        </is>
      </c>
      <c r="G165" t="inlineStr">
        <is>
          <t>Cartier</t>
        </is>
      </c>
      <c r="H165">
        <v>360</v>
      </c>
      <c r="I165">
        <v>52.17</v>
      </c>
      <c r="J165" t="inlineStr">
        <is>
          <t>{"id":"chatcmpl-DY4wWuUgtwcrSCq8xiZnWJG6jBzTr","object":"chat.completion","created":1777014524,"model":"gpt-5-chat-latest","choices":[{"index":0,"message":{"role":"assistant","content":"Cartier Gold Engraved Luxury Brass Pen for Writing","refusal":null,"annotations":[]},"logprobs":null,"finish_reason":"stop"}],"usage":{"prompt_tokens":869,"completion_tokens":12,"total_tokens":881,"prompt_tokens_details":{"cached_tokens":0,"audio_tokens":0},"completion_tokens_details":{"reasoning_tokens":0,"audio_tokens":0,"accepted_prediction_tokens":0,"rejected_prediction_tokens":0}},"service_tier":"default","system_fingerprint":"fp_ad66631dec"}</t>
        </is>
      </c>
      <c r="K165" t="inlineStr">
        <is>
          <t>Cartier Gold Engraved Luxury Brass Pen for Writing</t>
        </is>
      </c>
      <c r="L165" t="inlineStr">
        <is>
          <t>{"choices":[{"finish_reason":"stop","index":0,"logprobs":null,"message":{"annotations":[],"content":"Cartier Gold Engraved Pen – Exquisite brass with gold plating, vintage luxury design for men and women, showcasing French elegance and the timeless art of writing.","refusal":null,"role":"assistant"}}],"created":1777013554,"id":"chatcmpl-DY4gsU5c2z27WJI5tZz4dnaTlLvS8","model":"gpt-5-chat-latest","object":"chat.completion","service_tier":"default","system_fingerprint":"fp_ad66631dec","usage":{"completion_tokens":34,"completion_tokens_details":{"accepted_prediction_tokens":0,"audio_tokens":0,"reasoning_tokens":0,"rejected_prediction_tokens":0},"prompt_tokens":876,"prompt_tokens_details":{"audio_tokens":0,"cached_tokens":0},"total_tokens":910}}</t>
        </is>
      </c>
      <c r="M165" t="inlineStr">
        <is>
          <t>{"alt-svc":"h3=\":443\"; ma=2592000","apim-request-id":"f9edda51-7963-438b-ab60-16184267a166","azureml-model-session":"d20260402074105-51db401e","cache-control":"no-cache","connection":"close","content-length":"753","content-security-policy":"frame-ancestors 'self'","content-type":"application/json","date":"Fri, 24 Apr 2026 06:52:36 GMT","server":"nginx","skip-error-remapping":"true","strict-transport-security":"max-age=31536000; includeSubDomains; preload","via":"1.1 Caddy, 1.1 Caddy","x-api-request-id":"20260424145233816649532Wm1RJU6s","x-content-type-options":"nosniff","x-frame-options":"SAMEORIGIN","x-ms-client-request-id":"Not-Set","x-ms-is-spilled-over":"false","x-ms-rai-invoked":"true","x-ms-region":"East US 2","x-new-api-version":"0.4.39","x-oneapi-request-id":"202604240652333759317408268d9d69UVxDOPW","x-ratelimit-abusepenalty-active":"False","x-ratelimit-limit-requests":"3850","x-ratelimit-limit-tokens":"3850000","x-ratelimit-remaining-requests":"3849","x-ratelimit-remaining-tokens":"3846322","x-ratelimit-renewalperiod-requests":"60","x-ratelimit-renewalperiod-tokens":"60","x-ratelimit-reset-requests":"16","x-ratelimit-reset-tokens":"57","x-request-id":"7eedbde3-a2a6-4aa1-8979-ed874242b81a"}</t>
        </is>
      </c>
      <c r="N165" t="inlineStr">
        <is>
          <t>Cartier Gold Engraved Pen – Exquisite brass with gold plating, vintage luxury design for men and women, showcasing French elegance and the timeless art of writing.</t>
        </is>
      </c>
      <c r="O165" t="inlineStr">
        <is>
          <t>{"choices":[{"finish_reason":"stop","index":0,"logprobs":null,"message":{"annotations":[],"content":"Cartier,Pen,kakobuy,kakebuy2026,kekobuysheet,kakobuysheet2026,2026kakobuy,kakobuyspreadsheet,kakobuylink,kakebuylist,Kakobuy MEGA Spreadsheet,kakobuysheetfind,kakobuysheetfind2026,2026kakobuysheetfind,kakobuysheet2026","refusal":null,"role":"assistant"}}],"created":1777015223,"id":"chatcmpl-DY57nk1PaGR7zfL7K8CUoY9pYU4C3","model":"gpt-5-chat-latest","object":"chat.completion","service_tier":"default","system_fingerprint":"fp_ad66631dec","usage":{"completion_tokens":85,"completion_tokens_details":{"accepted_prediction_tokens":0,"audio_tokens":0,"reasoning_tokens":0,"rejected_prediction_tokens":0},"prompt_tokens":782,"prompt_tokens_details":{"audio_tokens":0,"cached_tokens":0},"total_tokens":867}}</t>
        </is>
      </c>
      <c r="P165" t="inlineStr">
        <is>
          <t>Cartier,Pen,kakobuy,kakebuy2026,kekobuysheet,kakobuysheet2026,2026kakobuy,kakobuyspreadsheet,kakobuylink,kakebuylist,Kakobuy MEGA Spreadsheet,kakobuysheetfind,kakobuysheetfind2026,2026kakobuysheetfind,kakobuysheet2026</t>
        </is>
      </c>
      <c r="Q165"/>
      <c r="R165" t="inlineStr">
        <is>
          <t>recvhju1Crar8g</t>
        </is>
      </c>
      <c r="S165" t="inlineStr">
        <is>
          <t>cartier-gold-engraved-luxury-brass-pen-recvhju1crar8g</t>
        </is>
      </c>
      <c r="T165"/>
      <c r="U165"/>
      <c r="V165"/>
      <c r="W165" t="inlineStr">
        <is>
          <t>{"choices":[{"finish_reason":"stop","index":0,"logprobs":null,"message":{"annotations":[],"content":"Cartier：金色雕纹笔，精致黄铜镀金材质，复古奢华设计，男女皆宜，彰显法式优雅与书写艺术之美。","refusal":null,"role":"assistant"}}],"created":1777011651,"id":"chatcmpl-DY4CBnWh81aZmPh0cjxTsTxN4rdLx","model":"gpt-5-chat-latest","object":"chat.completion","service_tier":"default","system_fingerprint":"fp_ad66631dec","usage":{"completion_tokens":44,"completion_tokens_details":{"accepted_prediction_tokens":0,"audio_tokens":0,"reasoning_tokens":0,"rejected_prediction_tokens":0},"prompt_tokens":1297,"prompt_tokens_details":{"audio_tokens":0,"cached_tokens":0},"total_tokens":1341}}</t>
        </is>
      </c>
      <c r="X165" t="inlineStr">
        <is>
          <t>Cartier：金色雕纹笔，精致黄铜镀金材质，复古奢华设计，男女皆宜，彰显法式优雅与书写艺术之美。</t>
        </is>
      </c>
    </row>
    <row r="166" ht="25.5" customHeight="1">
      <c r="A166">
        <v>1654975475</v>
      </c>
      <c r="B166">
        <v>7619126532</v>
      </c>
      <c r="C166" s="2" t="str">
        <f>=HYPERLINK("https://weidian.com/item.html?itemID=7619126532", "https://weidian.com/item.html?itemID=7619126532")</f>
        <v>https://weidian.com/item.html?itemID=7619126532</v>
      </c>
      <c r="D166"/>
      <c r="E166" s="2" t="str">
        <f>=HYPERLINK("https://si.geilicdn.com/pcitem2014204438-33620000019abb4c6f350a8134f0_1440_1920.jpg?w=640&amp;h=640", "https://si.geilicdn.com/pcitem2014204438-33620000019abb4c6f350a8134f0_1440_1920.jpg?w=640&amp;h=640")</f>
        <v>https://si.geilicdn.com/pcitem2014204438-33620000019abb4c6f350a8134f0_1440_1920.jpg?w=640&amp;h=640</v>
      </c>
      <c r="F166" t="inlineStr">
        <is>
          <t>Accessories</t>
        </is>
      </c>
      <c r="G166" t="inlineStr">
        <is>
          <t>Montblanc</t>
        </is>
      </c>
      <c r="H166">
        <v>460</v>
      </c>
      <c r="I166">
        <v>66.67</v>
      </c>
      <c r="J166" t="inlineStr">
        <is>
          <t>{"choices":[{"finish_reason":"stop","index":0,"logprobs":null,"message":{"annotations":[],"content":"Montblanc Classic Black Gold Fountain Pen Gift Set","refusal":null,"role":"assistant"}}],"created":1777014455,"id":"chatcmpl-DY4vPaUDq3YeLoypeiKlOJHs45I2z","model":"gpt-5-chat-latest","object":"chat.completion","service_tier":"default","system_fingerprint":"fp_ad66631dec","usage":{"completion_tokens":11,"completion_tokens_details":{"accepted_prediction_tokens":0,"audio_tokens":0,"reasoning_tokens":0,"rejected_prediction_tokens":0},"prompt_tokens":876,"prompt_tokens_details":{"audio_tokens":0,"cached_tokens":0},"total_tokens":887}}</t>
        </is>
      </c>
      <c r="K166" t="inlineStr">
        <is>
          <t>Montblanc Classic Black Gold Fountain Pen Gift Set</t>
        </is>
      </c>
      <c r="L166" t="inlineStr">
        <is>
          <t>{"id":"chatcmpl-DY4anzB4wnOVsXdw6G7y4TMdvq9yt","object":"chat.completion","created":1777013177,"model":"gpt-5-chat-latest","choices":[{"index":0,"message":{"role":"assistant","content":"Montblanc Classic Black &amp; Gold Fountain Pen – crafted from precious resin with rose gold accents, smooth elegant barrel, perfect for business or art lovers, timeless design and superior craftsmanship.","refusal":null,"annotations":[]},"logprobs":null,"finish_reason":"stop"}],"usage":{"prompt_tokens":895,"completion_tokens":37,"total_tokens":932,"prompt_tokens_details":{"cached_tokens":0,"audio_tokens":0},"completion_tokens_details":{"reasoning_tokens":0,"audio_tokens":0,"accepted_prediction_tokens":0,"rejected_prediction_tokens":0}},"service_tier":"default","system_fingerprint":"fp_ad66631dec"}</t>
        </is>
      </c>
      <c r="M16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ma=2592000","apim-request-id":"c3b3db2e-d62b-48ac-9442-7b61389aafd7","azureml-model-session":"d20260405225800-40f19e54","cache-control":"no-cache, no-store, must-revalidate","connection":"close","content-length":"1006","content-security-policy":"frame-ancestors 'self'","content-type":"application/json","date":"Fri, 24 Apr 2026 06:46:18 GMT","server":"Caddy","skip-error-remapping":"true","strict-transport-security":"max-age=31536000; includeSubDomains; preload","via":"1.1 Caddy","x-api-request-id":"2026042414461673927632CyGjIzqk","x-content-type-options":"nosniff","x-frame-options":"SAMEORIGIN","x-ms-is-spilled-over":"false","x-ms-rai-invoked":"false","x-ms-region":"East US 2","x-new-api-version":"0.4.39","x-oneapi-request-id":"202604240646159987191268268d9d6psn4sJmf","x-ratelimit-abusepenalty-active":"False","x-ratelimit-limit-requests":"4992","x-ratelimit-limit-tokens":"4992000","x-ratelimit-remaining-requests":"4991","x-ratelimit-remaining-tokens":"4990343","x-ratelimit-renewalperiod-requests":"60","x-ratelimit-renewalperiod-tokens":"60","x-ratelimit-reset-requests":"12","x-ratelimit-reset-tokens":"19","x-request-id":"9cae9391-014e-4600-ae51-304996fb880d"}</t>
        </is>
      </c>
      <c r="N166" t="inlineStr">
        <is>
          <t>Montblanc Classic Black &amp; Gold Fountain Pen – crafted from precious resin with rose gold accents, smooth elegant barrel, perfect for business or art lovers, timeless design and superior craftsmanship.</t>
        </is>
      </c>
      <c r="O166"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1777014854,"id":"chatcmpl-DY51q094CKgEmoABL2PjCtjsjuU3O","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66" t="inlineStr">
        <is>
          <t>Montblanc,Accessories,kakobuy,kakebuy2026,kekobuysheet,kakobuysheet2026,2026kakobuy,kakobuyspreadsheeet,kakobuylink,kakebuylist,Kakobuy MEGA Spreadsheet,kakobuysheetfind,kakobuysheetfind2026,2026kakobuysheetfind,kakobuysheet2026</t>
        </is>
      </c>
      <c r="Q166"/>
      <c r="R166" t="inlineStr">
        <is>
          <t>recvhju1CrqiZY</t>
        </is>
      </c>
      <c r="S166" t="inlineStr">
        <is>
          <t>montblanc-classic-black-gold-fountain-pen-recvhju1crqizy</t>
        </is>
      </c>
      <c r="T166"/>
      <c r="U166"/>
      <c r="V166"/>
      <c r="W166" t="inlineStr">
        <is>
          <t>{"choices":[{"finish_reason":"stop","index":0,"logprobs":null,"message":{"annotations":[],"content":"Montblanc：经典黑金系列钢笔，甄选珍贵树脂与玫瑰金配饰，笔身圆润雅致，兼具商务与艺术美感，男女皆宜，彰显永恒典范与精湛工艺。","refusal":null,"role":"assistant"}}],"created":1777011453,"id":"chatcmpl-DY48zdChTaVHQ7rUgK1XvT8GeO6Mk","model":"gpt-5-chat-latest","object":"chat.completion","service_tier":"default","system_fingerprint":"fp_ad66631dec","usage":{"completion_tokens":60,"completion_tokens_details":{"accepted_prediction_tokens":0,"audio_tokens":0,"reasoning_tokens":0,"rejected_prediction_tokens":0},"prompt_tokens":1303,"prompt_tokens_details":{"audio_tokens":0,"cached_tokens":0},"total_tokens":1363}}</t>
        </is>
      </c>
      <c r="X166" t="inlineStr">
        <is>
          <t>Montblanc：经典黑金系列钢笔，甄选珍贵树脂与玫瑰金配饰，笔身圆润雅致，兼具商务与艺术美感，男女皆宜，彰显永恒典范与精湛工艺。</t>
        </is>
      </c>
    </row>
    <row r="167" ht="25.5" customHeight="1">
      <c r="A167">
        <v>1654975475</v>
      </c>
      <c r="B167">
        <v>7619197608</v>
      </c>
      <c r="C167" s="2" t="str">
        <f>=HYPERLINK("https://weidian.com/item.html?itemID=7619197608", "https://weidian.com/item.html?itemID=7619197608")</f>
        <v>https://weidian.com/item.html?itemID=7619197608</v>
      </c>
      <c r="D167"/>
      <c r="E167" s="2" t="str">
        <f>=HYPERLINK("https://si.geilicdn.com/pcitem2014204438-3deb0000019abb57d41e0a23057e_1442_1922.jpg?w=640&amp;h=640", "https://si.geilicdn.com/pcitem2014204438-3deb0000019abb57d41e0a23057e_1442_1922.jpg?w=640&amp;h=640")</f>
        <v>https://si.geilicdn.com/pcitem2014204438-3deb0000019abb57d41e0a23057e_1442_1922.jpg?w=640&amp;h=640</v>
      </c>
      <c r="F167" t="inlineStr">
        <is>
          <t>Accessories</t>
        </is>
      </c>
      <c r="G167" t="inlineStr">
        <is>
          <t>Cartier</t>
        </is>
      </c>
      <c r="H167">
        <v>360</v>
      </c>
      <c r="I167">
        <v>52.17</v>
      </c>
      <c r="J167" t="inlineStr">
        <is>
          <t>{"choices":[{"finish_reason":"stop","index":0,"logprobs":null,"message":{"annotations":[],"content":"Cartier Black Gold Luxury Signature Pen Gift","refusal":null,"role":"assistant"}}],"created":1777014226,"id":"chatcmpl-DY4ri9H56gMQuxiPsIhtqG2rp5xbK","model":"gpt-5-chat-latest","object":"chat.completion","service_tier":"default","system_fingerprint":"fp_ad66631dec","usage":{"completion_tokens":9,"completion_tokens_details":{"accepted_prediction_tokens":0,"audio_tokens":0,"reasoning_tokens":0,"rejected_prediction_tokens":0},"prompt_tokens":877,"prompt_tokens_details":{"audio_tokens":0,"cached_tokens":0},"total_tokens":886}}</t>
        </is>
      </c>
      <c r="K167" t="inlineStr">
        <is>
          <t>Cartier Black Gold Luxury Signature Pen Gift</t>
        </is>
      </c>
      <c r="L167" t="inlineStr">
        <is>
          <t>{"id":"chatcmpl-DY4fJycrtalBeYnUciuxXXweiDDmN","object":"chat.completion","created":1777013457,"model":"gpt-5-chat-latest","choices":[{"index":0,"message":{"role":"assistant","content":"Cartier Black Gold Signature Pen – crafted with glossy lacquer and gold-plated metal, featuring elegant lines and engraved design. Unisex luxury for business or gifting, a timeless writing masterpiece.","refusal":null,"annotations":[]},"logprobs":null,"finish_reason":"stop"}],"usage":{"prompt_tokens":910,"completion_tokens":38,"total_tokens":948,"prompt_tokens_details":{"cached_tokens":0,"audio_tokens":0},"completion_tokens_details":{"reasoning_tokens":0,"audio_tokens":0,"accepted_prediction_tokens":0,"rejected_prediction_tokens":0}},"service_tier":"default","system_fingerprint":"fp_ad66631dec"}</t>
        </is>
      </c>
      <c r="M16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ma=2592000","apim-request-id":"18a75b16-8ea1-401f-9dc9-d0a1df5d2235","azureml-model-session":"d20260405225800-40f19e54","cache-control":"no-cache, no-store, must-revalidate","connection":"close","content-length":"1007","content-security-policy":"frame-ancestors 'self'","content-type":"application/json","date":"Fri, 24 Apr 2026 06:50:59 GMT","server":"nginx","skip-error-remapping":"true","strict-transport-security":"max-age=31536000; includeSubDomains; preload","via":"1.1 Caddy, 1.1 Caddy","x-api-request-id":"20260424145055763866040IUkpvoNI","x-content-type-options":"nosniff","x-frame-options":"SAMEORIGIN","x-ms-is-spilled-over":"false","x-ms-rai-invoked":"false","x-ms-region":"Sweden Central","x-new-api-version":"0.4.39","x-oneapi-request-id":"202604240650555162263598268d9d6YE0kTvNy","x-ratelimit-abusepenalty-active":"False","x-ratelimit-limit-requests":"4998","x-ratelimit-limit-tokens":"4998000","x-ratelimit-remaining-requests":"4997","x-ratelimit-remaining-tokens":"4996328","x-ratelimit-renewalperiod-requests":"60","x-ratelimit-renewalperiod-tokens":"60","x-ratelimit-reset-requests":"12","x-ratelimit-reset-tokens":"20","x-request-id":"a3d4b0d2-62b7-4a35-9c18-a444ad2e42fb"}</t>
        </is>
      </c>
      <c r="N167" t="inlineStr">
        <is>
          <t>Cartier Black Gold Signature Pen – crafted with glossy lacquer and gold-plated metal, featuring elegant lines and engraved design. Unisex luxury for business or gifting, a timeless writing masterpiece.</t>
        </is>
      </c>
      <c r="O167" t="inlineStr">
        <is>
          <t>{"id":"chatcmpl-DY55UwUeZZgH23LBuLtl1sxdtIIc7","object":"chat.completion","created":1777015080,"model":"gpt-5-chat-latest","choices":[{"index":0,"message":{"role":"assistant","content":"Cartier,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67" t="inlineStr">
        <is>
          <t>Cartier,Accessories,kakobuy,kakebuy2026,kekobuysheet,kakobuysheet2026,2026kakobuy,kakobuyspreadsheeet,kakobuylink,kakebuylist,Kakobuy MEGA Spreadsheet,kakobuysheetfind,kakobuysheetfind2026,2026kakobuysheetfind,kakobuysheet2026</t>
        </is>
      </c>
      <c r="Q167"/>
      <c r="R167" t="inlineStr">
        <is>
          <t>recvhju1CrDprC</t>
        </is>
      </c>
      <c r="S167" t="inlineStr">
        <is>
          <t>cartier-black-gold-luxury-pen-recvhju1crdprc</t>
        </is>
      </c>
      <c r="T167"/>
      <c r="U167"/>
      <c r="V167"/>
      <c r="W167" t="inlineStr">
        <is>
          <t>{"choices":[{"finish_reason":"stop","index":0,"logprobs":null,"message":{"annotations":[],"content":"Cartier：黑金配色签字笔，甄选高光漆面与镀金金属材质，笔身线条优雅流畅，搭配品牌雕纹设计，彰显法式精致格调。男女皆宜，商务与馈赠皆显品位，典藏级书写艺术之作。","refusal":null,"role":"assistant"}}],"created":1777011664,"id":"chatcmpl-DY4COIZ4bU2Twdk75XVx6h1y5upxV","model":"gpt-5-chat-latest","object":"chat.completion","service_tier":"default","system_fingerprint":"fp_ad66631dec","usage":{"completion_tokens":76,"completion_tokens_details":{"accepted_prediction_tokens":0,"audio_tokens":0,"reasoning_tokens":0,"rejected_prediction_tokens":0},"prompt_tokens":1301,"prompt_tokens_details":{"audio_tokens":0,"cached_tokens":0},"total_tokens":1377}}</t>
        </is>
      </c>
      <c r="X167" t="inlineStr">
        <is>
          <t>Cartier：黑金配色签字笔，甄选高光漆面与镀金金属材质，笔身线条优雅流畅，搭配品牌雕纹设计，彰显法式精致格调。男女皆宜，商务与馈赠皆显品位，典藏级书写艺术之作。</t>
        </is>
      </c>
    </row>
    <row r="168" ht="25.5" customHeight="1">
      <c r="A168">
        <v>1654975475</v>
      </c>
      <c r="B168">
        <v>7619053452</v>
      </c>
      <c r="C168" s="2" t="str">
        <f>=HYPERLINK("https://weidian.com/item.html?itemID=7619053452", "https://weidian.com/item.html?itemID=7619053452")</f>
        <v>https://weidian.com/item.html?itemID=7619053452</v>
      </c>
      <c r="D168"/>
      <c r="E168" s="2" t="str">
        <f>=HYPERLINK("https://si.geilicdn.com/pcitem2014204438-219f0000019abb39fdaf0a231177_1080_1080.jpg?w=640&amp;h=640", "https://si.geilicdn.com/pcitem2014204438-219f0000019abb39fdaf0a231177_1080_1080.jpg?w=640&amp;h=640")</f>
        <v>https://si.geilicdn.com/pcitem2014204438-219f0000019abb39fdaf0a231177_1080_1080.jpg?w=640&amp;h=640</v>
      </c>
      <c r="F168" t="inlineStr">
        <is>
          <t>Accessories</t>
        </is>
      </c>
      <c r="G168" t="inlineStr">
        <is>
          <t>Montblanc</t>
        </is>
      </c>
      <c r="H168">
        <v>460</v>
      </c>
      <c r="I168">
        <v>66.67</v>
      </c>
      <c r="J168" t="inlineStr">
        <is>
          <t>{"choices":[{"finish_reason":"stop","index":0,"logprobs":null,"message":{"annotations":[],"content":"Montblanc Silver Limited Edition Ballpoint Pen Sapphire Top","refusal":null,"role":"assistant"}}],"created":1777014374,"id":"chatcmpl-DY4u6MfD9lPlCcPqmvVAABjoyIxeJ","model":"gpt-5-chat-latest","object":"chat.completion","service_tier":"default","system_fingerprint":"fp_ad66631dec","usage":{"completion_tokens":12,"completion_tokens_details":{"accepted_prediction_tokens":0,"audio_tokens":0,"reasoning_tokens":0,"rejected_prediction_tokens":0},"prompt_tokens":876,"prompt_tokens_details":{"audio_tokens":0,"cached_tokens":0},"total_tokens":888}}</t>
        </is>
      </c>
      <c r="K168" t="inlineStr">
        <is>
          <t>Montblanc Silver Limited Edition Ballpoint Pen Sapphire Top</t>
        </is>
      </c>
      <c r="L168" t="inlineStr">
        <is>
          <t>{"id":"chatcmpl-DY4d2RrKvqdD76UFYp67CJbqQAauE","object":"chat.completion","created":1777013316,"model":"gpt-5-chat-latest","choices":[{"index":0,"message":{"role":"assistant","content":"Montblanc Silver Limited Edition Ballpoint Pen, chrome-plated metal with feather engraving and sapphire top, luxury and practical, ideal for men and women, exuding timeless elegance.","refusal":null,"annotations":[]},"logprobs":null,"finish_reason":"stop"}],"usage":{"prompt_tokens":895,"completion_tokens":37,"total_tokens":932,"prompt_tokens_details":{"cached_tokens":0,"audio_tokens":0},"completion_tokens_details":{"reasoning_tokens":0,"audio_tokens":0,"accepted_prediction_tokens":0,"rejected_prediction_tokens":0}},"service_tier":"default","system_fingerprint":"fp_ad66631dec"}</t>
        </is>
      </c>
      <c r="M16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ma=2592000","apim-request-id":"e5d21f2b-701f-4e76-8881-5b530de92f3b","azureml-model-session":"d20260405225800-40f19e54","cache-control":"no-cache, no-store, must-revalidate","connection":"close","content-length":"986","content-security-policy":"frame-ancestors 'self'","content-type":"application/json","date":"Fri, 24 Apr 2026 06:48:39 GMT","server":"Caddy","skip-error-remapping":"true","strict-transport-security":"max-age=31536000; includeSubDomains; preload","via":"1.1 Caddy","x-api-request-id":"2026042414483484670052BG3AnOov","x-content-type-options":"nosniff","x-frame-options":"SAMEORIGIN","x-ms-is-spilled-over":"false","x-ms-rai-invoked":"false","x-ms-region":"Sweden Central","x-new-api-version":"0.4.39","x-oneapi-request-id":"202604240648336199291628268d9d6caMafZ5s","x-ratelimit-abusepenalty-active":"False","x-ratelimit-limit-requests":"4998","x-ratelimit-limit-tokens":"4998000","x-ratelimit-remaining-requests":"4997","x-ratelimit-remaining-tokens":"4996343","x-ratelimit-renewalperiod-requests":"60","x-ratelimit-renewalperiod-tokens":"60","x-ratelimit-reset-requests":"12","x-ratelimit-reset-tokens":"19","x-request-id":"4255d75e-2081-4224-9693-1e1c9cc3fda6"}</t>
        </is>
      </c>
      <c r="N168" t="inlineStr">
        <is>
          <t>Montblanc Silver Limited Edition Ballpoint Pen, chrome-plated metal with feather engraving and sapphire top, luxury and practical, ideal for men and women, exuding timeless elegance.</t>
        </is>
      </c>
      <c r="O168" t="inlineStr">
        <is>
          <t>{"id":"chatcmpl-DY57yrsG515M85FpUqYMNJCwN6VEM","object":"chat.completion","created":1777015234,"model":"gpt-5-chat-latest","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68" t="inlineStr">
        <is>
          <t>Montblanc,Accessories,kakobuy,kakebuy2026,kekobuysheet,kakobuysheet2026,2026kakobuy,kakobuyspreadsheeet,kakobuylink,kakebuylist,Kakobuy MEGA Spreadsheet,kakobuysheetfind,kakobuysheetfind2026,2026kakobuysheetfind,kakobuysheet2026</t>
        </is>
      </c>
      <c r="Q168"/>
      <c r="R168" t="inlineStr">
        <is>
          <t>recvhju1CroKG2</t>
        </is>
      </c>
      <c r="S168" t="inlineStr">
        <is>
          <t>montblanc-silver-limited-edition-ballpoint-pen-sapphire-top-recvhju1crokg2</t>
        </is>
      </c>
      <c r="T168"/>
      <c r="U168"/>
      <c r="V168"/>
      <c r="W168" t="inlineStr">
        <is>
          <t>{"choices":[{"finish_reason":"stop","index":0,"logprobs":null,"message":{"annotations":[],"content":"Montblanc：银色限量系列签字笔，精致镀铬金属材质，雕刻羽纹图腾设计，蓝宝石顶装饰，兼具奢华与实用，商务男女皆宜，彰显经典优雅格调。","refusal":null,"role":"assistant"}}],"created":1777011417,"id":"chatcmpl-DY48PIpg8hzWm1O29lFlyfJCCsJjH","model":"gpt-5-chat-latest","object":"chat.completion","service_tier":"default","system_fingerprint":"fp_ad66631dec","usage":{"completion_tokens":62,"completion_tokens_details":{"accepted_prediction_tokens":0,"audio_tokens":0,"reasoning_tokens":0,"rejected_prediction_tokens":0},"prompt_tokens":1299,"prompt_tokens_details":{"audio_tokens":0,"cached_tokens":0},"total_tokens":1361}}</t>
        </is>
      </c>
      <c r="X168" t="inlineStr">
        <is>
          <t>Montblanc：银色限量系列签字笔，精致镀铬金属材质，雕刻羽纹图腾设计，蓝宝石顶装饰，兼具奢华与实用，商务男女皆宜，彰显经典优雅格调。</t>
        </is>
      </c>
    </row>
    <row r="169" ht="25.5" customHeight="1">
      <c r="A169">
        <v>1654975475</v>
      </c>
      <c r="B169">
        <v>7619089236</v>
      </c>
      <c r="C169" s="2" t="str">
        <f>=HYPERLINK("https://weidian.com/item.html?itemID=7619089236", "https://weidian.com/item.html?itemID=7619089236")</f>
        <v>https://weidian.com/item.html?itemID=7619089236</v>
      </c>
      <c r="D169"/>
      <c r="E169" s="2" t="str">
        <f>=HYPERLINK("https://si.geilicdn.com/pcitem2014204438-369d0000019abb3f91680a2303ee_1080_1080.jpg?w=640&amp;h=640", "https://si.geilicdn.com/pcitem2014204438-369d0000019abb3f91680a2303ee_1080_1080.jpg?w=640&amp;h=640")</f>
        <v>https://si.geilicdn.com/pcitem2014204438-369d0000019abb3f91680a2303ee_1080_1080.jpg?w=640&amp;h=640</v>
      </c>
      <c r="F169" t="inlineStr">
        <is>
          <t>Accessories</t>
        </is>
      </c>
      <c r="G169" t="inlineStr">
        <is>
          <t>Montblanc</t>
        </is>
      </c>
      <c r="H169">
        <v>460</v>
      </c>
      <c r="I169">
        <v>66.67</v>
      </c>
      <c r="J169" t="inlineStr">
        <is>
          <t>{"choices":[{"finish_reason":"stop","index":0,"logprobs":null,"message":{"annotations":[],"content":"Montblanc Blue Limited Edition Wave Engraved Signature Pen","refusal":null,"role":"assistant"}}],"created":1777014380,"id":"chatcmpl-DY4uCsMZZjLPx5SD8KnjsDyzEakUc","model":"gpt-5-chat-latest","object":"chat.completion","service_tier":"default","system_fingerprint":"fp_ad66631dec","usage":{"completion_tokens":13,"completion_tokens_details":{"accepted_prediction_tokens":0,"audio_tokens":0,"reasoning_tokens":0,"rejected_prediction_tokens":0},"prompt_tokens":876,"prompt_tokens_details":{"audio_tokens":0,"cached_tokens":0},"total_tokens":889}}</t>
        </is>
      </c>
      <c r="K169" t="inlineStr">
        <is>
          <t>Montblanc Blue Limited Edition Wave Engraved Signature Pen</t>
        </is>
      </c>
      <c r="L169" t="inlineStr">
        <is>
          <t>{"id":"chatcmpl-DY4d9XGnTnjXNaTvYwb8ezIJXM0CY","object":"chat.completion","created":1777013323,"model":"gpt-5-chat-latest","choices":[{"index":0,"message":{"role":"assistant","content":"Montblanc Blue Limited Edition Signature Pen, sleek metal body with wave engravings, silver clip, elegant and modern business design for men and women, showcasing craftsmanship and collectible value.","refusal":null,"annotations":[]},"logprobs":null,"finish_reason":"stop"}],"usage":{"prompt_tokens":891,"completion_tokens":37,"total_tokens":928,"prompt_tokens_details":{"cached_tokens":0,"audio_tokens":0},"completion_tokens_details":{"reasoning_tokens":0,"audio_tokens":0,"accepted_prediction_tokens":0,"rejected_prediction_tokens":0}},"service_tier":"default","system_fingerprint":"fp_ad66631dec"}</t>
        </is>
      </c>
      <c r="M16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ma=2592000","apim-request-id":"7c9d9bff-4d09-4559-8c3f-d6deca5bc430","azureml-model-session":"d20260402083108-57a85543","cache-control":"no-cache, no-store, must-revalidate","connection":"close","content-length":"1003","content-security-policy":"frame-ancestors 'self'","content-type":"application/json","date":"Fri, 24 Apr 2026 06:48:45 GMT","server":"Caddy","skip-error-remapping":"true","strict-transport-security":"max-age=31536000; includeSubDomains; preload","via":"1.1 Caddy","x-api-request-id":"20260424144841103934839tYuT09Th","x-content-type-options":"nosniff","x-frame-options":"SAMEORIGIN","x-ms-is-spilled-over":"false","x-ms-rai-invoked":"false","x-ms-region":"Sweden Central","x-new-api-version":"0.4.39","x-oneapi-request-id":"202604240648409562401378268d9d6wmWMHRqC","x-ratelimit-abusepenalty-active":"False","x-ratelimit-limit-requests":"4998","x-ratelimit-limit-tokens":"4998000","x-ratelimit-remaining-requests":"4997","x-ratelimit-remaining-tokens":"4996347","x-ratelimit-renewalperiod-requests":"60","x-ratelimit-renewalperiod-tokens":"60","x-ratelimit-reset-requests":"12","x-ratelimit-reset-tokens":"19","x-request-id":"c7173bbb-74a4-4f7f-8602-e13c3096fc17"}</t>
        </is>
      </c>
      <c r="N169" t="inlineStr">
        <is>
          <t>Montblanc Blue Limited Edition Signature Pen, sleek metal body with wave engravings, silver clip, elegant and modern business design for men and women, showcasing craftsmanship and collectible value.</t>
        </is>
      </c>
      <c r="O169"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1777015341,"id":"chatcmpl-DY59hxQ9Ws8Y1NNGRgY1oNDR72RTE","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69" t="inlineStr">
        <is>
          <t>Montblanc,Accessories,kakobuy,kakebuy2026,kekobuysheet,kakobuysheet2026,2026kakobuy,kakobuyspreadsheeet,kakobuylink,kakebuylist,Kakobuy MEGA Spreadsheet,kakobuysheetfind,kakobuysheetfind2026,2026kakobuysheetfind,kakobuysheet2026</t>
        </is>
      </c>
      <c r="Q169"/>
      <c r="R169" t="inlineStr">
        <is>
          <t>recvhju1CrepnB</t>
        </is>
      </c>
      <c r="S169" t="inlineStr">
        <is>
          <t>montblanc-blue-limited-edition-wave-engraved-signature-pen-recvhju1crepn</t>
        </is>
      </c>
      <c r="T169"/>
      <c r="U169"/>
      <c r="V169"/>
      <c r="W169" t="inlineStr">
        <is>
          <t>{"choices":[{"finish_reason":"stop","index":0,"logprobs":null,"message":{"annotations":[],"content":"Montblanc：蓝色限量版签字笔，金属材质搭配流线波纹设计，银色笔夹典雅精致，展现现代商务风格，男女皆宜，彰显品牌工艺美学与收藏价值。","refusal":null,"role":"assistant"}}],"created":1777012024,"id":"chatcmpl-DY4ICZnAAQAmfMCEUSfXCA7oJniym","model":"gpt-5-chat-latest","object":"chat.completion","service_tier":"default","system_fingerprint":"fp_ad66631dec","usage":{"completion_tokens":57,"completion_tokens_details":{"accepted_prediction_tokens":0,"audio_tokens":0,"reasoning_tokens":0,"rejected_prediction_tokens":0},"prompt_tokens":1301,"prompt_tokens_details":{"audio_tokens":0,"cached_tokens":0},"total_tokens":1358}}</t>
        </is>
      </c>
      <c r="X169" t="inlineStr">
        <is>
          <t>Montblanc：蓝色限量版签字笔，金属材质搭配流线波纹设计，银色笔夹典雅精致，展现现代商务风格，男女皆宜，彰显品牌工艺美学与收藏价值。</t>
        </is>
      </c>
    </row>
    <row r="170" ht="25.5" customHeight="1">
      <c r="A170">
        <v>1654975475</v>
      </c>
      <c r="B170">
        <v>7615435257</v>
      </c>
      <c r="C170" s="2" t="str">
        <f>=HYPERLINK("https://weidian.com/item.html?itemID=7615435257", "https://weidian.com/item.html?itemID=7615435257")</f>
        <v>https://weidian.com/item.html?itemID=7615435257</v>
      </c>
      <c r="D170"/>
      <c r="E170" s="2" t="str">
        <f>=HYPERLINK("https://si.geilicdn.com/pcitem2014204438-7c710000019abb4af4290a231316_1440_1920.jpg?w=640&amp;h=640", "https://si.geilicdn.com/pcitem2014204438-7c710000019abb4af4290a231316_1440_1920.jpg?w=640&amp;h=640")</f>
        <v>https://si.geilicdn.com/pcitem2014204438-7c710000019abb4af4290a231316_1440_1920.jpg?w=640&amp;h=640</v>
      </c>
      <c r="F170" t="inlineStr">
        <is>
          <t>Accessories</t>
        </is>
      </c>
      <c r="G170" t="inlineStr">
        <is>
          <t>Montblanc</t>
        </is>
      </c>
      <c r="H170">
        <v>460</v>
      </c>
      <c r="I170">
        <v>66.67</v>
      </c>
      <c r="J170" t="inlineStr">
        <is>
          <t>{"choices":[{"finish_reason":"stop","index":0,"logprobs":null,"message":{"annotations":[],"content":"Montblanc Red Limited Edition Luxury Fountain Pen ","refusal":null,"role":"assistant"}}],"created":1777014195,"id":"chatcmpl-DY4rDRdGVM6azx3yxFKzgC2NdXoP6","model":"gpt-5-chat-latest","object":"chat.completion","service_tier":"default","system_fingerprint":"fp_ad66631dec","usage":{"completion_tokens":11,"completion_tokens_details":{"accepted_prediction_tokens":0,"audio_tokens":0,"reasoning_tokens":0,"rejected_prediction_tokens":0},"prompt_tokens":874,"prompt_tokens_details":{"audio_tokens":0,"cached_tokens":0},"total_tokens":885}}</t>
        </is>
      </c>
      <c r="K170" t="inlineStr">
        <is>
          <t xml:space="preserve">Montblanc Red Limited Edition Luxury Fountain Pen </t>
        </is>
      </c>
      <c r="L170" t="inlineStr">
        <is>
          <t>{"choices":[{"finish_reason":"stop","index":0,"logprobs":null,"message":{"annotations":[],"content":"Montblanc Red Limited Edition Fountain Pen – crafted from premium resin and metal with silver accents, blending European artistry and elegance. Ideal for collectors, business, and everyday writing.","refusal":null,"role":"assistant"}}],"created":1777013175,"id":"chatcmpl-DY4al0hKJTgbN26KrTXLYqZguu6xw","model":"gpt-5-chat-latest","object":"chat.completion","service_tier":"default","system_fingerprint":"fp_ad66631dec","usage":{"completion_tokens":36,"completion_tokens_details":{"accepted_prediction_tokens":0,"audio_tokens":0,"reasoning_tokens":0,"rejected_prediction_tokens":0},"prompt_tokens":907,"prompt_tokens_details":{"audio_tokens":0,"cached_tokens":0},"total_tokens":943}}</t>
        </is>
      </c>
      <c r="M170" t="inlineStr">
        <is>
          <t>{"alt-svc":"h3=\":443\"; ma=2592000","apim-request-id":"256b0d62-dfae-4697-9c03-76d778af27cb","azureml-model-session":"d20260402084046-4209e968","cache-control":"no-cache","connection":"close","content-length":"787","content-security-policy":"frame-ancestors 'self'","content-type":"application/json","date":"Fri, 24 Apr 2026 06:46:16 GMT","server":"nginx","skip-error-remapping":"true","strict-transport-security":"max-age=31536000; includeSubDomains; preload","via":"1.1 Caddy, 1.1 Caddy","x-api-request-id":"20260424144613902467762Gui6RsVH","x-content-type-options":"nosniff","x-frame-options":"SAMEORIGIN","x-ms-client-request-id":"Not-Set","x-ms-is-spilled-over":"false","x-ms-rai-invoked":"true","x-ms-region":"East US 2","x-new-api-version":"0.4.39","x-oneapi-request-id":"202604240646138236899558268d9d69KWGLzRS","x-ratelimit-abusepenalty-active":"False","x-ratelimit-limit-requests":"3850","x-ratelimit-limit-tokens":"3850000","x-ratelimit-remaining-requests":"3849","x-ratelimit-remaining-tokens":"3848331","x-ratelimit-renewalperiod-requests":"60","x-ratelimit-renewalperiod-tokens":"60","x-ratelimit-reset-requests":"15","x-ratelimit-reset-tokens":"26","x-request-id":"7e80f08e-f00e-4b66-903b-9c08b32cf83b"}</t>
        </is>
      </c>
      <c r="N170" t="inlineStr">
        <is>
          <t>Montblanc Red Limited Edition Fountain Pen – crafted from premium resin and metal with silver accents, blending European artistry and elegance. Ideal for collectors, business, and everyday writing.</t>
        </is>
      </c>
      <c r="O170"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1777015240,"id":"chatcmpl-DY584GKuOB17BBGcE8FoWdedzgPDv","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70" t="inlineStr">
        <is>
          <t>Montblanc,Accessories,kakobuy,kakebuy2026,kekobuysheet,kakobuysheet2026,2026kakobuy,kakobuyspreadsheeet,kakobuylink,kakebuylist,Kakobuy MEGA Spreadsheet,kakobuysheetfind,kakobuysheetfind2026,2026kakobuysheetfind,kakobuysheet2026</t>
        </is>
      </c>
      <c r="Q170"/>
      <c r="R170" t="inlineStr">
        <is>
          <t>recvhju1Cr6Yoe</t>
        </is>
      </c>
      <c r="S170" t="inlineStr">
        <is>
          <t>montblanc-red-limited-edition-luxury-fountain-pen-recvhju1cr6yoe</t>
        </is>
      </c>
      <c r="T170"/>
      <c r="U170"/>
      <c r="V170"/>
      <c r="W170" t="inlineStr">
        <is>
          <t>{"choices":[{"finish_reason":"stop","index":0,"logprobs":null,"message":{"annotations":[],"content":"Montblanc：红色限量版书写钢笔，甄选树脂与金属材质，镶嵌精致银色饰环，展现经典欧式工艺美学。优雅流线设计兼具收藏与书写功能，商务与艺术品味完美融合，男女皆宜。","refusal":null,"role":"assistant"}}],"created":1777011985,"id":"chatcmpl-DY4HZ4A97qi3PGkpXeZgGnLweubYQ","model":"gpt-5-chat-latest","object":"chat.completion","service_tier":"default","system_fingerprint":"fp_ad66631dec","usage":{"completion_tokens":74,"completion_tokens_details":{"accepted_prediction_tokens":0,"audio_tokens":0,"reasoning_tokens":0,"rejected_prediction_tokens":0},"prompt_tokens":1299,"prompt_tokens_details":{"audio_tokens":0,"cached_tokens":0},"total_tokens":1373}}</t>
        </is>
      </c>
      <c r="X170" t="inlineStr">
        <is>
          <t>Montblanc：红色限量版书写钢笔，甄选树脂与金属材质，镶嵌精致银色饰环，展现经典欧式工艺美学。优雅流线设计兼具收藏与书写功能，商务与艺术品味完美融合，男女皆宜。</t>
        </is>
      </c>
    </row>
    <row r="171" ht="25.5" customHeight="1">
      <c r="A171">
        <v>1654975475</v>
      </c>
      <c r="B171">
        <v>7619130160</v>
      </c>
      <c r="C171" s="2" t="str">
        <f>=HYPERLINK("https://weidian.com/item.html?itemID=7619130160", "https://weidian.com/item.html?itemID=7619130160")</f>
        <v>https://weidian.com/item.html?itemID=7619130160</v>
      </c>
      <c r="D171"/>
      <c r="E171" s="2" t="str">
        <f>=HYPERLINK("https://si.geilicdn.com/pcitem2014204438-2bc10000019abb4fac800a20e7c7_1440_1440.jpg?w=640&amp;h=640", "https://si.geilicdn.com/pcitem2014204438-2bc10000019abb4fac800a20e7c7_1440_1440.jpg?w=640&amp;h=640")</f>
        <v>https://si.geilicdn.com/pcitem2014204438-2bc10000019abb4fac800a20e7c7_1440_1440.jpg?w=640&amp;h=640</v>
      </c>
      <c r="F171" t="inlineStr">
        <is>
          <t>Accessories</t>
        </is>
      </c>
      <c r="G171" t="inlineStr">
        <is>
          <t>Montblanc</t>
        </is>
      </c>
      <c r="H171">
        <v>460</v>
      </c>
      <c r="I171">
        <v>66.67</v>
      </c>
      <c r="J171" t="inlineStr">
        <is>
          <t>{"id":"chatcmpl-DY4qPCEewkRuu0N5w7g0aBebvEpUQ","object":"chat.completion","created":1777014145,"model":"gpt-5-chat-latest","choices":[{"index":0,"message":{"role":"assistant","content":"Montblanc Meisterstück Blue Gold Luxury Ballpoint Pen","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ad66631dec"}</t>
        </is>
      </c>
      <c r="K171" t="inlineStr">
        <is>
          <t>Montblanc Meisterstück Blue Gold Luxury Ballpoint Pen</t>
        </is>
      </c>
      <c r="L171" t="inlineStr">
        <is>
          <t>{"id":"chatcmpl-DY4aSCorcwgHqnMogpVvMGfXvqJNT","object":"chat.completion","created":1777013156,"model":"gpt-5-chat-latest","choices":[{"index":0,"message":{"role":"assistant","content":"Montblanc Meisterstück Blue Gold Ballpoint Pen, elegant resin and metal fusion design with engraved gold clip, perfect for business, symbol of refined taste for men and women.","refusal":null,"annotations":[]},"logprobs":null,"finish_reason":"stop"}],"usage":{"prompt_tokens":893,"completion_tokens":36,"total_tokens":929,"prompt_tokens_details":{"cached_tokens":0,"audio_tokens":0},"completion_tokens_details":{"reasoning_tokens":0,"audio_tokens":0,"accepted_prediction_tokens":0,"rejected_prediction_tokens":0}},"service_tier":"default","system_fingerprint":"fp_ad66631dec"}</t>
        </is>
      </c>
      <c r="M17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ma=2592000","apim-request-id":"c1338fd7-6dc6-4840-bbe7-c972543ff841","azureml-model-session":"d20260405225800-40f19e54","cache-control":"no-cache, no-store, must-revalidate","connection":"close","content-length":"980","content-security-policy":"frame-ancestors 'self'","content-type":"application/json","date":"Fri, 24 Apr 2026 06:45:59 GMT","server":"nginx","skip-error-remapping":"true","strict-transport-security":"max-age=31536000; includeSubDomains; preload","via":"1.1 Caddy, 1.1 Caddy","x-api-request-id":"20260424144554843147008MPPNJUKX","x-content-type-options":"nosniff","x-frame-options":"SAMEORIGIN","x-ms-is-spilled-over":"false","x-ms-rai-invoked":"false","x-ms-region":"Sweden Central","x-new-api-version":"0.4.39","x-oneapi-request-id":"202604240645546319992658268d9d63wEifHXI","x-ratelimit-abusepenalty-active":"False","x-ratelimit-limit-requests":"4998","x-ratelimit-limit-tokens":"4998000","x-ratelimit-remaining-requests":"4997","x-ratelimit-remaining-tokens":"4996345","x-ratelimit-renewalperiod-requests":"60","x-ratelimit-renewalperiod-tokens":"60","x-ratelimit-reset-requests":"12","x-ratelimit-reset-tokens":"19","x-request-id":"44146a23-ad9a-4684-8bdc-55cd9a95bfac"}</t>
        </is>
      </c>
      <c r="N171" t="inlineStr">
        <is>
          <t>Montblanc Meisterstück Blue Gold Ballpoint Pen, elegant resin and metal fusion design with engraved gold clip, perfect for business, symbol of refined taste for men and women.</t>
        </is>
      </c>
      <c r="O171"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1777015355,"id":"chatcmpl-DY59vnYcdFFlGpVR7gYry50SjK1vC","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71" t="inlineStr">
        <is>
          <t>Montblanc,Accessories,kakobuy,kakebuy2026,kekobuysheet,kakobuysheet2026,2026kakobuy,kakobuyspreadsheeet,kakobuylink,kakebuylist,Kakobuy MEGA Spreadsheet,kakobuysheetfind,kakobuysheetfind2026,2026kakobuysheetfind,kakobuysheet2026</t>
        </is>
      </c>
      <c r="Q171"/>
      <c r="R171" t="inlineStr">
        <is>
          <t>recvhju1CrsoDE</t>
        </is>
      </c>
      <c r="S171" t="inlineStr">
        <is>
          <t>montblanc-meisterstuck-blue-gold-pen-recvhju1crsoDE</t>
        </is>
      </c>
      <c r="T171"/>
      <c r="U171"/>
      <c r="V171"/>
      <c r="W171" t="inlineStr">
        <is>
          <t>{"id":"chatcmpl-DY49o8nA8hRpZ7Er7xwBgybVlQ0h5","object":"chat.completion","created":1777011504,"model":"gpt-5-chat-latest","choices":[{"index":0,"message":{"role":"assistant","content":"Montblanc：大班系列蓝金配色圆珠笔，镀金笔夹雕刻精致图腾设计，树脂与金属材质融合，彰显典雅商务格调，男女皆宜，彰显绅士品味。","refusal":null,"annotations":[]},"logprobs":null,"finish_reason":"stop"}],"usage":{"prompt_tokens":1303,"completion_tokens":58,"total_tokens":1361,"prompt_tokens_details":{"cached_tokens":0,"audio_tokens":0},"completion_tokens_details":{"reasoning_tokens":0,"audio_tokens":0,"accepted_prediction_tokens":0,"rejected_prediction_tokens":0}},"service_tier":"default","system_fingerprint":"fp_ad66631dec"}</t>
        </is>
      </c>
      <c r="X171" t="inlineStr">
        <is>
          <t>Montblanc：大班系列蓝金配色圆珠笔，镀金笔夹雕刻精致图腾设计，树脂与金属材质融合，彰显典雅商务格调，男女皆宜，彰显绅士品味。</t>
        </is>
      </c>
    </row>
    <row r="172" ht="25.5" customHeight="1">
      <c r="A172">
        <v>1654975475</v>
      </c>
      <c r="B172">
        <v>7619103158</v>
      </c>
      <c r="C172" s="2" t="str">
        <f>=HYPERLINK("https://weidian.com/item.html?itemID=7619103158", "https://weidian.com/item.html?itemID=7619103158")</f>
        <v>https://weidian.com/item.html?itemID=7619103158</v>
      </c>
      <c r="D172"/>
      <c r="E172" s="2" t="str">
        <f>=HYPERLINK("https://si.geilicdn.com/pcitem2014204438-2d2a0000019abb3915690a8134f0_1080_1080.jpg?w=640&amp;h=640", "https://si.geilicdn.com/pcitem2014204438-2d2a0000019abb3915690a8134f0_1080_1080.jpg?w=640&amp;h=640")</f>
        <v>https://si.geilicdn.com/pcitem2014204438-2d2a0000019abb3915690a8134f0_1080_1080.jpg?w=640&amp;h=640</v>
      </c>
      <c r="F172" t="inlineStr">
        <is>
          <t>Accessories</t>
        </is>
      </c>
      <c r="G172" t="inlineStr">
        <is>
          <t>Montblanc</t>
        </is>
      </c>
      <c r="H172">
        <v>460</v>
      </c>
      <c r="I172">
        <v>66.67</v>
      </c>
      <c r="J172" t="inlineStr">
        <is>
          <t>{"choices":[{"finish_reason":"stop","index":0,"logprobs":null,"message":{"annotations":[],"content":"Montblanc Blue Geometric Metal Ballpoint Pen","refusal":null,"role":"assistant"}}],"created":1777014192,"id":"chatcmpl-DY4rAESylt2Jsk862kD3NC54G0vTN","model":"gpt-5-chat-latest","object":"chat.completion","service_tier":"default","system_fingerprint":"fp_ad66631dec","usage":{"completion_tokens":11,"completion_tokens_details":{"accepted_prediction_tokens":0,"audio_tokens":0,"reasoning_tokens":0,"rejected_prediction_tokens":0},"prompt_tokens":866,"prompt_tokens_details":{"audio_tokens":0,"cached_tokens":0},"total_tokens":877}}</t>
        </is>
      </c>
      <c r="K172" t="inlineStr">
        <is>
          <t>Montblanc Blue Geometric Metal Ballpoint Pen</t>
        </is>
      </c>
      <c r="L172" t="inlineStr">
        <is>
          <t>{"id":"chatcmpl-DY4fo9k9er2b4wl7j6KU2voA5K29N","object":"chat.completion","created":1777013488,"model":"gpt-5-chat-latest","choices":[{"index":0,"message":{"role":"assistant","content":"Montblanc Blue Geometric Metal Ballpoint Pen – modern refined design, smooth elegant body, premium business style, unisex collectible masterpiece of writing art.","refusal":null,"annotations":[]},"logprobs":null,"finish_reason":"stop"}],"usage":{"prompt_tokens":889,"completion_tokens":32,"total_tokens":921,"prompt_tokens_details":{"cached_tokens":0,"audio_tokens":0},"completion_tokens_details":{"reasoning_tokens":0,"audio_tokens":0,"accepted_prediction_tokens":0,"rejected_prediction_tokens":0}},"service_tier":"default","system_fingerprint":"fp_ad66631dec"}</t>
        </is>
      </c>
      <c r="M17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ma=2592000","apim-request-id":"43bf8858-bf04-4f13-a8ab-698ee4ef902c","azureml-model-session":"d20260405225800-40f19e54","cache-control":"no-cache, no-store, must-revalidate","connection":"close","content-length":"967","content-security-policy":"frame-ancestors 'self'","content-type":"application/json","date":"Fri, 24 Apr 2026 06:51:30 GMT","server":"nginx","skip-error-remapping":"true","strict-transport-security":"max-age=31536000; includeSubDomains; preload","via":"1.1 Caddy, 1.1 Caddy","x-api-request-id":"2026042414512771450672YjTaaQrg","x-content-type-options":"nosniff","x-frame-options":"SAMEORIGIN","x-ms-is-spilled-over":"false","x-ms-rai-invoked":"false","x-ms-region":"Sweden Central","x-new-api-version":"0.4.39","x-oneapi-request-id":"202604240651268804478188268d9d6tOr9EX9O","x-ratelimit-abusepenalty-active":"False","x-ratelimit-limit-requests":"4998","x-ratelimit-limit-tokens":"4998000","x-ratelimit-remaining-requests":"4997","x-ratelimit-remaining-tokens":"4996349","x-ratelimit-renewalperiod-requests":"60","x-ratelimit-renewalperiod-tokens":"60","x-ratelimit-reset-requests":"12","x-ratelimit-reset-tokens":"19","x-request-id":"9916ac67-2174-4bb3-bf05-158e37c64968"}</t>
        </is>
      </c>
      <c r="N172" t="inlineStr">
        <is>
          <t>Montblanc Blue Geometric Metal Ballpoint Pen – modern refined design, smooth elegant body, premium business style, unisex collectible masterpiece of writing art.</t>
        </is>
      </c>
      <c r="O172"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1777015102,"id":"chatcmpl-DY55qYNOWv9FzhdDhi1nUm6Bz1FnW","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72" t="inlineStr">
        <is>
          <t>Montblanc,Accessories,kakobuy,kakebuy2026,kekobuysheet,kakobuysheet2026,2026kakobuy,kakobuyspreadsheeet,kakobuylink,kakebuylist,Kakobuy MEGA Spreadsheet,kakobuysheetfind,kakobuysheetfind2026,2026kakobuysheetfind,kakobuysheet2026</t>
        </is>
      </c>
      <c r="Q172"/>
      <c r="R172" t="inlineStr">
        <is>
          <t>recvhju1Cr2MsZ</t>
        </is>
      </c>
      <c r="S172" t="inlineStr">
        <is>
          <t>montblanc-blue-geometric-metal-ballpoint-pen-recvhju1cr2msz</t>
        </is>
      </c>
      <c r="T172"/>
      <c r="U172"/>
      <c r="V172"/>
      <c r="W172" t="inlineStr">
        <is>
          <t>{"choices":[{"finish_reason":"stop","index":0,"logprobs":null,"message":{"annotations":[],"content":"Montblanc：蓝色几何雕纹金属圆珠笔，灵感源自现代精致设计，笔身优雅流畅，彰显商务格调，男女皆宜，典藏级书写艺术臻品。","refusal":null,"role":"assistant"}}],"created":1777011347,"id":"chatcmpl-DY47HK9fduXmlk6fVaOTsGEiMUtdE","model":"gpt-5-chat-latest","object":"chat.completion","service_tier":"default","system_fingerprint":"fp_ad66631dec","usage":{"completion_tokens":53,"completion_tokens_details":{"accepted_prediction_tokens":0,"audio_tokens":0,"reasoning_tokens":0,"rejected_prediction_tokens":0},"prompt_tokens":1305,"prompt_tokens_details":{"audio_tokens":0,"cached_tokens":0},"total_tokens":1358}}</t>
        </is>
      </c>
      <c r="X172" t="inlineStr">
        <is>
          <t>Montblanc：蓝色几何雕纹金属圆珠笔，灵感源自现代精致设计，笔身优雅流畅，彰显商务格调，男女皆宜，典藏级书写艺术臻品。</t>
        </is>
      </c>
    </row>
    <row r="173" ht="25.5" customHeight="1">
      <c r="A173">
        <v>1654975475</v>
      </c>
      <c r="B173">
        <v>7619097226</v>
      </c>
      <c r="C173" s="2" t="str">
        <f>=HYPERLINK("https://weidian.com/item.html?itemID=7619097226", "https://weidian.com/item.html?itemID=7619097226")</f>
        <v>https://weidian.com/item.html?itemID=7619097226</v>
      </c>
      <c r="D173"/>
      <c r="E173" s="2" t="str">
        <f>=HYPERLINK("https://si.geilicdn.com/pcitem2014204438-309e0000019abb38aa860a23047e_1080_1080.jpg?w=640&amp;h=640", "https://si.geilicdn.com/pcitem2014204438-309e0000019abb38aa860a23047e_1080_1080.jpg?w=640&amp;h=640")</f>
        <v>https://si.geilicdn.com/pcitem2014204438-309e0000019abb38aa860a23047e_1080_1080.jpg?w=640&amp;h=640</v>
      </c>
      <c r="F173" t="inlineStr">
        <is>
          <t>Accessories</t>
        </is>
      </c>
      <c r="G173" t="inlineStr">
        <is>
          <t>Montblanc</t>
        </is>
      </c>
      <c r="H173">
        <v>460</v>
      </c>
      <c r="I173">
        <v>66.67</v>
      </c>
      <c r="J173" t="inlineStr">
        <is>
          <t>{"choices":[{"finish_reason":"stop","index":0,"logprobs":null,"message":{"annotations":[],"content":"Montblanc Silver Engraved Blue Accent Luxury Pen","refusal":null,"role":"assistant"}}],"created":1777014190,"id":"chatcmpl-DY4r83simpnfbG5cleR7c94sgrWxd","model":"gpt-5-chat-latest","object":"chat.completion","service_tier":"default","system_fingerprint":"fp_ad66631dec","usage":{"completion_tokens":12,"completion_tokens_details":{"accepted_prediction_tokens":0,"audio_tokens":0,"reasoning_tokens":0,"rejected_prediction_tokens":0},"prompt_tokens":888,"prompt_tokens_details":{"audio_tokens":0,"cached_tokens":0},"total_tokens":900}}</t>
        </is>
      </c>
      <c r="K173" t="inlineStr">
        <is>
          <t>Montblanc Silver Engraved Blue Accent Luxury Pen</t>
        </is>
      </c>
      <c r="L173" t="inlineStr">
        <is>
          <t>{"choices":[{"finish_reason":"stop","index":0,"logprobs":null,"message":{"annotations":[],"content":"Montblanc Silver Engraved Signature Pen, crafted from premium metal with elegant sculpted patterns and blue top accent, inspired by modern art, ideal for business or collection, timeless luxury for men and women.","refusal":null,"role":"assistant"}}],"created":1777013439,"id":"chatcmpl-DY4f1qAFz99ZFFsSY5Ay3ufsI0sgj","model":"gpt-5-chat-latest","object":"chat.completion","service_tier":"default","system_fingerprint":"fp_ad66631dec","usage":{"completion_tokens":43,"completion_tokens_details":{"accepted_prediction_tokens":0,"audio_tokens":0,"reasoning_tokens":0,"rejected_prediction_tokens":0},"prompt_tokens":916,"prompt_tokens_details":{"audio_tokens":0,"cached_tokens":0},"total_tokens":959}}</t>
        </is>
      </c>
      <c r="M173" t="inlineStr">
        <is>
          <t>{"alt-svc":"h3=\":443\"; ma=2592000","apim-request-id":"378b9b97-3e5c-4e25-b659-1bc188aaa3a4","azureml-model-session":"d20260405225800-40f19e54","cache-control":"no-cache","connection":"close","content-length":"800","content-security-policy":"frame-ancestors 'self'","content-type":"application/json","date":"Fri, 24 Apr 2026 06:50:41 GMT","server":"nginx","skip-error-remapping":"true","strict-transport-security":"max-age=31536000; includeSubDomains; preload","via":"1.1 Caddy, 1.1 Caddy","x-api-request-id":"20260424145038807185139f0kQ0I1g","x-content-type-options":"nosniff","x-frame-options":"SAMEORIGIN","x-ms-client-request-id":"Not-Set","x-ms-is-spilled-over":"false","x-ms-rai-invoked":"true","x-ms-region":"East US 2","x-new-api-version":"0.4.39","x-oneapi-request-id":"202604240650383678016038268d9d6FFAcNmrX","x-ratelimit-abusepenalty-active":"False","x-ratelimit-limit-requests":"3850","x-ratelimit-limit-tokens":"3850000","x-ratelimit-remaining-requests":"3849","x-ratelimit-remaining-tokens":"3848322","x-ratelimit-renewalperiod-requests":"60","x-ratelimit-renewalperiod-tokens":"60","x-ratelimit-reset-requests":"15","x-ratelimit-reset-tokens":"26","x-request-id":"5e00a5c0-9677-478a-9a4c-ddae5271d997"}</t>
        </is>
      </c>
      <c r="N173" t="inlineStr">
        <is>
          <t>Montblanc Silver Engraved Signature Pen, crafted from premium metal with elegant sculpted patterns and blue top accent, inspired by modern art, ideal for business or collection, timeless luxury for men and women.</t>
        </is>
      </c>
      <c r="O173"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1777015105,"id":"chatcmpl-DY55t5oVwdfsRdH7cyxr4suO45dCn","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73" t="inlineStr">
        <is>
          <t>Montblanc,Accessories,kakobuy,kakebuy2026,kekobuysheet,kakobuysheet2026,2026kakobuy,kakobuyspreadsheeet,kakobuylink,kakebuylist,Kakobuy MEGA Spreadsheet,kakobuysheetfind,kakobuysheetfind2026,2026kakobuysheetfind,kakobuysheet2026</t>
        </is>
      </c>
      <c r="Q173"/>
      <c r="R173" t="inlineStr">
        <is>
          <t>recvhju1CrIJac</t>
        </is>
      </c>
      <c r="S173" t="inlineStr">
        <is>
          <t>montblanc-silver-engraved-blue-accent-luxury-pen-recvhju1crjac</t>
        </is>
      </c>
      <c r="T173"/>
      <c r="U173"/>
      <c r="V173"/>
      <c r="W173" t="inlineStr">
        <is>
          <t>{"id":"chatcmpl-DY4Gm7AsyQFEMKRFQ9gW2aDBbsejp","object":"chat.completion","created":1777011936,"model":"gpt-5-chat-latest","choices":[{"index":0,"message":{"role":"assistant","content":"Montblanc：银色雕纹系列签字笔，甄选高品质金属材质，笔身刻纹精致典雅，蓝色笔顶点缀璀璨光泽，设计灵感源于现代艺术美感，兼具商务与收藏价值，男女皆宜经典款，尽显奢华气质与非凡品味。","refusal":null,"annotations":[]},"logprobs":null,"finish_reason":"stop"}],"usage":{"prompt_tokens":1299,"completion_tokens":83,"total_tokens":1382,"prompt_tokens_details":{"cached_tokens":0,"audio_tokens":0},"completion_tokens_details":{"reasoning_tokens":0,"audio_tokens":0,"accepted_prediction_tokens":0,"rejected_prediction_tokens":0}},"service_tier":"default","system_fingerprint":"fp_ad66631dec"}</t>
        </is>
      </c>
      <c r="X173" t="inlineStr">
        <is>
          <t>Montblanc：银色雕纹系列签字笔，甄选高品质金属材质，笔身刻纹精致典雅，蓝色笔顶点缀璀璨光泽，设计灵感源于现代艺术美感，兼具商务与收藏价值，男女皆宜经典款，尽显奢华气质与非凡品味。</t>
        </is>
      </c>
    </row>
    <row r="174" ht="25.5" customHeight="1">
      <c r="A174">
        <v>1654975475</v>
      </c>
      <c r="B174">
        <v>7615433261</v>
      </c>
      <c r="C174" s="2" t="str">
        <f>=HYPERLINK("https://weidian.com/item.html?itemID=7615433261", "https://weidian.com/item.html?itemID=7615433261")</f>
        <v>https://weidian.com/item.html?itemID=7615433261</v>
      </c>
      <c r="D174"/>
      <c r="E174" s="2" t="str">
        <f>=HYPERLINK("https://si.geilicdn.com/pcitem2014204438-24390000019abb41f3ac0a231177_1080_1080.jpg?w=640&amp;h=640", "https://si.geilicdn.com/pcitem2014204438-24390000019abb41f3ac0a231177_1080_1080.jpg?w=640&amp;h=640")</f>
        <v>https://si.geilicdn.com/pcitem2014204438-24390000019abb41f3ac0a231177_1080_1080.jpg?w=640&amp;h=640</v>
      </c>
      <c r="F174" t="inlineStr">
        <is>
          <t>Accessories</t>
        </is>
      </c>
      <c r="G174" t="inlineStr">
        <is>
          <t>Montblanc</t>
        </is>
      </c>
      <c r="H174">
        <v>460</v>
      </c>
      <c r="I174">
        <v>66.67</v>
      </c>
      <c r="J174" t="inlineStr">
        <is>
          <t>{"choices":[{"finish_reason":"stop","index":0,"logprobs":null,"message":{"annotations":[],"content":"Montblanc Silver Signature Pen Platinum Engraved Gift","refusal":null,"role":"assistant"}}],"created":1777014513,"id":"chatcmpl-DY4wL29fBy6LQkqZaqIss6cGfLOel","model":"gpt-5-chat-latest","object":"chat.completion","service_tier":"default","system_fingerprint":"fp_ad66631dec","usage":{"completion_tokens":12,"completion_tokens_details":{"accepted_prediction_tokens":0,"audio_tokens":0,"reasoning_tokens":0,"rejected_prediction_tokens":0},"prompt_tokens":878,"prompt_tokens_details":{"audio_tokens":0,"cached_tokens":0},"total_tokens":890}}</t>
        </is>
      </c>
      <c r="K174" t="inlineStr">
        <is>
          <t>Montblanc Silver Signature Pen Platinum Engraved Gift</t>
        </is>
      </c>
      <c r="L174" t="inlineStr">
        <is>
          <t>{"choices":[{"finish_reason":"stop","index":0,"logprobs":null,"message":{"annotations":[],"content":"Montblanc Classic Silver Signature Pen: Platinum-plated metal body with engraved design, exuding refined elegance. A unisex business and gift choice, showcasing German craftsmanship and modern sophistication.","refusal":null,"role":"assistant"}}],"created":1777013432,"id":"chatcmpl-DY4euo2ab6Pejm1ECE3XzZa6jzvka","model":"gpt-5-chat-latest","object":"chat.completion","service_tier":"default","system_fingerprint":"fp_ad66631dec","usage":{"completion_tokens":38,"completion_tokens_details":{"accepted_prediction_tokens":0,"audio_tokens":0,"reasoning_tokens":0,"rejected_prediction_tokens":0},"prompt_tokens":888,"prompt_tokens_details":{"audio_tokens":0,"cached_tokens":0},"total_tokens":926}}</t>
        </is>
      </c>
      <c r="M174" t="inlineStr">
        <is>
          <t>{"alt-svc":"h3=\":443\"; ma=2592000","apim-request-id":"130a3a95-e492-4d98-b440-320a9ae536dc","azureml-model-session":"d20260405234249-f9874baf","cache-control":"no-cache","connection":"close","content-length":"796","content-security-policy":"frame-ancestors 'self'","content-type":"application/json","date":"Fri, 24 Apr 2026 06:50:33 GMT","server":"Caddy","skip-error-remapping":"true","strict-transport-security":"max-age=31536000; includeSubDomains; preload","via":"1.1 Caddy","x-api-request-id":"20260424145031686476947sB6WVSV8","x-content-type-options":"nosniff","x-frame-options":"SAMEORIGIN","x-ms-client-request-id":"Not-Set","x-ms-is-spilled-over":"false","x-ms-rai-invoked":"true","x-ms-region":"East US 2","x-new-api-version":"0.4.39","x-oneapi-request-id":"202604240650315624811638268d9d6NAGC4QnY","x-ratelimit-abusepenalty-active":"False","x-ratelimit-limit-requests":"3850","x-ratelimit-limit-tokens":"3850000","x-ratelimit-remaining-requests":"3849","x-ratelimit-remaining-tokens":"3823360","x-ratelimit-renewalperiod-requests":"60","x-ratelimit-renewalperiod-tokens":"60","x-ratelimit-reset-requests":"15","x-ratelimit-reset-tokens":"415","x-request-id":"f7c38683-d4a2-4128-b3d7-7a1855410e4d"}</t>
        </is>
      </c>
      <c r="N174" t="inlineStr">
        <is>
          <t>Montblanc Classic Silver Signature Pen: Platinum-plated metal body with engraved design, exuding refined elegance. A unisex business and gift choice, showcasing German craftsmanship and modern sophistication.</t>
        </is>
      </c>
      <c r="O174" t="inlineStr">
        <is>
          <t>{"choices":[{"finish_reason":"stop","index":0,"logprobs":null,"message":{"annotations":[],"content":"Montblanc, Accessories, kakobuy, kakebuy2026, kekobuysheet, kakobuysheet2026, 2026kakobuy, kakobuyspreadsheeet, kakobuylink, kakebuylist, Kakobuy MEGA Spreadsheet, kakobuysheetfind, kakobuysheetfind2026, 2026kakobuysheetfind, kakobuysheet2026","refusal":null,"role":"assistant"}}],"created":1777014939,"id":"chatcmpl-DY53DfOsksmPUSV9pCW4HYiWxDR36","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174" t="inlineStr">
        <is>
          <t>Montblanc, Accessories, kakobuy, kakebuy2026, kekobuysheet, kakobuysheet2026, 2026kakobuy, kakobuyspreadsheeet, kakobuylink, kakebuylist, Kakobuy MEGA Spreadsheet, kakobuysheetfind, kakobuysheetfind2026, 2026kakobuysheetfind, kakobuysheet2026</t>
        </is>
      </c>
      <c r="Q174"/>
      <c r="R174" t="inlineStr">
        <is>
          <t>recvhju1CrPRmG</t>
        </is>
      </c>
      <c r="S174" t="inlineStr">
        <is>
          <t>montblanc-silver-signature-pen-platinum-engraved-recvhju1crprmg</t>
        </is>
      </c>
      <c r="T174"/>
      <c r="U174"/>
      <c r="V174"/>
      <c r="W174" t="inlineStr">
        <is>
          <t>{"choices":[{"finish_reason":"stop","index":0,"logprobs":null,"message":{"annotations":[],"content":"Montblanc：经典银色签字笔，精致镀铂金属笔身，雕纹设计彰显优雅格调，中性款适合商务及礼赠，尽显德式工艺与现代简约风尚。","refusal":null,"role":"assistant"}}],"created":1777011690,"id":"chatcmpl-DY4Cor3WGPriF34kElGr657P1qxbq","model":"gpt-5-chat-latest","object":"chat.completion","service_tier":"default","system_fingerprint":"fp_ad66631dec","usage":{"completion_tokens":55,"completion_tokens_details":{"accepted_prediction_tokens":0,"audio_tokens":0,"reasoning_tokens":0,"rejected_prediction_tokens":0},"prompt_tokens":1299,"prompt_tokens_details":{"audio_tokens":0,"cached_tokens":0},"total_tokens":1354}}</t>
        </is>
      </c>
      <c r="X174" t="inlineStr">
        <is>
          <t>Montblanc：经典银色签字笔，精致镀铂金属笔身，雕纹设计彰显优雅格调，中性款适合商务及礼赠，尽显德式工艺与现代简约风尚。</t>
        </is>
      </c>
    </row>
    <row r="175" ht="25.5" customHeight="1">
      <c r="A175">
        <v>1654975475</v>
      </c>
      <c r="B175">
        <v>7616119287</v>
      </c>
      <c r="C175" s="2" t="str">
        <f>=HYPERLINK("https://weidian.com/item.html?itemID=7616119287", "https://weidian.com/item.html?itemID=7616119287")</f>
        <v>https://weidian.com/item.html?itemID=7616119287</v>
      </c>
      <c r="D175"/>
      <c r="E175" s="2" t="str">
        <f>=HYPERLINK("https://si.geilicdn.com/pcitem2014204438-37ea0000019abb4b7b190a210256_1440_1920.jpg?w=640&amp;h=640", "https://si.geilicdn.com/pcitem2014204438-37ea0000019abb4b7b190a210256_1440_1920.jpg?w=640&amp;h=640")</f>
        <v>https://si.geilicdn.com/pcitem2014204438-37ea0000019abb4b7b190a210256_1440_1920.jpg?w=640&amp;h=640</v>
      </c>
      <c r="F175" t="inlineStr">
        <is>
          <t>Accessories</t>
        </is>
      </c>
      <c r="G175" t="inlineStr">
        <is>
          <t>Montblanc</t>
        </is>
      </c>
      <c r="H175">
        <v>460</v>
      </c>
      <c r="I175">
        <v>66.67</v>
      </c>
      <c r="J175" t="inlineStr">
        <is>
          <t>{"choices":[{"finish_reason":"stop","index":0,"logprobs":null,"message":{"annotations":[],"content":"Montblanc Black Gold Classic Fountain Pen","refusal":null,"role":"assistant"}}],"created":1777014346,"id":"chatcmpl-DY4teTXfJ9vRXo84IgbtdVDIL3mC0","model":"gpt-5-chat-latest","object":"chat.completion","service_tier":"default","system_fingerprint":"fp_ad66631dec","usage":{"completion_tokens":9,"completion_tokens_details":{"accepted_prediction_tokens":0,"audio_tokens":0,"reasoning_tokens":0,"rejected_prediction_tokens":0},"prompt_tokens":880,"prompt_tokens_details":{"audio_tokens":0,"cached_tokens":0},"total_tokens":889}}</t>
        </is>
      </c>
      <c r="K175" t="inlineStr">
        <is>
          <t>Montblanc Black Gold Classic Fountain Pen</t>
        </is>
      </c>
      <c r="L175" t="inlineStr">
        <is>
          <t>{"choices":[{"finish_reason":"stop","index":0,"logprobs":null,"message":{"annotations":[],"content":"Montblanc Black &amp; Gold Classic Fountain Pen – crafted from high-gloss resin and gold-plated metal, sleek design for professional elegance, unisex style ideal for office use or collectors.","refusal":null,"role":"assistant"}}],"created":1777013336,"id":"chatcmpl-DY4dMdsHp7aP8wx9IQbHMMW46GUFL","model":"gpt-5-chat-latest","object":"chat.completion","service_tier":"default","system_fingerprint":"fp_ad66631dec","usage":{"completion_tokens":39,"completion_tokens_details":{"accepted_prediction_tokens":0,"audio_tokens":0,"reasoning_tokens":0,"rejected_prediction_tokens":0},"prompt_tokens":891,"prompt_tokens_details":{"audio_tokens":0,"cached_tokens":0},"total_tokens":930}}</t>
        </is>
      </c>
      <c r="M175" t="inlineStr">
        <is>
          <t>{"alt-svc":"h3=\":443\"; ma=2592000","apim-request-id":"f1e0d6c7-0379-4071-a571-d360d6b22883","azureml-model-session":"d20260402074105-51db401e","cache-control":"no-cache","connection":"close","content-length":"782","content-security-policy":"frame-ancestors 'self'","content-type":"application/json","date":"Fri, 24 Apr 2026 06:48:58 GMT","server":"nginx","skip-error-remapping":"true","strict-transport-security":"max-age=31536000; includeSubDomains; preload","via":"1.1 Caddy, 1.1 Caddy","x-api-request-id":"20260424144855895298708TzciDRWj","x-content-type-options":"nosniff","x-frame-options":"SAMEORIGIN","x-ms-client-request-id":"Not-Set","x-ms-is-spilled-over":"false","x-ms-rai-invoked":"true","x-ms-region":"East US 2","x-new-api-version":"0.4.39","x-oneapi-request-id":"202604240648553582481738268d9d63u25ShB5","x-ratelimit-abusepenalty-active":"False","x-ratelimit-limit-requests":"3850","x-ratelimit-limit-tokens":"3850000","x-ratelimit-remaining-requests":"3849","x-ratelimit-remaining-tokens":"3829677","x-ratelimit-renewalperiod-requests":"60","x-ratelimit-renewalperiod-tokens":"60","x-ratelimit-reset-requests":"15","x-ratelimit-reset-tokens":"316","x-request-id":"b4fc7d5b-78bd-4d57-b619-49ed44649e52"}</t>
        </is>
      </c>
      <c r="N175" t="inlineStr">
        <is>
          <t>Montblanc Black &amp; Gold Classic Fountain Pen – crafted from high-gloss resin and gold-plated metal, sleek design for professional elegance, unisex style ideal for office use or collectors.</t>
        </is>
      </c>
      <c r="O175" t="inlineStr">
        <is>
          <t>{"choices":[{"finish_reason":"stop","index":0,"logprobs":null,"message":{"annotations":[],"content":"Montblanc,Writing Instruments,kakobuy,kakebuy2026,kekobuysheet,kakobuysheet2026,2026kakobuy,kakobuyspreadsheeet,kakobuylink,kakebuylist,Kakobuy MEGA Spreadsheet,kakobuysheetfind,kakobuysheetfind2026,2026kakobuysheetfind,kakobuysheet2026","refusal":null,"role":"assistant"}}],"created":1777015126,"id":"chatcmpl-DY56E40nWQuhFywECDQPrqMKnf76k","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175" t="inlineStr">
        <is>
          <t>Montblanc,Writing Instruments,kakobuy,kakebuy2026,kekobuysheet,kakobuysheet2026,2026kakobuy,kakobuyspreadsheeet,kakobuylink,kakebuylist,Kakobuy MEGA Spreadsheet,kakobuysheetfind,kakobuysheetfind2026,2026kakobuysheetfind,kakobuysheet2026</t>
        </is>
      </c>
      <c r="Q175"/>
      <c r="R175" t="inlineStr">
        <is>
          <t>recvhju1CrF2Z5</t>
        </is>
      </c>
      <c r="S175" t="inlineStr">
        <is>
          <t>montblanc-black-gold-classic-fountain-pen-recvhju1crf2z5</t>
        </is>
      </c>
      <c r="T175"/>
      <c r="U175"/>
      <c r="V175"/>
      <c r="W175" t="inlineStr">
        <is>
          <t>{"choices":[{"finish_reason":"stop","index":0,"logprobs":null,"message":{"annotations":[],"content":"Montblanc：黑金经典系列钢笔，甄选高光树脂与镀金金属材质，流线型笔身设计彰显商务雅致品味，男女皆宜，适合现代职场与收藏爱好者。","refusal":null,"role":"assistant"}}],"created":1777011602,"id":"chatcmpl-DY4BO5t5jfw6qNxwrkiRp13Gm6Ezg","model":"gpt-5-chat-latest","object":"chat.completion","service_tier":"default","system_fingerprint":"fp_ad66631dec","usage":{"completion_tokens":57,"completion_tokens_details":{"accepted_prediction_tokens":0,"audio_tokens":0,"reasoning_tokens":0,"rejected_prediction_tokens":0},"prompt_tokens":1301,"prompt_tokens_details":{"audio_tokens":0,"cached_tokens":1280},"total_tokens":1358}}</t>
        </is>
      </c>
      <c r="X175" t="inlineStr">
        <is>
          <t>Montblanc：黑金经典系列钢笔，甄选高光树脂与镀金金属材质，流线型笔身设计彰显商务雅致品味，男女皆宜，适合现代职场与收藏爱好者。</t>
        </is>
      </c>
    </row>
    <row r="176" ht="25.5" customHeight="1">
      <c r="A176">
        <v>1654975475</v>
      </c>
      <c r="B176">
        <v>7616123299</v>
      </c>
      <c r="C176" s="2" t="str">
        <f>=HYPERLINK("https://weidian.com/item.html?itemID=7616123299", "https://weidian.com/item.html?itemID=7616123299")</f>
        <v>https://weidian.com/item.html?itemID=7616123299</v>
      </c>
      <c r="D176"/>
      <c r="E176" s="2" t="str">
        <f>=HYPERLINK("https://si.geilicdn.com/pcitem2014204438-2bfe0000019abb505f1c0a20e7c7_1440_1440.jpg?w=640&amp;h=640", "https://si.geilicdn.com/pcitem2014204438-2bfe0000019abb505f1c0a20e7c7_1440_1440.jpg?w=640&amp;h=640")</f>
        <v>https://si.geilicdn.com/pcitem2014204438-2bfe0000019abb505f1c0a20e7c7_1440_1440.jpg?w=640&amp;h=640</v>
      </c>
      <c r="F176" t="inlineStr">
        <is>
          <t>Accessories</t>
        </is>
      </c>
      <c r="G176" t="inlineStr">
        <is>
          <t>Montblanc</t>
        </is>
      </c>
      <c r="H176">
        <v>460</v>
      </c>
      <c r="I176">
        <v>66.67</v>
      </c>
      <c r="J176" t="inlineStr">
        <is>
          <t>{"id":"chatcmpl-DY4tmRB8fiS09QIwnwDIn80IkRWs5","object":"chat.completion","created":1777014354,"model":"gpt-5-chat-latest","choices":[{"index":0,"message":{"role":"assistant","content":"Montblanc Limited Black Silver Ballpoint Pen for Professionals","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ad66631dec"}</t>
        </is>
      </c>
      <c r="K176" t="inlineStr">
        <is>
          <t>Montblanc Limited Black Silver Ballpoint Pen for Professionals</t>
        </is>
      </c>
      <c r="L176" t="inlineStr">
        <is>
          <t>{"id":"chatcmpl-DY4cW6VbhtnPa6Nb35mXcm0b9I2mf","object":"chat.completion","created":1777013284,"model":"gpt-5-chat-latest","choices":[{"index":0,"message":{"role":"assistant","content":"Montblanc Limited Black Silver Ballpoint Pen with engraved steel spiral design and glossy black resin barrel. Elegant, smooth writing, perfect for professionals, collectors, men or women.","refusal":null,"annotations":[]},"logprobs":null,"finish_reason":"stop"}],"usage":{"prompt_tokens":897,"completion_tokens":36,"total_tokens":933,"prompt_tokens_details":{"cached_tokens":0,"audio_tokens":0},"completion_tokens_details":{"reasoning_tokens":0,"audio_tokens":0,"accepted_prediction_tokens":0,"rejected_prediction_tokens":0}},"service_tier":"default","system_fingerprint":"fp_ad66631dec"}</t>
        </is>
      </c>
      <c r="M17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ma=2592000","apim-request-id":"e3d4a347-4bf1-42eb-a848-542423af60b7","azureml-model-session":"d20260402083108-57a85543","cache-control":"no-cache, no-store, must-revalidate","connection":"close","content-length":"991","content-security-policy":"frame-ancestors 'self'","content-type":"application/json","date":"Fri, 24 Apr 2026 06:48:08 GMT","server":"nginx","skip-error-remapping":"true","strict-transport-security":"max-age=31536000; includeSubDomains; preload","via":"1.1 Caddy, 1.1 Caddy","x-api-request-id":"20260424144802669406064MOPHQgGK","x-content-type-options":"nosniff","x-frame-options":"SAMEORIGIN","x-ms-is-spilled-over":"false","x-ms-rai-invoked":"false","x-ms-region":"Sweden Central","x-new-api-version":"0.4.39","x-oneapi-request-id":"202604240648022988655258268d9d6AAT7mu3b","x-ratelimit-abusepenalty-active":"False","x-ratelimit-limit-requests":"4998","x-ratelimit-limit-tokens":"4998000","x-ratelimit-remaining-requests":"4997","x-ratelimit-remaining-tokens":"4996341","x-ratelimit-renewalperiod-requests":"60","x-ratelimit-renewalperiod-tokens":"60","x-ratelimit-reset-requests":"12","x-ratelimit-reset-tokens":"19","x-request-id":"74822655-2735-484f-a510-96dc38486139"}</t>
        </is>
      </c>
      <c r="N176" t="inlineStr">
        <is>
          <t>Montblanc Limited Black Silver Ballpoint Pen with engraved steel spiral design and glossy black resin barrel. Elegant, smooth writing, perfect for professionals, collectors, men or women.</t>
        </is>
      </c>
      <c r="O176"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1777014914,"id":"chatcmpl-DY52ou62qNAo0mOD2hhjAj4VD8vsD","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76" t="inlineStr">
        <is>
          <t>Montblanc,Pen,kakobuy,kakebuy2026,kekobuysheet,kakobuysheet2026,2026kakobuy,kakobuyspreadsheeet,kakobuylink,kakebuylist,Kakobuy MEGA Spreadsheet,kakobuysheetfind,kakobuysheetfind2026,2026kakobuysheetfind,kakobuysheet2026</t>
        </is>
      </c>
      <c r="Q176"/>
      <c r="R176" t="inlineStr">
        <is>
          <t>recvhju1CrCXMP</t>
        </is>
      </c>
      <c r="S176" t="inlineStr">
        <is>
          <t>montblanc-black-silver-ballpoint-pen-recvhju1crcxmp</t>
        </is>
      </c>
      <c r="T176"/>
      <c r="U176"/>
      <c r="V176"/>
      <c r="W176" t="inlineStr">
        <is>
          <t>{"id":"chatcmpl-DY47E0QPSsb2uhFmIFnhDijMYFDOM","object":"chat.completion","created":1777011344,"model":"gpt-5-chat-latest","choices":[{"index":0,"message":{"role":"assistant","content":"Montblanc：限量黑银色签字笔，精钢雕刻螺旋纹饰与亮黑树脂笔身融合，展现现代雅致设计，书写顺滑流畅，男女皆宜，商务与收藏皆臻品。","refusal":null,"annotations":[]},"logprobs":null,"finish_reason":"stop"}],"usage":{"prompt_tokens":1309,"completion_tokens":59,"total_tokens":1368,"prompt_tokens_details":{"cached_tokens":0,"audio_tokens":0},"completion_tokens_details":{"reasoning_tokens":0,"audio_tokens":0,"accepted_prediction_tokens":0,"rejected_prediction_tokens":0}},"service_tier":"default","system_fingerprint":"fp_ad66631dec"}</t>
        </is>
      </c>
      <c r="X176" t="inlineStr">
        <is>
          <t>Montblanc：限量黑银色签字笔，精钢雕刻螺旋纹饰与亮黑树脂笔身融合，展现现代雅致设计，书写顺滑流畅，男女皆宜，商务与收藏皆臻品。</t>
        </is>
      </c>
    </row>
    <row r="177" ht="25.5" customHeight="1">
      <c r="A177">
        <v>1654975475</v>
      </c>
      <c r="B177">
        <v>7616197721</v>
      </c>
      <c r="C177" s="2" t="str">
        <f>=HYPERLINK("https://weidian.com/item.html?itemID=7616197721", "https://weidian.com/item.html?itemID=7616197721")</f>
        <v>https://weidian.com/item.html?itemID=7616197721</v>
      </c>
      <c r="D177"/>
      <c r="E177" s="2" t="str">
        <f>=HYPERLINK("https://si.geilicdn.com/pcitem2014204438-3a560000019abb551a230a23038e_1440_1920.jpg?w=640&amp;h=640", "https://si.geilicdn.com/pcitem2014204438-3a560000019abb551a230a23038e_1440_1920.jpg?w=640&amp;h=640")</f>
        <v>https://si.geilicdn.com/pcitem2014204438-3a560000019abb551a230a23038e_1440_1920.jpg?w=640&amp;h=640</v>
      </c>
      <c r="F177" t="inlineStr">
        <is>
          <t>Accessories</t>
        </is>
      </c>
      <c r="G177" t="inlineStr">
        <is>
          <t>Montblanc</t>
        </is>
      </c>
      <c r="H177">
        <v>560</v>
      </c>
      <c r="I177">
        <v>81.16</v>
      </c>
      <c r="J177" t="inlineStr">
        <is>
          <t>{"choices":[{"finish_reason":"stop","index":0,"logprobs":null,"message":{"annotations":[],"content":"Montblanc Platinum Elegance White Gold Trim Pen Set","refusal":null,"role":"assistant"}}],"created":1777014160,"id":"chatcmpl-DY4qeQVybJpWdQLerC5otwYCPUoqt","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is>
      </c>
      <c r="K177" t="inlineStr">
        <is>
          <t>Montblanc Platinum Elegance White Gold Trim Pen Set</t>
        </is>
      </c>
      <c r="L177" t="inlineStr">
        <is>
          <t>{"choices":[{"finish_reason":"stop","index":0,"logprobs":null,"message":{"annotations":[],"content":"Montblanc Platinum Elegance Series Pen – white resin body with gold trims, crafted from premium materials, sleek business design, smooth writing flow, unisex vintage style, refined French craftsmanship.","refusal":null,"role":"assistant"}}],"created":1777013482,"id":"chatcmpl-DY4fifTdKSxamfCSKMCbX170EEcDn","model":"gpt-5-chat-latest","object":"chat.completion","service_tier":"default","system_fingerprint":"fp_ad66631dec","usage":{"completion_tokens":39,"completion_tokens_details":{"accepted_prediction_tokens":0,"audio_tokens":0,"reasoning_tokens":0,"rejected_prediction_tokens":0},"prompt_tokens":910,"prompt_tokens_details":{"audio_tokens":0,"cached_tokens":0},"total_tokens":949}}</t>
        </is>
      </c>
      <c r="M177" t="inlineStr">
        <is>
          <t>{"alt-svc":"h3=\":443\"; ma=2592000","apim-request-id":"d20b8a3e-13de-4aaf-a211-ba7d4f526122","azureml-model-session":"d20260402083108-57a85543","cache-control":"no-cache","connection":"close","content-length":"792","content-security-policy":"frame-ancestors 'self'","content-type":"application/json","date":"Fri, 24 Apr 2026 06:51:26 GMT","server":"nginx","skip-error-remapping":"true","strict-transport-security":"max-age=31536000; includeSubDomains; preload","via":"1.1 Caddy, 1.1 Caddy","x-api-request-id":"2026042414512213590062llBWIa5J","x-content-type-options":"nosniff","x-frame-options":"SAMEORIGIN","x-ms-client-request-id":"Not-Set","x-ms-is-spilled-over":"false","x-ms-rai-invoked":"true","x-ms-region":"East US 2","x-new-api-version":"0.4.39","x-oneapi-request-id":"202604240651216729319918268d9d6UzLrgtNV","x-ratelimit-abusepenalty-active":"False","x-ratelimit-limit-requests":"3850","x-ratelimit-limit-tokens":"3850000","x-ratelimit-remaining-requests":"3849","x-ratelimit-remaining-tokens":"3830951","x-ratelimit-renewalperiod-requests":"60","x-ratelimit-renewalperiod-tokens":"60","x-ratelimit-reset-requests":"15","x-ratelimit-reset-tokens":"296","x-request-id":"ca98640e-9d9f-4afd-9266-4757dc432fc6"}</t>
        </is>
      </c>
      <c r="N177" t="inlineStr">
        <is>
          <t>Montblanc Platinum Elegance Series Pen – white resin body with gold trims, crafted from premium materials, sleek business design, smooth writing flow, unisex vintage style, refined French craftsmanship.</t>
        </is>
      </c>
      <c r="O177"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1777015331,"id":"chatcmpl-DY59XrmOix9N4RpH45vkYcOc9uMI8","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77" t="inlineStr">
        <is>
          <t>Montblanc,Accessories,kakobuy,kakebuy2026,kekobuysheet,kakobuysheet2026,2026kakobuy,kakobuyspreadsheeet,kakobuylink,kakebuylist,Kakobuy MEGA Spreadsheet,kakobuysheetfind,kakobuysheetfind2026,2026kakobuysheetfind,kakobuysheet2026</t>
        </is>
      </c>
      <c r="Q177"/>
      <c r="R177" t="inlineStr">
        <is>
          <t>recvhju1CrFkvp</t>
        </is>
      </c>
      <c r="S177" t="inlineStr">
        <is>
          <t>montblanc-platinum-elegance-white-gold-trim-pen-set-recvhju1crfkvp</t>
        </is>
      </c>
      <c r="T177"/>
      <c r="U177"/>
      <c r="V177"/>
      <c r="W177" t="inlineStr">
        <is>
          <t>{"id":"chatcmpl-DY4BgEOUpgQvia6NvdZGfyh2WEIjx","object":"chat.completion","created":1777011620,"model":"gpt-5-chat-latest","choices":[{"index":0,"message":{"role":"assistant","content":"Montblanc：白金典雅系列钢笔，白色笔身搭配金色镶边，甄选高档树脂与金属材质，流线设计彰显商务格调，男女皆宜，经典复古风融合法式精致工艺，书写顺滑轻盈，尽显高雅品味。","refusal":null,"annotations":[]},"logprobs":null,"finish_reason":"stop"}],"usage":{"prompt_tokens":1299,"completion_tokens":77,"total_tokens":1376,"prompt_tokens_details":{"cached_tokens":1280,"audio_tokens":0},"completion_tokens_details":{"reasoning_tokens":0,"audio_tokens":0,"accepted_prediction_tokens":0,"rejected_prediction_tokens":0}},"service_tier":"default","system_fingerprint":"fp_ad66631dec"}</t>
        </is>
      </c>
      <c r="X177" t="inlineStr">
        <is>
          <t>Montblanc：白金典雅系列钢笔，白色笔身搭配金色镶边，甄选高档树脂与金属材质，流线设计彰显商务格调，男女皆宜，经典复古风融合法式精致工艺，书写顺滑轻盈，尽显高雅品味。</t>
        </is>
      </c>
    </row>
    <row r="178" ht="25.5" customHeight="1">
      <c r="A178">
        <v>1654975475</v>
      </c>
      <c r="B178">
        <v>7619151958</v>
      </c>
      <c r="C178" s="2" t="str">
        <f>=HYPERLINK("https://weidian.com/item.html?itemID=7619151958", "https://weidian.com/item.html?itemID=7619151958")</f>
        <v>https://weidian.com/item.html?itemID=7619151958</v>
      </c>
      <c r="D178"/>
      <c r="E178" s="2" t="str">
        <f>=HYPERLINK("https://si.geilicdn.com/pcitem2014204438-2f190000019abb5762230a239846_1440_1920.jpg?w=640&amp;h=640", "https://si.geilicdn.com/pcitem2014204438-2f190000019abb5762230a239846_1440_1920.jpg?w=640&amp;h=640")</f>
        <v>https://si.geilicdn.com/pcitem2014204438-2f190000019abb5762230a239846_1440_1920.jpg?w=640&amp;h=640</v>
      </c>
      <c r="F178" t="inlineStr">
        <is>
          <t>Accessories</t>
        </is>
      </c>
      <c r="G178" t="inlineStr">
        <is>
          <t>Cartier</t>
        </is>
      </c>
      <c r="H178">
        <v>360</v>
      </c>
      <c r="I178">
        <v>52.17</v>
      </c>
      <c r="J178" t="inlineStr">
        <is>
          <t>{"id":"chatcmpl-DY4tv1eOMMCmN8NALtGrjLOccWNAU","object":"chat.completion","created":1777014363,"model":"gpt-5-chat-latest","choices":[{"index":0,"message":{"role":"assistant","content":"Cartier Black Gold Luxury Signature Pen for Business","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178" t="inlineStr">
        <is>
          <t>Cartier Black Gold Luxury Signature Pen for Business</t>
        </is>
      </c>
      <c r="L178" t="inlineStr">
        <is>
          <t>{"id":"chatcmpl-DY4g3pNBALYpAxtaALTC2I3z638Fc","object":"chat.completion","created":1777013503,"model":"gpt-5-chat-latest","choices":[{"index":0,"message":{"role":"assistant","content":"Cartier Black Gold Signature Pen—sleek brass body with gold plating and glossy black lacquer finish, minimalist design exuding French elegance for men and women, perfect for premium business style.","refusal":null,"annotations":[]},"logprobs":null,"finish_reason":"stop"}],"usage":{"prompt_tokens":891,"completion_tokens":38,"total_tokens":929,"prompt_tokens_details":{"cached_tokens":0,"audio_tokens":0},"completion_tokens_details":{"reasoning_tokens":0,"audio_tokens":0,"accepted_prediction_tokens":0,"rejected_prediction_tokens":0}},"service_tier":"default","system_fingerprint":"fp_ad66631dec"}</t>
        </is>
      </c>
      <c r="M17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ma=2592000","apim-request-id":"5833db15-0dd5-4642-8475-a5354addaa09","azureml-model-session":"d20260405221325-2e8d5e76","cache-control":"no-cache, no-store, must-revalidate","connection":"close","content-length":"1003","content-security-policy":"frame-ancestors 'self'","content-type":"application/json","date":"Fri, 24 Apr 2026 06:51:44 GMT","server":"Caddy","skip-error-remapping":"true","strict-transport-security":"max-age=31536000; includeSubDomains; preload","via":"1.1 Caddy","x-api-request-id":"20260424145142369721612mmb0UoBc","x-content-type-options":"nosniff","x-frame-options":"SAMEORIGIN","x-ms-is-spilled-over":"false","x-ms-rai-invoked":"false","x-ms-region":"East US 2","x-new-api-version":"0.4.39","x-oneapi-request-id":"202604240651422454808228268d9d6dTr3mddv","x-ratelimit-abusepenalty-active":"False","x-ratelimit-limit-requests":"4992","x-ratelimit-limit-tokens":"4992000","x-ratelimit-remaining-requests":"4991","x-ratelimit-remaining-tokens":"4990347","x-ratelimit-renewalperiod-requests":"60","x-ratelimit-renewalperiod-tokens":"60","x-ratelimit-reset-requests":"12","x-ratelimit-reset-tokens":"19","x-request-id":"02094aaf-f632-4212-b277-eda3e7e08ca2"}</t>
        </is>
      </c>
      <c r="N178" t="inlineStr">
        <is>
          <t>Cartier Black Gold Signature Pen—sleek brass body with gold plating and glossy black lacquer finish, minimalist design exuding French elegance for men and women, perfect for premium business style.</t>
        </is>
      </c>
      <c r="O178" t="inlineStr">
        <is>
          <t>{"choices":[{"finish_reason":"stop","index":0,"logprobs":null,"message":{"annotations":[],"content":"Cartier,Accessories,kakobuy,kakebuy2026,kekobuysheet,kakobuysheet2026,2026kakobuy,kakobuyspreadsheeet,kakobuylink,kakebuylist,Kakobuy MEGA Spreadsheet,kakobuysheetfind,kakobuysheetfind2026,2026kakobuysheetfind,kakobuysheet2026","refusal":null,"role":"assistant"}}],"created":1777015290,"id":"chatcmpl-DY58sJS3x135QLCK9PGxt9MgvyeLl","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78" t="inlineStr">
        <is>
          <t>Cartier,Accessories,kakobuy,kakebuy2026,kekobuysheet,kakobuysheet2026,2026kakobuy,kakobuyspreadsheeet,kakobuylink,kakebuylist,Kakobuy MEGA Spreadsheet,kakobuysheetfind,kakobuysheetfind2026,2026kakobuysheetfind,kakobuysheet2026</t>
        </is>
      </c>
      <c r="Q178"/>
      <c r="R178" t="inlineStr">
        <is>
          <t>recvhju1CrGe6m</t>
        </is>
      </c>
      <c r="S178" t="inlineStr">
        <is>
          <t>cartier-black-gold-luxury-signature-pen-recvhju1CrGe6m</t>
        </is>
      </c>
      <c r="T178"/>
      <c r="U178"/>
      <c r="V178"/>
      <c r="W178" t="inlineStr">
        <is>
          <t>{"choices":[{"finish_reason":"stop","index":0,"logprobs":null,"message":{"annotations":[],"content":"Cartier：黑金配色签字笔，黄铜镀金笔身搭配黑色亮漆工艺，极简线条设计彰显优雅格调，男女皆宜，高级商务风格，尽显法式精致与品位。","refusal":null,"role":"assistant"}}],"created":1777011347,"id":"chatcmpl-DY47H6x0XW1coBc0o6F8yF0mkHvAv","model":"gpt-5-chat-latest","object":"chat.completion","service_tier":"default","system_fingerprint":"fp_ad66631dec","usage":{"completion_tokens":60,"completion_tokens_details":{"accepted_prediction_tokens":0,"audio_tokens":0,"reasoning_tokens":0,"rejected_prediction_tokens":0},"prompt_tokens":1295,"prompt_tokens_details":{"audio_tokens":0,"cached_tokens":0},"total_tokens":1355}}</t>
        </is>
      </c>
      <c r="X178" t="inlineStr">
        <is>
          <t>Cartier：黑金配色签字笔，黄铜镀金笔身搭配黑色亮漆工艺，极简线条设计彰显优雅格调，男女皆宜，高级商务风格，尽显法式精致与品位。</t>
        </is>
      </c>
    </row>
    <row r="179" ht="25.5" customHeight="1">
      <c r="A179">
        <v>1654975475</v>
      </c>
      <c r="B179">
        <v>7616141001</v>
      </c>
      <c r="C179" s="2" t="str">
        <f>=HYPERLINK("https://weidian.com/item.html?itemID=7616141001", "https://weidian.com/item.html?itemID=7616141001")</f>
        <v>https://weidian.com/item.html?itemID=7616141001</v>
      </c>
      <c r="D179"/>
      <c r="E179" s="2" t="str">
        <f>=HYPERLINK("https://si.geilicdn.com/pcitem2014204438-3bcd0000019abb3838f60a2315ef_1080_1080.jpg?w=640&amp;h=640", "https://si.geilicdn.com/pcitem2014204438-3bcd0000019abb3838f60a2315ef_1080_1080.jpg?w=640&amp;h=640")</f>
        <v>https://si.geilicdn.com/pcitem2014204438-3bcd0000019abb3838f60a2315ef_1080_1080.jpg?w=640&amp;h=640</v>
      </c>
      <c r="F179" t="inlineStr">
        <is>
          <t>Accessories</t>
        </is>
      </c>
      <c r="G179" t="inlineStr">
        <is>
          <t>Montblanc</t>
        </is>
      </c>
      <c r="H179">
        <v>460</v>
      </c>
      <c r="I179">
        <v>66.67</v>
      </c>
      <c r="J179" t="inlineStr">
        <is>
          <t>{"choices":[{"finish_reason":"stop","index":0,"logprobs":null,"message":{"annotations":[],"content":"Montblanc Black Engraved Platinum Limited Edition Pen","refusal":null,"role":"assistant"}}],"created":1777014506,"id":"chatcmpl-DY4wEUlb2jf0pexMxebkJKM85CYk2","model":"gpt-5-chat-latest","object":"chat.completion","service_tier":"default","system_fingerprint":"fp_ad66631dec","usage":{"completion_tokens":12,"completion_tokens_details":{"accepted_prediction_tokens":0,"audio_tokens":0,"reasoning_tokens":0,"rejected_prediction_tokens":0},"prompt_tokens":882,"prompt_tokens_details":{"audio_tokens":0,"cached_tokens":0},"total_tokens":894}}</t>
        </is>
      </c>
      <c r="K179" t="inlineStr">
        <is>
          <t>Montblanc Black Engraved Platinum Limited Edition Pen</t>
        </is>
      </c>
      <c r="L179" t="inlineStr">
        <is>
          <t>{"choices":[{"finish_reason":"stop","index":0,"logprobs":null,"message":{"annotations":[],"content":"Montblanc Black Engraved Limited Edition Pen crafted from premium resin and metal, featuring geometric patterns, platinum-plated details, and a sapphire-topped nib for timeless luxury and modern elegance.","refusal":null,"role":"assistant"}}],"created":1777013540,"id":"chatcmpl-DY4geKTXut6jIRrmehwhiUDraUqU1","model":"gpt-5-chat-latest","object":"chat.completion","service_tier":"default","system_fingerprint":"fp_ad66631dec","usage":{"completion_tokens":40,"completion_tokens_details":{"accepted_prediction_tokens":0,"audio_tokens":0,"reasoning_tokens":0,"rejected_prediction_tokens":0},"prompt_tokens":924,"prompt_tokens_details":{"audio_tokens":0,"cached_tokens":0},"total_tokens":964}}</t>
        </is>
      </c>
      <c r="M179" t="inlineStr">
        <is>
          <t>{"alt-svc":"h3=\":443\"; ma=2592000","apim-request-id":"73e44ac1-8b72-404d-b282-fb57ca81c05e","azureml-model-session":"d20260402083108-57a85543","cache-control":"no-cache","connection":"close","content-length":"792","content-security-policy":"frame-ancestors 'self'","content-type":"application/json","date":"Fri, 24 Apr 2026 06:52:21 GMT","server":"Caddy","skip-error-remapping":"true","strict-transport-security":"max-age=31536000; includeSubDomains; preload","via":"1.1 Caddy","x-api-request-id":"20260424145219432339090vkjo3S54","x-content-type-options":"nosniff","x-frame-options":"SAMEORIGIN","x-ms-client-request-id":"Not-Set","x-ms-is-spilled-over":"false","x-ms-rai-invoked":"true","x-ms-region":"East US 2","x-new-api-version":"0.4.39","x-oneapi-request-id":"202604240652188569296538268d9d6LStFNhv7","x-ratelimit-abusepenalty-active":"False","x-ratelimit-limit-requests":"3850","x-ratelimit-limit-tokens":"3850000","x-ratelimit-remaining-requests":"3849","x-ratelimit-remaining-tokens":"3848314","x-ratelimit-renewalperiod-requests":"60","x-ratelimit-renewalperiod-tokens":"60","x-ratelimit-reset-requests":"15","x-ratelimit-reset-tokens":"26","x-request-id":"aaa609db-ba12-4e9f-a055-b48532fb7567"}</t>
        </is>
      </c>
      <c r="N179" t="inlineStr">
        <is>
          <t>Montblanc Black Engraved Limited Edition Pen crafted from premium resin and metal, featuring geometric patterns, platinum-plated details, and a sapphire-topped nib for timeless luxury and modern elegance.</t>
        </is>
      </c>
      <c r="O179"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1777015310,"id":"chatcmpl-DY59CO7LzwtZC6pd0qkZyrmcjTpz6","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79" t="inlineStr">
        <is>
          <t>Montblanc,pen,kakobuy,kakebuy2026,kekobuysheet,kakobuysheet2026,2026kakobuy,kakobuyspreadsheeet,kakobuylink,kakebuylist,Kakobuy MEGA Spreadsheet,kakobuysheetfind,kakobuysheetfind2026,2026kakobuysheetfind,kakobuysheet2026</t>
        </is>
      </c>
      <c r="Q179"/>
      <c r="R179" t="inlineStr">
        <is>
          <t>recvhju1CrIS8u</t>
        </is>
      </c>
      <c r="S179" t="inlineStr">
        <is>
          <t>montblanc-black-engraved-platinum-pen-recvhju1crris8u</t>
        </is>
      </c>
      <c r="T179"/>
      <c r="U179"/>
      <c r="V179"/>
      <c r="W179" t="inlineStr">
        <is>
          <t>{"choices":[{"finish_reason":"stop","index":0,"logprobs":null,"message":{"annotations":[],"content":"Montblanc：黑色雕纹限量款钢笔，甄选高级树脂与金属材质，笔身镌刻精致几何图腾，镀铂配件彰显奢华格调，蓝宝石笔尖顶部设计典雅独特，适合商务人士与收藏爱好者，融合德式工艺美学与现代简约风范。","refusal":null,"role":"assistant"}}],"created":1777011493,"id":"chatcmpl-DY49dlnR60TemN7NTIqoSih6qdKzO","model":"gpt-5-chat-latest","object":"chat.completion","service_tier":"default","system_fingerprint":"fp_ad66631dec","usage":{"completion_tokens":89,"completion_tokens_details":{"accepted_prediction_tokens":0,"audio_tokens":0,"reasoning_tokens":0,"rejected_prediction_tokens":0},"prompt_tokens":1303,"prompt_tokens_details":{"audio_tokens":0,"cached_tokens":0},"total_tokens":1392}}</t>
        </is>
      </c>
      <c r="X179" t="inlineStr">
        <is>
          <t>Montblanc：黑色雕纹限量款钢笔，甄选高级树脂与金属材质，笔身镌刻精致几何图腾，镀铂配件彰显奢华格调，蓝宝石笔尖顶部设计典雅独特，适合商务人士与收藏爱好者，融合德式工艺美学与现代简约风范。</t>
        </is>
      </c>
    </row>
    <row r="180" ht="25.5" customHeight="1">
      <c r="A180">
        <v>1654975475</v>
      </c>
      <c r="B180">
        <v>7619083286</v>
      </c>
      <c r="C180" s="2" t="str">
        <f>=HYPERLINK("https://weidian.com/item.html?itemID=7619083286", "https://weidian.com/item.html?itemID=7619083286")</f>
        <v>https://weidian.com/item.html?itemID=7619083286</v>
      </c>
      <c r="D180"/>
      <c r="E180" s="2" t="str">
        <f>=HYPERLINK("https://si.geilicdn.com/pcitem2014204438-24ac0000019abb3987800a20e7c7_1080_1080.jpg?w=640&amp;h=640", "https://si.geilicdn.com/pcitem2014204438-24ac0000019abb3987800a20e7c7_1080_1080.jpg?w=640&amp;h=640")</f>
        <v>https://si.geilicdn.com/pcitem2014204438-24ac0000019abb3987800a20e7c7_1080_1080.jpg?w=640&amp;h=640</v>
      </c>
      <c r="F180" t="inlineStr">
        <is>
          <t>Accessories</t>
        </is>
      </c>
      <c r="G180" t="inlineStr">
        <is>
          <t>Montblanc</t>
        </is>
      </c>
      <c r="H180">
        <v>460</v>
      </c>
      <c r="I180">
        <v>66.67</v>
      </c>
      <c r="J180" t="inlineStr">
        <is>
          <t>{"id":"chatcmpl-DY4tXYRbdCKCSNudhWEmVlZxTZWjQ","object":"chat.completion","created":1777014339,"model":"gpt-5-chat-latest","choices":[{"index":0,"message":{"role":"assistant","content":"Montblanc Meisterstück Black Engraved Ballpoint Pen","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is>
      </c>
      <c r="K180" t="inlineStr">
        <is>
          <t>Montblanc Meisterstück Black Engraved Ballpoint Pen</t>
        </is>
      </c>
      <c r="L180" t="inlineStr">
        <is>
          <t>{"id":"chatcmpl-DY4dCkysnyKyarSo65kLMwUQCIZWc","object":"chat.completion","created":1777013326,"model":"gpt-5-chat-latest","choices":[{"index":0,"message":{"role":"assistant","content":"Montblanc Meisterstück Black Engraved Ballpoint Pen, crafted from premium steel and resin, features geometric motifs and a sapphire-crowned emblem—perfect for business elegance and artistic writing.","refusal":null,"annotations":[]},"logprobs":null,"finish_reason":"stop"}],"usage":{"prompt_tokens":908,"completion_tokens":39,"total_tokens":947,"prompt_tokens_details":{"cached_tokens":0,"audio_tokens":0},"completion_tokens_details":{"reasoning_tokens":0,"audio_tokens":0,"accepted_prediction_tokens":0,"rejected_prediction_tokens":0}},"service_tier":"default","system_fingerprint":"fp_ad66631dec"}</t>
        </is>
      </c>
      <c r="M18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ma=2592000","apim-request-id":"da1116ef-16cd-4b32-8528-25da430890c2","azureml-model-session":"d20260405225800-40f19e54","cache-control":"no-cache, no-store, must-revalidate","connection":"close","content-length":"1005","content-security-policy":"frame-ancestors 'self'","content-type":"application/json","date":"Fri, 24 Apr 2026 06:48:49 GMT","server":"nginx","skip-error-remapping":"true","strict-transport-security":"max-age=31536000; includeSubDomains; preload","via":"1.1 Caddy, 1.1 Caddy","x-api-request-id":"20260424144844226014051QBVkd4lC","x-content-type-options":"nosniff","x-frame-options":"SAMEORIGIN","x-ms-is-spilled-over":"false","x-ms-rai-invoked":"false","x-ms-region":"Sweden Central","x-new-api-version":"0.4.39","x-oneapi-request-id":"202604240648439510353068268d9d6UiaAYTJs","x-ratelimit-abusepenalty-active":"False","x-ratelimit-limit-requests":"4998","x-ratelimit-limit-tokens":"4998000","x-ratelimit-remaining-requests":"4997","x-ratelimit-remaining-tokens":"4996330","x-ratelimit-renewalperiod-requests":"60","x-ratelimit-renewalperiod-tokens":"60","x-ratelimit-reset-requests":"12","x-ratelimit-reset-tokens":"20","x-request-id":"57455656-6ed4-4d46-9367-6c8fc6b6604c"}</t>
        </is>
      </c>
      <c r="N180" t="inlineStr">
        <is>
          <t>Montblanc Meisterstück Black Engraved Ballpoint Pen, crafted from premium steel and resin, features geometric motifs and a sapphire-crowned emblem—perfect for business elegance and artistic writing.</t>
        </is>
      </c>
      <c r="O180" t="inlineStr">
        <is>
          <t>{"id":"chatcmpl-DY52cc27NLKNktZeZRTTO20oqjiJn","object":"chat.completion","created":1777014902,"model":"gpt-5-chat-latest","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80" t="inlineStr">
        <is>
          <t>Montblanc,Pen,kakobuy,kakebuy2026,kekobuysheet,kakobuysheet2026,2026kakobuy,kakobuyspreadsheeet,kakobuylink,kakebuylist,Kakobuy MEGA Spreadsheet,kakobuysheetfind,kakobuysheetfind2026,2026kakobuysheetfind,kakobuysheet2026</t>
        </is>
      </c>
      <c r="Q180"/>
      <c r="R180" t="inlineStr">
        <is>
          <t>recvhju1Cr6LcQ</t>
        </is>
      </c>
      <c r="S180" t="inlineStr">
        <is>
          <t>montblanc-meisterstuck-black-engraved-ballpoint-pen-recvhju1cr6lcq</t>
        </is>
      </c>
      <c r="T180"/>
      <c r="U180"/>
      <c r="V180"/>
      <c r="W180" t="inlineStr">
        <is>
          <t>{"choices":[{"finish_reason":"stop","index":0,"logprobs":null,"message":{"annotations":[],"content":"Montblanc：大班系列黑色雕纹圆珠笔，甄选精钢与树脂材质融合，笔身几何图腾设计彰显现代优雅，蓝宝石顶端点缀品牌印记，商务男士典范之选，集书写功能与艺术品味于一体。","refusal":null,"role":"assistant"}}],"created":1777011899,"id":"chatcmpl-DY4GBkTcoPQQ4EoGe2DWsOuIdvWLx","model":"gpt-5-chat-latest","object":"chat.completion","service_tier":"default","system_fingerprint":"fp_ad66631dec","usage":{"completion_tokens":73,"completion_tokens_details":{"accepted_prediction_tokens":0,"audio_tokens":0,"reasoning_tokens":0,"rejected_prediction_tokens":0},"prompt_tokens":1303,"prompt_tokens_details":{"audio_tokens":0,"cached_tokens":0},"total_tokens":1376}}</t>
        </is>
      </c>
      <c r="X180" t="inlineStr">
        <is>
          <t>Montblanc：大班系列黑色雕纹圆珠笔，甄选精钢与树脂材质融合，笔身几何图腾设计彰显现代优雅，蓝宝石顶端点缀品牌印记，商务男士典范之选，集书写功能与艺术品味于一体。</t>
        </is>
      </c>
    </row>
    <row r="181" ht="25.5" customHeight="1">
      <c r="A181">
        <v>1654975475</v>
      </c>
      <c r="B181">
        <v>7619051534</v>
      </c>
      <c r="C181" s="2" t="str">
        <f>=HYPERLINK("https://weidian.com/item.html?itemID=7619051534", "https://weidian.com/item.html?itemID=7619051534")</f>
        <v>https://weidian.com/item.html?itemID=7619051534</v>
      </c>
      <c r="D181"/>
      <c r="E181" s="2" t="str">
        <f>=HYPERLINK("https://si.geilicdn.com/pcitem2014204438-37090000019abb3f14d00a8133cc_1080_1080.jpg?w=640&amp;h=640", "https://si.geilicdn.com/pcitem2014204438-37090000019abb3f14d00a8133cc_1080_1080.jpg?w=640&amp;h=640")</f>
        <v>https://si.geilicdn.com/pcitem2014204438-37090000019abb3f14d00a8133cc_1080_1080.jpg?w=640&amp;h=640</v>
      </c>
      <c r="F181" t="inlineStr">
        <is>
          <t>Accessories</t>
        </is>
      </c>
      <c r="G181" t="inlineStr">
        <is>
          <t>Montblanc</t>
        </is>
      </c>
      <c r="H181">
        <v>460</v>
      </c>
      <c r="I181">
        <v>66.67</v>
      </c>
      <c r="J181" t="inlineStr">
        <is>
          <t>{"id":"chatcmpl-DY4tlXR6dp4T1SRk4lsYWETkUUST2","object":"chat.completion","created":1777014353,"model":"gpt-5-chat-latest","choices":[{"index":0,"message":{"role":"assistant","content":"Montblanc Blue Silver Platinum Plated Luxury Pen","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181" t="inlineStr">
        <is>
          <t>Montblanc Blue Silver Platinum Plated Luxury Pen</t>
        </is>
      </c>
      <c r="L181" t="inlineStr">
        <is>
          <t>{"choices":[{"finish_reason":"stop","index":0,"logprobs":null,"message":{"annotations":[],"content":"Montblanc Blue Silver Platinum-Plated Pen, featuring elegant engraved cap design, premium resin and metal texture, smooth writing performance, perfect for business or collection, showcasing timeless craftsmanship.","refusal":null,"role":"assistant"}}],"created":1777013481,"id":"chatcmpl-DY4fhHwGmWPlknOz2R4a2ylC8NH6K","model":"gpt-5-chat-latest","object":"chat.completion","service_tier":"default","system_fingerprint":"fp_ad66631dec","usage":{"completion_tokens":37,"completion_tokens_details":{"accepted_prediction_tokens":0,"audio_tokens":0,"reasoning_tokens":0,"rejected_prediction_tokens":0},"prompt_tokens":896,"prompt_tokens_details":{"audio_tokens":0,"cached_tokens":0},"total_tokens":933}}</t>
        </is>
      </c>
      <c r="M181" t="inlineStr">
        <is>
          <t>{"alt-svc":"h3=\":443\"; ma=2592000","apim-request-id":"c0e35512-eb2f-4def-9b9b-e68bd26cdfe3","azureml-model-session":"d20260402083108-57a85543","cache-control":"no-cache","connection":"close","content-length":"801","content-security-policy":"frame-ancestors 'self'","content-type":"application/json","date":"Fri, 24 Apr 2026 06:51:22 GMT","server":"Caddy","skip-error-remapping":"true","strict-transport-security":"max-age=31536000; includeSubDomains; preload","via":"1.1 Caddy","x-api-request-id":"20260424145120842097738EFR9FcEP","x-content-type-options":"nosniff","x-frame-options":"SAMEORIGIN","x-ms-client-request-id":"Not-Set","x-ms-is-spilled-over":"false","x-ms-rai-invoked":"true","x-ms-region":"East US 2","x-new-api-version":"0.4.39","x-oneapi-request-id":"202604240651204765744448268d9d6Mh6jlZI6","x-ratelimit-abusepenalty-active":"False","x-ratelimit-limit-requests":"3850","x-ratelimit-limit-tokens":"3850000","x-ratelimit-remaining-requests":"3849","x-ratelimit-remaining-tokens":"3848342","x-ratelimit-renewalperiod-requests":"60","x-ratelimit-renewalperiod-tokens":"60","x-ratelimit-reset-requests":"15","x-ratelimit-reset-tokens":"25","x-request-id":"819a92cf-ea23-4780-a6ad-054ee6af73d8"}</t>
        </is>
      </c>
      <c r="N181" t="inlineStr">
        <is>
          <t>Montblanc Blue Silver Platinum-Plated Pen, featuring elegant engraved cap design, premium resin and metal texture, smooth writing performance, perfect for business or collection, showcasing timeless craftsmanship.</t>
        </is>
      </c>
      <c r="O181"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1777015331,"id":"chatcmpl-DY59X6m97EChCefMn9N6nBJyyIOxm","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81" t="inlineStr">
        <is>
          <t>Montblanc,Accessories,kakobuy,kakebuy2026,kekobuysheet,kakobuysheet2026,2026kakobuy,kakobuyspreadsheeet,kakobuylink,kakebuylist,Kakobuy MEGA Spreadsheet,kakobuysheetfind,kakobuysheetfind2026,2026kakobuysheetfind,kakobuysheet2026</t>
        </is>
      </c>
      <c r="Q181"/>
      <c r="R181" t="inlineStr">
        <is>
          <t>recvhju1Cre8Uu</t>
        </is>
      </c>
      <c r="S181" t="inlineStr">
        <is>
          <t>montblanc-blue-silver-platinum-plated-luxury-pen-recvhju1cre8uu</t>
        </is>
      </c>
      <c r="T181"/>
      <c r="U181"/>
      <c r="V181"/>
      <c r="W181" t="inlineStr">
        <is>
          <t>{"choices":[{"finish_reason":"stop","index":0,"logprobs":null,"message":{"annotations":[],"content":"Montblanc 蓝银配色镀铂钢笔，优雅雕刻笔帽设计，甄选高端树脂与金属质感材质，书写顺滑流畅，商务与收藏皆宜，彰显精英品味与经典工艺。","refusal":null,"role":"assistant"}}],"created":1777011815,"id":"chatcmpl-DY4EpHY42ciXhf7EeSat3PdeC4Wni","model":"gpt-5-chat-latest","object":"chat.completion","service_tier":"default","system_fingerprint":"fp_ad66631dec","usage":{"completion_tokens":62,"completion_tokens_details":{"accepted_prediction_tokens":0,"audio_tokens":0,"reasoning_tokens":0,"rejected_prediction_tokens":0},"prompt_tokens":1301,"prompt_tokens_details":{"audio_tokens":0,"cached_tokens":0},"total_tokens":1363}}</t>
        </is>
      </c>
      <c r="X181" t="inlineStr">
        <is>
          <t>Montblanc 蓝银配色镀铂钢笔，优雅雕刻笔帽设计，甄选高端树脂与金属质感材质，书写顺滑流畅，商务与收藏皆宜，彰显精英品味与经典工艺。</t>
        </is>
      </c>
    </row>
    <row r="182" ht="25.5" customHeight="1">
      <c r="A182">
        <v>1654975475</v>
      </c>
      <c r="B182">
        <v>7619132066</v>
      </c>
      <c r="C182" s="2" t="str">
        <f>=HYPERLINK("https://weidian.com/item.html?itemID=7619132066", "https://weidian.com/item.html?itemID=7619132066")</f>
        <v>https://weidian.com/item.html?itemID=7619132066</v>
      </c>
      <c r="D182"/>
      <c r="E182" s="2" t="str">
        <f>=HYPERLINK("https://si.geilicdn.com/pcitem2014204438-34230000019abb4272ef0a20e284_1080_1080.jpg?w=640&amp;h=640", "https://si.geilicdn.com/pcitem2014204438-34230000019abb4272ef0a20e284_1080_1080.jpg?w=640&amp;h=640")</f>
        <v>https://si.geilicdn.com/pcitem2014204438-34230000019abb4272ef0a20e284_1080_1080.jpg?w=640&amp;h=640</v>
      </c>
      <c r="F182" t="inlineStr">
        <is>
          <t>Accessories</t>
        </is>
      </c>
      <c r="G182" t="inlineStr">
        <is>
          <t>Montblanc</t>
        </is>
      </c>
      <c r="H182">
        <v>460</v>
      </c>
      <c r="I182">
        <v>66.67</v>
      </c>
      <c r="J182" t="inlineStr">
        <is>
          <t>{"choices":[{"finish_reason":"stop","index":0,"logprobs":null,"message":{"annotations":[],"content":"Montblanc Classic Black Platinum Fountain Pen","refusal":null,"role":"assistant"}}],"created":1777014122,"id":"chatcmpl-DY4q253kYnhepe9wSLt7rnrUybYGE","model":"gpt-5-chat-latest","object":"chat.completion","service_tier":"default","system_fingerprint":"fp_ad66631dec","usage":{"completion_tokens":9,"completion_tokens_details":{"accepted_prediction_tokens":0,"audio_tokens":0,"reasoning_tokens":0,"rejected_prediction_tokens":0},"prompt_tokens":864,"prompt_tokens_details":{"audio_tokens":0,"cached_tokens":0},"total_tokens":873}}</t>
        </is>
      </c>
      <c r="K182" t="inlineStr">
        <is>
          <t>Montblanc Classic Black Platinum Fountain Pen</t>
        </is>
      </c>
      <c r="L182" t="inlineStr">
        <is>
          <t>{"choices":[{"finish_reason":"stop","index":0,"logprobs":null,"message":{"annotations":[],"content":"Montblanc Classic Black Resin Fountain Pen with Platinum-Coated Details – Smooth Writing, Timeless Elegance, the Perfect Luxury Pen for Business Professionals.","refusal":null,"role":"assistant"}}],"created":1777013557,"id":"chatcmpl-DY4gvp9jlsIvfZEpPrIN7zpc9OXxI","model":"gpt-5-chat-latest","object":"chat.completion","service_tier":"default","system_fingerprint":"fp_ad66631dec","usage":{"completion_tokens":31,"completion_tokens_details":{"accepted_prediction_tokens":0,"audio_tokens":0,"reasoning_tokens":0,"rejected_prediction_tokens":0},"prompt_tokens":876,"prompt_tokens_details":{"audio_tokens":0,"cached_tokens":0},"total_tokens":907}}</t>
        </is>
      </c>
      <c r="M182" t="inlineStr">
        <is>
          <t>{"alt-svc":"h3=\":443\"; ma=2592000","apim-request-id":"86ac0235-6ce1-4192-8a73-f3a296283559","azureml-model-session":"d20260402075109-1fc5a0ec","cache-control":"no-cache","connection":"close","content-length":"749","content-security-policy":"frame-ancestors 'self'","content-type":"application/json","date":"Fri, 24 Apr 2026 06:52:38 GMT","server":"nginx","skip-error-remapping":"true","strict-transport-security":"max-age=31536000; includeSubDomains; preload","via":"1.1 Caddy, 1.1 Caddy","x-api-request-id":"20260424145236237942591VYsGHOI5","x-content-type-options":"nosniff","x-frame-options":"SAMEORIGIN","x-ms-client-request-id":"Not-Set","x-ms-is-spilled-over":"false","x-ms-rai-invoked":"true","x-ms-region":"East US 2","x-new-api-version":"0.4.39","x-oneapi-request-id":"202604240652361248093158268d9d6sZJ78mWG","x-ratelimit-abusepenalty-active":"False","x-ratelimit-limit-requests":"3850","x-ratelimit-limit-tokens":"3850000","x-ratelimit-remaining-requests":"3849","x-ratelimit-remaining-tokens":"3848362","x-ratelimit-renewalperiod-requests":"60","x-ratelimit-renewalperiod-tokens":"60","x-ratelimit-reset-requests":"15","x-ratelimit-reset-tokens":"25","x-request-id":"429a284e-50d4-4fb8-bb76-ac114271880c"}</t>
        </is>
      </c>
      <c r="N182" t="inlineStr">
        <is>
          <t>Montblanc Classic Black Resin Fountain Pen with Platinum-Coated Details – Smooth Writing, Timeless Elegance, the Perfect Luxury Pen for Business Professionals.</t>
        </is>
      </c>
      <c r="O182" t="inlineStr">
        <is>
          <t>{"id":"chatcmpl-DY51LaCEPzrbogG7Vhw7PoFrZA1pi","object":"chat.completion","created":1777014823,"model":"gpt-5-chat-latest","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82" t="inlineStr">
        <is>
          <t>Montblanc,Accessories,kakobuy,kakebuy2026,kekobuysheet,kakobuysheet2026,2026kakobuy,kakobuyspreadsheeet,kakobuylink,kakebuylist,Kakobuy MEGA Spreadsheet,kakobuysheetfind,kakobuysheetfind2026,2026kakobuysheetfind,kakobuysheet2026</t>
        </is>
      </c>
      <c r="Q182"/>
      <c r="R182" t="inlineStr">
        <is>
          <t>recvhju1CrET9h</t>
        </is>
      </c>
      <c r="S182" t="inlineStr">
        <is>
          <t>montblanc-classic-black-platinum-fountain-pen-recvhju1cret9h</t>
        </is>
      </c>
      <c r="T182"/>
      <c r="U182"/>
      <c r="V182"/>
      <c r="W182" t="inlineStr">
        <is>
          <t>{"choices":[{"finish_reason":"stop","index":0,"logprobs":null,"message":{"annotations":[],"content":"Montblanc：经典黑色树脂钢笔，镀铂金细节设计，流畅书写体验与优雅气度并存，商务男士理想之选。","refusal":null,"role":"assistant"}}],"created":1777012015,"id":"chatcmpl-DY4I3hRBVyB2C9WOxLE67JEDNy7oK","model":"gpt-5-chat-latest","object":"chat.completion","service_tier":"default","system_fingerprint":"fp_ad66631dec","usage":{"completion_tokens":43,"completion_tokens_details":{"accepted_prediction_tokens":0,"audio_tokens":0,"reasoning_tokens":0,"rejected_prediction_tokens":0},"prompt_tokens":1299,"prompt_tokens_details":{"audio_tokens":0,"cached_tokens":0},"total_tokens":1342}}</t>
        </is>
      </c>
      <c r="X182" t="inlineStr">
        <is>
          <t>Montblanc：经典黑色树脂钢笔，镀铂金细节设计，流畅书写体验与优雅气度并存，商务男士理想之选。</t>
        </is>
      </c>
    </row>
    <row r="183" ht="25.5" customHeight="1">
      <c r="A183">
        <v>1654975475</v>
      </c>
      <c r="B183">
        <v>7616135045</v>
      </c>
      <c r="C183" s="2" t="str">
        <f>=HYPERLINK("https://weidian.com/item.html?itemID=7616135045", "https://weidian.com/item.html?itemID=7616135045")</f>
        <v>https://weidian.com/item.html?itemID=7616135045</v>
      </c>
      <c r="D183"/>
      <c r="E183" s="2" t="str">
        <f>=HYPERLINK("https://si.geilicdn.com/pcitem2014204438-364e0000019abb4154bc0a23057e_1080_1080.jpg?w=640&amp;h=640", "https://si.geilicdn.com/pcitem2014204438-364e0000019abb4154bc0a23057e_1080_1080.jpg?w=640&amp;h=640")</f>
        <v>https://si.geilicdn.com/pcitem2014204438-364e0000019abb4154bc0a23057e_1080_1080.jpg?w=640&amp;h=640</v>
      </c>
      <c r="F183" t="inlineStr">
        <is>
          <t>Accessories</t>
        </is>
      </c>
      <c r="G183" t="inlineStr">
        <is>
          <t>Montblanc</t>
        </is>
      </c>
      <c r="H183">
        <v>460</v>
      </c>
      <c r="I183">
        <v>66.67</v>
      </c>
      <c r="J183" t="inlineStr">
        <is>
          <t>{"choices":[{"finish_reason":"stop","index":0,"logprobs":null,"message":{"annotations":[],"content":"Montblanc Black Grid Platinum Signature Pen","refusal":null,"role":"assistant"}}],"created":1777014144,"id":"chatcmpl-DY4qOrOsPr8Vv0CdpY3183wrNgthH","model":"gpt-5-chat-latest","object":"chat.completion","service_tier":"default","system_fingerprint":"fp_ad66631dec","usage":{"completion_tokens":9,"completion_tokens_details":{"accepted_prediction_tokens":0,"audio_tokens":0,"reasoning_tokens":0,"rejected_prediction_tokens":0},"prompt_tokens":872,"prompt_tokens_details":{"audio_tokens":0,"cached_tokens":0},"total_tokens":881}}</t>
        </is>
      </c>
      <c r="K183" t="inlineStr">
        <is>
          <t>Montblanc Black Grid Platinum Signature Pen</t>
        </is>
      </c>
      <c r="L183" t="inlineStr">
        <is>
          <t>{"choices":[{"finish_reason":"stop","index":0,"logprobs":null,"message":{"annotations":[],"content":"Montblanc Black Grid Signature Pen – crafted from high-gloss resin with platinum-coated accents, exuding modern elegance and professional charm, perfect for both men and women.","refusal":null,"role":"assistant"}}],"created":1777013404,"id":"chatcmpl-DY4eSC9qhXKwpF1m090t3AM79Bln6","model":"gpt-5-chat-latest","object":"chat.completion","service_tier":"default","system_fingerprint":"fp_ad66631dec","usage":{"completion_tokens":35,"completion_tokens_details":{"accepted_prediction_tokens":0,"audio_tokens":0,"reasoning_tokens":0,"rejected_prediction_tokens":0},"prompt_tokens":890,"prompt_tokens_details":{"audio_tokens":0,"cached_tokens":0},"total_tokens":925}}</t>
        </is>
      </c>
      <c r="M183" t="inlineStr">
        <is>
          <t>{"alt-svc":"h3=\":443\"; ma=2592000","apim-request-id":"1ef00058-b8f2-45f3-bdba-d1c63c763475","azureml-model-session":"d20260402075109-1fc5a0ec","cache-control":"no-cache","connection":"close","content-length":"766","content-security-policy":"frame-ancestors 'self'","content-type":"application/json","date":"Fri, 24 Apr 2026 06:50:07 GMT","server":"nginx","skip-error-remapping":"true","strict-transport-security":"max-age=31536000; includeSubDomains; preload","via":"1.1 Caddy, 1.1 Caddy","x-api-request-id":"20260424145003507820649WIsKLpQx","x-content-type-options":"nosniff","x-frame-options":"SAMEORIGIN","x-ms-client-request-id":"Not-Set","x-ms-is-spilled-over":"false","x-ms-rai-invoked":"true","x-ms-region":"East US 2","x-new-api-version":"0.4.39","x-oneapi-request-id":"202604240650034151639798268d9d6kpv0VVfb","x-ratelimit-abusepenalty-active":"False","x-ratelimit-limit-requests":"3850","x-ratelimit-limit-tokens":"3850000","x-ratelimit-remaining-requests":"3849","x-ratelimit-remaining-tokens":"3607989","x-ratelimit-renewalperiod-requests":"60","x-ratelimit-renewalperiod-tokens":"60","x-ratelimit-reset-requests":"15","x-ratelimit-reset-tokens":"3771","x-request-id":"4ee184a0-1528-47c5-bafe-a12ff8dd05d1"}</t>
        </is>
      </c>
      <c r="N183" t="inlineStr">
        <is>
          <t>Montblanc Black Grid Signature Pen – crafted from high-gloss resin with platinum-coated accents, exuding modern elegance and professional charm, perfect for both men and women.</t>
        </is>
      </c>
      <c r="O183" t="inlineStr">
        <is>
          <t>{"id":"chatcmpl-DY58ikqVslntADvD7KNBNW5UpzZ8h","object":"chat.completion","created":1777015280,"model":"gpt-5-chat-latest","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83" t="inlineStr">
        <is>
          <t>Montblanc,Pen,kakobuy,kakebuy2026,kekobuysheet,kakobuysheet2026,2026kakobuy,kakobuyspreadsheeet,kakobuylink,kakebuylist,Kakobuy MEGA Spreadsheet,kakobuysheetfind,kakobuysheetfind2026,2026kakobuysheetfind,kakobuysheet2026</t>
        </is>
      </c>
      <c r="Q183"/>
      <c r="R183" t="inlineStr">
        <is>
          <t>recvhju1CrJ8Wh</t>
        </is>
      </c>
      <c r="S183" t="inlineStr">
        <is>
          <t>montblanc-black-grid-platinum-signature-pen-recvhju1crj8wh</t>
        </is>
      </c>
      <c r="T183"/>
      <c r="U183"/>
      <c r="V183"/>
      <c r="W183" t="inlineStr">
        <is>
          <t>{"choices":[{"finish_reason":"stop","index":0,"logprobs":null,"message":{"annotations":[],"content":"Montblanc：黑色格纹系列签字笔，甄选高光树脂搭配铂金镀层设计，沉稳商务风格，男女皆宜，优雅书写体验，展现现代绅士品味。","refusal":null,"role":"assistant"}}],"created":1777011519,"id":"chatcmpl-DY4A3ChJmNVm2lrrVwwQMb75SSXFk","model":"gpt-5-chat-latest","object":"chat.completion","service_tier":"default","system_fingerprint":"fp_ad66631dec","usage":{"completion_tokens":56,"completion_tokens_details":{"accepted_prediction_tokens":0,"audio_tokens":0,"reasoning_tokens":0,"rejected_prediction_tokens":0},"prompt_tokens":1301,"prompt_tokens_details":{"audio_tokens":0,"cached_tokens":0},"total_tokens":1357}}</t>
        </is>
      </c>
      <c r="X183" t="inlineStr">
        <is>
          <t>Montblanc：黑色格纹系列签字笔，甄选高光树脂搭配铂金镀层设计，沉稳商务风格，男女皆宜，优雅书写体验，展现现代绅士品味。</t>
        </is>
      </c>
    </row>
    <row r="184" ht="25.5" customHeight="1">
      <c r="A184">
        <v>1654975475</v>
      </c>
      <c r="B184">
        <v>7616123285</v>
      </c>
      <c r="C184" s="2" t="str">
        <f>=HYPERLINK("https://weidian.com/item.html?itemID=7616123285", "https://weidian.com/item.html?itemID=7616123285")</f>
        <v>https://weidian.com/item.html?itemID=7616123285</v>
      </c>
      <c r="D184"/>
      <c r="E184" s="2" t="str">
        <f>=HYPERLINK("https://si.geilicdn.com/pcitem2014204438-36540000019abb4a69780a23047e_1080_1440.jpg?w=640&amp;h=640", "https://si.geilicdn.com/pcitem2014204438-36540000019abb4a69780a23047e_1080_1440.jpg?w=640&amp;h=640")</f>
        <v>https://si.geilicdn.com/pcitem2014204438-36540000019abb4a69780a23047e_1080_1440.jpg?w=640&amp;h=640</v>
      </c>
      <c r="F184" t="inlineStr">
        <is>
          <t>Accessories</t>
        </is>
      </c>
      <c r="G184" t="inlineStr">
        <is>
          <t>Montblanc</t>
        </is>
      </c>
      <c r="H184">
        <v>460</v>
      </c>
      <c r="I184">
        <v>66.67</v>
      </c>
      <c r="J184" t="inlineStr">
        <is>
          <t>{"choices":[{"finish_reason":"stop","index":0,"logprobs":null,"message":{"annotations":[],"content":"Montblanc Heritage Blue Limited Edition Fountain Pen","refusal":null,"role":"assistant"}}],"created":1777014185,"id":"chatcmpl-DY4r3NZknWhHRvxeO687L4jVUlSiV","model":"gpt-5-chat-latest","object":"chat.completion","service_tier":"default","system_fingerprint":"fp_ad66631dec","usage":{"completion_tokens":10,"completion_tokens_details":{"accepted_prediction_tokens":0,"audio_tokens":0,"reasoning_tokens":0,"rejected_prediction_tokens":0},"prompt_tokens":872,"prompt_tokens_details":{"audio_tokens":0,"cached_tokens":0},"total_tokens":882}}</t>
        </is>
      </c>
      <c r="K184" t="inlineStr">
        <is>
          <t>Montblanc Heritage Blue Limited Edition Fountain Pen</t>
        </is>
      </c>
      <c r="L184" t="inlineStr">
        <is>
          <t>{"id":"chatcmpl-DY4cTc2AYcEFhMTUXOAb6Ein7e7IP","object":"chat.completion","created":1777013281,"model":"gpt-5-chat-latest","choices":[{"index":0,"message":{"role":"assistant","content":"Montblanc Heritage Blue Limited Edition Pen, crafted in fine resin with platinum-coated cap and engraved motif, offers smooth German precision writing—ideal for business and gift collections.","refusal":null,"annotations":[]},"logprobs":null,"finish_reason":"stop"}],"usage":{"prompt_tokens":900,"completion_tokens":35,"total_tokens":935,"prompt_tokens_details":{"cached_tokens":0,"audio_tokens":0},"completion_tokens_details":{"reasoning_tokens":0,"audio_tokens":0,"accepted_prediction_tokens":0,"rejected_prediction_tokens":0}},"service_tier":"default","system_fingerprint":"fp_ad66631dec"}</t>
        </is>
      </c>
      <c r="M18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ma=2592000","apim-request-id":"d242865d-e0ee-493b-a987-264c6f00c98c","azureml-model-session":"d20260402083108-57a85543","cache-control":"no-cache, no-store, must-revalidate","connection":"close","content-length":"997","content-security-policy":"frame-ancestors 'self'","content-type":"application/json","date":"Fri, 24 Apr 2026 06:48:03 GMT","server":"nginx","skip-error-remapping":"true","strict-transport-security":"max-age=31536000; includeSubDomains; preload","via":"1.1 Caddy, 1.1 Caddy","x-api-request-id":"20260424144759463432297ORvwhICi","x-content-type-options":"nosniff","x-frame-options":"SAMEORIGIN","x-ms-is-spilled-over":"false","x-ms-rai-invoked":"false","x-ms-region":"East US 2","x-new-api-version":"0.4.39","x-oneapi-request-id":"202604240647592523969498268d9d610FrCuG8","x-ratelimit-abusepenalty-active":"False","x-ratelimit-limit-requests":"4992","x-ratelimit-limit-tokens":"4992000","x-ratelimit-remaining-requests":"4991","x-ratelimit-remaining-tokens":"4990338","x-ratelimit-renewalperiod-requests":"60","x-ratelimit-renewalperiod-tokens":"60","x-ratelimit-reset-requests":"12","x-ratelimit-reset-tokens":"19","x-request-id":"8296dada-6cae-4993-997b-f07fa88f2e3c"}</t>
        </is>
      </c>
      <c r="N184" t="inlineStr">
        <is>
          <t>Montblanc Heritage Blue Limited Edition Pen, crafted in fine resin with platinum-coated cap and engraved motif, offers smooth German precision writing—ideal for business and gift collections.</t>
        </is>
      </c>
      <c r="O184"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1777015020,"id":"chatcmpl-DY54WI11ZXEaDEcvJTGcMAeRY03cv","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84" t="inlineStr">
        <is>
          <t>Montblanc,Accessories,kakobuy,kakebuy2026,kekobuysheet,kakobuysheet2026,2026kakobuy,kakobuyspreadsheeet,kakobuylink,kakebuylist,Kakobuy MEGA Spreadsheet,kakobuysheetfind,kakobuysheetfind2026,2026kakobuysheetfind,kakobuysheet2026</t>
        </is>
      </c>
      <c r="Q184"/>
      <c r="R184" t="inlineStr">
        <is>
          <t>recvhju1CrEXtK</t>
        </is>
      </c>
      <c r="S184" t="inlineStr">
        <is>
          <t>montblanc-heritage-blue-limited-edition-fountain-pen-recvhju1crextk</t>
        </is>
      </c>
      <c r="T184"/>
      <c r="U184"/>
      <c r="V184"/>
      <c r="W184" t="inlineStr">
        <is>
          <t>{"choices":[{"finish_reason":"stop","index":0,"logprobs":null,"message":{"annotations":[],"content":"Montblanc：传承系列深蓝色限量款钢笔，高级树脂笔身搭配镀铂金属笔帽，雕刻图腾设计彰显典雅格调，德式精工书写顺滑流畅，男女皆宜收藏与商务馈赠首选。","refusal":null,"role":"assistant"}}],"created":1777011599,"id":"chatcmpl-DY4BLIIcxSWAHyUQ5guH1l2jwJlRp","model":"gpt-5-chat-latest","object":"chat.completion","service_tier":"default","system_fingerprint":"fp_ad66631dec","usage":{"completion_tokens":67,"completion_tokens_details":{"accepted_prediction_tokens":0,"audio_tokens":0,"reasoning_tokens":0,"rejected_prediction_tokens":0},"prompt_tokens":1299,"prompt_tokens_details":{"audio_tokens":0,"cached_tokens":0},"total_tokens":1366}}</t>
        </is>
      </c>
      <c r="X184" t="inlineStr">
        <is>
          <t>Montblanc：传承系列深蓝色限量款钢笔，高级树脂笔身搭配镀铂金属笔帽，雕刻图腾设计彰显典雅格调，德式精工书写顺滑流畅，男女皆宜收藏与商务馈赠首选。</t>
        </is>
      </c>
    </row>
    <row r="185" ht="25.5" customHeight="1">
      <c r="A185">
        <v>1654975475</v>
      </c>
      <c r="B185">
        <v>7616152147</v>
      </c>
      <c r="C185" s="2" t="str">
        <f>=HYPERLINK("https://weidian.com/item.html?itemID=7616152147", "https://weidian.com/item.html?itemID=7616152147")</f>
        <v>https://weidian.com/item.html?itemID=7616152147</v>
      </c>
      <c r="D185"/>
      <c r="E185" s="2" t="str">
        <f>=HYPERLINK("https://si.geilicdn.com/pcitem2014204438-31080000019abb4c0abc0a20e672_1080_1440.jpg?w=640&amp;h=640", "https://si.geilicdn.com/pcitem2014204438-31080000019abb4c0abc0a20e672_1080_1440.jpg?w=640&amp;h=640")</f>
        <v>https://si.geilicdn.com/pcitem2014204438-31080000019abb4c0abc0a20e672_1080_1440.jpg?w=640&amp;h=640</v>
      </c>
      <c r="F185" t="inlineStr">
        <is>
          <t>Accessories</t>
        </is>
      </c>
      <c r="G185" t="inlineStr">
        <is>
          <t>Cartier</t>
        </is>
      </c>
      <c r="H185">
        <v>460</v>
      </c>
      <c r="I185">
        <v>66.67</v>
      </c>
      <c r="J185" t="inlineStr">
        <is>
          <t>{"id":"chatcmpl-DY4sLyxvSPEEiOGCi3DaXrlfKvfxT","object":"chat.completion","created":1777014265,"model":"gpt-5-chat-latest","choices":[{"index":0,"message":{"role":"assistant","content":"Cartier Classic Black Gold Luxury Signature Pen","refusal":null,"annotations":[]},"logprobs":null,"finish_reason":"stop"}],"usage":{"prompt_tokens":877,"completion_tokens":9,"total_tokens":886,"prompt_tokens_details":{"cached_tokens":0,"audio_tokens":0},"completion_tokens_details":{"reasoning_tokens":0,"audio_tokens":0,"accepted_prediction_tokens":0,"rejected_prediction_tokens":0}},"service_tier":"default","system_fingerprint":"fp_ad66631dec"}</t>
        </is>
      </c>
      <c r="K185" t="inlineStr">
        <is>
          <t>Cartier Classic Black Gold Luxury Signature Pen</t>
        </is>
      </c>
      <c r="L185" t="inlineStr">
        <is>
          <t>{"choices":[{"finish_reason":"stop","index":0,"logprobs":null,"message":{"annotations":[],"content":"Cartier Classic Black Gold Engraved Signature Pen, crafted in stainless steel and gold-plated finish, sleek design, smooth writing, elegant for men and women, luxury business style.","refusal":null,"role":"assistant"}}],"created":1777013410,"id":"chatcmpl-DY4eYqUa16XJv6211J1BNicQkjKUG","model":"gpt-5-chat-latest","object":"chat.completion","service_tier":"default","system_fingerprint":"fp_ad66631dec","usage":{"completion_tokens":38,"completion_tokens_details":{"accepted_prediction_tokens":0,"audio_tokens":0,"reasoning_tokens":0,"rejected_prediction_tokens":0},"prompt_tokens":896,"prompt_tokens_details":{"audio_tokens":0,"cached_tokens":0},"total_tokens":934}}</t>
        </is>
      </c>
      <c r="M185" t="inlineStr">
        <is>
          <t>{"alt-svc":"h3=\":443\"; ma=2592000","apim-request-id":"a4c18479-19c3-4662-8994-46a6ac0e420e","azureml-model-session":"d20260405234249-f9874baf","cache-control":"no-cache","connection":"close","content-length":"769","content-security-policy":"frame-ancestors 'self'","content-type":"application/json","date":"Fri, 24 Apr 2026 06:50:11 GMT","server":"Caddy","skip-error-remapping":"true","strict-transport-security":"max-age=31536000; includeSubDomains; preload","via":"1.1 Caddy","x-api-request-id":"2026042414500951789239ydaAL47o","x-content-type-options":"nosniff","x-frame-options":"SAMEORIGIN","x-ms-client-request-id":"Not-Set","x-ms-is-spilled-over":"false","x-ms-rai-invoked":"true","x-ms-region":"East US 2","x-new-api-version":"0.4.39","x-oneapi-request-id":"202604240650085232414598268d9d6lqI2QQ8X","x-ratelimit-abusepenalty-active":"False","x-ratelimit-limit-requests":"3850","x-ratelimit-limit-tokens":"3850000","x-ratelimit-remaining-requests":"3849","x-ratelimit-remaining-tokens":"3766182","x-ratelimit-renewalperiod-requests":"60","x-ratelimit-renewalperiod-tokens":"60","x-ratelimit-reset-requests":"15","x-ratelimit-reset-tokens":"1306","x-request-id":"e4ff84ba-3876-4dac-9e85-c35063ecd587"}</t>
        </is>
      </c>
      <c r="N185" t="inlineStr">
        <is>
          <t>Cartier Classic Black Gold Engraved Signature Pen, crafted in stainless steel and gold-plated finish, sleek design, smooth writing, elegant for men and women, luxury business style.</t>
        </is>
      </c>
      <c r="O185" t="inlineStr">
        <is>
          <t>{"choices":[{"finish_reason":"stop","index":0,"logprobs":null,"message":{"annotations":[],"content":"Cartier,Accessories,kakobuy,kakebuy2026,kekobuysheet,kakobuysheet2026,2026kakobuy,kakobuyspreadsheeet,kakobuylink,kakebuylist,Kakobuy MEGA Spreadsheet,kakobuysheetfind,kakobuysheetfind2026,2026kakobuysheetfind,kakobuysheet2026","refusal":null,"role":"assistant"}}],"created":1777015132,"id":"chatcmpl-DY56K4FeCvHHFdg4JTFzN2z3nc0XZ","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85" t="inlineStr">
        <is>
          <t>Cartier,Accessories,kakobuy,kakebuy2026,kekobuysheet,kakobuysheet2026,2026kakobuy,kakobuyspreadsheeet,kakobuylink,kakebuylist,Kakobuy MEGA Spreadsheet,kakobuysheetfind,kakobuysheetfind2026,2026kakobuysheetfind,kakobuysheet2026</t>
        </is>
      </c>
      <c r="Q185"/>
      <c r="R185" t="inlineStr">
        <is>
          <t>recvhju1CrfL8G</t>
        </is>
      </c>
      <c r="S185" t="inlineStr">
        <is>
          <t>cartier-black-gold-luxury-pen-recvhju1crfl8g</t>
        </is>
      </c>
      <c r="T185"/>
      <c r="U185"/>
      <c r="V185"/>
      <c r="W185" t="inlineStr">
        <is>
          <t>{"choices":[{"finish_reason":"stop","index":0,"logprobs":null,"message":{"annotations":[],"content":"Cartier：经典黑金雕花签字笔，采用精钢与镀金材质，流线型笔身设计高贵典雅，书写顺滑细腻，男女皆宜，现代商务风格，彰显尊贵品味与非凡格调。","refusal":null,"role":"assistant"}}],"created":1777011872,"id":"chatcmpl-DY4FkNuzOof4loBEZGEYyFXHMCK60","model":"gpt-5-chat-latest","object":"chat.completion","service_tier":"default","system_fingerprint":"fp_ad66631dec","usage":{"completion_tokens":63,"completion_tokens_details":{"accepted_prediction_tokens":0,"audio_tokens":0,"reasoning_tokens":0,"rejected_prediction_tokens":0},"prompt_tokens":1299,"prompt_tokens_details":{"audio_tokens":0,"cached_tokens":0},"total_tokens":1362}}</t>
        </is>
      </c>
      <c r="X185" t="inlineStr">
        <is>
          <t>Cartier：经典黑金雕花签字笔，采用精钢与镀金材质，流线型笔身设计高贵典雅，书写顺滑细腻，男女皆宜，现代商务风格，彰显尊贵品味与非凡格调。</t>
        </is>
      </c>
    </row>
    <row r="186" ht="25.5" customHeight="1">
      <c r="A186">
        <v>1654975475</v>
      </c>
      <c r="B186">
        <v>7616107351</v>
      </c>
      <c r="C186" s="2" t="str">
        <f>=HYPERLINK("https://weidian.com/item.html?itemID=7616107351", "https://weidian.com/item.html?itemID=7616107351")</f>
        <v>https://weidian.com/item.html?itemID=7616107351</v>
      </c>
      <c r="D186"/>
      <c r="E186" s="2" t="str">
        <f>=HYPERLINK("https://si.geilicdn.com/pcitem2014204438-37f90000019abb4e54890a20e284_1440_1440.jpg?w=640&amp;h=640", "https://si.geilicdn.com/pcitem2014204438-37f90000019abb4e54890a20e284_1440_1440.jpg?w=640&amp;h=640")</f>
        <v>https://si.geilicdn.com/pcitem2014204438-37f90000019abb4e54890a20e284_1440_1440.jpg?w=640&amp;h=640</v>
      </c>
      <c r="F186" t="inlineStr">
        <is>
          <t>Accessories</t>
        </is>
      </c>
      <c r="G186" t="inlineStr">
        <is>
          <t>Montblanc</t>
        </is>
      </c>
      <c r="H186">
        <v>460</v>
      </c>
      <c r="I186">
        <v>66.67</v>
      </c>
      <c r="J186" t="inlineStr">
        <is>
          <t>{"id":"chatcmpl-DY4w2BrHdKnNFiaYkNlUt5cjk2Xcn","object":"chat.completion","created":1777014494,"model":"gpt-5-chat-latest","choices":[{"index":0,"message":{"role":"assistant","content":"Montblanc Black Gold Signature Luxury Ballpoint Pen","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186" t="inlineStr">
        <is>
          <t>Montblanc Black Gold Signature Luxury Ballpoint Pen</t>
        </is>
      </c>
      <c r="L186" t="inlineStr">
        <is>
          <t>{"id":"chatcmpl-DY4h3SbUU5gxiddc5CSp6UJERmEOk","object":"chat.completion","created":1777013565,"model":"gpt-5-chat-latest","choices":[{"index":0,"message":{"role":"assistant","content":"Montblanc Black Gold Series Signature Pen, featuring a metal body with black resin and engraved geometric patterns, offers smooth writing, timeless elegance, and luxury appeal for both business and collectors.","refusal":null,"annotations":[]},"logprobs":null,"finish_reason":"stop"}],"usage":{"prompt_tokens":898,"completion_tokens":38,"total_tokens":936,"prompt_tokens_details":{"cached_tokens":0,"audio_tokens":0},"completion_tokens_details":{"reasoning_tokens":0,"audio_tokens":0,"accepted_prediction_tokens":0,"rejected_prediction_tokens":0}},"service_tier":"default","system_fingerprint":"fp_ad66631dec"}</t>
        </is>
      </c>
      <c r="M18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ma=2592000","apim-request-id":"639ca9e8-47b7-40d7-bfdd-cf3a044b8b29","azureml-model-session":"d20260402074105-51db401e","cache-control":"no-cache, no-store, must-revalidate","connection":"close","content-length":"1013","content-security-policy":"frame-ancestors 'self'","content-type":"application/json","date":"Fri, 24 Apr 2026 06:52:48 GMT","server":"Caddy","skip-error-remapping":"true","strict-transport-security":"max-age=31536000; includeSubDomains; preload","via":"1.1 Caddy","x-api-request-id":"20260424145244423307878xw1zZo6d","x-content-type-options":"nosniff","x-frame-options":"SAMEORIGIN","x-ms-is-spilled-over":"false","x-ms-rai-invoked":"false","x-ms-region":"Sweden Central","x-new-api-version":"0.4.39","x-oneapi-request-id":"202604240652441835768828268d9d68RcBozi1","x-ratelimit-abusepenalty-active":"False","x-ratelimit-limit-requests":"4998","x-ratelimit-limit-tokens":"4998000","x-ratelimit-remaining-requests":"4997","x-ratelimit-remaining-tokens":"4996340","x-ratelimit-renewalperiod-requests":"60","x-ratelimit-renewalperiod-tokens":"60","x-ratelimit-reset-requests":"12","x-ratelimit-reset-tokens":"19","x-request-id":"ec8838ed-a467-447f-ad10-70a2b4c6e790"}</t>
        </is>
      </c>
      <c r="N186" t="inlineStr">
        <is>
          <t>Montblanc Black Gold Series Signature Pen, featuring a metal body with black resin and engraved geometric patterns, offers smooth writing, timeless elegance, and luxury appeal for both business and collectors.</t>
        </is>
      </c>
      <c r="O186" t="inlineStr">
        <is>
          <t>{"id":"chatcmpl-DY53DdPdopcJyKJSlS2706JEMeXAt","object":"chat.completion","created":1777014939,"model":"gpt-5-chat-latest","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86" t="inlineStr">
        <is>
          <t>Montblanc,Accessories,kakobuy,kakebuy2026,kekobuysheet,kakobuysheet2026,2026kakobuy,kakobuyspreadsheeet,kakobuylink,kakebuylist,Kakobuy MEGA Spreadsheet,kakobuysheetfind,kakobuysheetfind2026,2026kakobuysheetfind,kakobuysheet2026</t>
        </is>
      </c>
      <c r="Q186"/>
      <c r="R186" t="inlineStr">
        <is>
          <t>recvhju1CrvxRm</t>
        </is>
      </c>
      <c r="S186" t="inlineStr">
        <is>
          <t>montblanc-black-gold-signature-ballpoint-recvhju1crvxrm</t>
        </is>
      </c>
      <c r="T186"/>
      <c r="U186"/>
      <c r="V186"/>
      <c r="W186" t="inlineStr">
        <is>
          <t>{"choices":[{"finish_reason":"stop","index":0,"logprobs":null,"message":{"annotations":[],"content":"Montblanc：黑金系列签字笔，金属笔身搭配黑色树脂，雕刻几何纹饰尽显典雅格调，流畅书写体验，商务与收藏皆宜，男女皆可使用，彰显精致品味与艺术之美。","refusal":null,"role":"assistant"}}],"created":1777011424,"id":"chatcmpl-DY48W43zYDQ9wnd4PqnwBz4hdd6CX","model":"gpt-5-chat-latest","object":"chat.completion","service_tier":"default","system_fingerprint":"fp_ad66631dec","usage":{"completion_tokens":64,"completion_tokens_details":{"accepted_prediction_tokens":0,"audio_tokens":0,"reasoning_tokens":0,"rejected_prediction_tokens":0},"prompt_tokens":1301,"prompt_tokens_details":{"audio_tokens":0,"cached_tokens":0},"total_tokens":1365}}</t>
        </is>
      </c>
      <c r="X186" t="inlineStr">
        <is>
          <t>Montblanc：黑金系列签字笔，金属笔身搭配黑色树脂，雕刻几何纹饰尽显典雅格调，流畅书写体验，商务与收藏皆宜，男女皆可使用，彰显精致品味与艺术之美。</t>
        </is>
      </c>
    </row>
    <row r="187" ht="25.5" customHeight="1">
      <c r="A187">
        <v>1654975475</v>
      </c>
      <c r="B187">
        <v>7619069540</v>
      </c>
      <c r="C187" s="2" t="str">
        <f>=HYPERLINK("https://weidian.com/item.html?itemID=7619069540", "https://weidian.com/item.html?itemID=7619069540")</f>
        <v>https://weidian.com/item.html?itemID=7619069540</v>
      </c>
      <c r="D187"/>
      <c r="E187" s="2" t="str">
        <f>=HYPERLINK("https://si.geilicdn.com/pcitem2014204438-34d00000019abb56f5d00a20e672_1440_1920.jpg?w=640&amp;h=640", "https://si.geilicdn.com/pcitem2014204438-34d00000019abb56f5d00a20e672_1440_1920.jpg?w=640&amp;h=640")</f>
        <v>https://si.geilicdn.com/pcitem2014204438-34d00000019abb56f5d00a20e672_1440_1920.jpg?w=640&amp;h=640</v>
      </c>
      <c r="F187" t="inlineStr">
        <is>
          <t>Accessories</t>
        </is>
      </c>
      <c r="G187" t="inlineStr">
        <is>
          <t>Cartier</t>
        </is>
      </c>
      <c r="H187">
        <v>360</v>
      </c>
      <c r="I187">
        <v>52.17</v>
      </c>
      <c r="J187" t="inlineStr">
        <is>
          <t>{"choices":[{"finish_reason":"stop","index":0,"logprobs":null,"message":{"annotations":[],"content":"Cartier Black Metal Ballpoint Pen Luxury Writing Gift","refusal":null,"role":"assistant"}}],"created":1777014423,"id":"chatcmpl-DY4utMCUk7kiOPU8ohokiHHtF69Hx","model":"gpt-5-chat-latest","object":"chat.completion","service_tier":"default","system_fingerprint":"fp_ad66631dec","usage":{"completion_tokens":11,"completion_tokens_details":{"accepted_prediction_tokens":0,"audio_tokens":0,"reasoning_tokens":0,"rejected_prediction_tokens":0},"prompt_tokens":871,"prompt_tokens_details":{"audio_tokens":0,"cached_tokens":0},"total_tokens":882}}</t>
        </is>
      </c>
      <c r="K187" t="inlineStr">
        <is>
          <t>Cartier Black Metal Ballpoint Pen Luxury Writing Gift</t>
        </is>
      </c>
      <c r="L187" t="inlineStr">
        <is>
          <t>{"id":"chatcmpl-DY4gdZ8u6j237RZihkH6MxVtIdU5K","object":"chat.completion","created":1777013539,"model":"gpt-5-chat-latest","choices":[{"index":0,"message":{"role":"assistant","content":"Cartier Black Classic Metal Ballpoint Pen with high-gloss lacquer and silver accents, showcasing French craftsmanship, unisex design, perfect for business elegance or collector’s choice.","refusal":null,"annotations":[]},"logprobs":null,"finish_reason":"stop"}],"usage":{"prompt_tokens":889,"completion_tokens":35,"total_tokens":924,"prompt_tokens_details":{"cached_tokens":0,"audio_tokens":0},"completion_tokens_details":{"reasoning_tokens":0,"audio_tokens":0,"accepted_prediction_tokens":0,"rejected_prediction_tokens":0}},"service_tier":"default","system_fingerprint":"fp_ad66631dec"}</t>
        </is>
      </c>
      <c r="M18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ma=2592000","apim-request-id":"cbca508c-8ec3-46e6-a273-6972e294afa9","azureml-model-session":"d20260402083108-57a85543","cache-control":"no-cache, no-store, must-revalidate","connection":"close","content-length":"992","content-security-policy":"frame-ancestors 'self'","content-type":"application/json","date":"Fri, 24 Apr 2026 06:52:21 GMT","server":"nginx","skip-error-remapping":"true","strict-transport-security":"max-age=31536000; includeSubDomains; preload","via":"1.1 Caddy, 1.1 Caddy","x-api-request-id":"20260424145217365920704ADPAN03d","x-content-type-options":"nosniff","x-frame-options":"SAMEORIGIN","x-ms-is-spilled-over":"false","x-ms-rai-invoked":"false","x-ms-region":"Sweden Central","x-new-api-version":"0.4.39","x-oneapi-request-id":"202604240652172481111438268d9d6DzeXUQSR","x-ratelimit-abusepenalty-active":"False","x-ratelimit-limit-requests":"4998","x-ratelimit-limit-tokens":"4998000","x-ratelimit-remaining-requests":"4997","x-ratelimit-remaining-tokens":"4996349","x-ratelimit-renewalperiod-requests":"60","x-ratelimit-renewalperiod-tokens":"60","x-ratelimit-reset-requests":"12","x-ratelimit-reset-tokens":"19","x-request-id":"aeb1c842-9fe5-4cc5-957c-6e5f961aad2f"}</t>
        </is>
      </c>
      <c r="N187" t="inlineStr">
        <is>
          <t>Cartier Black Classic Metal Ballpoint Pen with high-gloss lacquer and silver accents, showcasing French craftsmanship, unisex design, perfect for business elegance or collector’s choice.</t>
        </is>
      </c>
      <c r="O187" t="inlineStr">
        <is>
          <t>{"choices":[{"finish_reason":"stop","index":0,"logprobs":null,"message":{"annotations":[],"content":"Cartier,Accessories,kakobuy,kakebuy2026,kekobuysheet,kakobuysheet2026,2026kakobuy,kakobuyspreadsheeet,kakobuylink,kakebuylist,Kakobuy MEGA Spreadsheet,kakobuysheetfind,kakobuysheetfind2026,2026kakobuysheetfind,kakobuysheet2026","refusal":null,"role":"assistant"}}],"created":1777015025,"id":"chatcmpl-DY54bjDqIl9zyeIDZ82EfyQeMZxAr","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87" t="inlineStr">
        <is>
          <t>Cartier,Accessories,kakobuy,kakebuy2026,kekobuysheet,kakobuysheet2026,2026kakobuy,kakobuyspreadsheeet,kakobuylink,kakebuylist,Kakobuy MEGA Spreadsheet,kakobuysheetfind,kakobuysheetfind2026,2026kakobuysheetfind,kakobuysheet2026</t>
        </is>
      </c>
      <c r="Q187"/>
      <c r="R187" t="inlineStr">
        <is>
          <t>recvhju1Crs5Mg</t>
        </is>
      </c>
      <c r="S187" t="inlineStr">
        <is>
          <t>cartier-black-metal-ballpoint-pen-recvhju1crs5mg</t>
        </is>
      </c>
      <c r="T187"/>
      <c r="U187"/>
      <c r="V187"/>
      <c r="W187" t="inlineStr">
        <is>
          <t>{"id":"chatcmpl-DY4E3EsDJ5cJ8UY7SlgPr1H35yKu7","object":"chat.completion","created":1777011767,"model":"gpt-5-chat-latest","choices":[{"index":0,"message":{"role":"assistant","content":"Cartier：黑色经典系列金属签字笔，甄选高光漆面与银色细节，雅致造型凸显法式精工美学，男女皆宜，兼具收藏与商务优雅气质。","refusal":null,"annotations":[]},"logprobs":null,"finish_reason":"stop"}],"usage":{"prompt_tokens":1301,"completion_tokens":55,"total_tokens":1356,"prompt_tokens_details":{"cached_tokens":0,"audio_tokens":0},"completion_tokens_details":{"reasoning_tokens":0,"audio_tokens":0,"accepted_prediction_tokens":0,"rejected_prediction_tokens":0}},"service_tier":"default","system_fingerprint":"fp_ad66631dec"}</t>
        </is>
      </c>
      <c r="X187" t="inlineStr">
        <is>
          <t>Cartier：黑色经典系列金属签字笔，甄选高光漆面与银色细节，雅致造型凸显法式精工美学，男女皆宜，兼具收藏与商务优雅气质。</t>
        </is>
      </c>
    </row>
    <row r="188" ht="25.5" customHeight="1">
      <c r="A188">
        <v>1654975475</v>
      </c>
      <c r="B188">
        <v>7619149712</v>
      </c>
      <c r="C188" s="2" t="str">
        <f>=HYPERLINK("https://weidian.com/item.html?itemID=7619149712", "https://weidian.com/item.html?itemID=7619149712")</f>
        <v>https://weidian.com/item.html?itemID=7619149712</v>
      </c>
      <c r="D188"/>
      <c r="E188" s="2" t="str">
        <f>=HYPERLINK("https://si.geilicdn.com/pcitem2014204438-6de60000019abb40d4180a21146b_1080_1080.jpg?w=640&amp;h=640", "https://si.geilicdn.com/pcitem2014204438-6de60000019abb40d4180a21146b_1080_1080.jpg?w=640&amp;h=640")</f>
        <v>https://si.geilicdn.com/pcitem2014204438-6de60000019abb40d4180a21146b_1080_1080.jpg?w=640&amp;h=640</v>
      </c>
      <c r="F188" t="inlineStr">
        <is>
          <t>Accessories</t>
        </is>
      </c>
      <c r="G188" t="inlineStr">
        <is>
          <t>Montblanc</t>
        </is>
      </c>
      <c r="H188">
        <v>460</v>
      </c>
      <c r="I188">
        <v>66.67</v>
      </c>
      <c r="J188" t="inlineStr">
        <is>
          <t>{"id":"chatcmpl-DY4vlUwTMljVaffHVcM3siccK7tzA","object":"chat.completion","created":1777014477,"model":"gpt-5-chat-latest","choices":[{"index":0,"message":{"role":"assistant","content":"Montblanc Classic Silver Steel Fountain Pen Luxury Gift","refusal":null,"annotations":[]},"logprobs":null,"finish_reason":"stop"}],"usage":{"prompt_tokens":866,"completion_tokens":11,"total_tokens":877,"prompt_tokens_details":{"cached_tokens":0,"audio_tokens":0},"completion_tokens_details":{"reasoning_tokens":0,"audio_tokens":0,"accepted_prediction_tokens":0,"rejected_prediction_tokens":0}},"service_tier":"default","system_fingerprint":"fp_ad66631dec"}</t>
        </is>
      </c>
      <c r="K188" t="inlineStr">
        <is>
          <t>Montblanc Classic Silver Steel Fountain Pen Luxury Gift</t>
        </is>
      </c>
      <c r="L188" t="inlineStr">
        <is>
          <t>{"choices":[{"finish_reason":"stop","index":0,"logprobs":null,"message":{"annotations":[],"content":"Montblanc Classic Silver Laser Pattern Steel Fountain Pen, black and silver design, smooth writing, luxury business style, unisex, elegant gift for professionals.","refusal":null,"role":"assistant"}}],"created":1777013596,"id":"chatcmpl-DY4hYjkHqILKf7PLguTRY2gTBseIY","model":"gpt-5-chat-latest","object":"chat.completion","service_tier":"default","system_fingerprint":"fp_ad66631dec","usage":{"completion_tokens":32,"completion_tokens_details":{"accepted_prediction_tokens":0,"audio_tokens":0,"reasoning_tokens":0,"rejected_prediction_tokens":0},"prompt_tokens":881,"prompt_tokens_details":{"audio_tokens":0,"cached_tokens":0},"total_tokens":913}}</t>
        </is>
      </c>
      <c r="M188" t="inlineStr">
        <is>
          <t>{"alt-svc":"h3=\":443\"; ma=2592000","apim-request-id":"4cd831ed-4dcc-42b1-9b64-27188a15611b","azureml-model-session":"d20260402075109-1fc5a0ec","cache-control":"no-cache","connection":"close","content-length":"750","content-security-policy":"frame-ancestors 'self'","content-type":"application/json","date":"Fri, 24 Apr 2026 06:53:17 GMT","server":"nginx","skip-error-remapping":"true","strict-transport-security":"max-age=31536000; includeSubDomains; preload","via":"1.1 Caddy, 1.1 Caddy","x-api-request-id":"20260424145315711052640VHWj0ZcU","x-content-type-options":"nosniff","x-frame-options":"SAMEORIGIN","x-ms-client-request-id":"Not-Set","x-ms-is-spilled-over":"false","x-ms-rai-invoked":"true","x-ms-region":"East US 2","x-new-api-version":"0.4.39","x-oneapi-request-id":"202604240653152680009038268d9d63yvNGZkE","x-ratelimit-abusepenalty-active":"False","x-ratelimit-limit-requests":"3850","x-ratelimit-limit-tokens":"3850000","x-ratelimit-remaining-requests":"3849","x-ratelimit-remaining-tokens":"3848357","x-ratelimit-renewalperiod-requests":"60","x-ratelimit-renewalperiod-tokens":"60","x-ratelimit-reset-requests":"15","x-ratelimit-reset-tokens":"25","x-request-id":"5bea3706-14ee-45b5-9fb7-33a8e2f4969d"}</t>
        </is>
      </c>
      <c r="N188" t="inlineStr">
        <is>
          <t>Montblanc Classic Silver Laser Pattern Steel Fountain Pen, black and silver design, smooth writing, luxury business style, unisex, elegant gift for professionals.</t>
        </is>
      </c>
      <c r="O188"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1777015049,"id":"chatcmpl-DY54zfG6AWaTV7YVjq1SAVzeNAxOj","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88" t="inlineStr">
        <is>
          <t>Montblanc,Accessories,kakobuy,kakebuy2026,kekobuysheet,kakobuysheet2026,2026kakobuy,kakobuyspreadsheeet,kakobuylink,kakebuylist,Kakobuy MEGA Spreadsheet,kakobuysheetfind,kakobuysheetfind2026,2026kakobuysheetfind,kakobuysheet2026</t>
        </is>
      </c>
      <c r="Q188"/>
      <c r="R188" t="inlineStr">
        <is>
          <t>recvhju1CrW2Cn</t>
        </is>
      </c>
      <c r="S188" t="inlineStr">
        <is>
          <t>montblanc-classic-silver-steel-fountain-pen-recvhju1crw2cn</t>
        </is>
      </c>
      <c r="T188"/>
      <c r="U188"/>
      <c r="V188"/>
      <c r="W188" t="inlineStr">
        <is>
          <t>{"choices":[{"finish_reason":"stop","index":0,"logprobs":null,"message":{"annotations":[],"content":"Montblanc：经典银色镭射纹钢制钢笔，精致黑银对比设计，高端商务风格，男女皆宜，流畅书写体验，彰显优雅品味。","refusal":null,"role":"assistant"}}],"created":1777011381,"id":"chatcmpl-DY47p4Qh0hlwOgflcjOmGwQn9duK5","model":"gpt-5-chat-latest","object":"chat.completion","service_tier":"default","system_fingerprint":"fp_ad66631dec","usage":{"completion_tokens":47,"completion_tokens_details":{"accepted_prediction_tokens":0,"audio_tokens":0,"reasoning_tokens":0,"rejected_prediction_tokens":0},"prompt_tokens":1301,"prompt_tokens_details":{"audio_tokens":0,"cached_tokens":1280},"total_tokens":1348}}</t>
        </is>
      </c>
      <c r="X188" t="inlineStr">
        <is>
          <t>Montblanc：经典银色镭射纹钢制钢笔，精致黑银对比设计，高端商务风格，男女皆宜，流畅书写体验，彰显优雅品味。</t>
        </is>
      </c>
    </row>
    <row r="189" ht="25.5" customHeight="1">
      <c r="A189">
        <v>1654975475</v>
      </c>
      <c r="B189">
        <v>7619145798</v>
      </c>
      <c r="C189" s="2" t="str">
        <f>=HYPERLINK("https://weidian.com/item.html?itemID=7619145798", "https://weidian.com/item.html?itemID=7619145798")</f>
        <v>https://weidian.com/item.html?itemID=7619145798</v>
      </c>
      <c r="D189"/>
      <c r="E189" s="2" t="str">
        <f>=HYPERLINK("https://si.geilicdn.com/pcitem2014204438-3b8b0000019abb4ee8dc0a2303ee_1440_1440.jpg?w=640&amp;h=640", "https://si.geilicdn.com/pcitem2014204438-3b8b0000019abb4ee8dc0a2303ee_1440_1440.jpg?w=640&amp;h=640")</f>
        <v>https://si.geilicdn.com/pcitem2014204438-3b8b0000019abb4ee8dc0a2303ee_1440_1440.jpg?w=640&amp;h=640</v>
      </c>
      <c r="F189" t="inlineStr">
        <is>
          <t>Accessories</t>
        </is>
      </c>
      <c r="G189" t="inlineStr">
        <is>
          <t>Montblanc</t>
        </is>
      </c>
      <c r="H189">
        <v>460</v>
      </c>
      <c r="I189">
        <v>66.67</v>
      </c>
      <c r="J189" t="inlineStr">
        <is>
          <t>{"choices":[{"finish_reason":"stop","index":0,"logprobs":null,"message":{"annotations":[],"content":"Montblanc Red Gold Limited Edition Ballpoint Pen","refusal":null,"role":"assistant"}}],"created":1777014193,"id":"chatcmpl-DY4rBg9IYpEPMtwC7hppssl16qsGh","model":"gpt-5-chat-latest","object":"chat.completion","service_tier":"default","system_fingerprint":"fp_ad66631dec","usage":{"completion_tokens":11,"completion_tokens_details":{"accepted_prediction_tokens":0,"audio_tokens":0,"reasoning_tokens":0,"rejected_prediction_tokens":0},"prompt_tokens":866,"prompt_tokens_details":{"audio_tokens":0,"cached_tokens":0},"total_tokens":877}}</t>
        </is>
      </c>
      <c r="K189" t="inlineStr">
        <is>
          <t>Montblanc Red Gold Limited Edition Ballpoint Pen</t>
        </is>
      </c>
      <c r="L189" t="inlineStr">
        <is>
          <t>{"choices":[{"finish_reason":"stop","index":0,"logprobs":null,"message":{"annotations":[],"content":"Montblanc Red Gold Limited Edition Ballpoint Pen, brass gold-plated engraved body, elegant vintage artistry, smooth writing, unisex luxury collectible gift.","refusal":null,"role":"assistant"}}],"created":1777013637,"id":"chatcmpl-DY4iDHb6ZSV19wnc7TlPg6RyoCqr6","model":"gpt-5-chat-latest","object":"chat.completion","service_tier":"default","system_fingerprint":"fp_ad66631dec","usage":{"completion_tokens":32,"completion_tokens_details":{"accepted_prediction_tokens":0,"audio_tokens":0,"reasoning_tokens":0,"rejected_prediction_tokens":0},"prompt_tokens":890,"prompt_tokens_details":{"audio_tokens":0,"cached_tokens":0},"total_tokens":922}}</t>
        </is>
      </c>
      <c r="M189" t="inlineStr">
        <is>
          <t>{"alt-svc":"h3=\":443\"; ma=2592000","apim-request-id":"14bc9071-37d4-440f-9012-473b83378525","azureml-model-session":"d20260405234249-f9874baf","cache-control":"no-cache","connection":"close","content-length":"744","content-security-policy":"frame-ancestors 'self'","content-type":"application/json","date":"Fri, 24 Apr 2026 06:53:58 GMT","server":"nginx","skip-error-remapping":"true","strict-transport-security":"max-age=31536000; includeSubDomains; preload","via":"1.1 Caddy, 1.1 Caddy","x-api-request-id":"20260424145356616514383e0DIquej","x-content-type-options":"nosniff","x-frame-options":"SAMEORIGIN","x-ms-client-request-id":"Not-Set","x-ms-is-spilled-over":"false","x-ms-rai-invoked":"true","x-ms-region":"East US 2","x-new-api-version":"0.4.39","x-oneapi-request-id":"202604240653563707369628268d9d6IuXm1kxg","x-ratelimit-abusepenalty-active":"False","x-ratelimit-limit-requests":"3850","x-ratelimit-limit-tokens":"3850000","x-ratelimit-remaining-requests":"3849","x-ratelimit-remaining-tokens":"3848348","x-ratelimit-renewalperiod-requests":"60","x-ratelimit-renewalperiod-tokens":"60","x-ratelimit-reset-requests":"15","x-ratelimit-reset-tokens":"25","x-request-id":"91a4d90d-3e47-4833-a000-5afcde9c69d4"}</t>
        </is>
      </c>
      <c r="N189" t="inlineStr">
        <is>
          <t>Montblanc Red Gold Limited Edition Ballpoint Pen, brass gold-plated engraved body, elegant vintage artistry, smooth writing, unisex luxury collectible gift.</t>
        </is>
      </c>
      <c r="O189"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1777015129,"id":"chatcmpl-DY56Hofca5PLLopDTGlA2BbB9CxVS","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89" t="inlineStr">
        <is>
          <t>Montblanc,Accessories,kakobuy,kakebuy2026,kekobuysheet,kakobuysheet2026,2026kakobuy,kakobuyspreadsheeet,kakobuylink,kakebuylist,Kakobuy MEGA Spreadsheet,kakobuysheetfind,kakobuysheetfind2026,2026kakobuysheetfind,kakobuysheet2026</t>
        </is>
      </c>
      <c r="Q189"/>
      <c r="R189" t="inlineStr">
        <is>
          <t>recvhju1Cr4D5L</t>
        </is>
      </c>
      <c r="S189" t="inlineStr">
        <is>
          <t>montblanc-red-gold-pen-recvhju1cr4d5l</t>
        </is>
      </c>
      <c r="T189"/>
      <c r="U189"/>
      <c r="V189"/>
      <c r="W189" t="inlineStr">
        <is>
          <t>{"choices":[{"finish_reason":"stop","index":0,"logprobs":null,"message":{"annotations":[],"content":"Montblanc：红金配色限量款签字笔，黄铜镀金笔身刻纹设计，融合典雅复古艺术风格，精致书写体验，男女皆宜，尊贵典藏之选。","refusal":null,"role":"assistant"}}],"created":1777012003,"id":"chatcmpl-DY4Hr88L4tsMgGT3zrYDsAeXRyi8Z","model":"gpt-5-chat-latest","object":"chat.completion","service_tier":"default","system_fingerprint":"fp_ad66631dec","usage":{"completion_tokens":53,"completion_tokens_details":{"accepted_prediction_tokens":0,"audio_tokens":0,"reasoning_tokens":0,"rejected_prediction_tokens":0},"prompt_tokens":1307,"prompt_tokens_details":{"audio_tokens":0,"cached_tokens":0},"total_tokens":1360}}</t>
        </is>
      </c>
      <c r="X189" t="inlineStr">
        <is>
          <t>Montblanc：红金配色限量款签字笔，黄铜镀金笔身刻纹设计，融合典雅复古艺术风格，精致书写体验，男女皆宜，尊贵典藏之选。</t>
        </is>
      </c>
    </row>
    <row r="190" ht="25.5" customHeight="1">
      <c r="A190">
        <v>1654975475</v>
      </c>
      <c r="B190">
        <v>7616039411</v>
      </c>
      <c r="C190" s="2" t="str">
        <f>=HYPERLINK("https://weidian.com/item.html?itemID=7616039411", "https://weidian.com/item.html?itemID=7616039411")</f>
        <v>https://weidian.com/item.html?itemID=7616039411</v>
      </c>
      <c r="D190"/>
      <c r="E190" s="2" t="str">
        <f>=HYPERLINK("https://si.geilicdn.com/pcitem2014204438-05e80000019abb4958ab0a210139_1177_1433.jpg?w=640&amp;h=640", "https://si.geilicdn.com/pcitem2014204438-05e80000019abb4958ab0a210139_1177_1433.jpg?w=640&amp;h=640")</f>
        <v>https://si.geilicdn.com/pcitem2014204438-05e80000019abb4958ab0a210139_1177_1433.jpg?w=640&amp;h=640</v>
      </c>
      <c r="F190" t="inlineStr">
        <is>
          <t>Accessories</t>
        </is>
      </c>
      <c r="G190" t="inlineStr">
        <is>
          <t>Montblanc</t>
        </is>
      </c>
      <c r="H190">
        <v>460</v>
      </c>
      <c r="I190">
        <v>66.67</v>
      </c>
      <c r="J190" t="inlineStr">
        <is>
          <t>{"choices":[{"finish_reason":"stop","index":0,"logprobs":null,"message":{"annotations":[],"content":"Montblanc Black Gold Classic Luxury Fountain Pen","refusal":null,"role":"assistant"}}],"created":1777014184,"id":"chatcmpl-DY4r2N8yWHyF7oshWlVNnmnQzD6rF","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is>
      </c>
      <c r="K190" t="inlineStr">
        <is>
          <t>Montblanc Black Gold Classic Luxury Fountain Pen</t>
        </is>
      </c>
      <c r="L190" t="inlineStr">
        <is>
          <t>{"choices":[{"finish_reason":"stop","index":0,"logprobs":null,"message":{"annotations":[],"content":"Montblanc Black Gold Classic Fountain Pen: premium resin and gold-plated design, smooth lines and fine shine, showcasing German craftsmanship. Perfect for business, signing, or gifting with timeless luxury.","refusal":null,"role":"assistant"}}],"created":1777013454,"id":"chatcmpl-DY4fGbkf8jLZ5T5KSlN2ayrI3XMiA","model":"gpt-5-chat-latest","object":"chat.completion","service_tier":"default","system_fingerprint":"fp_ad66631dec","usage":{"completion_tokens":40,"completion_tokens_details":{"accepted_prediction_tokens":0,"audio_tokens":0,"reasoning_tokens":0,"rejected_prediction_tokens":0},"prompt_tokens":938,"prompt_tokens_details":{"audio_tokens":0,"cached_tokens":0},"total_tokens":978}}</t>
        </is>
      </c>
      <c r="M190" t="inlineStr">
        <is>
          <t>{"alt-svc":"h3=\":443\"; ma=2592000","apim-request-id":"7e4991ff-8768-47be-bb53-852181e0aac1","azureml-model-session":"d20260402084046-4209e968","cache-control":"no-cache","connection":"close","content-length":"794","content-security-policy":"frame-ancestors 'self'","content-type":"application/json","date":"Fri, 24 Apr 2026 06:50:56 GMT","server":"Caddy","skip-error-remapping":"true","strict-transport-security":"max-age=31536000; includeSubDomains; preload","via":"1.1 Caddy","x-api-request-id":"20260424145053719837596dR9tnDxg","x-content-type-options":"nosniff","x-frame-options":"SAMEORIGIN","x-ms-client-request-id":"Not-Set","x-ms-is-spilled-over":"false","x-ms-rai-invoked":"true","x-ms-region":"East US 2","x-new-api-version":"0.4.39","x-oneapi-request-id":"202604240650531866373438268d9d6kXWgjqlE","x-ratelimit-abusepenalty-active":"False","x-ratelimit-limit-requests":"3850","x-ratelimit-limit-tokens":"3850000","x-ratelimit-remaining-requests":"3849","x-ratelimit-remaining-tokens":"3804025","x-ratelimit-renewalperiod-requests":"60","x-ratelimit-renewalperiod-tokens":"60","x-ratelimit-reset-requests":"15","x-ratelimit-reset-tokens":"716","x-request-id":"3e8b1283-fc61-4467-910b-affb66781731"}</t>
        </is>
      </c>
      <c r="N190" t="inlineStr">
        <is>
          <t>Montblanc Black Gold Classic Fountain Pen: premium resin and gold-plated design, smooth lines and fine shine, showcasing German craftsmanship. Perfect for business, signing, or gifting with timeless luxury.</t>
        </is>
      </c>
      <c r="O190" t="inlineStr">
        <is>
          <t>{"choices":[{"finish_reason":"stop","index":0,"logprobs":null,"message":{"annotations":[],"content":"Montblanc, Accessories, kakobuy, kakebuy2026, kekobuysheet, kakobuysheet2026, 2026kakobuy, kakobuyspreadsheeet, kakobuylink, kakebuylist, Kakobuy MEGA Spreadsheet, kakobuysheetfind, kakobuysheetfind2026, 2026kakobuysheetfind, kakobuysheet2026","refusal":null,"role":"assistant"}}],"created":1777015330,"id":"chatcmpl-DY59WMTXrha1xpGSrjozOcrZZ2HLr","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190" t="inlineStr">
        <is>
          <t>Montblanc, Accessories, kakobuy, kakebuy2026, kekobuysheet, kakobuysheet2026, 2026kakobuy, kakobuyspreadsheeet, kakobuylink, kakebuylist, Kakobuy MEGA Spreadsheet, kakobuysheetfind, kakobuysheetfind2026, 2026kakobuysheetfind, kakobuysheet2026</t>
        </is>
      </c>
      <c r="Q190"/>
      <c r="R190" t="inlineStr">
        <is>
          <t>recvhju1CrMpYP</t>
        </is>
      </c>
      <c r="S190" t="inlineStr">
        <is>
          <t>montblanc-black-gold-classic-fountain-pen-recvhju1crmypyp</t>
        </is>
      </c>
      <c r="T190"/>
      <c r="U190"/>
      <c r="V190"/>
      <c r="W190" t="inlineStr">
        <is>
          <t>{"choices":[{"finish_reason":"stop","index":0,"logprobs":null,"message":{"annotations":[],"content":"Montblanc：黑金款经典钢笔，甄选珍贵树脂与镀金金属材质，光泽细腻质感非凡。圆润笔身线条勾勒优雅格调，搭配金色笔夹与精雕环饰，彰显德式精工美学。男女皆宜商务奢华风格，适合办公、签署与馈赠场合，尽显高端品味与收藏价值。","refusal":null,"role":"assistant"}}],"created":1777011568,"id":"chatcmpl-DY4AqLQpQ13OVIbUAsWxZBxOX5ZSi","model":"gpt-5-chat-latest","object":"chat.completion","service_tier":"default","system_fingerprint":"fp_ad66631dec","usage":{"completion_tokens":105,"completion_tokens_details":{"accepted_prediction_tokens":0,"audio_tokens":0,"reasoning_tokens":0,"rejected_prediction_tokens":0},"prompt_tokens":1299,"prompt_tokens_details":{"audio_tokens":0,"cached_tokens":0},"total_tokens":1404}}</t>
        </is>
      </c>
      <c r="X190" t="inlineStr">
        <is>
          <t>Montblanc：黑金款经典钢笔，甄选珍贵树脂与镀金金属材质，光泽细腻质感非凡。圆润笔身线条勾勒优雅格调，搭配金色笔夹与精雕环饰，彰显德式精工美学。男女皆宜商务奢华风格，适合办公、签署与馈赠场合，尽显高端品味与收藏价值。</t>
        </is>
      </c>
    </row>
    <row r="191" ht="25.5" customHeight="1">
      <c r="A191">
        <v>1654975475</v>
      </c>
      <c r="B191">
        <v>7619130308</v>
      </c>
      <c r="C191" s="2" t="str">
        <f>=HYPERLINK("https://weidian.com/item.html?itemID=7619130308", "https://weidian.com/item.html?itemID=7619130308")</f>
        <v>https://weidian.com/item.html?itemID=7619130308</v>
      </c>
      <c r="D191"/>
      <c r="E191" s="2" t="str">
        <f>=HYPERLINK("https://si.geilicdn.com/pcitem2014204438-00680000019abb568aed0a231316_1440_1920.jpg?w=640&amp;h=640", "https://si.geilicdn.com/pcitem2014204438-00680000019abb568aed0a231316_1440_1920.jpg?w=640&amp;h=640")</f>
        <v>https://si.geilicdn.com/pcitem2014204438-00680000019abb568aed0a231316_1440_1920.jpg?w=640&amp;h=640</v>
      </c>
      <c r="F191" t="inlineStr">
        <is>
          <t>Accessories</t>
        </is>
      </c>
      <c r="G191" t="inlineStr">
        <is>
          <t>Cartier</t>
        </is>
      </c>
      <c r="H191">
        <v>360</v>
      </c>
      <c r="I191">
        <v>52.17</v>
      </c>
      <c r="J191" t="inlineStr">
        <is>
          <t>{"choices":[{"finish_reason":"stop","index":0,"logprobs":null,"message":{"annotations":[],"content":"Cartier Pasha Green Resin Chrome-Plated Luxury Pen","refusal":null,"role":"assistant"}}],"created":1777014358,"id":"chatcmpl-DY4tqbpcxxJJ1hAywWttnR5S9laTH","model":"gpt-5-chat-latest","object":"chat.completion","service_tier":"default","system_fingerprint":"fp_ad66631dec","usage":{"completion_tokens":12,"completion_tokens_details":{"accepted_prediction_tokens":0,"audio_tokens":0,"reasoning_tokens":0,"rejected_prediction_tokens":0},"prompt_tokens":867,"prompt_tokens_details":{"audio_tokens":0,"cached_tokens":0},"total_tokens":879}}</t>
        </is>
      </c>
      <c r="K191" t="inlineStr">
        <is>
          <t>Cartier Pasha Green Resin Chrome-Plated Luxury Pen</t>
        </is>
      </c>
      <c r="L191" t="inlineStr">
        <is>
          <t>{"choices":[{"finish_reason":"stop","index":0,"logprobs":null,"message":{"annotations":[],"content":"Cartier Pasha Green Resin Pen, crafted from premium resin and chrome-plated metal, features an elegant engraved clip design for smooth writing and timeless business style.","refusal":null,"role":"assistant"}}],"created":1777013150,"id":"chatcmpl-DY4aMP0sZLHe2L62atiNMSWNQbLBK","model":"gpt-5-chat-latest","object":"chat.completion","service_tier":"default","system_fingerprint":"fp_ad66631dec","usage":{"completion_tokens":33,"completion_tokens_details":{"accepted_prediction_tokens":0,"audio_tokens":0,"reasoning_tokens":0,"rejected_prediction_tokens":0},"prompt_tokens":892,"prompt_tokens_details":{"audio_tokens":0,"cached_tokens":0},"total_tokens":925}}</t>
        </is>
      </c>
      <c r="M191" t="inlineStr">
        <is>
          <t>{"alt-svc":"h3=\":443\"; ma=2592000","apim-request-id":"e0661e4b-4829-46d9-9cda-49a2feaf1e13","azureml-model-session":"d20260405234249-f9874baf","cache-control":"no-cache","connection":"close","content-length":"759","content-security-policy":"frame-ancestors 'self'","content-type":"application/json","date":"Fri, 24 Apr 2026 06:45:51 GMT","server":"nginx","skip-error-remapping":"true","strict-transport-security":"max-age=31536000; includeSubDomains; preload","via":"1.1 Caddy, 1.1 Caddy","x-api-request-id":"20260424144549538018498f2HSrd5c","x-content-type-options":"nosniff","x-frame-options":"SAMEORIGIN","x-ms-client-request-id":"Not-Set","x-ms-is-spilled-over":"false","x-ms-rai-invoked":"true","x-ms-region":"East US 2","x-new-api-version":"0.4.39","x-oneapi-request-id":"202604240645492374882618268d9d6kd9gOGd6","x-ratelimit-abusepenalty-active":"False","x-ratelimit-limit-requests":"3850","x-ratelimit-limit-tokens":"3850000","x-ratelimit-remaining-requests":"3849","x-ratelimit-remaining-tokens":"3848346","x-ratelimit-renewalperiod-requests":"60","x-ratelimit-renewalperiod-tokens":"60","x-ratelimit-reset-requests":"15","x-ratelimit-reset-tokens":"25","x-request-id":"af6e4a5b-b82e-44f6-aadf-693014b45be0"}</t>
        </is>
      </c>
      <c r="N191" t="inlineStr">
        <is>
          <t>Cartier Pasha Green Resin Pen, crafted from premium resin and chrome-plated metal, features an elegant engraved clip design for smooth writing and timeless business style.</t>
        </is>
      </c>
      <c r="O191" t="inlineStr">
        <is>
          <t>{"id":"chatcmpl-DY52kx7p8pjgfBCGebYNJMl7V6PdP","object":"chat.completion","created":1777014910,"model":"gpt-5-chat-latest","choices":[{"index":0,"message":{"role":"assistant","content":"Cartier,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91" t="inlineStr">
        <is>
          <t>Cartier,Accessories,kakobuy,kakebuy2026,kekobuysheet,kakobuysheet2026,2026kakobuy,kakobuyspreadsheeet,kakobuylink,kakebuylist,Kakobuy MEGA Spreadsheet,kakobuysheetfind,kakobuysheetfind2026,2026kakobuysheetfind,kakobuysheet2026</t>
        </is>
      </c>
      <c r="Q191"/>
      <c r="R191" t="inlineStr">
        <is>
          <t>recvhju1CrG2Rz</t>
        </is>
      </c>
      <c r="S191" t="inlineStr">
        <is>
          <t>cartier-pasha-green-resin-chrome-plated-pen-recvhju1crg2rz</t>
        </is>
      </c>
      <c r="T191"/>
      <c r="U191"/>
      <c r="V191"/>
      <c r="W191" t="inlineStr">
        <is>
          <t>{"choices":[{"finish_reason":"stop","index":0,"logprobs":null,"message":{"annotations":[],"content":"Cartier：Pasha系列墨绿色钢笔，甄选高级树脂与镀铬金属材质，精致雕纹笔夹设计，优雅复古格调，书写顺滑流畅，男女皆宜的高端商务典藏之选。","refusal":null,"role":"assistant"}}],"created":1777011368,"id":"chatcmpl-DY47c2KPvI5PVzjgK5AAlt8DxWqiX","model":"gpt-5-chat-latest","object":"chat.completion","service_tier":"default","system_fingerprint":"fp_ad66631dec","usage":{"completion_tokens":62,"completion_tokens_details":{"accepted_prediction_tokens":0,"audio_tokens":0,"reasoning_tokens":0,"rejected_prediction_tokens":0},"prompt_tokens":1293,"prompt_tokens_details":{"audio_tokens":0,"cached_tokens":0},"total_tokens":1355}}</t>
        </is>
      </c>
      <c r="X191" t="inlineStr">
        <is>
          <t>Cartier：Pasha系列墨绿色钢笔，甄选高级树脂与镀铬金属材质，精致雕纹笔夹设计，优雅复古格调，书写顺滑流畅，男女皆宜的高端商务典藏之选。</t>
        </is>
      </c>
    </row>
    <row r="192" ht="25.5" customHeight="1">
      <c r="A192">
        <v>1654975475</v>
      </c>
      <c r="B192">
        <v>7619155668</v>
      </c>
      <c r="C192" s="2" t="str">
        <f>=HYPERLINK("https://weidian.com/item.html?itemID=7619155668", "https://weidian.com/item.html?itemID=7619155668")</f>
        <v>https://weidian.com/item.html?itemID=7619155668</v>
      </c>
      <c r="D192"/>
      <c r="E192" s="2" t="str">
        <f>=HYPERLINK("https://si.geilicdn.com/pcitem2014204438-21c20000019abb3a7bcf0a231177_1080_1080.jpg?w=640&amp;h=640", "https://si.geilicdn.com/pcitem2014204438-21c20000019abb3a7bcf0a231177_1080_1080.jpg?w=640&amp;h=640")</f>
        <v>https://si.geilicdn.com/pcitem2014204438-21c20000019abb3a7bcf0a231177_1080_1080.jpg?w=640&amp;h=640</v>
      </c>
      <c r="F192" t="inlineStr">
        <is>
          <t>Accessories</t>
        </is>
      </c>
      <c r="G192" t="inlineStr">
        <is>
          <t>Montblanc</t>
        </is>
      </c>
      <c r="H192">
        <v>460</v>
      </c>
      <c r="I192">
        <v>66.67</v>
      </c>
      <c r="J192" t="inlineStr">
        <is>
          <t>{"choices":[{"finish_reason":"stop","index":0,"logprobs":null,"message":{"annotations":[],"content":"Montblanc Meisterstück Deep Blue Chrome Ballpoint Pen","refusal":null,"role":"assistant"}}],"created":1777014545,"id":"chatcmpl-DY4wrbpJ4rNvPy6hhEgCcMedgcCRO","model":"gpt-5-chat-latest","object":"chat.completion","service_tier":"default","system_fingerprint":"fp_ad66631dec","usage":{"completion_tokens":12,"completion_tokens_details":{"accepted_prediction_tokens":0,"audio_tokens":0,"reasoning_tokens":0,"rejected_prediction_tokens":0},"prompt_tokens":868,"prompt_tokens_details":{"audio_tokens":0,"cached_tokens":0},"total_tokens":880}}</t>
        </is>
      </c>
      <c r="K192" t="inlineStr">
        <is>
          <t>Montblanc Meisterstück Deep Blue Chrome Ballpoint Pen</t>
        </is>
      </c>
      <c r="L192" t="inlineStr">
        <is>
          <t>{"choices":[{"finish_reason":"stop","index":0,"logprobs":null,"message":{"annotations":[],"content":"Montblanc Meisterstück Deep Blue Engraved Chrome Ballpoint Pen, premium resin body and metal clip, elegant business style, unisex luxury writing instrument.","refusal":null,"role":"assistant"}}],"created":1777013199,"id":"chatcmpl-DY4b9jL7QHBMzYl2XLsXuvFiicLEn","model":"gpt-5-chat-latest","object":"chat.completion","service_tier":"default","system_fingerprint":"fp_ad66631dec","usage":{"completion_tokens":33,"completion_tokens_details":{"accepted_prediction_tokens":0,"audio_tokens":0,"reasoning_tokens":0,"rejected_prediction_tokens":0},"prompt_tokens":889,"prompt_tokens_details":{"audio_tokens":0,"cached_tokens":0},"total_tokens":922}}</t>
        </is>
      </c>
      <c r="M192" t="inlineStr">
        <is>
          <t>{"alt-svc":"h3=\":443\"; ma=2592000","apim-request-id":"982bcaca-2124-461b-83ee-0cb4996f9402","azureml-model-session":"d20260405225800-40f19e54","cache-control":"no-cache","connection":"close","content-length":"745","content-security-policy":"frame-ancestors 'self'","content-type":"application/json","date":"Fri, 24 Apr 2026 06:46:40 GMT","server":"nginx","skip-error-remapping":"true","strict-transport-security":"max-age=31536000; includeSubDomains; preload","via":"1.1 Caddy, 1.1 Caddy","x-api-request-id":"20260424144638720174329MYPcUOmr","x-content-type-options":"nosniff","x-frame-options":"SAMEORIGIN","x-ms-client-request-id":"Not-Set","x-ms-is-spilled-over":"false","x-ms-rai-invoked":"true","x-ms-region":"East US 2","x-new-api-version":"0.4.39","x-oneapi-request-id":"202604240646383632030248268d9d6EuXmRVFI","x-ratelimit-abusepenalty-active":"False","x-ratelimit-limit-requests":"3850","x-ratelimit-limit-tokens":"3850000","x-ratelimit-remaining-requests":"3849","x-ratelimit-remaining-tokens":"3848349","x-ratelimit-renewalperiod-requests":"60","x-ratelimit-renewalperiod-tokens":"60","x-ratelimit-reset-requests":"15","x-ratelimit-reset-tokens":"25","x-request-id":"4e116b55-c969-450d-84d1-56f27433610f"}</t>
        </is>
      </c>
      <c r="N192" t="inlineStr">
        <is>
          <t>Montblanc Meisterstück Deep Blue Engraved Chrome Ballpoint Pen, premium resin body and metal clip, elegant business style, unisex luxury writing instrument.</t>
        </is>
      </c>
      <c r="O192" t="inlineStr">
        <is>
          <t>{"id":"chatcmpl-DY53TWrRmvm4SIrBZZ5ePfTKGbrJl","object":"chat.completion","created":1777014955,"model":"gpt-5-chat-latest","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2" t="inlineStr">
        <is>
          <t>Montblanc,Accessories,kakobuy,kakebuy2026,kekobuysheet,kakobuysheet2026,2026kakobuy,kakobuyspreadsheeet,kakobuylink,kakebuylist,Kakobuy MEGA Spreadsheet,kakobuysheetfind,kakobuysheetfind2026,2026kakobuysheetfind,kakobuysheet2026</t>
        </is>
      </c>
      <c r="Q192"/>
      <c r="R192" t="inlineStr">
        <is>
          <t>recvhju1CrbLkZ</t>
        </is>
      </c>
      <c r="S192" t="inlineStr">
        <is>
          <t>montblanc-meisterstuck-deep-blue-chrome-recvhju1crblkz</t>
        </is>
      </c>
      <c r="T192"/>
      <c r="U192"/>
      <c r="V192"/>
      <c r="W192" t="inlineStr">
        <is>
          <t>{"choices":[{"finish_reason":"stop","index":0,"logprobs":null,"message":{"annotations":[],"content":"Montblanc：大班系列深蓝雕纹镀铬圆珠笔，甄选高档树脂笔身与金属笔夹，简约商务风格，男女皆宜，彰显典雅书写品味。","refusal":null,"role":"assistant"}}],"created":1777011640,"id":"chatcmpl-DY4C0JDDkaRD7wHvQqoksijiZfenJ","model":"gpt-5-chat-latest","object":"chat.completion","service_tier":"default","system_fingerprint":"fp_ad66631dec","usage":{"completion_tokens":54,"completion_tokens_details":{"accepted_prediction_tokens":0,"audio_tokens":0,"reasoning_tokens":0,"rejected_prediction_tokens":0},"prompt_tokens":1303,"prompt_tokens_details":{"audio_tokens":0,"cached_tokens":0},"total_tokens":1357}}</t>
        </is>
      </c>
      <c r="X192" t="inlineStr">
        <is>
          <t>Montblanc：大班系列深蓝雕纹镀铬圆珠笔，甄选高档树脂笔身与金属笔夹，简约商务风格，男女皆宜，彰显典雅书写品味。</t>
        </is>
      </c>
    </row>
    <row r="193" ht="25.5" customHeight="1">
      <c r="A193">
        <v>1654975475</v>
      </c>
      <c r="B193">
        <v>7615626957</v>
      </c>
      <c r="C193" s="2" t="str">
        <f>=HYPERLINK("https://weidian.com/item.html?itemID=7615626957", "https://weidian.com/item.html?itemID=7615626957")</f>
        <v>https://weidian.com/item.html?itemID=7615626957</v>
      </c>
      <c r="D193"/>
      <c r="E193" s="2" t="str">
        <f>=HYPERLINK("https://si.geilicdn.com/pcitem2014204438-38b00000019abb4896f80a23057e_1233_1139.jpg?w=640&amp;h=640", "https://si.geilicdn.com/pcitem2014204438-38b00000019abb4896f80a23057e_1233_1139.jpg?w=640&amp;h=640")</f>
        <v>https://si.geilicdn.com/pcitem2014204438-38b00000019abb4896f80a23057e_1233_1139.jpg?w=640&amp;h=640</v>
      </c>
      <c r="F193" t="inlineStr">
        <is>
          <t>Accessories</t>
        </is>
      </c>
      <c r="G193" t="inlineStr">
        <is>
          <t>Montblanc</t>
        </is>
      </c>
      <c r="H193">
        <v>460</v>
      </c>
      <c r="I193">
        <v>66.67</v>
      </c>
      <c r="J193" t="inlineStr">
        <is>
          <t>{"choices":[{"finish_reason":"stop","index":0,"logprobs":null,"message":{"annotations":[],"content":"Montblanc Black Gold Limited Edition Fountain Pen","refusal":null,"role":"assistant"}}],"created":1777014527,"id":"chatcmpl-DY4wZ0h1EcL7fpPDXAOu234X9naPG","model":"gpt-5-chat-latest","object":"chat.completion","service_tier":"default","system_fingerprint":"fp_ad66631dec","usage":{"completion_tokens":10,"completion_tokens_details":{"accepted_prediction_tokens":0,"audio_tokens":0,"reasoning_tokens":0,"rejected_prediction_tokens":0},"prompt_tokens":878,"prompt_tokens_details":{"audio_tokens":0,"cached_tokens":0},"total_tokens":888}}</t>
        </is>
      </c>
      <c r="K193" t="inlineStr">
        <is>
          <t>Montblanc Black Gold Limited Edition Fountain Pen</t>
        </is>
      </c>
      <c r="L193" t="inlineStr">
        <is>
          <t>{"choices":[{"finish_reason":"stop","index":0,"logprobs":null,"message":{"annotations":[],"content":"Montblanc Limited Edition Black Gold Fountain Pen, crafted with fine resin barrel and gold-plated cap, ornate engraving, smooth writing, perfect for business and collectors, showcasing refined elegance.","refusal":null,"role":"assistant"}}],"created":1777013360,"id":"chatcmpl-DY4dkfuou9G8hFBPKkPpDc9UtkJYw","model":"gpt-5-chat-latest","object":"chat.completion","service_tier":"default","system_fingerprint":"fp_ad66631dec","usage":{"completion_tokens":38,"completion_tokens_details":{"accepted_prediction_tokens":0,"audio_tokens":0,"reasoning_tokens":0,"rejected_prediction_tokens":0},"prompt_tokens":897,"prompt_tokens_details":{"audio_tokens":0,"cached_tokens":0},"total_tokens":935}}</t>
        </is>
      </c>
      <c r="M193" t="inlineStr">
        <is>
          <t>{"alt-svc":"h3=\":443\"; ma=2592000","apim-request-id":"0dd043b7-1633-44b4-8444-8830d2c564ca","azureml-model-session":"d20260405225800-40f19e54","cache-control":"no-cache","connection":"close","content-length":"790","content-security-policy":"frame-ancestors 'self'","content-type":"application/json","date":"Fri, 24 Apr 2026 06:49:21 GMT","server":"Caddy","skip-error-remapping":"true","strict-transport-security":"max-age=31536000; includeSubDomains; preload","via":"1.1 Caddy","x-api-request-id":"20260424144919187391870PiLnvn3d","x-content-type-options":"nosniff","x-frame-options":"SAMEORIGIN","x-ms-client-request-id":"Not-Set","x-ms-is-spilled-over":"false","x-ms-rai-invoked":"true","x-ms-region":"East US 2","x-new-api-version":"0.4.39","x-oneapi-request-id":"202604240649186700411568268d9d6PR5xFi7x","x-ratelimit-abusepenalty-active":"False","x-ratelimit-limit-requests":"3850","x-ratelimit-limit-tokens":"3850000","x-ratelimit-remaining-requests":"3848","x-ratelimit-remaining-tokens":"3828643","x-ratelimit-renewalperiod-requests":"60","x-ratelimit-renewalperiod-tokens":"60","x-ratelimit-reset-requests":"27","x-ratelimit-reset-tokens":"332","x-request-id":"411aa640-8ad0-4092-9804-d0295cb81abe"}</t>
        </is>
      </c>
      <c r="N193" t="inlineStr">
        <is>
          <t>Montblanc Limited Edition Black Gold Fountain Pen, crafted with fine resin barrel and gold-plated cap, ornate engraving, smooth writing, perfect for business and collectors, showcasing refined elegance.</t>
        </is>
      </c>
      <c r="O193" t="inlineStr">
        <is>
          <t>{"id":"chatcmpl-DY55vh2ZOyKIugujU7NvYrsPRytzw","object":"chat.completion","created":1777015107,"model":"gpt-5-chat-latest","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3" t="inlineStr">
        <is>
          <t>Montblanc,Pen,kakobuy,kakebuy2026,kekobuysheet,kakobuysheet2026,2026kakobuy,kakobuyspreadsheeet,kakobuylink,kakebuylist,Kakobuy MEGA Spreadsheet,kakobuysheetfind,kakobuysheetfind2026,2026kakobuysheetfind,kakobuysheet2026</t>
        </is>
      </c>
      <c r="Q193"/>
      <c r="R193" t="inlineStr">
        <is>
          <t>recvhju1CrKytZ</t>
        </is>
      </c>
      <c r="S193" t="inlineStr">
        <is>
          <t>montblanc-black-gold-limited-edition-fountain-pen-recvhju1crkytz</t>
        </is>
      </c>
      <c r="T193"/>
      <c r="U193"/>
      <c r="V193"/>
      <c r="W193" t="inlineStr">
        <is>
          <t>{"choices":[{"finish_reason":"stop","index":0,"logprobs":null,"message":{"annotations":[],"content":"Montblanc：限量版黑金钢笔，采用精致树脂笔杆与镀金金属笔帽，雕花纹理展现典雅装饰艺术风格，手感顺滑流畅，商务与收藏兼具，彰显高贵气质。","refusal":null,"role":"assistant"}}],"created":1777011972,"id":"chatcmpl-DY4HMNoMMPAW2xiIE5LKDatV0MPSJ","model":"gpt-5-chat-latest","object":"chat.completion","service_tier":"default","system_fingerprint":"fp_ad66631dec","usage":{"completion_tokens":63,"completion_tokens_details":{"accepted_prediction_tokens":0,"audio_tokens":0,"reasoning_tokens":0,"rejected_prediction_tokens":0},"prompt_tokens":1301,"prompt_tokens_details":{"audio_tokens":0,"cached_tokens":0},"total_tokens":1364}}</t>
        </is>
      </c>
      <c r="X193" t="inlineStr">
        <is>
          <t>Montblanc：限量版黑金钢笔，采用精致树脂笔杆与镀金金属笔帽，雕花纹理展现典雅装饰艺术风格，手感顺滑流畅，商务与收藏兼具，彰显高贵气质。</t>
        </is>
      </c>
    </row>
    <row r="194" ht="25.5" customHeight="1">
      <c r="A194">
        <v>1654975475</v>
      </c>
      <c r="B194">
        <v>7619061572</v>
      </c>
      <c r="C194" s="2" t="str">
        <f>=HYPERLINK("https://weidian.com/item.html?itemID=7619061572", "https://weidian.com/item.html?itemID=7619061572")</f>
        <v>https://weidian.com/item.html?itemID=7619061572</v>
      </c>
      <c r="D194"/>
      <c r="E194" s="2" t="str">
        <f>=HYPERLINK("https://si.geilicdn.com/pcitem2014204438-27f90000019abb4d82ba0a231177_1092_1092.jpg?w=640&amp;h=640", "https://si.geilicdn.com/pcitem2014204438-27f90000019abb4d82ba0a231177_1092_1092.jpg?w=640&amp;h=640")</f>
        <v>https://si.geilicdn.com/pcitem2014204438-27f90000019abb4d82ba0a231177_1092_1092.jpg?w=640&amp;h=640</v>
      </c>
      <c r="F194" t="inlineStr">
        <is>
          <t>Accessories</t>
        </is>
      </c>
      <c r="G194" t="inlineStr">
        <is>
          <t>Montblanc</t>
        </is>
      </c>
      <c r="H194">
        <v>460</v>
      </c>
      <c r="I194">
        <v>66.67</v>
      </c>
      <c r="J194" t="inlineStr">
        <is>
          <t>{"choices":[{"finish_reason":"stop","index":0,"logprobs":null,"message":{"annotations":[],"content":"Montblanc Classic Black Gold Luxury Fountain Pen","refusal":null,"role":"assistant"}}],"created":1777014189,"id":"chatcmpl-DY4r7ZsXtwQe9fJ7E1tIs0k3rKmgF","model":"gpt-5-chat-latest","object":"chat.completion","service_tier":"default","system_fingerprint":"fp_ad66631dec","usage":{"completion_tokens":10,"completion_tokens_details":{"accepted_prediction_tokens":0,"audio_tokens":0,"reasoning_tokens":0,"rejected_prediction_tokens":0},"prompt_tokens":880,"prompt_tokens_details":{"audio_tokens":0,"cached_tokens":0},"total_tokens":890}}</t>
        </is>
      </c>
      <c r="K194" t="inlineStr">
        <is>
          <t>Montblanc Classic Black Gold Luxury Fountain Pen</t>
        </is>
      </c>
      <c r="L194" t="inlineStr">
        <is>
          <t>{"id":"chatcmpl-DY4g4IsHbFzRryPqlu2TtpY16SpaO","object":"chat.completion","created":1777013504,"model":"gpt-5-chat-latest","choices":[{"index":0,"message":{"role":"assistant","content":"Montblanc Classic Black Gold Fountain Pen – crafted from high-gloss resin with gold-plated accents. Sleek German design for elegant writing, perfect for business or collection, timeless style.","refusal":null,"annotations":[]},"logprobs":null,"finish_reason":"stop"}],"usage":{"prompt_tokens":899,"completion_tokens":39,"total_tokens":938,"prompt_tokens_details":{"cached_tokens":0,"audio_tokens":0},"completion_tokens_details":{"reasoning_tokens":0,"audio_tokens":0,"accepted_prediction_tokens":0,"rejected_prediction_tokens":0}},"service_tier":"default","system_fingerprint":"fp_ad66631dec"}</t>
        </is>
      </c>
      <c r="M19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ma=2592000","apim-request-id":"968d4d3d-0312-4a22-8481-5a4b77dca22b","azureml-model-session":"d20260405234249-f9874baf","cache-control":"no-cache, no-store, must-revalidate","connection":"close","content-length":"998","content-security-policy":"frame-ancestors 'self'","content-type":"application/json","date":"Fri, 24 Apr 2026 06:51:47 GMT","server":"Caddy","skip-error-remapping":"true","strict-transport-security":"max-age=31536000; includeSubDomains; preload","via":"1.1 Caddy","x-api-request-id":"20260424145142919934824pFosCv7A","x-content-type-options":"nosniff","x-frame-options":"SAMEORIGIN","x-ms-is-spilled-over":"false","x-ms-rai-invoked":"false","x-ms-region":"Sweden Central","x-new-api-version":"0.4.39","x-oneapi-request-id":"202604240651428424616528268d9d68arJ85rX","x-ratelimit-abusepenalty-active":"False","x-ratelimit-limit-requests":"4998","x-ratelimit-limit-tokens":"4998000","x-ratelimit-remaining-requests":"4997","x-ratelimit-remaining-tokens":"4996339","x-ratelimit-renewalperiod-requests":"60","x-ratelimit-renewalperiod-tokens":"60","x-ratelimit-reset-requests":"12","x-ratelimit-reset-tokens":"19","x-request-id":"df02e705-91a4-405c-b037-8de31594b6ea"}</t>
        </is>
      </c>
      <c r="N194" t="inlineStr">
        <is>
          <t>Montblanc Classic Black Gold Fountain Pen – crafted from high-gloss resin with gold-plated accents. Sleek German design for elegant writing, perfect for business or collection, timeless style.</t>
        </is>
      </c>
      <c r="O194"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1777014946,"id":"chatcmpl-DY53KUYKcegkSTIyyoqjHTZ04DV4G","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94" t="inlineStr">
        <is>
          <t>Montblanc,Pen,kakobuy,kakebuy2026,kekobuysheet,kakobuysheet2026,2026kakobuy,kakobuyspreadsheeet,kakobuylink,kakebuylist,Kakobuy MEGA Spreadsheet,kakobuysheetfind,kakobuysheetfind2026,2026kakobuysheetfind,kakobuysheet2026</t>
        </is>
      </c>
      <c r="Q194"/>
      <c r="R194" t="inlineStr">
        <is>
          <t>recvhju1CrmblE</t>
        </is>
      </c>
      <c r="S194" t="inlineStr">
        <is>
          <t>montblanc-classic-black-gold-fountain-pen-recvhju1crmble</t>
        </is>
      </c>
      <c r="T194"/>
      <c r="U194"/>
      <c r="V194"/>
      <c r="W194" t="inlineStr">
        <is>
          <t>{"id":"chatcmpl-DY47wRcE8sLQthO5CotgLRb77ZitR","object":"chat.completion","created":1777011388,"model":"gpt-5-chat-latest","choices":[{"index":0,"message":{"role":"assistant","content":"Montblanc：经典黑金钢笔，优雅书写利器，选用高光树脂与镀金饰件，流线型设计尽显德式精工美学，男女皆宜，商务与收藏兼备，彰显卓越品味与时代格调。","refusal":null,"annotations":[]},"logprobs":null,"finish_reason":"stop"}],"usage":{"prompt_tokens":1301,"completion_tokens":65,"total_tokens":1366,"prompt_tokens_details":{"cached_tokens":0,"audio_tokens":0},"completion_tokens_details":{"reasoning_tokens":0,"audio_tokens":0,"accepted_prediction_tokens":0,"rejected_prediction_tokens":0}},"service_tier":"default","system_fingerprint":"fp_ad66631dec"}</t>
        </is>
      </c>
      <c r="X194" t="inlineStr">
        <is>
          <t>Montblanc：经典黑金钢笔，优雅书写利器，选用高光树脂与镀金饰件，流线型设计尽显德式精工美学，男女皆宜，商务与收藏兼备，彰显卓越品味与时代格调。</t>
        </is>
      </c>
    </row>
    <row r="195" ht="25.5" customHeight="1">
      <c r="A195">
        <v>1654975475</v>
      </c>
      <c r="B195">
        <v>7619081406</v>
      </c>
      <c r="C195" s="2" t="str">
        <f>=HYPERLINK("https://weidian.com/item.html?itemID=7619081406", "https://weidian.com/item.html?itemID=7619081406")</f>
        <v>https://weidian.com/item.html?itemID=7619081406</v>
      </c>
      <c r="D195"/>
      <c r="E195" s="2" t="str">
        <f>=HYPERLINK("https://si.geilicdn.com/pcitem2014204438-39ff0000019abb51a0d70a210256_1080_1214.jpg?w=640&amp;h=640", "https://si.geilicdn.com/pcitem2014204438-39ff0000019abb51a0d70a210256_1080_1214.jpg?w=640&amp;h=640")</f>
        <v>https://si.geilicdn.com/pcitem2014204438-39ff0000019abb51a0d70a210256_1080_1214.jpg?w=640&amp;h=640</v>
      </c>
      <c r="F195" t="inlineStr">
        <is>
          <t>Accessories</t>
        </is>
      </c>
      <c r="G195" t="inlineStr">
        <is>
          <t>Montblanc</t>
        </is>
      </c>
      <c r="H195">
        <v>460</v>
      </c>
      <c r="I195">
        <v>66.67</v>
      </c>
      <c r="J195" t="inlineStr">
        <is>
          <t>{"id":"chatcmpl-DY4wuheWAnDJuujVRWIzykVK7sPx5","object":"chat.completion","created":1777014548,"model":"gpt-5-chat-latest","choices":[{"index":0,"message":{"role":"assistant","content":"Montblanc Star Blue Silver Metal Ballpoint Pen","refusal":null,"annotations":[]},"logprobs":null,"finish_reason":"stop"}],"usage":{"prompt_tokens":880,"completion_tokens":11,"total_tokens":891,"prompt_tokens_details":{"cached_tokens":0,"audio_tokens":0},"completion_tokens_details":{"reasoning_tokens":0,"audio_tokens":0,"accepted_prediction_tokens":0,"rejected_prediction_tokens":0}},"service_tier":"default","system_fingerprint":"fp_ad66631dec"}</t>
        </is>
      </c>
      <c r="K195" t="inlineStr">
        <is>
          <t>Montblanc Star Blue Silver Metal Ballpoint Pen</t>
        </is>
      </c>
      <c r="L195" t="inlineStr">
        <is>
          <t>{"id":"chatcmpl-DY4cvFlIX9tYVK338sO97oXsF0H9b","object":"chat.completion","created":1777013309,"model":"gpt-5-chat-latest","choices":[{"index":0,"message":{"role":"assistant","content":"Montblanc Star Series Blue Silver Metal Ballpoint Pen, crafted in steel with enamel star pattern, elegant and smooth writing for men and women, perfect for modern business style and artistic taste.","refusal":null,"annotations":[]},"logprobs":null,"finish_reason":"stop"}],"usage":{"prompt_tokens":894,"completion_tokens":39,"total_tokens":933,"prompt_tokens_details":{"cached_tokens":0,"audio_tokens":0},"completion_tokens_details":{"reasoning_tokens":0,"audio_tokens":0,"accepted_prediction_tokens":0,"rejected_prediction_tokens":0}},"service_tier":"default","system_fingerprint":"fp_ad66631dec"}</t>
        </is>
      </c>
      <c r="M19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ma=2592000","apim-request-id":"968c2bd8-addc-4552-8366-8baee16b98c6","azureml-model-session":"d20260405225800-40f19e54","cache-control":"no-cache, no-store, must-revalidate","connection":"close","content-length":"1001","content-security-policy":"frame-ancestors 'self'","content-type":"application/json","date":"Fri, 24 Apr 2026 06:48:31 GMT","server":"nginx","skip-error-remapping":"true","strict-transport-security":"max-age=31536000; includeSubDomains; preload","via":"1.1 Caddy, 1.1 Caddy","x-api-request-id":"202604241448282481632870kearBGQ","x-content-type-options":"nosniff","x-frame-options":"SAMEORIGIN","x-ms-is-spilled-over":"false","x-ms-rai-invoked":"false","x-ms-region":"East US 2","x-new-api-version":"0.4.39","x-oneapi-request-id":"2026042406482837583708268d9d66k3BBs2V","x-ratelimit-abusepenalty-active":"False","x-ratelimit-limit-requests":"4992","x-ratelimit-limit-tokens":"4992000","x-ratelimit-remaining-requests":"4991","x-ratelimit-remaining-tokens":"4990344","x-ratelimit-renewalperiod-requests":"60","x-ratelimit-renewalperiod-tokens":"60","x-ratelimit-reset-requests":"12","x-ratelimit-reset-tokens":"19","x-request-id":"3ef993b0-9623-4883-b6f6-bae21272ae76"}</t>
        </is>
      </c>
      <c r="N195" t="inlineStr">
        <is>
          <t>Montblanc Star Series Blue Silver Metal Ballpoint Pen, crafted in steel with enamel star pattern, elegant and smooth writing for men and women, perfect for modern business style and artistic taste.</t>
        </is>
      </c>
      <c r="O195" t="inlineStr">
        <is>
          <t>{"id":"chatcmpl-DY53fMwNX1O16GyYdLpcUuuA8IKnZ","object":"chat.completion","created":1777014967,"model":"gpt-5-chat-latest","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5" t="inlineStr">
        <is>
          <t>Montblanc,Accessories,kakobuy,kakebuy2026,kekobuysheet,kakobuysheet2026,2026kakobuy,kakobuyspreadsheeet,kakobuylink,kakebuylist,Kakobuy MEGA Spreadsheet,kakobuysheetfind,kakobuysheetfind2026,2026kakobuysheetfind,kakobuysheet2026</t>
        </is>
      </c>
      <c r="Q195"/>
      <c r="R195" t="inlineStr">
        <is>
          <t>recvhju1CrdtlD</t>
        </is>
      </c>
      <c r="S195" t="inlineStr">
        <is>
          <t>montblanc-star-blue-silver-metal-pen-recvhju1crdtld</t>
        </is>
      </c>
      <c r="T195"/>
      <c r="U195"/>
      <c r="V195"/>
      <c r="W195" t="inlineStr">
        <is>
          <t>{"choices":[{"finish_reason":"stop","index":0,"logprobs":null,"message":{"annotations":[],"content":"Montblanc：星辰系列蓝银色金属圆珠笔，采用精钢笔身与珐琅星纹设计，质感典雅高贵，书写顺滑流畅，男女皆宜，彰显现代商务格调与艺术品味。","refusal":null,"role":"assistant"}}],"created":1777011409,"id":"chatcmpl-DY48Hgd9gPCHTtJSKb5KuV8sr1VYP","model":"gpt-5-chat-latest","object":"chat.completion","service_tier":"default","system_fingerprint":"fp_ad66631dec","usage":{"completion_tokens":60,"completion_tokens_details":{"accepted_prediction_tokens":0,"audio_tokens":0,"reasoning_tokens":0,"rejected_prediction_tokens":0},"prompt_tokens":1301,"prompt_tokens_details":{"audio_tokens":0,"cached_tokens":0},"total_tokens":1361}}</t>
        </is>
      </c>
      <c r="X195" t="inlineStr">
        <is>
          <t>Montblanc：星辰系列蓝银色金属圆珠笔，采用精钢笔身与珐琅星纹设计，质感典雅高贵，书写顺滑流畅，男女皆宜，彰显现代商务格调与艺术品味。</t>
        </is>
      </c>
    </row>
    <row r="196" ht="25.5" customHeight="1">
      <c r="A196">
        <v>1654975475</v>
      </c>
      <c r="B196">
        <v>7616173807</v>
      </c>
      <c r="C196" s="2" t="str">
        <f>=HYPERLINK("https://weidian.com/item.html?itemID=7616173807", "https://weidian.com/item.html?itemID=7616173807")</f>
        <v>https://weidian.com/item.html?itemID=7616173807</v>
      </c>
      <c r="D196"/>
      <c r="E196" s="2" t="str">
        <f>=HYPERLINK("https://si.geilicdn.com/pcitem2014204438-2c300000019abb5101f90a20e7c7_1170_1500.jpg?w=640&amp;h=640", "https://si.geilicdn.com/pcitem2014204438-2c300000019abb5101f90a20e7c7_1170_1500.jpg?w=640&amp;h=640")</f>
        <v>https://si.geilicdn.com/pcitem2014204438-2c300000019abb5101f90a20e7c7_1170_1500.jpg?w=640&amp;h=640</v>
      </c>
      <c r="F196" t="inlineStr">
        <is>
          <t>Accessories</t>
        </is>
      </c>
      <c r="G196" t="inlineStr">
        <is>
          <t>Montblanc</t>
        </is>
      </c>
      <c r="H196">
        <v>460</v>
      </c>
      <c r="I196">
        <v>66.67</v>
      </c>
      <c r="J196" t="inlineStr">
        <is>
          <t>{"choices":[{"finish_reason":"stop","index":0,"logprobs":null,"message":{"annotations":[],"content":"Montblanc Blue Gold Art Nouveau Fountain Pen","refusal":null,"role":"assistant"}}],"created":1777014320,"id":"chatcmpl-DY4tE36xFJVWA6KzFRo8gjcYIbtab","model":"gpt-5-chat-latest","object":"chat.completion","service_tier":"default","system_fingerprint":"fp_ad66631dec","usage":{"completion_tokens":10,"completion_tokens_details":{"accepted_prediction_tokens":0,"audio_tokens":0,"reasoning_tokens":0,"rejected_prediction_tokens":0},"prompt_tokens":868,"prompt_tokens_details":{"audio_tokens":0,"cached_tokens":0},"total_tokens":878}}</t>
        </is>
      </c>
      <c r="K196" t="inlineStr">
        <is>
          <t>Montblanc Blue Gold Art Nouveau Fountain Pen</t>
        </is>
      </c>
      <c r="L196" t="inlineStr">
        <is>
          <t>{"choices":[{"finish_reason":"stop","index":0,"logprobs":null,"message":{"annotations":[],"content":"Montblanc Limited Edition Blue Gold Fountain Pen with brass honeycomb texture and golden spiral clip, inspired by Art Nouveau elegance—perfect for business professionals and collectors.","refusal":null,"role":"assistant"}}],"created":1777013313,"id":"chatcmpl-DY4czaSKFJWGihG4NkgGQrRkjLzo6","model":"gpt-5-chat-latest","object":"chat.completion","service_tier":"default","system_fingerprint":"fp_ad66631dec","usage":{"completion_tokens":33,"completion_tokens_details":{"accepted_prediction_tokens":0,"audio_tokens":0,"reasoning_tokens":0,"rejected_prediction_tokens":0},"prompt_tokens":896,"prompt_tokens_details":{"audio_tokens":0,"cached_tokens":0},"total_tokens":929}}</t>
        </is>
      </c>
      <c r="M196" t="inlineStr">
        <is>
          <t>{"alt-svc":"h3=\":443\"; ma=2592000","apim-request-id":"40034610-e151-447f-94d0-cfacdd569b49","azureml-model-session":"d20260405234249-f9874baf","cache-control":"no-cache","connection":"close","content-length":"775","content-security-policy":"frame-ancestors 'self'","content-type":"application/json","date":"Fri, 24 Apr 2026 06:48:34 GMT","server":"nginx","skip-error-remapping":"true","strict-transport-security":"max-age=31536000; includeSubDomains; preload","via":"1.1 Caddy, 1.1 Caddy","x-api-request-id":"20260424144831958230109Y0h2R4Xf","x-content-type-options":"nosniff","x-frame-options":"SAMEORIGIN","x-ms-client-request-id":"Not-Set","x-ms-is-spilled-over":"false","x-ms-rai-invoked":"true","x-ms-region":"East US 2","x-new-api-version":"0.4.39","x-oneapi-request-id":"202604240648318293447998268d9d6xAUKfuyt","x-ratelimit-abusepenalty-active":"False","x-ratelimit-limit-requests":"3850","x-ratelimit-limit-tokens":"3850000","x-ratelimit-remaining-requests":"3849","x-ratelimit-remaining-tokens":"3848342","x-ratelimit-renewalperiod-requests":"60","x-ratelimit-renewalperiod-tokens":"60","x-ratelimit-reset-requests":"15","x-ratelimit-reset-tokens":"25","x-request-id":"cdfd6080-987c-4d5b-b3ca-02dd01914f41"}</t>
        </is>
      </c>
      <c r="N196" t="inlineStr">
        <is>
          <t>Montblanc Limited Edition Blue Gold Fountain Pen with brass honeycomb texture and golden spiral clip, inspired by Art Nouveau elegance—perfect for business professionals and collectors.</t>
        </is>
      </c>
      <c r="O196" t="inlineStr">
        <is>
          <t>{"choices":[{"finish_reason":"stop","index":0,"logprobs":null,"message":{"annotations":[],"content":"Montblanc,Accessories,kakobuy,kakebuy2026,kekobuysheet,kakobuysheet2026,2026kakobuy,kakobuyspreadsheeet,kakobuylink,kakebuylist,Kakobuy MEGA Spreadsheet,kakobuysheetfind,kakobuysheetfind2026,2026kakobuysheetfind,kakobuysheet2026","refusal":null,"role":"assistant"}}],"created":1777015161,"id":"chatcmpl-DY56nszIaxBtvo5PU7JTXTKQUxvgk","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96" t="inlineStr">
        <is>
          <t>Montblanc,Accessories,kakobuy,kakebuy2026,kekobuysheet,kakobuysheet2026,2026kakobuy,kakobuyspreadsheeet,kakobuylink,kakebuylist,Kakobuy MEGA Spreadsheet,kakobuysheetfind,kakobuysheetfind2026,2026kakobuysheetfind,kakobuysheet2026</t>
        </is>
      </c>
      <c r="Q196"/>
      <c r="R196" t="inlineStr">
        <is>
          <t>recvhju1Cr0G7x</t>
        </is>
      </c>
      <c r="S196" t="inlineStr">
        <is>
          <t>montblanc-blue-gold-art-nouveau-fountain-pen-recvhju1cr0g7x</t>
        </is>
      </c>
      <c r="T196"/>
      <c r="U196"/>
      <c r="V196"/>
      <c r="W196" t="inlineStr">
        <is>
          <t>{"choices":[{"finish_reason":"stop","index":0,"logprobs":null,"message":{"annotations":[],"content":"Montblanc：限量版蓝金色钢笔，采用黄铜蜂巢雕纹笔身与金色螺旋夹设计，灵感源自新艺术风格，彰显典雅格调与收藏价值，适合商务与收藏人士。","refusal":null,"role":"assistant"}}],"created":1777011765,"id":"chatcmpl-DY4E1ehQ3Bv7CA9g5EK90jxyZmWam","model":"gpt-5-chat-latest","object":"chat.completion","service_tier":"default","system_fingerprint":"fp_ad66631dec","usage":{"completion_tokens":60,"completion_tokens_details":{"accepted_prediction_tokens":0,"audio_tokens":0,"reasoning_tokens":0,"rejected_prediction_tokens":0},"prompt_tokens":1305,"prompt_tokens_details":{"audio_tokens":0,"cached_tokens":0},"total_tokens":1365}}</t>
        </is>
      </c>
      <c r="X196" t="inlineStr">
        <is>
          <t>Montblanc：限量版蓝金色钢笔，采用黄铜蜂巢雕纹笔身与金色螺旋夹设计，灵感源自新艺术风格，彰显典雅格调与收藏价值，适合商务与收藏人士。</t>
        </is>
      </c>
    </row>
    <row r="197" ht="25.5" customHeight="1">
      <c r="A197">
        <v>1654975475</v>
      </c>
      <c r="B197">
        <v>7616035563</v>
      </c>
      <c r="C197" s="2" t="str">
        <f>=HYPERLINK("https://weidian.com/item.html?itemID=7616035563", "https://weidian.com/item.html?itemID=7616035563")</f>
        <v>https://weidian.com/item.html?itemID=7616035563</v>
      </c>
      <c r="D197"/>
      <c r="E197" s="2" t="str">
        <f>=HYPERLINK("https://si.geilicdn.com/pcitem2014204438-2f5b0000019abb52da3f0a2396f4_1276_1496.jpg?w=640&amp;h=640", "https://si.geilicdn.com/pcitem2014204438-2f5b0000019abb52da3f0a2396f4_1276_1496.jpg?w=640&amp;h=640")</f>
        <v>https://si.geilicdn.com/pcitem2014204438-2f5b0000019abb52da3f0a2396f4_1276_1496.jpg?w=640&amp;h=640</v>
      </c>
      <c r="F197" t="inlineStr">
        <is>
          <t>Accessories</t>
        </is>
      </c>
      <c r="G197" t="inlineStr">
        <is>
          <t>Montblanc</t>
        </is>
      </c>
      <c r="H197">
        <v>460</v>
      </c>
      <c r="I197">
        <v>66.67</v>
      </c>
      <c r="J197" t="inlineStr">
        <is>
          <t>{"choices":[{"finish_reason":"stop","index":0,"logprobs":null,"message":{"annotations":[],"content":"Montblanc White Signature Pen Gold Trim Stainless Steel","refusal":null,"role":"assistant"}}],"created":1777014325,"id":"chatcmpl-DY4tJYg5FO7kgPz6eoafLSRS7WZhx","model":"gpt-5-chat-latest","object":"chat.completion","service_tier":"default","system_fingerprint":"fp_ad66631dec","usage":{"completion_tokens":11,"completion_tokens_details":{"accepted_prediction_tokens":0,"audio_tokens":0,"reasoning_tokens":0,"rejected_prediction_tokens":0},"prompt_tokens":876,"prompt_tokens_details":{"audio_tokens":0,"cached_tokens":0},"total_tokens":887}}</t>
        </is>
      </c>
      <c r="K197" t="inlineStr">
        <is>
          <t>Montblanc White Signature Pen Gold Trim Stainless Steel</t>
        </is>
      </c>
      <c r="L197" t="inlineStr">
        <is>
          <t>{"id":"chatcmpl-DY4dJki2jYr9wbRTGIAF2wZA9tbi1","object":"chat.completion","created":1777013333,"model":"gpt-5-chat-latest","choices":[{"index":0,"message":{"role":"assistant","content":"Montblanc White Signature Pen – crafted with stainless steel body and gold-plated trim. Sleek German minimalist design, elegant for men and women, ideal for business or gifting.","refusal":null,"annotations":[]},"logprobs":null,"finish_reason":"stop"}],"usage":{"prompt_tokens":905,"completion_tokens":37,"total_tokens":942,"prompt_tokens_details":{"cached_tokens":0,"audio_tokens":0},"completion_tokens_details":{"reasoning_tokens":0,"audio_tokens":0,"accepted_prediction_tokens":0,"rejected_prediction_tokens":0}},"service_tier":"default","system_fingerprint":"fp_ad66631dec"}</t>
        </is>
      </c>
      <c r="M19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ma=2592000","apim-request-id":"054d4af1-8608-4c50-a415-0227be3ab4de","azureml-model-session":"d20260405225800-40f19e54","cache-control":"no-cache, no-store, must-revalidate","connection":"close","content-length":"983","content-security-policy":"frame-ancestors 'self'","content-type":"application/json","date":"Fri, 24 Apr 2026 06:48:55 GMT","server":"Caddy","skip-error-remapping":"true","strict-transport-security":"max-age=31536000; includeSubDomains; preload","via":"1.1 Caddy","x-api-request-id":"20260424144852406156584PIttisNm","x-content-type-options":"nosniff","x-frame-options":"SAMEORIGIN","x-ms-is-spilled-over":"false","x-ms-rai-invoked":"false","x-ms-region":"East US 2","x-new-api-version":"0.4.39","x-oneapi-request-id":"202604240648522330632348268d9d6iX24E9dN","x-ratelimit-abusepenalty-active":"False","x-ratelimit-limit-requests":"4992","x-ratelimit-limit-tokens":"4992000","x-ratelimit-remaining-requests":"4991","x-ratelimit-remaining-tokens":"4990333","x-ratelimit-renewalperiod-requests":"60","x-ratelimit-renewalperiod-tokens":"60","x-ratelimit-reset-requests":"12","x-ratelimit-reset-tokens":"20","x-request-id":"8259c32c-ad02-4dbd-9c7b-307f379cdbf7"}</t>
        </is>
      </c>
      <c r="N197" t="inlineStr">
        <is>
          <t>Montblanc White Signature Pen – crafted with stainless steel body and gold-plated trim. Sleek German minimalist design, elegant for men and women, ideal for business or gifting.</t>
        </is>
      </c>
      <c r="O197" t="inlineStr">
        <is>
          <t>{"id":"chatcmpl-DY573qW9F5i6lsW0Y2kmD56D9iejg","object":"chat.completion","created":1777015177,"model":"gpt-5-chat-latest","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7" t="inlineStr">
        <is>
          <t>Montblanc,Accessories,kakobuy,kakebuy2026,kekobuysheet,kakobuysheet2026,2026kakobuy,kakobuyspreadsheeet,kakobuylink,kakebuylist,Kakobuy MEGA Spreadsheet,kakobuysheetfind,kakobuysheetfind2026,2026kakobuysheetfind,kakobuysheet2026</t>
        </is>
      </c>
      <c r="Q197"/>
      <c r="R197" t="inlineStr">
        <is>
          <t>recvhju1CrWVYs</t>
        </is>
      </c>
      <c r="S197" t="inlineStr">
        <is>
          <t>montblanc-white-signature-pen-gold-trim-stainless-steel-recvhju1crwvys</t>
        </is>
      </c>
      <c r="T197"/>
      <c r="U197"/>
      <c r="V197"/>
      <c r="W197" t="inlineStr">
        <is>
          <t>{"choices":[{"finish_reason":"stop","index":0,"logprobs":null,"message":{"annotations":[],"content":"Montblanc：白色典雅签字笔，精钢笔身搭配镀金装饰，质感细腻高贵。流线型设计融合德式简约美学，男女皆宜，彰显经典商务格调，适合现代职场与礼赠场合。","refusal":null,"role":"assistant"}}],"created":1777012034,"id":"chatcmpl-DY4IMI5vbG6Ec1MckNd7qOZ9elSC2","model":"gpt-5-chat-latest","object":"chat.completion","service_tier":"default","system_fingerprint":"fp_ad66631dec","usage":{"completion_tokens":67,"completion_tokens_details":{"accepted_prediction_tokens":0,"audio_tokens":0,"reasoning_tokens":0,"rejected_prediction_tokens":0},"prompt_tokens":1309,"prompt_tokens_details":{"audio_tokens":0,"cached_tokens":0},"total_tokens":1376}}</t>
        </is>
      </c>
      <c r="X197" t="inlineStr">
        <is>
          <t>Montblanc：白色典雅签字笔，精钢笔身搭配镀金装饰，质感细腻高贵。流线型设计融合德式简约美学，男女皆宜，彰显经典商务格调，适合现代职场与礼赠场合。</t>
        </is>
      </c>
    </row>
    <row r="198" ht="25.5" customHeight="1">
      <c r="A198">
        <v>1654975475</v>
      </c>
      <c r="B198">
        <v>7619151986</v>
      </c>
      <c r="C198" s="2" t="str">
        <f>=HYPERLINK("https://weidian.com/item.html?itemID=7619151986", "https://weidian.com/item.html?itemID=7619151986")</f>
        <v>https://weidian.com/item.html?itemID=7619151986</v>
      </c>
      <c r="D198"/>
      <c r="E198" s="2" t="str">
        <f>=HYPERLINK("https://si.geilicdn.com/pcitem2014204438-43290000019abb6240000a23041a_1080_1080.jpg?w=640&amp;h=640", "https://si.geilicdn.com/pcitem2014204438-43290000019abb6240000a23041a_1080_1080.jpg?w=640&amp;h=640")</f>
        <v>https://si.geilicdn.com/pcitem2014204438-43290000019abb6240000a23041a_1080_1080.jpg?w=640&amp;h=640</v>
      </c>
      <c r="F198" t="inlineStr">
        <is>
          <t>Accessories</t>
        </is>
      </c>
      <c r="G198" t="inlineStr">
        <is>
          <t>Montblanc</t>
        </is>
      </c>
      <c r="H198">
        <v>460</v>
      </c>
      <c r="I198">
        <v>66.67</v>
      </c>
      <c r="J198" t="inlineStr">
        <is>
          <t>{"choices":[{"finish_reason":"stop","index":0,"logprobs":null,"message":{"annotations":[],"content":"Montblanc Classic Silver Metal Pattern Rollerball Pen","refusal":null,"role":"assistant"}}],"created":1777014524,"id":"chatcmpl-DY4wWEEzTP5CVN3QyMevhrxxBchbW","model":"gpt-5-chat-latest","object":"chat.completion","service_tier":"default","system_fingerprint":"fp_ad66631dec","usage":{"completion_tokens":11,"completion_tokens_details":{"accepted_prediction_tokens":0,"audio_tokens":0,"reasoning_tokens":0,"rejected_prediction_tokens":0},"prompt_tokens":874,"prompt_tokens_details":{"audio_tokens":0,"cached_tokens":0},"total_tokens":885}}</t>
        </is>
      </c>
      <c r="K198" t="inlineStr">
        <is>
          <t>Montblanc Classic Silver Metal Pattern Rollerball Pen</t>
        </is>
      </c>
      <c r="L198" t="inlineStr">
        <is>
          <t>{"choices":[{"finish_reason":"stop","index":0,"logprobs":null,"message":{"annotations":[],"content":"Montblanc Classic Silver Gray Pattern Metal Rollerball Pen, crafted in stainless steel with engraved texture, sleek modern design for professionals, smooth and elegant writing for men and women.","refusal":null,"role":"assistant"}}],"created":1777013261,"id":"chatcmpl-DY4c9ZcVjyZUTKSwbZDlBGBjEOaTL","model":"gpt-5-chat-latest","object":"chat.completion","service_tier":"default","system_fingerprint":"fp_ad66631dec","usage":{"completion_tokens":36,"completion_tokens_details":{"accepted_prediction_tokens":0,"audio_tokens":0,"reasoning_tokens":0,"rejected_prediction_tokens":0},"prompt_tokens":883,"prompt_tokens_details":{"audio_tokens":0,"cached_tokens":0},"total_tokens":919}}</t>
        </is>
      </c>
      <c r="M198" t="inlineStr">
        <is>
          <t>{"alt-svc":"h3=\":443\"; ma=2592000","apim-request-id":"a4583016-0b55-4f2c-aaf0-12ae45a50210","azureml-model-session":"d20260405212659-a9daa006","cache-control":"no-cache","connection":"close","content-length":"782","content-security-policy":"frame-ancestors 'self'","content-type":"application/json","date":"Fri, 24 Apr 2026 06:47:42 GMT","server":"nginx","skip-error-remapping":"true","strict-transport-security":"max-age=31536000; includeSubDomains; preload","via":"1.1 Caddy, 1.1 Caddy","x-api-request-id":"20260424144740599672819GPv2Jqv8","x-content-type-options":"nosniff","x-frame-options":"SAMEORIGIN","x-ms-client-request-id":"Not-Set","x-ms-is-spilled-over":"false","x-ms-rai-invoked":"true","x-ms-region":"East US 2","x-new-api-version":"0.4.39","x-oneapi-request-id":"202604240647403966203788268d9d6OyWsvKWP","x-ratelimit-abusepenalty-active":"False","x-ratelimit-limit-requests":"3850","x-ratelimit-limit-tokens":"3850000","x-ratelimit-remaining-requests":"3849","x-ratelimit-remaining-tokens":"3848355","x-ratelimit-renewalperiod-requests":"60","x-ratelimit-renewalperiod-tokens":"60","x-ratelimit-reset-requests":"15","x-ratelimit-reset-tokens":"25","x-request-id":"7028f054-409b-4ffb-b496-cd977d4ca9dd"}</t>
        </is>
      </c>
      <c r="N198" t="inlineStr">
        <is>
          <t>Montblanc Classic Silver Gray Pattern Metal Rollerball Pen, crafted in stainless steel with engraved texture, sleek modern design for professionals, smooth and elegant writing for men and women.</t>
        </is>
      </c>
      <c r="O198" t="inlineStr">
        <is>
          <t>{"id":"chatcmpl-DY56I7PFa5ilKG15MJmXs61raFTyp","object":"chat.completion","created":1777015130,"model":"gpt-5-chat-latest","choices":[{"index":0,"message":{"role":"assistant","content":"Montblanc,Pen,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8" t="inlineStr">
        <is>
          <t>Montblanc,Pen,kakobuy,kakebuy2026,kekobuysheet,kakobuysheet2026,2026kakobuy,kakobuyspreadsheeet,kakobuylink,kakebuylist,Kakobuy MEGA Spreadsheet,kakobuysheetfind,kakobuysheetfind2026,2026kakobuysheetfind,kakobuysheet2026</t>
        </is>
      </c>
      <c r="Q198"/>
      <c r="R198" t="inlineStr">
        <is>
          <t>recvhju1CrwWzC</t>
        </is>
      </c>
      <c r="S198" t="inlineStr">
        <is>
          <t>montblanc-classic-silver-metal-pattern-rollerball-recvhju1crwwzc</t>
        </is>
      </c>
      <c r="T198"/>
      <c r="U198"/>
      <c r="V198"/>
      <c r="W198" t="inlineStr">
        <is>
          <t>{"choices":[{"finish_reason":"stop","index":0,"logprobs":null,"message":{"annotations":[],"content":"Montblanc：经典银灰格纹系列金属签字笔，采用精钢雕纹工艺，流线型设计彰显商务精英格调，男女皆宜，现代风格书写顺畅优雅。","refusal":null,"role":"assistant"}}],"created":1777012008,"id":"chatcmpl-DY4HwpPjl6sRJ3u5AXp6yws6WptNg","model":"gpt-5-chat-latest","object":"chat.completion","service_tier":"default","system_fingerprint":"fp_ad66631dec","usage":{"completion_tokens":51,"completion_tokens_details":{"accepted_prediction_tokens":0,"audio_tokens":0,"reasoning_tokens":0,"rejected_prediction_tokens":0},"prompt_tokens":1297,"prompt_tokens_details":{"audio_tokens":0,"cached_tokens":0},"total_tokens":1348}}</t>
        </is>
      </c>
      <c r="X198" t="inlineStr">
        <is>
          <t>Montblanc：经典银灰格纹系列金属签字笔，采用精钢雕纹工艺，流线型设计彰显商务精英格调，男女皆宜，现代风格书写顺畅优雅。</t>
        </is>
      </c>
    </row>
    <row r="199" ht="25.5" customHeight="1">
      <c r="A199">
        <v>1654975475</v>
      </c>
      <c r="B199">
        <v>7619224478</v>
      </c>
      <c r="C199" s="2" t="str">
        <f>=HYPERLINK("https://weidian.com/item.html?itemID=7619224478", "https://weidian.com/item.html?itemID=7619224478")</f>
        <v>https://weidian.com/item.html?itemID=7619224478</v>
      </c>
      <c r="D199"/>
      <c r="E199" s="2" t="str">
        <f>=HYPERLINK("https://si.geilicdn.com/pcitem902014207253-52360000019abd0a7fb30a20e672_1080_1080.jpg?w=640&amp;h=640", "https://si.geilicdn.com/pcitem902014207253-52360000019abd0a7fb30a20e672_1080_1080.jpg?w=640&amp;h=640")</f>
        <v>https://si.geilicdn.com/pcitem902014207253-52360000019abd0a7fb30a20e672_1080_1080.jpg?w=640&amp;h=640</v>
      </c>
      <c r="F199" t="inlineStr">
        <is>
          <t>Accessories</t>
        </is>
      </c>
      <c r="G199" t="inlineStr">
        <is>
          <t>Montblanc</t>
        </is>
      </c>
      <c r="H199">
        <v>460</v>
      </c>
      <c r="I199">
        <v>66.67</v>
      </c>
      <c r="J199" t="inlineStr">
        <is>
          <t>{"id":"chatcmpl-DY4uw95BL7o3tFImI4hARtpDjTl46","object":"chat.completion","created":1777014426,"model":"gpt-5-chat-latest","choices":[{"index":0,"message":{"role":"assistant","content":"Montblanc Red Gold Limited Edition Luxury Pen","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is>
      </c>
      <c r="K199" t="inlineStr">
        <is>
          <t>Montblanc Red Gold Limited Edition Luxury Pen</t>
        </is>
      </c>
      <c r="L199" t="inlineStr">
        <is>
          <t>{"id":"chatcmpl-DY4aqZcgYRyWyqgUARWzxZE8gpmhE","object":"chat.completion","created":1777013180,"model":"gpt-5-chat-latest","choices":[{"index":0,"message":{"role":"assistant","content":"Montblanc Limited Red Gold Series Signature Pen: gold-plated body with red pattern design, smooth ink flow, luxurious craftsmanship for business or collection, timeless elegance for men and women.","refusal":null,"annotations":[]},"logprobs":null,"finish_reason":"stop"}],"usage":{"prompt_tokens":915,"completion_tokens":38,"total_tokens":953,"prompt_tokens_details":{"cached_tokens":0,"audio_tokens":0},"completion_tokens_details":{"reasoning_tokens":0,"audio_tokens":0,"accepted_prediction_tokens":0,"rejected_prediction_tokens":0}},"service_tier":"default","system_fingerprint":"fp_ad66631dec"}</t>
        </is>
      </c>
      <c r="M19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ma=2592000","apim-request-id":"0b11f46b-03f9-43f4-925c-71a87e824096","azureml-model-session":"d20260405234249-f9874baf","cache-control":"no-cache, no-store, must-revalidate","connection":"close","content-length":"1000","content-security-policy":"frame-ancestors 'self'","content-type":"application/json","date":"Fri, 24 Apr 2026 06:46:22 GMT","server":"nginx","skip-error-remapping":"true","strict-transport-security":"max-age=31536000; includeSubDomains; preload","via":"1.1 Caddy, 1.1 Caddy","x-api-request-id":"20260424144619933065184dxOO6hNr","x-content-type-options":"nosniff","x-frame-options":"SAMEORIGIN","x-ms-is-spilled-over":"false","x-ms-rai-invoked":"false","x-ms-region":"East US 2","x-new-api-version":"0.4.39","x-oneapi-request-id":"202604240646198488799198268d9d6XO23YSK6","x-ratelimit-abusepenalty-active":"False","x-ratelimit-limit-requests":"4992","x-ratelimit-limit-tokens":"4992000","x-ratelimit-remaining-requests":"4991","x-ratelimit-remaining-tokens":"4990323","x-ratelimit-renewalperiod-requests":"60","x-ratelimit-renewalperiod-tokens":"60","x-ratelimit-reset-requests":"12","x-ratelimit-reset-tokens":"20","x-request-id":"30d8320c-b991-4fa5-8242-d987b90d52a6"}</t>
        </is>
      </c>
      <c r="N199" t="inlineStr">
        <is>
          <t>Montblanc Limited Red Gold Series Signature Pen: gold-plated body with red pattern design, smooth ink flow, luxurious craftsmanship for business or collection, timeless elegance for men and women.</t>
        </is>
      </c>
      <c r="O199" t="inlineStr">
        <is>
          <t>{"id":"chatcmpl-DY5A81iBVaY7G5DHqobUx9hhD1Uvz","object":"chat.completion","created":1777015368,"model":"gpt-5-chat-latest","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9" t="inlineStr">
        <is>
          <t>Montblanc,Accessories,kakobuy,kakebuy2026,kekobuysheet,kakobuysheet2026,2026kakobuy,kakobuyspreadsheeet,kakobuylink,kakebuylist,Kakobuy MEGA Spreadsheet,kakobuysheetfind,kakobuysheetfind2026,2026kakobuysheetfind,kakobuysheet2026</t>
        </is>
      </c>
      <c r="Q199"/>
      <c r="R199" t="inlineStr">
        <is>
          <t>recvhju1Cr1Z9z</t>
        </is>
      </c>
      <c r="S199" t="inlineStr">
        <is>
          <t>montblanc-red-gold-limited-edition-luxury-pen-recvhju1cr1z9z</t>
        </is>
      </c>
      <c r="T199"/>
      <c r="U199"/>
      <c r="V199"/>
      <c r="W199" t="inlineStr">
        <is>
          <t>{"choices":[{"finish_reason":"stop","index":0,"logprobs":null,"message":{"annotations":[],"content":"Montblanc：限量红金系列经典签字笔，镀金金属笔身搭配红色图腾纹理设计，彰显奢华典雅格调。精致工艺融合现代美学，出墨顺滑流畅，适合商务与收藏人士使用，男女皆宜，尽显品牌百年匠心魅力。","refusal":null,"role":"assistant"}}],"created":1777011770,"id":"chatcmpl-DY4E6XoRmoJhqVXkNAkAF8y3FkmxP","model":"gpt-5-chat-latest","object":"chat.completion","service_tier":"default","system_fingerprint":"fp_ad66631dec","usage":{"completion_tokens":81,"completion_tokens_details":{"accepted_prediction_tokens":0,"audio_tokens":0,"reasoning_tokens":0,"rejected_prediction_tokens":0},"prompt_tokens":1301,"prompt_tokens_details":{"audio_tokens":0,"cached_tokens":1280},"total_tokens":1382}}</t>
        </is>
      </c>
      <c r="X199" t="inlineStr">
        <is>
          <t>Montblanc：限量红金系列经典签字笔，镀金金属笔身搭配红色图腾纹理设计，彰显奢华典雅格调。精致工艺融合现代美学，出墨顺滑流畅，适合商务与收藏人士使用，男女皆宜，尽显品牌百年匠心魅力。</t>
        </is>
      </c>
    </row>
    <row r="200" ht="25.5" customHeight="1">
      <c r="A200">
        <v>1654975475</v>
      </c>
      <c r="B200">
        <v>7619220474</v>
      </c>
      <c r="C200" s="2" t="str">
        <f>=HYPERLINK("https://weidian.com/item.html?itemID=7619220474", "https://weidian.com/item.html?itemID=7619220474")</f>
        <v>https://weidian.com/item.html?itemID=7619220474</v>
      </c>
      <c r="D200"/>
      <c r="E200" s="2" t="str">
        <f>=HYPERLINK("https://si.geilicdn.com/pcitem902014207253-5bf90000019abd0b9ce50a8133cc_1361_1500.jpg?w=640&amp;h=640", "https://si.geilicdn.com/pcitem902014207253-5bf90000019abd0b9ce50a8133cc_1361_1500.jpg?w=640&amp;h=640")</f>
        <v>https://si.geilicdn.com/pcitem902014207253-5bf90000019abd0b9ce50a8133cc_1361_1500.jpg?w=640&amp;h=640</v>
      </c>
      <c r="F200" t="inlineStr">
        <is>
          <t>Accessories</t>
        </is>
      </c>
      <c r="G200" t="inlineStr">
        <is>
          <t>Montblanc</t>
        </is>
      </c>
      <c r="H200">
        <v>460</v>
      </c>
      <c r="I200">
        <v>66.67</v>
      </c>
      <c r="J200" t="inlineStr">
        <is>
          <t>{"choices":[{"finish_reason":"stop","index":0,"logprobs":null,"message":{"annotations":[],"content":"Montblanc Black Signature Pen Stainless Steel Luxury Writing","refusal":null,"role":"assistant"}}],"created":1777014444,"id":"chatcmpl-DY4vEkG3UzSZXXvu8im8eFm9hdqQo","model":"gpt-5-chat-latest","object":"chat.completion","service_tier":"default","system_fingerprint":"fp_ad66631dec","usage":{"completion_tokens":11,"completion_tokens_details":{"accepted_prediction_tokens":0,"audio_tokens":0,"reasoning_tokens":0,"rejected_prediction_tokens":0},"prompt_tokens":870,"prompt_tokens_details":{"audio_tokens":0,"cached_tokens":0},"total_tokens":881}}</t>
        </is>
      </c>
      <c r="K200" t="inlineStr">
        <is>
          <t>Montblanc Black Signature Pen Stainless Steel Luxury Writing</t>
        </is>
      </c>
      <c r="L200" t="inlineStr">
        <is>
          <t>{"choices":[{"finish_reason":"stop","index":0,"logprobs":null,"message":{"annotations":[],"content":"Montblanc Black Signature Pen – sleek stainless steel barrel with refined metallic finish, blending business elegance and artistic style. Unisex design embodies modern sophistication and timeless craftsmanship.","refusal":null,"role":"assistant"}}],"created":1777013435,"id":"chatcmpl-DY4exu4Wbs8YoYBidd1NtPQiwgBRI","model":"gpt-5-chat-latest","object":"chat.completion","service_tier":"default","system_fingerprint":"fp_ad66631dec","usage":{"completion_tokens":34,"completion_tokens_details":{"accepted_prediction_tokens":0,"audio_tokens":0,"reasoning_tokens":0,"rejected_prediction_tokens":0},"prompt_tokens":902,"prompt_tokens_details":{"audio_tokens":0,"cached_tokens":0},"total_tokens":936}}</t>
        </is>
      </c>
      <c r="M200" t="inlineStr">
        <is>
          <t>{"alt-svc":"h3=\":443\"; ma=2592000","apim-request-id":"08c52ce5-b185-4740-a27f-d8ef9c5cc64d","azureml-model-session":"d20260405234249-f9874baf","cache-control":"no-cache","connection":"close","content-length":"800","content-security-policy":"frame-ancestors 'self'","content-type":"application/json","date":"Fri, 24 Apr 2026 06:50:36 GMT","server":"Caddy","skip-error-remapping":"true","strict-transport-security":"max-age=31536000; includeSubDomains; preload","via":"1.1 Caddy","x-api-request-id":"2026042414503434187927QG26LyaR","x-content-type-options":"nosniff","x-frame-options":"SAMEORIGIN","x-ms-client-request-id":"Not-Set","x-ms-is-spilled-over":"false","x-ms-rai-invoked":"true","x-ms-region":"East US 2","x-new-api-version":"0.4.39","x-oneapi-request-id":"202604240650335845950338268d9d6ArBdjj5X","x-ratelimit-abusepenalty-active":"False","x-ratelimit-limit-requests":"3850","x-ratelimit-limit-tokens":"3850000","x-ratelimit-remaining-requests":"3849","x-ratelimit-remaining-tokens":"3826791","x-ratelimit-renewalperiod-requests":"60","x-ratelimit-renewalperiod-tokens":"60","x-ratelimit-reset-requests":"15","x-ratelimit-reset-tokens":"361","x-request-id":"fae302e4-c36d-4cc8-bd54-058f17fe0b97"}</t>
        </is>
      </c>
      <c r="N200" t="inlineStr">
        <is>
          <t>Montblanc Black Signature Pen – sleek stainless steel barrel with refined metallic finish, blending business elegance and artistic style. Unisex design embodies modern sophistication and timeless craftsmanship.</t>
        </is>
      </c>
      <c r="O200" t="inlineStr">
        <is>
          <t>{"choices":[{"finish_reason":"stop","index":0,"logprobs":null,"message":{"annotations":[],"content":"Montblanc,Pen,kakobuy,kakebuy2026,kekobuysheet,kakobuysheet2026,2026kakobuy,kakobuyspreadsheeet,kakobuylink,kakebuylist,Kakobuy MEGA Spreadsheet,kakobuysheetfind,kakobuysheetfind2026,2026kakobuysheetfind,kakobuysheet2026","refusal":null,"role":"assistant"}}],"created":1777015140,"id":"chatcmpl-DY56SeXFVsnbyxqDVkzmqbnQsV8nz","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200" t="inlineStr">
        <is>
          <t>Montblanc,Pen,kakobuy,kakebuy2026,kekobuysheet,kakobuysheet2026,2026kakobuy,kakobuyspreadsheeet,kakobuylink,kakebuylist,Kakobuy MEGA Spreadsheet,kakobuysheetfind,kakobuysheetfind2026,2026kakobuysheetfind,kakobuysheet2026</t>
        </is>
      </c>
      <c r="Q200"/>
      <c r="R200" t="inlineStr">
        <is>
          <t>recvhju1CrhPAX</t>
        </is>
      </c>
      <c r="S200" t="inlineStr">
        <is>
          <t>montblanc-black-signature-pen-stainless-steel-recvhju1crhpax</t>
        </is>
      </c>
      <c r="T200"/>
      <c r="U200"/>
      <c r="V200"/>
      <c r="W200" t="inlineStr">
        <is>
          <t>{"id":"chatcmpl-DY4DZ8ED1p8yi9uFT5Fa2PoLMPsLa","object":"chat.completion","created":1777011737,"model":"gpt-5-chat-latest","choices":[{"index":0,"message":{"role":"assistant","content":"Montblanc：黑色典雅签字笔，精钢笔杆搭配流线型设计，金属光泽质感细腻，商务与艺术完美融合，男女皆宜，诠释现代绅士风范，彰显品牌经典工艺与尊贵格调。","refusal":null,"annotations":[]},"logprobs":null,"finish_reason":"stop"}],"usage":{"prompt_tokens":1303,"completion_tokens":67,"total_tokens":1370,"prompt_tokens_details":{"cached_tokens":1280,"audio_tokens":0},"completion_tokens_details":{"reasoning_tokens":0,"audio_tokens":0,"accepted_prediction_tokens":0,"rejected_prediction_tokens":0}},"service_tier":"default","system_fingerprint":"fp_ad66631dec"}</t>
        </is>
      </c>
      <c r="X200" t="inlineStr">
        <is>
          <t>Montblanc：黑色典雅签字笔，精钢笔杆搭配流线型设计，金属光泽质感细腻，商务与艺术完美融合，男女皆宜，诠释现代绅士风范，彰显品牌经典工艺与尊贵格调。</t>
        </is>
      </c>
    </row>
    <row r="201" ht="25.5" customHeight="1">
      <c r="A201">
        <v>1654975475</v>
      </c>
      <c r="B201">
        <v>7616153379</v>
      </c>
      <c r="C201" s="2" t="str">
        <f>=HYPERLINK("https://weidian.com/item.html?itemID=7616153379", "https://weidian.com/item.html?itemID=7616153379")</f>
        <v>https://weidian.com/item.html?itemID=7616153379</v>
      </c>
      <c r="D201"/>
      <c r="E201" s="2" t="str">
        <f>=HYPERLINK("https://si.geilicdn.com/pcitem902014207253-28980000019abd0c007e0a210139_1080_1440.jpg?w=640&amp;h=640", "https://si.geilicdn.com/pcitem902014207253-28980000019abd0c007e0a210139_1080_1440.jpg?w=640&amp;h=640")</f>
        <v>https://si.geilicdn.com/pcitem902014207253-28980000019abd0c007e0a210139_1080_1440.jpg?w=640&amp;h=640</v>
      </c>
      <c r="F201" t="inlineStr">
        <is>
          <t>Accessories</t>
        </is>
      </c>
      <c r="G201" t="inlineStr">
        <is>
          <t>Rolex</t>
        </is>
      </c>
      <c r="H201">
        <v>460</v>
      </c>
      <c r="I201">
        <v>66.67</v>
      </c>
      <c r="J201" t="inlineStr">
        <is>
          <t>{"choices":[{"finish_reason":"stop","index":0,"logprobs":null,"message":{"annotations":[],"content":"Rolex Classic Green Gold Metal Luxury Ballpoint Pen","refusal":null,"role":"assistant"}}],"created":1777014231,"id":"chatcmpl-DY4rnENdS3N1lQ3RVJr9GcoLkme4i","model":"gpt-5-chat-latest","object":"chat.completion","service_tier":"default","system_fingerprint":"fp_ad66631dec","usage":{"completion_tokens":11,"completion_tokens_details":{"accepted_prediction_tokens":0,"audio_tokens":0,"reasoning_tokens":0,"rejected_prediction_tokens":0},"prompt_tokens":877,"prompt_tokens_details":{"audio_tokens":0,"cached_tokens":0},"total_tokens":888}}</t>
        </is>
      </c>
      <c r="K201" t="inlineStr">
        <is>
          <t>Rolex Classic Green Gold Metal Luxury Ballpoint Pen</t>
        </is>
      </c>
      <c r="L201" t="inlineStr">
        <is>
          <t>{"id":"chatcmpl-DY4gGfBXgB2GLBsCFl1JR63VJnaX0","object":"chat.completion","created":1777013516,"model":"gpt-5-chat-latest","choices":[{"index":0,"message":{"role":"assistant","content":"Rolex Classic Green-Gold Metal Ballpoint Pen, sleek and elegant design, luxury texture for men and women, ideal for professional business signing, showcasing refined taste and premium brand style.","refusal":null,"annotations":[]},"logprobs":null,"finish_reason":"stop"}],"usage":{"prompt_tokens":882,"completion_tokens":38,"total_tokens":920,"prompt_tokens_details":{"cached_tokens":0,"audio_tokens":0},"completion_tokens_details":{"reasoning_tokens":0,"audio_tokens":0,"accepted_prediction_tokens":0,"rejected_prediction_tokens":0}},"service_tier":"default","system_fingerprint":"fp_ad66631dec"}</t>
        </is>
      </c>
      <c r="M20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ma=2592000","apim-request-id":"154b5047-afca-4d83-8fbd-30532bf97ad8","azureml-model-session":"d20260402084046-4209e968","cache-control":"no-cache, no-store, must-revalidate","connection":"close","content-length":"1000","content-security-policy":"frame-ancestors 'self'","content-type":"application/json","date":"Fri, 24 Apr 2026 06:51:58 GMT","server":"Caddy","skip-error-remapping":"true","strict-transport-security":"max-age=31536000; includeSubDomains; preload","via":"1.1 Caddy","x-api-request-id":"20260424145155754432840D2vMKWw","x-content-type-options":"nosniff","x-frame-options":"SAMEORIGIN","x-ms-is-spilled-over":"false","x-ms-rai-invoked":"false","x-ms-region":"East US 2","x-new-api-version":"0.4.39","x-oneapi-request-id":"202604240651543918093958268d9d6BPwvDBAA","x-ratelimit-abusepenalty-active":"False","x-ratelimit-limit-requests":"4992","x-ratelimit-limit-tokens":"4992000","x-ratelimit-remaining-requests":"4991","x-ratelimit-remaining-tokens":"4990356","x-ratelimit-renewalperiod-requests":"60","x-ratelimit-renewalperiod-tokens":"60","x-ratelimit-reset-requests":"12","x-ratelimit-reset-tokens":"19","x-request-id":"c4baf726-d1f0-466e-885e-22bb15f2315d"}</t>
        </is>
      </c>
      <c r="N201" t="inlineStr">
        <is>
          <t>Rolex Classic Green-Gold Metal Ballpoint Pen, sleek and elegant design, luxury texture for men and women, ideal for professional business signing, showcasing refined taste and premium brand style.</t>
        </is>
      </c>
      <c r="O201" t="inlineStr">
        <is>
          <t>{"choices":[{"finish_reason":"stop","index":0,"logprobs":null,"message":{"annotations":[],"content":"Rolex,Accessories,kakobuy,kakebuy2026,kekobuysheet,kakobuysheet2026,2026kakobuy,kakobuyspreadsheeet,kakobuylink,kakebuylist,Kakobuy MEGA Spreadsheet,kakobuysheetfind,kakobuysheetfind2026,2026kakobuysheetfind,kakobuysheet2026","refusal":null,"role":"assistant"}}],"created":1777015304,"id":"chatcmpl-DY596Tca28QfwQ9dwPRsInuluc04B","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201" t="inlineStr">
        <is>
          <t>Rolex,Accessories,kakobuy,kakebuy2026,kekobuysheet,kakobuysheet2026,2026kakobuy,kakobuyspreadsheeet,kakobuylink,kakebuylist,Kakobuy MEGA Spreadsheet,kakobuysheetfind,kakobuysheetfind2026,2026kakobuysheetfind,kakobuysheet2026</t>
        </is>
      </c>
      <c r="Q201"/>
      <c r="R201" t="inlineStr">
        <is>
          <t>recvhju1CrC5DT</t>
        </is>
      </c>
      <c r="S201" t="inlineStr">
        <is>
          <t>rolex-classic-green-gold-metal-pen-recvhju1CrC5DT</t>
        </is>
      </c>
      <c r="T201"/>
      <c r="U201"/>
      <c r="V201"/>
      <c r="W201" t="inlineStr">
        <is>
          <t>{"choices":[{"finish_reason":"stop","index":0,"logprobs":null,"message":{"annotations":[],"content":"Rolex：经典绿金配色金属圆珠笔，简约流线设计，质感典雅奢华，男女通用商务签字笔，彰显品牌高端格调与精致品味。","refusal":null,"role":"assistant"}}],"created":1777011740,"id":"chatcmpl-DY4DcFPNoqmF3PR3vyrNG3gKJ1PqA","model":"gpt-5-chat-latest","object":"chat.completion","service_tier":"default","system_fingerprint":"fp_ad66631dec","usage":{"completion_tokens":50,"completion_tokens_details":{"accepted_prediction_tokens":0,"audio_tokens":0,"reasoning_tokens":0,"rejected_prediction_tokens":0},"prompt_tokens":1297,"prompt_tokens_details":{"audio_tokens":0,"cached_tokens":0},"total_tokens":1347}}</t>
        </is>
      </c>
      <c r="X201" t="inlineStr">
        <is>
          <t>Rolex：经典绿金配色金属圆珠笔，简约流线设计，质感典雅奢华，男女通用商务签字笔，彰显品牌高端格调与精致品味。</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