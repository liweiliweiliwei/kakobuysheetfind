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 商品导入 0418-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7599198007</v>
      </c>
      <c r="C2" t="inlineStr">
        <is>
          <t>https://weidian.com/item.html?itemID=7599198007</t>
        </is>
      </c>
      <c r="D2"/>
      <c r="E2" s="2" t="str">
        <f>=HYPERLINK("https://si.geilicdn.com/open1832946205-252808396-06b500000196d37dd12d0a231226_1440_1920.jpg?w=640&amp;h=640", "https://si.geilicdn.com/open1832946205-252808396-06b500000196d37dd12d0a231226_1440_1920.jpg?w=640&amp;h=640")</f>
        <v>https://si.geilicdn.com/open1832946205-252808396-06b500000196d37dd12d0a231226_1440_1920.jpg?w=640&amp;h=640</v>
      </c>
      <c r="F2" t="inlineStr">
        <is>
          <t>Hoodies</t>
        </is>
      </c>
      <c r="G2" t="inlineStr">
        <is>
          <t>Balenciaga</t>
        </is>
      </c>
      <c r="H2" t="inlineStr">
        <is>
          <t>338.00</t>
        </is>
      </c>
      <c r="I2">
        <v>48.99</v>
      </c>
      <c r="J2" t="inlineStr">
        <is>
          <t>{"choices":[{"finish_reason":"stop","index":0,"logprobs":null,"message":{"annotations":[],"content":"Balenciaga Vintage Black Oversized Logo Hoodie","refusal":null,"role":"assistant"}}],"created":1776666189,"id":"chatcmpl-DWcKDbUf1eX1JUQdWsW9aizGfia3z","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2" t="inlineStr">
        <is>
          <t>Balenciaga Vintage Black Oversized Logo Hoodie</t>
        </is>
      </c>
      <c r="L2" t="inlineStr">
        <is>
          <t>{"choices":[{"finish_reason":"stop","index":0,"logprobs":null,"message":{"annotations":[],"content":"Balenciaga Vintage Black Oversized Hoodie, premium cotton fabric with bold logo print, front kangaroo pocket, unisex streetwear style for a relaxed yet luxurious fashion look.","refusal":null,"role":"assistant"}}],"created":1776658439,"id":"chatcmpl-DWaJDQqhLfD7WHZ9qunKaGcL3tqjp","model":"gpt-5-chat-latest","object":"chat.completion","service_tier":"default","system_fingerprint":"fp_ad66631dec","usage":{"completion_tokens":36,"completion_tokens_details":{"accepted_prediction_tokens":0,"audio_tokens":0,"reasoning_tokens":0,"rejected_prediction_tokens":0},"prompt_tokens":911,"prompt_tokens_details":{"audio_tokens":0,"cached_tokens":0},"total_tokens":947}}</t>
        </is>
      </c>
      <c r="M2" t="inlineStr">
        <is>
          <t>{"alt-svc":"h3=\":443\"; ma=2592000","apim-request-id":"4dadbd29-522c-44d6-ae15-3cb862c0ed5b","azureml-model-session":"d20260402075109-1fc5a0ec","cache-control":"no-cache","connection":"close","content-length":"763","content-security-policy":"frame-ancestors 'self'","content-type":"application/json","date":"Mon, 20 Apr 2026 04:14:00 GMT","server":"nginx","skip-error-remapping":"true","strict-transport-security":"max-age=31536000; includeSubDomains; preload","via":"1.1 Caddy, 1.1 Caddy","x-api-request-id":"20260420121358548100067js0lQIds","x-content-type-options":"nosniff","x-frame-options":"SAMEORIGIN","x-ms-client-request-id":"Not-Set","x-ms-is-spilled-over":"false","x-ms-rai-invoked":"true","x-ms-region":"East US 2","x-new-api-version":"0.4.39","x-oneapi-request-id":"202604200413584675640628268d9d6G9dEgQiM","x-ratelimit-abusepenalty-active":"False","x-ratelimit-limit-requests":"3850","x-ratelimit-limit-tokens":"3850000","x-ratelimit-remaining-requests":"3849","x-ratelimit-remaining-tokens":"3848327","x-ratelimit-renewalperiod-requests":"60","x-ratelimit-renewalperiod-tokens":"60","x-ratelimit-reset-requests":"15","x-ratelimit-reset-tokens":"26","x-request-id":"36399a48-99d8-44b5-baaa-cd98e0ac88f1"}</t>
        </is>
      </c>
      <c r="N2" t="inlineStr">
        <is>
          <t>Balenciaga Vintage Black Oversized Hoodie, premium cotton fabric with bold logo print, front kangaroo pocket, unisex streetwear style for a relaxed yet luxurious fashion look.</t>
        </is>
      </c>
      <c r="O2"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1776667378,"id":"chatcmpl-DWcdOooVoef9mQcybib4D1e2h2ArL","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2" t="inlineStr">
        <is>
          <t>Balenciaga,Hoodies,kakobuy,kakebuy2026,kekobuysheet,kakobuysheet2026,2026kakobuy,kakobuyspreadsheeet,kakobuylink,kakebuylist,Kakobuy MEGA Spreadsheet,kakobuysheetfind,kakobuysheetfind2026,2026kakobuysheetfind,kakobuysheet2026</t>
        </is>
      </c>
      <c r="Q2" t="inlineStr">
        <is>
          <t>Balenciaga, Unisex, Streetwear, Black, Vintage</t>
        </is>
      </c>
      <c r="R2" t="inlineStr">
        <is>
          <t>recvh6xFVjAIDa</t>
        </is>
      </c>
      <c r="S2" t="inlineStr">
        <is>
          <t>balenciaga-vintage-black-oversized-logo-hoodie-recvh6xfvjaida</t>
        </is>
      </c>
      <c r="T2"/>
      <c r="U2"/>
      <c r="V2"/>
      <c r="W2" t="inlineStr">
        <is>
          <t>{"choices":[{"finish_reason":"stop","index":0,"logprobs":null,"message":{"annotations":[],"content":"Balenciaga：复古黑色宽松连帽卫衣，采用高品质棉质面料，胸前醒目品牌字母印花设计，前袋鼠兜实用便捷，呈现街头潮流休闲风格，男女皆宜，展现随性又高级的时尚态度。","refusal":null,"role":"assistant"}}],"created":1776655471,"id":"chatcmpl-DWZXLT3jBjg0EkEwoDHeTzPJ53HJl","model":"gpt-5-chat-latest","object":"chat.completion","service_tier":"default","system_fingerprint":"fp_ad66631dec","usage":{"completion_tokens":73,"completion_tokens_details":{"accepted_prediction_tokens":0,"audio_tokens":0,"reasoning_tokens":0,"rejected_prediction_tokens":0},"prompt_tokens":1320,"prompt_tokens_details":{"audio_tokens":0,"cached_tokens":0},"total_tokens":1393}}</t>
        </is>
      </c>
      <c r="X2" t="inlineStr">
        <is>
          <t>Balenciaga：复古黑色宽松连帽卫衣，采用高品质棉质面料，胸前醒目品牌字母印花设计，前袋鼠兜实用便捷，呈现街头潮流休闲风格，男女皆宜，展现随性又高级的时尚态度。</t>
        </is>
      </c>
    </row>
    <row r="3" ht="25.5" customHeight="1">
      <c r="A3">
        <v>1839115443</v>
      </c>
      <c r="B3">
        <v>7601080340</v>
      </c>
      <c r="C3" t="inlineStr">
        <is>
          <t>https://weidian.com/item.html?itemID=7601080340</t>
        </is>
      </c>
      <c r="D3"/>
      <c r="E3" s="2" t="str">
        <f>=HYPERLINK("https://si.geilicdn.com/open1832946205-252808396-0bb700000197f355c0d90aa043f9_800_800.jpg?w=640&amp;h=640", "https://si.geilicdn.com/open1832946205-252808396-0bb700000197f355c0d90aa043f9_800_800.jpg?w=640&amp;h=640")</f>
        <v>https://si.geilicdn.com/open1832946205-252808396-0bb700000197f355c0d90aa043f9_800_800.jpg?w=640&amp;h=640</v>
      </c>
      <c r="F3" t="inlineStr">
        <is>
          <t>Jackets</t>
        </is>
      </c>
      <c r="G3" t="inlineStr">
        <is>
          <t>Canada Goose</t>
        </is>
      </c>
      <c r="H3" t="inlineStr">
        <is>
          <t>308.00</t>
        </is>
      </c>
      <c r="I3">
        <v>44.64</v>
      </c>
      <c r="J3" t="inlineStr">
        <is>
          <t>{"choices":[{"finish_reason":"stop","index":0,"logprobs":null,"message":{"annotations":[],"content":"Canada Goose Navy Waterproof Down Vest Unisex Warm Jacket","refusal":null,"role":"assistant"}}],"created":1776665845,"id":"chatcmpl-DWcEfNOAgAGsm5QUIkLeB335RYKil","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3" t="inlineStr">
        <is>
          <t>Canada Goose Navy Waterproof Down Vest Unisex Warm Jacket</t>
        </is>
      </c>
      <c r="L3" t="inlineStr">
        <is>
          <t>{"choices":[{"finish_reason":"stop","index":0,"logprobs":null,"message":{"annotations":[],"content":"Canada Goose Navy Down Vest, made from windproof waterproof nylon and filled with premium down. Sleek stand collar, signature round logo, and practical pockets for stylish unisex urban warmth.","refusal":null,"role":"assistant"}}],"created":1776658860,"id":"chatcmpl-DWaQ0l6ei4pzUkqwQVV37jnZ8x5zk","model":"gpt-5-chat-latest","object":"chat.completion","service_tier":"default","system_fingerprint":"fp_ad66631dec","usage":{"completion_tokens":38,"completion_tokens_details":{"accepted_prediction_tokens":0,"audio_tokens":0,"reasoning_tokens":0,"rejected_prediction_tokens":0},"prompt_tokens":923,"prompt_tokens_details":{"audio_tokens":0,"cached_tokens":0},"total_tokens":961}}</t>
        </is>
      </c>
      <c r="M3" t="inlineStr">
        <is>
          <t>{"alt-svc":"h3=\":443\"; ma=2592000","apim-request-id":"a103b8c2-59f0-41fb-a7a0-ab1da1045e30","azureml-model-session":"d20260405234249-f9874baf","cache-control":"no-cache","connection":"close","content-length":"780","content-security-policy":"frame-ancestors 'self'","content-type":"application/json","date":"Mon, 20 Apr 2026 04:21:01 GMT","server":"nginx","skip-error-remapping":"true","strict-transport-security":"max-age=31536000; includeSubDomains; preload","via":"1.1 Caddy, 1.1 Caddy","x-api-request-id":"202604201220596576424316lWPDjPK","x-content-type-options":"nosniff","x-frame-options":"SAMEORIGIN","x-ms-client-request-id":"Not-Set","x-ms-is-spilled-over":"false","x-ms-rai-invoked":"true","x-ms-region":"East US 2","x-new-api-version":"0.4.39","x-oneapi-request-id":"202604200420595916868378268d9d6CGJ7NOXk","x-ratelimit-abusepenalty-active":"False","x-ratelimit-limit-requests":"3850","x-ratelimit-limit-tokens":"3850000","x-ratelimit-remaining-requests":"3849","x-ratelimit-remaining-tokens":"3848315","x-ratelimit-renewalperiod-requests":"60","x-ratelimit-renewalperiod-tokens":"60","x-ratelimit-reset-requests":"15","x-ratelimit-reset-tokens":"26","x-request-id":"71d30381-e67f-4fd5-9e77-1b4c695de717"}</t>
        </is>
      </c>
      <c r="N3" t="inlineStr">
        <is>
          <t>Canada Goose Navy Down Vest, made from windproof waterproof nylon and filled with premium down. Sleek stand collar, signature round logo, and practical pockets for stylish unisex urban warmth.</t>
        </is>
      </c>
      <c r="O3" t="inlineStr">
        <is>
          <t>{"id":"chatcmpl-DWcYufplnH3ggvTJkIjEZ9HjoYn3M","object":"chat.completion","created":1776667100,"model":"gpt-5-chat-latest","choices":[{"index":0,"message":{"role":"assistant","content":"Canada Goose, Jackets,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3" t="inlineStr">
        <is>
          <t>Canada Goose, Jackets, kakobuy, kakebuy2026, kekobuysheet, kakobuysheet2026, 2026kakobuy, kakobuyspreadsheeet, kakobuylink, kakebuylist, Kakobuy MEGA Spreadsheet, kakobuysheetfind, kakobuysheetfind2026, 2026kakobuysheetfind, kakobuysheet2026</t>
        </is>
      </c>
      <c r="Q3" t="inlineStr">
        <is>
          <t>Navy, Waterproof, Unisex, Winter, Nylon</t>
        </is>
      </c>
      <c r="R3" t="inlineStr">
        <is>
          <t>recvh6xFVjcUJQ</t>
        </is>
      </c>
      <c r="S3" t="inlineStr">
        <is>
          <t>canada-goose-navy-waterproof-down-vest-recvh6xfvjcujq</t>
        </is>
      </c>
      <c r="T3"/>
      <c r="U3"/>
      <c r="V3"/>
      <c r="W3" t="inlineStr">
        <is>
          <t>{"choices":[{"finish_reason":"stop","index":0,"logprobs":null,"message":{"annotations":[],"content":"Canada Goose 深蓝色羽绒马甲，甄选防风防水尼龙面料填充高品质羽绒，轻盈保暖。立领扣合设计彰显简约都市风格，胸前圆形徽标点缀品牌经典元素，双口袋实用便捷，适合男女休闲通勤穿搭，尽显温暖与品味。","refusal":null,"role":"assistant"}}],"created":1776656127,"id":"chatcmpl-DWZhvmP9NoqyiZbJmQSVlevFfYs6v","model":"gpt-5-chat-latest","object":"chat.completion","service_tier":"default","system_fingerprint":"fp_ad66631dec","usage":{"completion_tokens":88,"completion_tokens_details":{"accepted_prediction_tokens":0,"audio_tokens":0,"reasoning_tokens":0,"rejected_prediction_tokens":0},"prompt_tokens":1314,"prompt_tokens_details":{"audio_tokens":0,"cached_tokens":0},"total_tokens":1402}}</t>
        </is>
      </c>
      <c r="X3" t="inlineStr">
        <is>
          <t>Canada Goose 深蓝色羽绒马甲，甄选防风防水尼龙面料填充高品质羽绒，轻盈保暖。立领扣合设计彰显简约都市风格，胸前圆形徽标点缀品牌经典元素，双口袋实用便捷，适合男女休闲通勤穿搭，尽显温暖与品味。</t>
        </is>
      </c>
    </row>
    <row r="4" ht="25.5" customHeight="1">
      <c r="A4">
        <v>1839115443</v>
      </c>
      <c r="B4">
        <v>7695581140</v>
      </c>
      <c r="C4" t="inlineStr">
        <is>
          <t>https://weidian.com/item.html?itemID=7695581140</t>
        </is>
      </c>
      <c r="D4"/>
      <c r="E4" s="2" t="str">
        <f>=HYPERLINK("https://si.geilicdn.com/open1839115443-252808396-6d4c0000019c4fdcff1c0aa08239_800_800.jpg?w=750&amp;h=750&amp;cp=1", "https://si.geilicdn.com/open1839115443-252808396-6d4c0000019c4fdcff1c0aa08239_800_800.jpg?w=750&amp;h=750&amp;cp=1")</f>
        <v>https://si.geilicdn.com/open1839115443-252808396-6d4c0000019c4fdcff1c0aa08239_800_800.jpg?w=750&amp;h=750&amp;cp=1</v>
      </c>
      <c r="F4" t="inlineStr">
        <is>
          <t>T-Shirts</t>
        </is>
      </c>
      <c r="G4" t="inlineStr">
        <is>
          <t>Other</t>
        </is>
      </c>
      <c r="H4" t="inlineStr">
        <is>
          <t>54.00</t>
        </is>
      </c>
      <c r="I4">
        <v>7.83</v>
      </c>
      <c r="J4" t="inlineStr">
        <is>
          <t>{"id":"chatcmpl-DWcTjwmit7rQCQG4wvx2txsLqiKZG","object":"chat.completion","created":1776666779,"model":"gpt-5-chat-latest","choices":[{"index":0,"message":{"role":"assistant","content":"MOUNTAIN Series Black Cotton Outdoor Graphic T-Shirt","refusal":null,"annotations":[]},"logprobs":null,"finish_reason":"stop"}],"usage":{"prompt_tokens":883,"completion_tokens":11,"total_tokens":894,"prompt_tokens_details":{"cached_tokens":0,"audio_tokens":0},"completion_tokens_details":{"reasoning_tokens":0,"audio_tokens":0,"accepted_prediction_tokens":0,"rejected_prediction_tokens":0}},"service_tier":"default","system_fingerprint":"fp_ad66631dec"}</t>
        </is>
      </c>
      <c r="K4" t="inlineStr">
        <is>
          <t>MOUNTAIN Series Black Cotton Outdoor Graphic T-Shirt</t>
        </is>
      </c>
      <c r="L4" t="inlineStr">
        <is>
          <t>{"choices":[{"finish_reason":"stop","index":0,"logprobs":null,"message":{"annotations":[],"content":"MOUNTAIN Series black cotton T-shirt, soft and breathable, with mountain peak and English graphic print, unisex loose fit, blends streetwear with outdoor style, perfect for travel and daily wear.","refusal":null,"role":"assistant"}}],"created":1776659335,"id":"chatcmpl-DWaXf5IFe5fTXLZ3Z0R9xYGnrhgUk","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is>
      </c>
      <c r="M4" t="inlineStr">
        <is>
          <t>{"alt-svc":"h3=\":443\"; ma=2592000","apim-request-id":"71f70686-0374-491f-b700-2cd905ff9cd7","azureml-model-session":"d20260402084046-4209e968","cache-control":"no-cache","connection":"close","content-length":"783","content-security-policy":"frame-ancestors 'self'","content-type":"application/json","date":"Mon, 20 Apr 2026 04:28:57 GMT","server":"nginx","skip-error-remapping":"true","strict-transport-security":"max-age=31536000; includeSubDomains; preload","via":"1.1 Caddy, 1.1 Caddy","x-api-request-id":"20260420122854535856935eftHJxDo","x-content-type-options":"nosniff","x-frame-options":"SAMEORIGIN","x-ms-client-request-id":"Not-Set","x-ms-is-spilled-over":"false","x-ms-rai-invoked":"true","x-ms-region":"East US 2","x-new-api-version":"0.4.39","x-oneapi-request-id":"202604200428544670546708268d9d6EySfUE10","x-ratelimit-abusepenalty-active":"False","x-ratelimit-limit-requests":"50","x-ratelimit-limit-tokens":"50000","x-ratelimit-remaining-requests":"49","x-ratelimit-remaining-tokens":"46895","x-ratelimit-renewalperiod-requests":"60","x-ratelimit-renewalperiod-tokens":"60","x-ratelimit-reset-requests":"1548","x-ratelimit-reset-tokens":"3726","x-request-id":"c8196ce8-a7b2-4f6b-b7c9-5fec341314e8"}</t>
        </is>
      </c>
      <c r="N4" t="inlineStr">
        <is>
          <t>MOUNTAIN Series black cotton T-shirt, soft and breathable, with mountain peak and English graphic print, unisex loose fit, blends streetwear with outdoor style, perfect for travel and daily wear.</t>
        </is>
      </c>
      <c r="O4" t="inlineStr">
        <is>
          <t>{"choices":[{"finish_reason":"stop","index":0,"logprobs":null,"message":{"annotations":[],"content":"MOANTAIN EYED FACED, T-Shirts, kakobuy, kakebuy2026, kekobuysheet, kakobuysheet2026, 2026kakobuy, kakobuyspreadsheeet, kakobuylink, kakebuylist, Kakobuy MEGA Spreadsheet, kakobuysheetfind, kakobuysheetfind2026, 2026kakobuysheetfind, kakobuysheet2026","refusal":null,"role":"assistant"}}],"created":1776667230,"id":"chatcmpl-DWcb0I0ntOo9NUoZUlRVp53EfXL1e","model":"gpt-5-chat-latest","object":"chat.completion","service_tier":"default","system_fingerprint":"fp_ad66631dec","usage":{"completion_tokens":97,"completion_tokens_details":{"accepted_prediction_tokens":0,"audio_tokens":0,"reasoning_tokens":0,"rejected_prediction_tokens":0},"prompt_tokens":782,"prompt_tokens_details":{"audio_tokens":0,"cached_tokens":0},"total_tokens":879}}</t>
        </is>
      </c>
      <c r="P4" t="inlineStr">
        <is>
          <t>MOANTAIN EYED FACED, T-Shirts, kakobuy, kakebuy2026, kekobuysheet, kakobuysheet2026, 2026kakobuy, kakobuyspreadsheeet, kakobuylink, kakebuylist, Kakobuy MEGA Spreadsheet, kakobuysheetfind, kakobuysheetfind2026, 2026kakobuysheetfind, kakobuysheet2026</t>
        </is>
      </c>
      <c r="Q4" t="inlineStr">
        <is>
          <t>Black, Streetwear, Outdoor, Unisex, Breathable</t>
        </is>
      </c>
      <c r="R4" t="inlineStr">
        <is>
          <t>recvh6xFVjlYLi</t>
        </is>
      </c>
      <c r="S4" t="inlineStr">
        <is>
          <t>mountain-series-black-cotton-outdoor-graphic-tshirt-recvh6xfvjlyli</t>
        </is>
      </c>
      <c r="T4"/>
      <c r="U4"/>
      <c r="V4"/>
      <c r="W4" t="inlineStr">
        <is>
          <t>{"choices":[{"finish_reason":"stop","index":0,"logprobs":null,"message":{"annotations":[],"content":"山系黑色短袖T恤，采用柔软纯棉面料，背部山峰与英文图腾设计展现户外探险风格，宽松剪裁男女皆宜，街头休闲与山系潮流完美融合，适合日常出行与旅行穿搭。","refusal":null,"role":"assistant"}}],"created":1776656142,"id":"chatcmpl-DWZiAc3mmlQes1QKyBLgMd6h1XIne","model":"gpt-5-chat-latest","object":"chat.completion","service_tier":"default","system_fingerprint":"fp_ad66631dec","usage":{"completion_tokens":70,"completion_tokens_details":{"accepted_prediction_tokens":0,"audio_tokens":0,"reasoning_tokens":0,"rejected_prediction_tokens":0},"prompt_tokens":1323,"prompt_tokens_details":{"audio_tokens":0,"cached_tokens":0},"total_tokens":1393}}</t>
        </is>
      </c>
      <c r="X4" t="inlineStr">
        <is>
          <t>山系黑色短袖T恤，采用柔软纯棉面料，背部山峰与英文图腾设计展现户外探险风格，宽松剪裁男女皆宜，街头休闲与山系潮流完美融合，适合日常出行与旅行穿搭。</t>
        </is>
      </c>
    </row>
    <row r="5" ht="25.5" customHeight="1">
      <c r="A5">
        <v>1839115443</v>
      </c>
      <c r="B5">
        <v>7599150599</v>
      </c>
      <c r="C5" t="inlineStr">
        <is>
          <t>https://weidian.com/item.html?itemID=7599150599</t>
        </is>
      </c>
      <c r="D5"/>
      <c r="E5" s="2" t="str">
        <f>=HYPERLINK("https://si.geilicdn.com/open1832946205-252808396-702200000196d236f1820a8133b0_821_825.jpg?w=640&amp;h=640", "https://si.geilicdn.com/open1832946205-252808396-702200000196d236f1820a8133b0_821_825.jpg?w=640&amp;h=640")</f>
        <v>https://si.geilicdn.com/open1832946205-252808396-702200000196d236f1820a8133b0_821_825.jpg?w=640&amp;h=640</v>
      </c>
      <c r="F5" t="inlineStr">
        <is>
          <t>T-Shirts</t>
        </is>
      </c>
      <c r="G5" t="inlineStr">
        <is>
          <t>Louis Vuitton</t>
        </is>
      </c>
      <c r="H5" t="inlineStr">
        <is>
          <t>111.00</t>
        </is>
      </c>
      <c r="I5">
        <v>16.09</v>
      </c>
      <c r="J5" t="inlineStr">
        <is>
          <t>{"choices":[{"finish_reason":"stop","index":0,"logprobs":null,"message":{"annotations":[],"content":"Louis Vuitton Black Distressed Logo Cotton T-Shirt","refusal":null,"role":"assistant"}}],"created":1776666524,"id":"chatcmpl-DWcPcbZNa2Wo4Hcf9WUEPdv7bDWGV","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5" t="inlineStr">
        <is>
          <t>Louis Vuitton Black Distressed Logo Cotton T-Shirt</t>
        </is>
      </c>
      <c r="L5" t="inlineStr">
        <is>
          <t>{"id":"chatcmpl-DWaFoUrK56BDolAkyGUsnPdhlNkcW","object":"chat.completion","created":1776658228,"model":"gpt-5-chat-latest","choices":[{"index":0,"message":{"role":"assistant","content":"Louis Vuitton black cotton T-shirt with distressed logo print. Soft premium fabric, unisex loose fit for casual or street style. Minimalist yet modern, showing luxury and artistic attitude.","refusal":null,"annotations":[]},"logprobs":null,"finish_reason":"stop"}],"usage":{"prompt_tokens":926,"completion_tokens":37,"total_tokens":963,"prompt_tokens_details":{"cached_tokens":0,"audio_tokens":0},"completion_tokens_details":{"reasoning_tokens":0,"audio_tokens":0,"accepted_prediction_tokens":0,"rejected_prediction_tokens":0}},"service_tier":"default","system_fingerprint":"fp_ad66631dec"}</t>
        </is>
      </c>
      <c r="M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ma=2592000","apim-request-id":"6c3930c9-4383-4a53-bb32-a2afb3cadb5b","azureml-model-session":"d20260402074105-51db401e","cache-control":"no-cache, no-store, must-revalidate","connection":"close","content-length":"993","content-security-policy":"frame-ancestors 'self'","content-type":"application/json","date":"Mon, 20 Apr 2026 04:10:30 GMT","server":"Caddy","skip-error-remapping":"true","strict-transport-security":"max-age=31536000; includeSubDomains; preload","via":"1.1 Caddy","x-api-request-id":"202604201210271014390344JTIBPcr","x-content-type-options":"nosniff","x-frame-options":"SAMEORIGIN","x-ms-is-spilled-over":"false","x-ms-rai-invoked":"false","x-ms-region":"Sweden Central","x-new-api-version":"0.4.39","x-oneapi-request-id":"202604200410263057223678268d9d6BGaIeKPX","x-ratelimit-abusepenalty-active":"False","x-ratelimit-limit-requests":"4993","x-ratelimit-limit-tokens":"4993000","x-ratelimit-remaining-requests":"4992","x-ratelimit-remaining-tokens":"4991312","x-ratelimit-renewalperiod-requests":"60","x-ratelimit-renewalperiod-tokens":"60","x-ratelimit-reset-requests":"12","x-ratelimit-reset-tokens":"20","x-request-id":"7a29be80-fa4e-447b-b427-2f73b96a9240"}</t>
        </is>
      </c>
      <c r="N5" t="inlineStr">
        <is>
          <t>Louis Vuitton black cotton T-shirt with distressed logo print. Soft premium fabric, unisex loose fit for casual or street style. Minimalist yet modern, showing luxury and artistic attitude.</t>
        </is>
      </c>
      <c r="O5" t="inlineStr">
        <is>
          <t>{"choices":[{"finish_reason":"stop","index":0,"logprobs":null,"message":{"annotations":[],"content":"Louis Vuitton,T-Shirts,kakobuy,kakebuy2026,kekobuysheet,kakobuysheet2026,2026kakobuy,kakobuyspreadsheeet,kakobuylink,kakebuylist,Kakobuy MEGA Spreadsheet,kakobuysheetfind,kakobuysheetfind2026,2026kakobuysheetfind,kakobuysheet2026","refusal":null,"role":"assistant"}}],"created":1776668347,"id":"chatcmpl-DWct1SyKjkz6lwDkPvWdyxxuVLUyw","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5" t="inlineStr">
        <is>
          <t>Louis Vuitton,T-Shirts,kakobuy,kakebuy2026,kekobuysheet,kakobuysheet2026,2026kakobuy,kakobuyspreadsheeet,kakobuylink,kakebuylist,Kakobuy MEGA Spreadsheet,kakobuysheetfind,kakobuysheetfind2026,2026kakobuysheetfind,kakobuysheet2026</t>
        </is>
      </c>
      <c r="Q5" t="inlineStr">
        <is>
          <t>LV, Black, Minimalist, Streetwear, Unisex</t>
        </is>
      </c>
      <c r="R5" t="inlineStr">
        <is>
          <t>recvh6xFVj6oP1</t>
        </is>
      </c>
      <c r="S5" t="inlineStr">
        <is>
          <t>louis-vuitton-black-distressed-logo-cotton-tshirt-recvh6xFVj6oP1</t>
        </is>
      </c>
      <c r="T5"/>
      <c r="U5"/>
      <c r="V5"/>
      <c r="W5" t="inlineStr">
        <is>
          <t>{"id":"chatcmpl-DWZRFFwBaXKLwj7EMF0nkAAsl6xkT","object":"chat.completion","created":1776655093,"model":"gpt-5-chat-latest","choices":[{"index":0,"message":{"role":"assistant","content":"Louis Vuitton：黑色休闲印花T恤，甄选柔滑纯棉面料，胸前亮点破损风标志印花设计，简约中彰显都市摩登格调。宽松剪裁，男女皆宜，适合日常出街或休闲穿搭，融合现代艺术感与品牌经典元素，尽显低调奢华与时尚态度。","refusal":null,"annotations":[]},"logprobs":null,"finish_reason":"stop"}],"usage":{"prompt_tokens":1312,"completion_tokens":92,"total_tokens":1404,"prompt_tokens_details":{"cached_tokens":0,"audio_tokens":0},"completion_tokens_details":{"reasoning_tokens":0,"audio_tokens":0,"accepted_prediction_tokens":0,"rejected_prediction_tokens":0}},"service_tier":"default","system_fingerprint":"fp_ad66631dec"}</t>
        </is>
      </c>
      <c r="X5" t="inlineStr">
        <is>
          <t>Louis Vuitton：黑色休闲印花T恤，甄选柔滑纯棉面料，胸前亮点破损风标志印花设计，简约中彰显都市摩登格调。宽松剪裁，男女皆宜，适合日常出街或休闲穿搭，融合现代艺术感与品牌经典元素，尽显低调奢华与时尚态度。</t>
        </is>
      </c>
    </row>
    <row r="6" ht="25.5" customHeight="1">
      <c r="A6">
        <v>1839115443</v>
      </c>
      <c r="B6">
        <v>7692644601</v>
      </c>
      <c r="C6" t="inlineStr">
        <is>
          <t>https://weidian.com/item.html?itemID=7692644601</t>
        </is>
      </c>
      <c r="D6"/>
      <c r="E6" s="2" t="str">
        <f>=HYPERLINK("https://si.geilicdn.com/open1839115443-252808396-6c600000019c4fddba320a23b491_800_800.jpg?w=750&amp;h=750&amp;cp=1", "https://si.geilicdn.com/open1839115443-252808396-6c600000019c4fddba320a23b491_800_800.jpg?w=750&amp;h=750&amp;cp=1")</f>
        <v>https://si.geilicdn.com/open1839115443-252808396-6c600000019c4fddba320a23b491_800_800.jpg?w=750&amp;h=750&amp;cp=1</v>
      </c>
      <c r="F6" t="inlineStr">
        <is>
          <t>T-Shirts</t>
        </is>
      </c>
      <c r="G6" t="inlineStr">
        <is>
          <t>Other</t>
        </is>
      </c>
      <c r="H6" t="inlineStr">
        <is>
          <t>54.00</t>
        </is>
      </c>
      <c r="I6">
        <v>7.83</v>
      </c>
      <c r="J6" t="inlineStr">
        <is>
          <t>{"id":"chatcmpl-DWcCPTnh7fZmpxn5cohXCg7VnVybo","object":"chat.completion","created":1776665705,"model":"gpt-5-chat-latest","choices":[{"index":0,"message":{"role":"assistant","content":"Other Black Cotton Graphic Tee Streetwear Casual T-Shir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6" t="inlineStr">
        <is>
          <t>Other Black Cotton Graphic Tee Streetwear Casual T-Shirt</t>
        </is>
      </c>
      <c r="L6" t="inlineStr">
        <is>
          <t>{"id":"chatcmpl-DWaUUG67rKIcx7XA6x44v8kSjZffj","object":"chat.completion","created":1776659138,"model":"gpt-5-chat-latest","choices":[{"index":0,"message":{"role":"assistant","content":"Brand T-ShirtsOther Black Cotton Casual Tee with Cool Hat &amp; Gesture Cartoon Print, Soft Breathable Streetwear Style, Loose Fit for Men and Women, Trendy Everyday Fashion.","refusal":null,"annotations":[]},"logprobs":null,"finish_reason":"stop"}],"usage":{"prompt_tokens":918,"completion_tokens":36,"total_tokens":954,"prompt_tokens_details":{"cached_tokens":0,"audio_tokens":0},"completion_tokens_details":{"reasoning_tokens":0,"audio_tokens":0,"accepted_prediction_tokens":0,"rejected_prediction_tokens":0}},"service_tier":"default","system_fingerprint":"fp_ad66631dec"}</t>
        </is>
      </c>
      <c r="M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ma=2592000","apim-request-id":"f94f8c73-68fd-43bb-896e-fd7b13afea13","azureml-model-session":"d20260405234249-f9874baf","cache-control":"no-cache, no-store, must-revalidate","connection":"close","content-length":"974","content-security-policy":"frame-ancestors 'self'","content-type":"application/json","date":"Mon, 20 Apr 2026 04:25:39 GMT","server":"nginx","skip-error-remapping":"true","strict-transport-security":"max-age=31536000; includeSubDomains; preload","via":"1.1 Caddy, 1.1 Caddy","x-api-request-id":"20260420122537371233168Y79N5Lkr","x-content-type-options":"nosniff","x-frame-options":"SAMEORIGIN","x-ms-is-spilled-over":"false","x-ms-rai-invoked":"false","x-ms-region":"East US 2","x-new-api-version":"0.4.39","x-oneapi-request-id":"202604200425372565037678268d9d6annMyYqG","x-ratelimit-abusepenalty-active":"False","x-ratelimit-limit-requests":"4994","x-ratelimit-limit-tokens":"4994000","x-ratelimit-remaining-requests":"4993","x-ratelimit-remaining-tokens":"4992320","x-ratelimit-renewalperiod-requests":"60","x-ratelimit-renewalperiod-tokens":"60","x-ratelimit-reset-requests":"12","x-ratelimit-reset-tokens":"20","x-request-id":"b2811602-ec4e-4e44-900a-40a21749d0f1"}</t>
        </is>
      </c>
      <c r="N6" t="inlineStr">
        <is>
          <t>Brand T-ShirtsOther Black Cotton Casual Tee with Cool Hat &amp; Gesture Cartoon Print, Soft Breathable Streetwear Style, Loose Fit for Men and Women, Trendy Everyday Fashion.</t>
        </is>
      </c>
      <c r="O6" t="inlineStr">
        <is>
          <t>{"choices":[{"finish_reason":"stop","index":0,"logprobs":null,"message":{"annotations":[],"content":"T-Shirts,kakobuy,kakebuy2026,kekobuysheet,kakobuysheet2026,2026kakobuy,kakobuyspreadsheeet,kakobuylink,kakebuylist,Kakobuy MEGA Spreadsheet,kakobuysheetfind,kakobuysheetfind2026,2026kakobuysheetfind,kakobuysheet2026","refusal":null,"role":"assistant"}}],"created":1776668070,"id":"chatcmpl-DWcoYam5D2QMY9UYk0bkvCtnLpggz","model":"gpt-5-chat-latest","object":"chat.completion","service_tier":"default","system_fingerprint":"fp_ad66631dec","usage":{"completion_tokens":85,"completion_tokens_details":{"accepted_prediction_tokens":0,"audio_tokens":0,"reasoning_tokens":0,"rejected_prediction_tokens":0},"prompt_tokens":782,"prompt_tokens_details":{"audio_tokens":0,"cached_tokens":0},"total_tokens":867}}</t>
        </is>
      </c>
      <c r="P6" t="inlineStr">
        <is>
          <t>T-Shirts,kakobuy,kakebuy2026,kekobuysheet,kakobuysheet2026,2026kakobuy,kakobuyspreadsheeet,kakobuylink,kakebuylist,Kakobuy MEGA Spreadsheet,kakobuysheetfind,kakobuysheetfind2026,2026kakobuysheetfind,kakobuysheet2026</t>
        </is>
      </c>
      <c r="Q6" t="inlineStr">
        <is>
          <t>Black, Streetwear, Unisex, Breathable</t>
        </is>
      </c>
      <c r="R6" t="inlineStr">
        <is>
          <t>recvh6xFVjO3Lu</t>
        </is>
      </c>
      <c r="S6" t="inlineStr">
        <is>
          <t>other-black-cotton-graphic-tee-recvh6xFVjO3Lu</t>
        </is>
      </c>
      <c r="T6"/>
      <c r="U6"/>
      <c r="V6"/>
      <c r="W6" t="inlineStr">
        <is>
          <t>{"choices":[{"finish_reason":"stop","index":0,"logprobs":null,"message":{"annotations":[],"content":"黑色休闲系列短袖T恤，采用优质纯棉面料，柔软透气。正面印有礼帽与手势卡通图腾，设计感十足，展现街头艺术潮流风格。宽松剪裁适合男女穿搭，百搭日常造型，兼具个性与时尚。","refusal":null,"role":"assistant"}}],"created":1776655723,"id":"chatcmpl-DWZbPPD1PErPvxDQjxq0w7jnmdxav","model":"gpt-5-chat-latest","object":"chat.completion","service_tier":"default","system_fingerprint":"fp_ad66631dec","usage":{"completion_tokens":80,"completion_tokens_details":{"accepted_prediction_tokens":0,"audio_tokens":0,"reasoning_tokens":0,"rejected_prediction_tokens":0},"prompt_tokens":1319,"prompt_tokens_details":{"audio_tokens":0,"cached_tokens":0},"total_tokens":1399}}</t>
        </is>
      </c>
      <c r="X6" t="inlineStr">
        <is>
          <t>黑色休闲系列短袖T恤，采用优质纯棉面料，柔软透气。正面印有礼帽与手势卡通图腾，设计感十足，展现街头艺术潮流风格。宽松剪裁适合男女穿搭，百搭日常造型，兼具个性与时尚。</t>
        </is>
      </c>
    </row>
    <row r="7" ht="25.5" customHeight="1">
      <c r="A7">
        <v>1839115443</v>
      </c>
      <c r="B7">
        <v>7692664193</v>
      </c>
      <c r="C7" t="inlineStr">
        <is>
          <t>https://weidian.com/item.html?itemID=7692664193</t>
        </is>
      </c>
      <c r="D7"/>
      <c r="E7" s="2" t="str">
        <f>=HYPERLINK("https://si.geilicdn.com/open1839115443-252808396-6d810000019c4fd3d5940a23b4de_1000_1000.jpg?w=750&amp;h=750&amp;cp=1", "https://si.geilicdn.com/open1839115443-252808396-6d810000019c4fd3d5940a23b4de_1000_1000.jpg?w=750&amp;h=750&amp;cp=1")</f>
        <v>https://si.geilicdn.com/open1839115443-252808396-6d810000019c4fd3d5940a23b4de_1000_1000.jpg?w=750&amp;h=750&amp;cp=1</v>
      </c>
      <c r="F7" t="inlineStr">
        <is>
          <t>T-Shirts</t>
        </is>
      </c>
      <c r="G7" t="inlineStr">
        <is>
          <t>Other</t>
        </is>
      </c>
      <c r="H7" t="inlineStr">
        <is>
          <t>54.00</t>
        </is>
      </c>
      <c r="I7">
        <v>7.83</v>
      </c>
      <c r="J7" t="inlineStr">
        <is>
          <t>{"choices":[{"finish_reason":"stop","index":0,"logprobs":null,"message":{"annotations":[],"content":"[Brand Name] Minimal Universe Off-White Space Print T-Shirt","refusal":null,"role":"assistant"}}],"created":1776665681,"id":"chatcmpl-DWcC1pfYOYklgAIwoYUOBmGvsX0bB","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7" t="inlineStr">
        <is>
          <t>[Brand Name] Minimal Universe Off-White Space Print T-Shirt</t>
        </is>
      </c>
      <c r="L7" t="inlineStr">
        <is>
          <t>{"choices":[{"finish_reason":"stop","index":0,"logprobs":null,"message":{"annotations":[],"content":"**[Brand Name] Minimal Universe Series Off-White Cotton T-Shirt, soft and comfy, planet and space print design, gender-neutral casual style for a youthful, free and modern look.**","refusal":null,"role":"assistant"}}],"created":1776659381,"id":"chatcmpl-DWaYPn882sNZ600TXjrQUPwZUudfL","model":"gpt-5-chat-latest","object":"chat.completion","service_tier":"default","system_fingerprint":"fp_ad66631dec","usage":{"completion_tokens":40,"completion_tokens_details":{"accepted_prediction_tokens":0,"audio_tokens":0,"reasoning_tokens":0,"rejected_prediction_tokens":0},"prompt_tokens":899,"prompt_tokens_details":{"audio_tokens":0,"cached_tokens":0},"total_tokens":939}}</t>
        </is>
      </c>
      <c r="M7" t="inlineStr">
        <is>
          <t>{"alt-svc":"h3=\":443\"; ma=2592000","apim-request-id":"a8672923-0b2c-4213-8e0f-ca173d7948f8","azureml-model-session":"d20260405234249-f9874baf","cache-control":"no-cache","connection":"close","content-length":"767","content-security-policy":"frame-ancestors 'self'","content-type":"application/json","date":"Mon, 20 Apr 2026 04:29:42 GMT","server":"Caddy","skip-error-remapping":"true","strict-transport-security":"max-age=31536000; includeSubDomains; preload","via":"1.1 Caddy","x-api-request-id":"20260420122940806894695qfTaF3S1","x-content-type-options":"nosniff","x-frame-options":"SAMEORIGIN","x-ms-client-request-id":"Not-Set","x-ms-is-spilled-over":"false","x-ms-rai-invoked":"true","x-ms-region":"East US 2","x-new-api-version":"0.4.39","x-oneapi-request-id":"202604200429407410820098268d9d6aT0E2go5","x-ratelimit-abusepenalty-active":"False","x-ratelimit-limit-requests":"3850","x-ratelimit-limit-tokens":"3850000","x-ratelimit-remaining-requests":"3849","x-ratelimit-remaining-tokens":"3848339","x-ratelimit-renewalperiod-requests":"60","x-ratelimit-renewalperiod-tokens":"60","x-ratelimit-reset-requests":"15","x-ratelimit-reset-tokens":"25","x-request-id":"732f08bb-ad5b-489d-b600-a48eae33f723"}</t>
        </is>
      </c>
      <c r="N7" t="inlineStr">
        <is>
          <t>**[Brand Name] Minimal Universe Series Off-White Cotton T-Shirt, soft and comfy, planet and space print design, gender-neutral casual style for a youthful, free and modern look.**</t>
        </is>
      </c>
      <c r="O7" t="inlineStr">
        <is>
          <t>{"choices":[{"finish_reason":"stop","index":0,"logprobs":null,"message":{"annotations":[],"content":"Yuansu, T-Shirts, kakobuy, kakebuy2026, kekobuysheet, kakobuysheet2026, 2026kakobuy, kakobuyspreadsheeet, kakobuylink, kakebuylist, Kakobuy MEGA Spreadsheet, kakobuysheetfind, kakobuysheetfind2026, 2026kakobuysheetfind, kakobuysheet2026","refusal":null,"role":"assistant"}}],"created":1776668726,"id":"chatcmpl-DWcz8hCw7INmgM70YARZ9AVUOulBF","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7" t="inlineStr">
        <is>
          <t>Yuansu, T-Shirts, kakobuy, kakebuy2026, kekobuysheet, kakobuysheet2026, 2026kakobuy, kakobuyspreadsheeet, kakobuylink, kakebuylist, Kakobuy MEGA Spreadsheet, kakobuysheetfind, kakobuysheetfind2026, 2026kakobuysheetfind, kakobuysheet2026</t>
        </is>
      </c>
      <c r="Q7" t="inlineStr">
        <is>
          <t>Off-White, Unisex, Youth, Modern</t>
        </is>
      </c>
      <c r="R7" t="inlineStr">
        <is>
          <t>recvh6xFVjoTum</t>
        </is>
      </c>
      <c r="S7" t="inlineStr">
        <is>
          <t>brand-name-minimal-universe-off-white-space-print-t-shirt-recvh6xFVjoTum</t>
        </is>
      </c>
      <c r="T7"/>
      <c r="U7"/>
      <c r="V7"/>
      <c r="W7" t="inlineStr">
        <is>
          <t>{"id":"chatcmpl-DWZMVNcLb7kuk5mYq8nNClvgmLX0Y","object":"chat.completion","created":1776654799,"model":"gpt-5-chat-latest","choices":[{"index":0,"message":{"role":"assistant","content":"极简宇宙系列米白色短袖T恤，柔软纯棉面料，胸前行星与太空英文印花设计，简约时尚，男女通用休闲款，展现年轻自由个性魅力。","refusal":null,"annotations":[]},"logprobs":null,"finish_reason":"stop"}],"usage":{"prompt_tokens":1327,"completion_tokens":57,"total_tokens":1384,"prompt_tokens_details":{"cached_tokens":0,"audio_tokens":0},"completion_tokens_details":{"reasoning_tokens":0,"audio_tokens":0,"accepted_prediction_tokens":0,"rejected_prediction_tokens":0}},"service_tier":"default","system_fingerprint":"fp_ad66631dec"}</t>
        </is>
      </c>
      <c r="X7" t="inlineStr">
        <is>
          <t>极简宇宙系列米白色短袖T恤，柔软纯棉面料，胸前行星与太空英文印花设计，简约时尚，男女通用休闲款，展现年轻自由个性魅力。</t>
        </is>
      </c>
    </row>
    <row r="8" ht="25.5" customHeight="1">
      <c r="A8">
        <v>1839115443</v>
      </c>
      <c r="B8">
        <v>7601151776</v>
      </c>
      <c r="C8" t="inlineStr">
        <is>
          <t>https://weidian.com/item.html?itemID=7601151776</t>
        </is>
      </c>
      <c r="D8"/>
      <c r="E8" s="2" t="str">
        <f>=HYPERLINK("https://si.geilicdn.com/open1832946205-252808396-52c000000197f3c763890aa0c791_1066_1066.jpg?w=750&amp;h=750&amp;cp=1", "https://si.geilicdn.com/open1832946205-252808396-52c000000197f3c763890aa0c791_1066_1066.jpg?w=750&amp;h=750&amp;cp=1")</f>
        <v>https://si.geilicdn.com/open1832946205-252808396-52c000000197f3c763890aa0c791_1066_1066.jpg?w=750&amp;h=750&amp;cp=1</v>
      </c>
      <c r="F8" t="inlineStr">
        <is>
          <t>Jackets</t>
        </is>
      </c>
      <c r="G8" t="inlineStr">
        <is>
          <t>Ralph Lauren</t>
        </is>
      </c>
      <c r="H8" t="inlineStr">
        <is>
          <t>605.00</t>
        </is>
      </c>
      <c r="I8">
        <v>87.68</v>
      </c>
      <c r="J8" t="inlineStr">
        <is>
          <t>{"id":"chatcmpl-DWcQ36QDCxoXYR8BEfzosDF8YbfKz","object":"chat.completion","created":1776666551,"model":"gpt-5-chat-latest","choices":[{"index":0,"message":{"role":"assistant","content":"Ralph Lauren Black Glossy Down Jacket Men Women","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ad66631dec"}</t>
        </is>
      </c>
      <c r="K8" t="inlineStr">
        <is>
          <t>Ralph Lauren Black Glossy Down Jacket Men Women</t>
        </is>
      </c>
      <c r="L8" t="inlineStr">
        <is>
          <t>{"choices":[{"finish_reason":"stop","index":0,"logprobs":null,"message":{"annotations":[],"content":"Ralph Lauren Black Glossy Down Jacket, windproof waterproof nylon, high-fill goose down, hooded stand collar, slim fit, lightweight warmth and urban fashion for men and women winter street style.","refusal":null,"role":"assistant"}}],"created":1776659347,"id":"chatcmpl-DWaXrNf7hsDB64zb8xLByYqeUqvQk","model":"gpt-5-chat-latest","object":"chat.completion","service_tier":"default","system_fingerprint":"fp_ad66631dec","usage":{"completion_tokens":41,"completion_tokens_details":{"accepted_prediction_tokens":0,"audio_tokens":0,"reasoning_tokens":0,"rejected_prediction_tokens":0},"prompt_tokens":922,"prompt_tokens_details":{"audio_tokens":0,"cached_tokens":0},"total_tokens":963}}</t>
        </is>
      </c>
      <c r="M8" t="inlineStr">
        <is>
          <t>{"alt-svc":"h3=\":443\"; ma=2592000","apim-request-id":"9b5b9961-2cd1-4c4f-9174-46f192938834","azureml-model-session":"d20260402083108-57a85543","cache-control":"no-cache","connection":"close","content-length":"783","content-security-policy":"frame-ancestors 'self'","content-type":"application/json","date":"Mon, 20 Apr 2026 04:29:08 GMT","server":"nginx","skip-error-remapping":"true","strict-transport-security":"max-age=31536000; includeSubDomains; preload","via":"1.1 Caddy, 1.1 Caddy","x-api-request-id":"20260420122906349604697LVOGaAf2","x-content-type-options":"nosniff","x-frame-options":"SAMEORIGIN","x-ms-client-request-id":"Not-Set","x-ms-is-spilled-over":"false","x-ms-rai-invoked":"true","x-ms-region":"East US 2","x-new-api-version":"0.4.39","x-oneapi-request-id":"202604200429062694725488268d9d6xFpWiY8n","x-ratelimit-abusepenalty-active":"False","x-ratelimit-limit-requests":"3850","x-ratelimit-limit-tokens":"3850000","x-ratelimit-remaining-requests":"3849","x-ratelimit-remaining-tokens":"3848316","x-ratelimit-renewalperiod-requests":"60","x-ratelimit-renewalperiod-tokens":"60","x-ratelimit-reset-requests":"15","x-ratelimit-reset-tokens":"26","x-request-id":"d92d1a85-93ad-456c-b6a2-b097658ee6b6"}</t>
        </is>
      </c>
      <c r="N8" t="inlineStr">
        <is>
          <t>Ralph Lauren Black Glossy Down Jacket, windproof waterproof nylon, high-fill goose down, hooded stand collar, slim fit, lightweight warmth and urban fashion for men and women winter street style.</t>
        </is>
      </c>
      <c r="O8" t="inlineStr">
        <is>
          <t>{"choices":[{"finish_reason":"stop","index":0,"logprobs":null,"message":{"annotations":[],"content":"Ralph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1776667741,"id":"chatcmpl-DWcjFF6t6kFxl6ANILKwtScebVNW0","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8" t="inlineStr">
        <is>
          <t>Ralph Lauren, Jackets, kakobuy, kakebuy2026, kekobuysheet, kakobuysheet2026, 2026kakobuy, kakobuyspreadsheeet, kakobuylink, kakebuylist, Kakobuy MEGA Spreadsheet, kakobuysheetfind, kakobuysheetfind2026, 2026kakobuysheetfind, kakobuysheet2026</t>
        </is>
      </c>
      <c r="Q8" t="inlineStr">
        <is>
          <t>Windproof, Waterproof, Nylon, Winter, Unisex, Streetwear</t>
        </is>
      </c>
      <c r="R8" t="inlineStr">
        <is>
          <t>recvh6xFVjpfdX</t>
        </is>
      </c>
      <c r="S8" t="inlineStr">
        <is>
          <t>ralph-lauren-black-glossy-down-jacket-recvh6xfvjpfdx</t>
        </is>
      </c>
      <c r="T8"/>
      <c r="U8"/>
      <c r="V8"/>
      <c r="W8" t="inlineStr">
        <is>
          <t>{"choices":[{"finish_reason":"stop","index":0,"logprobs":null,"message":{"annotations":[],"content":"Ralph Lauren：黑色高光羽绒夹克，采用防风防水尼龙面料与高蓬松鹅绒填充，立领连帽设计，胸前精致标志点缀，剪裁立体修身，保暖轻盈兼具时尚格调，适合冬季男女休闲街头穿搭。","refusal":null,"role":"assistant"}}],"created":1776656237,"id":"chatcmpl-DWZjhLRe8AdOD9Ipzx3zq9cRHyyyd","model":"gpt-5-chat-latest","object":"chat.completion","service_tier":"default","system_fingerprint":"fp_ad66631dec","usage":{"completion_tokens":81,"completion_tokens_details":{"accepted_prediction_tokens":0,"audio_tokens":0,"reasoning_tokens":0,"rejected_prediction_tokens":0},"prompt_tokens":1327,"prompt_tokens_details":{"audio_tokens":0,"cached_tokens":0},"total_tokens":1408}}</t>
        </is>
      </c>
      <c r="X8" t="inlineStr">
        <is>
          <t>Ralph Lauren：黑色高光羽绒夹克，采用防风防水尼龙面料与高蓬松鹅绒填充，立领连帽设计，胸前精致标志点缀，剪裁立体修身，保暖轻盈兼具时尚格调，适合冬季男女休闲街头穿搭。</t>
        </is>
      </c>
    </row>
    <row r="9" ht="25.5" customHeight="1">
      <c r="A9">
        <v>1839115443</v>
      </c>
      <c r="B9">
        <v>7601064506</v>
      </c>
      <c r="C9" t="inlineStr">
        <is>
          <t>https://weidian.com/item.html?itemID=7601064506</t>
        </is>
      </c>
      <c r="D9"/>
      <c r="E9" s="2" t="str">
        <f>=HYPERLINK("https://si.geilicdn.com/open1832946205-252808396-5cea00000197f3fa9be20a23b491_720_1080.jpg?w=640&amp;h=640", "https://si.geilicdn.com/open1832946205-252808396-5cea00000197f3fa9be20a23b491_720_1080.jpg?w=640&amp;h=640")</f>
        <v>https://si.geilicdn.com/open1832946205-252808396-5cea00000197f3fa9be20a23b491_720_1080.jpg?w=640&amp;h=640</v>
      </c>
      <c r="F9" t="inlineStr">
        <is>
          <t>Pants</t>
        </is>
      </c>
      <c r="G9" t="inlineStr">
        <is>
          <t>Stussy</t>
        </is>
      </c>
      <c r="H9" t="inlineStr">
        <is>
          <t>192.00</t>
        </is>
      </c>
      <c r="I9">
        <v>27.83</v>
      </c>
      <c r="J9" t="inlineStr">
        <is>
          <t>{"choices":[{"finish_reason":"stop","index":0,"logprobs":null,"message":{"annotations":[],"content":"Stussy White Graffiti Print Cotton Skateboard Pants","refusal":null,"role":"assistant"}}],"created":1776665764,"id":"chatcmpl-DWcDMndqYLHF7RvUIhzldD1Z5FYfH","model":"gpt-5-chat-latest","object":"chat.completion","service_tier":"default","system_fingerprint":"fp_ad66631dec","usage":{"completion_tokens":11,"completion_tokens_details":{"accepted_prediction_tokens":0,"audio_tokens":0,"reasoning_tokens":0,"rejected_prediction_tokens":0},"prompt_tokens":872,"prompt_tokens_details":{"audio_tokens":0,"cached_tokens":0},"total_tokens":883}}</t>
        </is>
      </c>
      <c r="K9" t="inlineStr">
        <is>
          <t>Stussy White Graffiti Print Cotton Skateboard Pants</t>
        </is>
      </c>
      <c r="L9" t="inlineStr">
        <is>
          <t>{"choices":[{"finish_reason":"stop","index":0,"logprobs":null,"message":{"annotations":[],"content":"Stussy White Graffiti Print Cotton Pants featuring retro portrait art, bold 90s skateboard designs, loose straight cut for unisex street style and avant-garde fashion attitude.","refusal":null,"role":"assistant"}}],"created":1776658627,"id":"chatcmpl-DWaMFT4E57GR7u6YbSqfuebCInpbY","model":"gpt-5-chat-latest","object":"chat.completion","service_tier":"default","system_fingerprint":"fp_ad66631dec","usage":{"completion_tokens":35,"completion_tokens_details":{"accepted_prediction_tokens":0,"audio_tokens":0,"reasoning_tokens":0,"rejected_prediction_tokens":0},"prompt_tokens":914,"prompt_tokens_details":{"audio_tokens":0,"cached_tokens":0},"total_tokens":949}}</t>
        </is>
      </c>
      <c r="M9" t="inlineStr">
        <is>
          <t>{"alt-svc":"h3=\":443\"; ma=2592000","apim-request-id":"e44f2639-dede-4046-b3e5-2f4b279eef1d","azureml-model-session":"d20260405234249-f9874baf","cache-control":"no-cache","connection":"close","content-length":"764","content-security-policy":"frame-ancestors 'self'","content-type":"application/json","date":"Mon, 20 Apr 2026 04:17:08 GMT","server":"Caddy","skip-error-remapping":"true","strict-transport-security":"max-age=31536000; includeSubDomains; preload","via":"1.1 Caddy","x-api-request-id":"202604201217057114840543h9Ne7kN","x-content-type-options":"nosniff","x-frame-options":"SAMEORIGIN","x-ms-client-request-id":"Not-Set","x-ms-is-spilled-over":"false","x-ms-rai-invoked":"true","x-ms-region":"East US 2","x-new-api-version":"0.4.39","x-oneapi-request-id":"202604200417056457374538268d9d67wIKBBzn","x-ratelimit-abusepenalty-active":"False","x-ratelimit-limit-requests":"3850","x-ratelimit-limit-tokens":"3850000","x-ratelimit-remaining-requests":"3849","x-ratelimit-remaining-tokens":"3848324","x-ratelimit-renewalperiod-requests":"60","x-ratelimit-renewalperiod-tokens":"60","x-ratelimit-reset-requests":"15","x-ratelimit-reset-tokens":"26","x-request-id":"b6b2eb7f-ba02-4295-aa48-9dd4e1502f11"}</t>
        </is>
      </c>
      <c r="N9" t="inlineStr">
        <is>
          <t>Stussy White Graffiti Print Cotton Pants featuring retro portrait art, bold 90s skateboard designs, loose straight cut for unisex street style and avant-garde fashion attitude.</t>
        </is>
      </c>
      <c r="O9" t="inlineStr">
        <is>
          <t>{"choices":[{"finish_reason":"stop","index":0,"logprobs":null,"message":{"annotations":[],"content":"Stussy,Pants,kakobuy,kakebuy2026,kekobuysheet,kakobuysheet2026,2026kakobuy,kakobuyspreadsheeet,kakobuylink,kakebuylist,Kakobuy MEGA Spreadsheet,kakobuysheetfind,kakobuysheetfind2026,2026kakobuysheetfind,kakobuysheet2026","refusal":null,"role":"assistant"}}],"created":1776668651,"id":"chatcmpl-DWcxvTHq9NE2UB3xQCsS5m4DbvQ1Y","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9" t="inlineStr">
        <is>
          <t>Stussy,Pants,kakobuy,kakebuy2026,kekobuysheet,kakobuysheet2026,2026kakobuy,kakobuyspreadsheeet,kakobuylink,kakebuylist,Kakobuy MEGA Spreadsheet,kakobuysheetfind,kakobuysheetfind2026,2026kakobuysheetfind,kakobuysheet2026</t>
        </is>
      </c>
      <c r="Q9" t="inlineStr">
        <is>
          <t>Stussy, White, Retro, Streetwear, Unisex</t>
        </is>
      </c>
      <c r="R9" t="inlineStr">
        <is>
          <t>recvh6xFVjyBg2</t>
        </is>
      </c>
      <c r="S9" t="inlineStr">
        <is>
          <t>stussy-white-graffiti-print-cotton-skateboard-pants-recvh6xFVjyBg2</t>
        </is>
      </c>
      <c r="T9"/>
      <c r="U9"/>
      <c r="V9"/>
      <c r="W9" t="inlineStr">
        <is>
          <t>{"id":"chatcmpl-DWZgw2ZaihO0VuiE10Ce3Lz7y3ahs","object":"chat.completion","created":1776656066,"model":"gpt-5-chat-latest","choices":[{"index":0,"message":{"role":"assistant","content":"Stussy：白色街头艺术印花长裤，采用优质纯棉面料，搭配大胆涂鸦与复古人像设计，诠释90年代滑板文化精神。宽松直筒剪裁，呈现自由不羁街头风格，男女皆宜，彰显先锋潮流态度。","refusal":null,"annotations":[]},"logprobs":null,"finish_reason":"stop"}],"usage":{"prompt_tokens":1316,"completion_tokens":78,"total_tokens":1394,"prompt_tokens_details":{"cached_tokens":0,"audio_tokens":0},"completion_tokens_details":{"reasoning_tokens":0,"audio_tokens":0,"accepted_prediction_tokens":0,"rejected_prediction_tokens":0}},"service_tier":"default","system_fingerprint":"fp_ad66631dec"}</t>
        </is>
      </c>
      <c r="X9" t="inlineStr">
        <is>
          <t>Stussy：白色街头艺术印花长裤，采用优质纯棉面料，搭配大胆涂鸦与复古人像设计，诠释90年代滑板文化精神。宽松直筒剪裁，呈现自由不羁街头风格，男女皆宜，彰显先锋潮流态度。</t>
        </is>
      </c>
    </row>
    <row r="10" ht="25.5" customHeight="1">
      <c r="A10">
        <v>1839115443</v>
      </c>
      <c r="B10">
        <v>7601046964</v>
      </c>
      <c r="C10" t="inlineStr">
        <is>
          <t>https://weidian.com/item.html?itemID=7601046964</t>
        </is>
      </c>
      <c r="D10"/>
      <c r="E10" s="2" t="str">
        <f>=HYPERLINK("https://si.geilicdn.com/open1832946205-252808396-43c800000197f35170620a231226_723_977.jpg?w=640&amp;h=640", "https://si.geilicdn.com/open1832946205-252808396-43c800000197f35170620a231226_723_977.jpg?w=640&amp;h=640")</f>
        <v>https://si.geilicdn.com/open1832946205-252808396-43c800000197f35170620a231226_723_977.jpg?w=640&amp;h=640</v>
      </c>
      <c r="F10" t="inlineStr">
        <is>
          <t>Jackets</t>
        </is>
      </c>
      <c r="G10" t="inlineStr">
        <is>
          <t>The North Face</t>
        </is>
      </c>
      <c r="H10" t="inlineStr">
        <is>
          <t>439.00</t>
        </is>
      </c>
      <c r="I10">
        <v>63.62</v>
      </c>
      <c r="J10" t="inlineStr">
        <is>
          <t>{"choices":[{"finish_reason":"stop","index":0,"logprobs":null,"message":{"annotations":[],"content":"The North Face Black Long Down Jacket","refusal":null,"role":"assistant"}}],"created":1776666761,"id":"chatcmpl-DWcTRujUjC8DUf8v0K6YvQmlXdE0x","model":"gpt-5-chat-latest","object":"chat.completion","service_tier":"default","system_fingerprint":"fp_ad66631dec","usage":{"completion_tokens":8,"completion_tokens_details":{"accepted_prediction_tokens":0,"audio_tokens":0,"reasoning_tokens":0,"rejected_prediction_tokens":0},"prompt_tokens":873,"prompt_tokens_details":{"audio_tokens":0,"cached_tokens":0},"total_tokens":881}}</t>
        </is>
      </c>
      <c r="K10" t="inlineStr">
        <is>
          <t>The North Face Black Long Down Jacket</t>
        </is>
      </c>
      <c r="L10" t="inlineStr">
        <is>
          <t>{"choices":[{"finish_reason":"stop","index":0,"logprobs":null,"message":{"annotations":[],"content":"The North Face black long down jacket features windproof waterproof nylon, premium down fill, adjustable hood, urban quilt design, unisex warmth for winter outdoor and casual wear.","refusal":null,"role":"assistant"}}],"created":1776659145,"id":"chatcmpl-DWaUbAShanLwuF2nn8bauj0WS8PxN","model":"gpt-5-chat-latest","object":"chat.completion","service_tier":"default","system_fingerprint":"fp_ad66631dec","usage":{"completion_tokens":35,"completion_tokens_details":{"accepted_prediction_tokens":0,"audio_tokens":0,"reasoning_tokens":0,"rejected_prediction_tokens":0},"prompt_tokens":932,"prompt_tokens_details":{"audio_tokens":0,"cached_tokens":0},"total_tokens":967}}</t>
        </is>
      </c>
      <c r="M10" t="inlineStr">
        <is>
          <t>{"alt-svc":"h3=\":443\"; ma=2592000","apim-request-id":"6ce2bd75-17e6-4408-8ec7-3a5bc50d646c","azureml-model-session":"d20260405234249-f9874baf","cache-control":"no-cache","connection":"close","content-length":"768","content-security-policy":"frame-ancestors 'self'","content-type":"application/json","date":"Mon, 20 Apr 2026 04:25:46 GMT","server":"Caddy","skip-error-remapping":"true","strict-transport-security":"max-age=31536000; includeSubDomains; preload","via":"1.1 Caddy","x-api-request-id":"20260420122544646652537oLjQThmx","x-content-type-options":"nosniff","x-frame-options":"SAMEORIGIN","x-ms-client-request-id":"Not-Set","x-ms-is-spilled-over":"false","x-ms-rai-invoked":"true","x-ms-region":"East US 2","x-new-api-version":"0.4.39","x-oneapi-request-id":"202604200425445810737408268d9d6Rhdslumh","x-ratelimit-abusepenalty-active":"False","x-ratelimit-limit-requests":"3850","x-ratelimit-limit-tokens":"3850000","x-ratelimit-remaining-requests":"3849","x-ratelimit-remaining-tokens":"3848306","x-ratelimit-renewalperiod-requests":"60","x-ratelimit-renewalperiod-tokens":"60","x-ratelimit-reset-requests":"15","x-ratelimit-reset-tokens":"26","x-request-id":"c8f91fd5-56e1-4715-a0da-b300e1b74974"}</t>
        </is>
      </c>
      <c r="N10" t="inlineStr">
        <is>
          <t>The North Face black long down jacket features windproof waterproof nylon, premium down fill, adjustable hood, urban quilt design, unisex warmth for winter outdoor and casual wear.</t>
        </is>
      </c>
      <c r="O10" t="inlineStr">
        <is>
          <t>{"choices":[{"finish_reason":"stop","index":0,"logprobs":null,"message":{"annotations":[],"content":"The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1776668841,"id":"chatcmpl-DWd0zYCPoRpkyTHkvrP6UoMPpwPwd","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0" t="inlineStr">
        <is>
          <t>The North Face, Jackets, kakobuy, kakebuy2026, kekobuysheet, kakobuysheet2026, 2026kakobuy, kakobuyspreadsheeet, kakobuylink, kakebuylist, Kakobuy MEGA Spreadsheet, kakobuysheetfind, kakobuysheetfind2026, 2026kakobuysheetfind, kakobuysheet2026</t>
        </is>
      </c>
      <c r="Q10" t="inlineStr">
        <is>
          <t>Windproof, Waterproof, Nylon, Winter, Unisex</t>
        </is>
      </c>
      <c r="R10" t="inlineStr">
        <is>
          <t>recvh6xFVj0GmV</t>
        </is>
      </c>
      <c r="S10" t="inlineStr">
        <is>
          <t>north-face-black-long-down-jacket-recvh6xFVj0GmV</t>
        </is>
      </c>
      <c r="T10"/>
      <c r="U10"/>
      <c r="V10"/>
      <c r="W10" t="inlineStr">
        <is>
          <t>{"choices":[{"finish_reason":"stop","index":0,"logprobs":null,"message":{"annotations":[],"content":"The North Face 黑色长款羽绒夹克，采用防风防水尼龙面料与优质羽绒填充，保暖轻盈舒适。立体裁剪结合简约方格绗缝设计，搭配可调节连帽与胸前品牌标识，展现都市冬季户外功能美学。男女皆宜，经典耐看，适用于寒冬出行及休闲穿搭。","refusal":null,"role":"assistant"}}],"created":1776654991,"id":"chatcmpl-DWZPbUETTEqDG0iZ1PUcUmGDuOh5Y","model":"gpt-5-chat-latest","object":"chat.completion","service_tier":"default","system_fingerprint":"fp_ad66631dec","usage":{"completion_tokens":99,"completion_tokens_details":{"accepted_prediction_tokens":0,"audio_tokens":0,"reasoning_tokens":0,"rejected_prediction_tokens":0},"prompt_tokens":1311,"prompt_tokens_details":{"audio_tokens":0,"cached_tokens":0},"total_tokens":1410}}</t>
        </is>
      </c>
      <c r="X10" t="inlineStr">
        <is>
          <t>The North Face 黑色长款羽绒夹克，采用防风防水尼龙面料与优质羽绒填充，保暖轻盈舒适。立体裁剪结合简约方格绗缝设计，搭配可调节连帽与胸前品牌标识，展现都市冬季户外功能美学。男女皆宜，经典耐看，适用于寒冬出行及休闲穿搭。</t>
        </is>
      </c>
    </row>
    <row r="11" ht="25.5" customHeight="1">
      <c r="A11">
        <v>1839115443</v>
      </c>
      <c r="B11">
        <v>7599260237</v>
      </c>
      <c r="C11" t="inlineStr">
        <is>
          <t>https://weidian.com/item.html?itemID=7599260237</t>
        </is>
      </c>
      <c r="D11"/>
      <c r="E11" s="2" t="str">
        <f>=HYPERLINK("https://si.geilicdn.com/open1832946205-252808396-612800000197f3fde5940a23b491_1536_1920.jpg?w=640&amp;h=640", "https://si.geilicdn.com/open1832946205-252808396-612800000197f3fde5940a23b491_1536_1920.jpg?w=640&amp;h=640")</f>
        <v>https://si.geilicdn.com/open1832946205-252808396-612800000197f3fde5940a23b491_1536_1920.jpg?w=640&amp;h=640</v>
      </c>
      <c r="F11" t="inlineStr">
        <is>
          <t>Pants</t>
        </is>
      </c>
      <c r="G11" t="inlineStr">
        <is>
          <t>Stussy</t>
        </is>
      </c>
      <c r="H11" t="inlineStr">
        <is>
          <t>204.00</t>
        </is>
      </c>
      <c r="I11">
        <v>29.5797101449275</v>
      </c>
      <c r="J11" t="inlineStr">
        <is>
          <t>{"choices":[{"finish_reason":"stop","index":0,"logprobs":null,"message":{"annotations":[],"content":"Stussy Classic Blue Denim Work Pants Unisex","refusal":null,"role":"assistant"}}],"created":1776666466,"id":"chatcmpl-DWcOgYpv3hLhUe4uRAKuWsaxx9ckG","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1" t="inlineStr">
        <is>
          <t>Stussy Classic Blue Denim Work Pants Unisex</t>
        </is>
      </c>
      <c r="L11" t="inlineStr">
        <is>
          <t>{"choices":[{"finish_reason":"stop","index":0,"logprobs":null,"message":{"annotations":[],"content":"Stussy Classic Blue Denim Work Pants crafted from high-density cotton, featuring loose straight fit, vintage street style, logo patch on back pocket, unisex 90s skate-inspired urban casual design.","refusal":null,"role":"assistant"}}],"created":1776659214,"id":"chatcmpl-DWaViLvNVOPKlmsNhSq10hVhZw4ZM","model":"gpt-5-chat-latest","object":"chat.completion","service_tier":"default","system_fingerprint":"fp_ad66631dec","usage":{"completion_tokens":40,"completion_tokens_details":{"accepted_prediction_tokens":0,"audio_tokens":0,"reasoning_tokens":0,"rejected_prediction_tokens":0},"prompt_tokens":940,"prompt_tokens_details":{"audio_tokens":0,"cached_tokens":0},"total_tokens":980}}</t>
        </is>
      </c>
      <c r="M11" t="inlineStr">
        <is>
          <t>{"alt-svc":"h3=\":443\"; ma=2592000","apim-request-id":"10d1fbd1-be10-416b-8ec7-71cd73ceffdd","azureml-model-session":"d20260405234249-f9874baf","cache-control":"no-cache","connection":"close","content-length":"784","content-security-policy":"frame-ancestors 'self'","content-type":"application/json","date":"Mon, 20 Apr 2026 04:26:55 GMT","server":"nginx","skip-error-remapping":"true","strict-transport-security":"max-age=31536000; includeSubDomains; preload","via":"1.1 Caddy, 1.1 Caddy","x-api-request-id":"20260420122653303009052kw7m2yX1","x-content-type-options":"nosniff","x-frame-options":"SAMEORIGIN","x-ms-client-request-id":"Not-Set","x-ms-is-spilled-over":"false","x-ms-rai-invoked":"true","x-ms-region":"East US 2","x-new-api-version":"0.4.39","x-oneapi-request-id":"202604200426532359709358268d9d6K3QWBLBB","x-ratelimit-abusepenalty-active":"False","x-ratelimit-limit-requests":"3850","x-ratelimit-limit-tokens":"3850000","x-ratelimit-remaining-requests":"3849","x-ratelimit-remaining-tokens":"3848298","x-ratelimit-renewalperiod-requests":"60","x-ratelimit-renewalperiod-tokens":"60","x-ratelimit-reset-requests":"15","x-ratelimit-reset-tokens":"26","x-request-id":"e8fcecb0-545c-4c5a-a569-8d3dec0afd17"}</t>
        </is>
      </c>
      <c r="N11" t="inlineStr">
        <is>
          <t>Stussy Classic Blue Denim Work Pants crafted from high-density cotton, featuring loose straight fit, vintage street style, logo patch on back pocket, unisex 90s skate-inspired urban casual design.</t>
        </is>
      </c>
      <c r="O11" t="inlineStr">
        <is>
          <t>{"choices":[{"finish_reason":"stop","index":0,"logprobs":null,"message":{"annotations":[],"content":"Stussy,Pants,kakobuy,kakebuy2026,kekobuysheet,kakobuysheet2026,2026kakobuy,kakobuyspreadsheeet,kakobuylink,kakebuylist,Kakobuy MEGA Spreadsheet,kakobuysheetfind,kakobuysheetfind2026,2026kakobuysheetfind,kakobuysheet2026","refusal":null,"role":"assistant"}}],"created":1776667387,"id":"chatcmpl-DWcdXyeYkbcQFQLlA6ryJ7UEQ8gWi","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1" t="inlineStr">
        <is>
          <t>Stussy,Pants,kakobuy,kakebuy2026,kekobuysheet,kakobuysheet2026,2026kakobuy,kakobuyspreadsheeet,kakobuylink,kakebuylist,Kakobuy MEGA Spreadsheet,kakobuysheetfind,kakobuysheetfind2026,2026kakobuysheetfind,kakobuysheet2026</t>
        </is>
      </c>
      <c r="Q11" t="inlineStr">
        <is>
          <t>Stussy, Blue, Denim, Vintage, Streetwear, Unisex</t>
        </is>
      </c>
      <c r="R11" t="inlineStr">
        <is>
          <t>recvh6xFVjvQIF</t>
        </is>
      </c>
      <c r="S11" t="inlineStr">
        <is>
          <t>stussy-classic-blue-denim-work-pants-recvh6xfvjvqif</t>
        </is>
      </c>
      <c r="T11"/>
      <c r="U11"/>
      <c r="V11"/>
      <c r="W11" t="inlineStr">
        <is>
          <t>{"choices":[{"finish_reason":"stop","index":0,"logprobs":null,"message":{"annotations":[],"content":"Stussy：经典蓝色工装牛仔裤，甄选高密度纯棉丹宁面料，触感坚韧且透气。宽松直筒版型结合复古街头设计风格，后袋饰以品牌织唛标识，彰显潮流态度。中性剪裁适合男女穿着，融合90年代滑板文化灵魂，兼具实用与时尚，打造都市休闲新风格。","refusal":null,"role":"assistant"}}],"created":1776655404,"id":"chatcmpl-DWZWGnzra7nDMrOQDKBGWOdWxvxHT","model":"gpt-5-chat-latest","object":"chat.completion","service_tier":"default","system_fingerprint":"fp_ad66631dec","usage":{"completion_tokens":105,"completion_tokens_details":{"accepted_prediction_tokens":0,"audio_tokens":0,"reasoning_tokens":0,"rejected_prediction_tokens":0},"prompt_tokens":1314,"prompt_tokens_details":{"audio_tokens":0,"cached_tokens":0},"total_tokens":1419}}</t>
        </is>
      </c>
      <c r="X11" t="inlineStr">
        <is>
          <t>Stussy：经典蓝色工装牛仔裤，甄选高密度纯棉丹宁面料，触感坚韧且透气。宽松直筒版型结合复古街头设计风格，后袋饰以品牌织唛标识，彰显潮流态度。中性剪裁适合男女穿着，融合90年代滑板文化灵魂，兼具实用与时尚，打造都市休闲新风格。</t>
        </is>
      </c>
    </row>
    <row r="12" ht="25.5" customHeight="1">
      <c r="A12">
        <v>1839115443</v>
      </c>
      <c r="B12">
        <v>7599204865</v>
      </c>
      <c r="C12" t="inlineStr">
        <is>
          <t>https://weidian.com/item.html?itemID=7599204865</t>
        </is>
      </c>
      <c r="D12"/>
      <c r="E12" s="2" t="str">
        <f>=HYPERLINK("https://si.geilicdn.com/open1832946205-252808396-651200000197e95a6c490a231226_800_800.jpg?w=640&amp;h=640", "https://si.geilicdn.com/open1832946205-252808396-651200000197e95a6c490a231226_800_800.jpg?w=640&amp;h=640")</f>
        <v>https://si.geilicdn.com/open1832946205-252808396-651200000197e95a6c490a231226_800_800.jpg?w=640&amp;h=640</v>
      </c>
      <c r="F12" t="inlineStr">
        <is>
          <t>Hoodies</t>
        </is>
      </c>
      <c r="G12" t="inlineStr">
        <is>
          <t>Anti Social Social Club</t>
        </is>
      </c>
      <c r="H12" t="inlineStr">
        <is>
          <t>141.00</t>
        </is>
      </c>
      <c r="I12">
        <v>20.43</v>
      </c>
      <c r="J12" t="inlineStr">
        <is>
          <t>{"id":"chatcmpl-DWcQyC9o3peKKBCdRwJQCnh3pga7R","object":"chat.completion","created":1776666608,"model":"gpt-5-chat-latest","choices":[{"index":0,"message":{"role":"assistant","content":"Anti Social Social Club Black Cherry Blossom Hoodie","refusal":null,"annotations":[]},"logprobs":null,"finish_reason":"stop"}],"usage":{"prompt_tokens":879,"completion_tokens":9,"total_tokens":888,"prompt_tokens_details":{"cached_tokens":0,"audio_tokens":0},"completion_tokens_details":{"reasoning_tokens":0,"audio_tokens":0,"accepted_prediction_tokens":0,"rejected_prediction_tokens":0}},"service_tier":"default","system_fingerprint":"fp_ad66631dec"}</t>
        </is>
      </c>
      <c r="K12" t="inlineStr">
        <is>
          <t>Anti Social Social Club Black Cherry Blossom Hoodie</t>
        </is>
      </c>
      <c r="L12" t="inlineStr">
        <is>
          <t>{"choices":[{"finish_reason":"stop","index":0,"logprobs":null,"message":{"annotations":[],"content":"Anti Social Social Club black hoodie with pink cherry blossom print, soft cotton fabric, drawstring hood, kangaroo pocket, unisex loose fit, streetwear style and everyday comfort.","refusal":null,"role":"assistant"}}],"created":1776658691,"id":"chatcmpl-DWaNHaYKnXGTywbXum3W6mbm5TGrK","model":"gpt-5-chat-latest","object":"chat.completion","service_tier":"default","system_fingerprint":"fp_ad66631dec","usage":{"completion_tokens":37,"completion_tokens_details":{"accepted_prediction_tokens":0,"audio_tokens":0,"reasoning_tokens":0,"rejected_prediction_tokens":0},"prompt_tokens":927,"prompt_tokens_details":{"audio_tokens":0,"cached_tokens":0},"total_tokens":964}}</t>
        </is>
      </c>
      <c r="M12" t="inlineStr">
        <is>
          <t>{"alt-svc":"h3=\":443\"; ma=2592000","apim-request-id":"ae8982db-d28a-48dd-9c05-bc61ae4b3a9c","azureml-model-session":"d20260405234249-f9874baf","cache-control":"no-cache","connection":"close","content-length":"767","content-security-policy":"frame-ancestors 'self'","content-type":"application/json","date":"Mon, 20 Apr 2026 04:18:13 GMT","server":"Caddy","skip-error-remapping":"true","strict-transport-security":"max-age=31536000; includeSubDomains; preload","via":"1.1 Caddy","x-api-request-id":"20260420121811286764053EU0pET4Y","x-content-type-options":"nosniff","x-frame-options":"SAMEORIGIN","x-ms-client-request-id":"Not-Set","x-ms-is-spilled-over":"false","x-ms-rai-invoked":"true","x-ms-region":"East US 2","x-new-api-version":"0.4.39","x-oneapi-request-id":"202604200418112206754778268d9d6WKEAHbB7","x-ratelimit-abusepenalty-active":"False","x-ratelimit-limit-requests":"3850","x-ratelimit-limit-tokens":"3850000","x-ratelimit-remaining-requests":"3849","x-ratelimit-remaining-tokens":"3840159","x-ratelimit-renewalperiod-requests":"60","x-ratelimit-renewalperiod-tokens":"60","x-ratelimit-reset-requests":"15","x-ratelimit-reset-tokens":"153","x-request-id":"cee3fed8-7627-4923-8fbd-4bd17834dd75"}</t>
        </is>
      </c>
      <c r="N12" t="inlineStr">
        <is>
          <t>Anti Social Social Club black hoodie with pink cherry blossom print, soft cotton fabric, drawstring hood, kangaroo pocket, unisex loose fit, streetwear style and everyday comfort.</t>
        </is>
      </c>
      <c r="O12" t="inlineStr">
        <is>
          <t>{"choices":[{"finish_reason":"stop","index":0,"logprobs":null,"message":{"annotations":[],"content":"Anti Social Social Club,Hoodies,kakobuy,kakebuy2026,kekobuysheet,kakobuysheet2026,2026kakobuy,kakobuyspreadsheeet,kakobuylink,kakebuylist,Kakobuy MEGA Spreadsheet,kakobuysheetfind,kakobuysheetfind2026,2026kakobuysheetfind,kakobuysheet2026","refusal":null,"role":"assistant"}}],"created":1776667499,"id":"chatcmpl-DWcfLgqMrnSJgUqLvqLdlOPavlAmk","model":"gpt-5-chat-latest","object":"chat.completion","service_tier":"default","system_fingerprint":"fp_ad66631dec","usage":{"completion_tokens":90,"completion_tokens_details":{"accepted_prediction_tokens":0,"audio_tokens":0,"reasoning_tokens":0,"rejected_prediction_tokens":0},"prompt_tokens":786,"prompt_tokens_details":{"audio_tokens":0,"cached_tokens":0},"total_tokens":876}}</t>
        </is>
      </c>
      <c r="P12" t="inlineStr">
        <is>
          <t>Anti Social Social Club,Hoodies,kakobuy,kakebuy2026,kekobuysheet,kakobuysheet2026,2026kakobuy,kakobuyspreadsheeet,kakobuylink,kakebuylist,Kakobuy MEGA Spreadsheet,kakobuysheetfind,kakobuysheetfind2026,2026kakobuysheetfind,kakobuysheet2026</t>
        </is>
      </c>
      <c r="Q12" t="inlineStr">
        <is>
          <t>Black, Streetwear, Unisex, Comfort</t>
        </is>
      </c>
      <c r="R12" t="inlineStr">
        <is>
          <t>recvh6xFVjvOnP</t>
        </is>
      </c>
      <c r="S12" t="inlineStr">
        <is>
          <t>anti-social-social-club-black-cherry-blossom-hoodie-recvh6xFVjvOnP</t>
        </is>
      </c>
      <c r="T12"/>
      <c r="U12"/>
      <c r="V12"/>
      <c r="W12" t="inlineStr">
        <is>
          <t>{"choices":[{"finish_reason":"stop","index":0,"logprobs":null,"message":{"annotations":[],"content":"Anti Social Social Club：黑色樱花印花连帽卫衣，柔软纯棉面料舒适透气，背面标志性品牌字样点缀粉色花卉图腾，凸显街头潮流个性。宽松剪裁搭配抽绳帽设计与前袋鼠口袋，男女皆宜，日常休闲穿搭百搭时尚。","refusal":null,"role":"assistant"}}],"created":1776656197,"id":"chatcmpl-DWZj3XiPYr7XOwqj7Eu3m88rwLbNg","model":"gpt-5-chat-latest","object":"chat.completion","service_tier":"default","system_fingerprint":"fp_ad66631dec","usage":{"completion_tokens":91,"completion_tokens_details":{"accepted_prediction_tokens":0,"audio_tokens":0,"reasoning_tokens":0,"rejected_prediction_tokens":0},"prompt_tokens":1317,"prompt_tokens_details":{"audio_tokens":0,"cached_tokens":0},"total_tokens":1408}}</t>
        </is>
      </c>
      <c r="X12" t="inlineStr">
        <is>
          <t>Anti Social Social Club：黑色樱花印花连帽卫衣，柔软纯棉面料舒适透气，背面标志性品牌字样点缀粉色花卉图腾，凸显街头潮流个性。宽松剪裁搭配抽绳帽设计与前袋鼠口袋，男女皆宜，日常休闲穿搭百搭时尚。</t>
        </is>
      </c>
    </row>
    <row r="13" ht="25.5" customHeight="1">
      <c r="A13">
        <v>1839115443</v>
      </c>
      <c r="B13">
        <v>7599196991</v>
      </c>
      <c r="C13" t="inlineStr">
        <is>
          <t>https://weidian.com/item.html?itemID=7599196991</t>
        </is>
      </c>
      <c r="D13"/>
      <c r="E13" s="2" t="str">
        <f>=HYPERLINK("https://si.geilicdn.com/open1832946205-252808396-29f200000197e9c4442a0aa043f9_1920_1920.jpg?w=750&amp;h=750&amp;cp=1", "https://si.geilicdn.com/open1832946205-252808396-29f200000197e9c4442a0aa043f9_1920_1920.jpg?w=750&amp;h=750&amp;cp=1")</f>
        <v>https://si.geilicdn.com/open1832946205-252808396-29f200000197e9c4442a0aa043f9_1920_1920.jpg?w=750&amp;h=750&amp;cp=1</v>
      </c>
      <c r="F13" t="inlineStr">
        <is>
          <t>Hoodies</t>
        </is>
      </c>
      <c r="G13" t="inlineStr">
        <is>
          <t>Stone Island</t>
        </is>
      </c>
      <c r="H13" t="inlineStr">
        <is>
          <t>314.00</t>
        </is>
      </c>
      <c r="I13">
        <v>45.51</v>
      </c>
      <c r="J13" t="inlineStr">
        <is>
          <t>{"choices":[{"finish_reason":"stop","index":0,"logprobs":null,"message":{"annotations":[],"content":"Stone Island Classic Gray Cotton Zip Hoodie","refusal":null,"role":"assistant"}}],"created":1776665703,"id":"chatcmpl-DWcCNdvOcnqHykpYP7Ch7PGeBaJaZ","model":"gpt-5-chat-latest","object":"chat.completion","service_tier":"default","system_fingerprint":"fp_ad66631dec","usage":{"completion_tokens":8,"completion_tokens_details":{"accepted_prediction_tokens":0,"audio_tokens":0,"reasoning_tokens":0,"rejected_prediction_tokens":0},"prompt_tokens":879,"prompt_tokens_details":{"audio_tokens":0,"cached_tokens":0},"total_tokens":887}}</t>
        </is>
      </c>
      <c r="K13" t="inlineStr">
        <is>
          <t>Stone Island Classic Gray Cotton Zip Hoodie</t>
        </is>
      </c>
      <c r="L13" t="inlineStr">
        <is>
          <t>{"id":"chatcmpl-DWaJYyPQCeoVoh8JR36tWJQHCsBWK","object":"chat.completion","created":1776658460,"model":"gpt-5-chat-latest","choices":[{"index":0,"message":{"role":"assistant","content":"Stone Island classic gray hoodie crafted from soft dense cotton, featuring adjustable drawstring, front zipper, and iconic compass patch on left sleeve. Unisex fit for stylish urban wear all seasons.","refusal":null,"annotations":[]},"logprobs":null,"finish_reason":"stop"}],"usage":{"prompt_tokens":927,"completion_tokens":38,"total_tokens":965,"prompt_tokens_details":{"cached_tokens":0,"audio_tokens":0},"completion_tokens_details":{"reasoning_tokens":0,"audio_tokens":0,"accepted_prediction_tokens":0,"rejected_prediction_tokens":0}},"service_tier":"default","system_fingerprint":"fp_ad66631dec"}</t>
        </is>
      </c>
      <c r="M1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ma=2592000","apim-request-id":"47bfc2ea-c7e4-46d3-9d85-f23119745fba","azureml-model-session":"d20260402075109-1fc5a0ec","cache-control":"no-cache, no-store, must-revalidate","connection":"close","content-length":"1003","content-security-policy":"frame-ancestors 'self'","content-type":"application/json","date":"Mon, 20 Apr 2026 04:14:21 GMT","server":"Caddy","skip-error-remapping":"true","strict-transport-security":"max-age=31536000; includeSubDomains; preload","via":"1.1 Caddy","x-api-request-id":"20260420121419491417040dDuA5U9v","x-content-type-options":"nosniff","x-frame-options":"SAMEORIGIN","x-ms-is-spilled-over":"false","x-ms-rai-invoked":"false","x-ms-region":"East US 2","x-new-api-version":"0.4.39","x-oneapi-request-id":"202604200414193935677108268d9d6gQc7UxaZ","x-ratelimit-abusepenalty-active":"False","x-ratelimit-limit-requests":"4994","x-ratelimit-limit-tokens":"4994000","x-ratelimit-remaining-requests":"4993","x-ratelimit-remaining-tokens":"4992311","x-ratelimit-renewalperiod-requests":"60","x-ratelimit-renewalperiod-tokens":"60","x-ratelimit-reset-requests":"12","x-ratelimit-reset-tokens":"20","x-request-id":"7db105d7-d0e6-4da2-b676-956659d0eb2f"}</t>
        </is>
      </c>
      <c r="N13" t="inlineStr">
        <is>
          <t>Stone Island classic gray hoodie crafted from soft dense cotton, featuring adjustable drawstring, front zipper, and iconic compass patch on left sleeve. Unisex fit for stylish urban wear all seasons.</t>
        </is>
      </c>
      <c r="O13" t="inlineStr">
        <is>
          <t>{"choices":[{"finish_reason":"stop","index":0,"logprobs":null,"message":{"annotations":[],"content":"Stone Island, Hoodies, kakobuy, kakebuy2026, kekobuysheet, kakobuysheet2026, 2026kakobuy, kakobuyspreadsheeet, kakobuylink, kakebuylist, Kakobuy MEGA Spreadsheet, kakobuysheetfind, kakobuysheetfind2026, 2026kakobuysheetfind, kakobuysheet2026","refusal":null,"role":"assistant"}}],"created":1776667956,"id":"chatcmpl-DWcmi2rg1ATpmiKDpqatvhHKaGeEE","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3" t="inlineStr">
        <is>
          <t>Stone Island, Hoodies, kakobuy, kakebuy2026, kekobuysheet, kakobuysheet2026, 2026kakobuy, kakobuyspreadsheeet, kakobuylink, kakebuylist, Kakobuy MEGA Spreadsheet, kakobuysheetfind, kakobuysheetfind2026, 2026kakobuysheetfind, kakobuysheet2026</t>
        </is>
      </c>
      <c r="Q13" t="inlineStr">
        <is>
          <t>Unisex, All Seasons, Gray, Classic, Streetwear</t>
        </is>
      </c>
      <c r="R13" t="inlineStr">
        <is>
          <t>recvh6xFVjFn5C</t>
        </is>
      </c>
      <c r="S13" t="inlineStr">
        <is>
          <t>stone-island-gray-cotton-zip-hoodie-recvh6xFVjFn5C</t>
        </is>
      </c>
      <c r="T13"/>
      <c r="U13"/>
      <c r="V13"/>
      <c r="W13" t="inlineStr">
        <is>
          <t>{"id":"chatcmpl-DWZWhDhitcjVNKJmiOWwkzhy2Hxf5","object":"chat.completion","created":1776655431,"model":"gpt-5-chat-latest","choices":[{"index":0,"message":{"role":"assistant","content":"Stone Island：经典灰色连帽卫衣，甄选柔软高密棉料，搭载可调节抽绳与前拉链设计，左臂标志性罗盘徽章彰显品牌识别度。中性版型剪裁，休闲街头风格兼具实穿与格调，适合都市男女四季穿搭。","refusal":null,"annotations":[]},"logprobs":null,"finish_reason":"stop"}],"usage":{"prompt_tokens":1329,"completion_tokens":84,"total_tokens":1413,"prompt_tokens_details":{"cached_tokens":0,"audio_tokens":0},"completion_tokens_details":{"reasoning_tokens":0,"audio_tokens":0,"accepted_prediction_tokens":0,"rejected_prediction_tokens":0}},"service_tier":"default","system_fingerprint":"fp_ad66631dec"}</t>
        </is>
      </c>
      <c r="X13" t="inlineStr">
        <is>
          <t>Stone Island：经典灰色连帽卫衣，甄选柔软高密棉料，搭载可调节抽绳与前拉链设计，左臂标志性罗盘徽章彰显品牌识别度。中性版型剪裁，休闲街头风格兼具实穿与格调，适合都市男女四季穿搭。</t>
        </is>
      </c>
    </row>
    <row r="14" ht="25.5" customHeight="1">
      <c r="A14">
        <v>1839115443</v>
      </c>
      <c r="B14">
        <v>7601122684</v>
      </c>
      <c r="C14" t="inlineStr">
        <is>
          <t>https://weidian.com/item.html?itemID=7601122684</t>
        </is>
      </c>
      <c r="D14"/>
      <c r="E14" s="2" t="str">
        <f>=HYPERLINK("https://si.geilicdn.com/wdseller1427196330-56c7000001942dd1c6d70a2395d6_1168_1084.jpg?w=640&amp;h=640", "https://si.geilicdn.com/wdseller1427196330-56c7000001942dd1c6d70a2395d6_1168_1084.jpg?w=640&amp;h=640")</f>
        <v>https://si.geilicdn.com/wdseller1427196330-56c7000001942dd1c6d70a2395d6_1168_1084.jpg?w=640&amp;h=640</v>
      </c>
      <c r="F14" t="inlineStr">
        <is>
          <t>Hoodies</t>
        </is>
      </c>
      <c r="G14" t="inlineStr">
        <is>
          <t>Stussy</t>
        </is>
      </c>
      <c r="H14" t="inlineStr">
        <is>
          <t>87.00</t>
        </is>
      </c>
      <c r="I14">
        <v>12.61</v>
      </c>
      <c r="J14" t="inlineStr">
        <is>
          <t>{"choices":[{"finish_reason":"stop","index":0,"logprobs":null,"message":{"annotations":[],"content":"Stussy Classic 8 Ball White Cotton Hoodie","refusal":null,"role":"assistant"}}],"created":1776665996,"id":"chatcmpl-DWcH6QuQw8cGCdxXtKle3SrNtNjI1","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is>
      </c>
      <c r="K14" t="inlineStr">
        <is>
          <t>Stussy Classic 8 Ball White Cotton Hoodie</t>
        </is>
      </c>
      <c r="L14" t="inlineStr">
        <is>
          <t>{"choices":[{"finish_reason":"stop","index":0,"logprobs":null,"message":{"annotations":[],"content":"Stussy Classic White Hoodie made from soft cotton, featuring iconic graffiti logo and 8-ball graphic. Loose fit with kangaroo pocket. Unisex streetwear style for daily urban fashion.","refusal":null,"role":"assistant"}}],"created":1776659212,"id":"chatcmpl-DWaVgNdV7lCSEolz5AWGJshgztAyj","model":"gpt-5-chat-latest","object":"chat.completion","service_tier":"default","system_fingerprint":"fp_ad66631dec","usage":{"completion_tokens":38,"completion_tokens_details":{"accepted_prediction_tokens":0,"audio_tokens":0,"reasoning_tokens":0,"rejected_prediction_tokens":0},"prompt_tokens":938,"prompt_tokens_details":{"audio_tokens":0,"cached_tokens":0},"total_tokens":976}}</t>
        </is>
      </c>
      <c r="M14" t="inlineStr">
        <is>
          <t>{"alt-svc":"h3=\":443\"; ma=2592000","apim-request-id":"7dee7431-0b4c-4d5b-92dc-d859e0424da5","azureml-model-session":"d20260405234249-f9874baf","cache-control":"no-cache","connection":"close","content-length":"770","content-security-policy":"frame-ancestors 'self'","content-type":"application/json","date":"Mon, 20 Apr 2026 04:26:53 GMT","server":"Caddy","skip-error-remapping":"true","strict-transport-security":"max-age=31536000; includeSubDomains; preload","via":"1.1 Caddy","x-api-request-id":"20260420122652260479979mLoZJlvR","x-content-type-options":"nosniff","x-frame-options":"SAMEORIGIN","x-ms-client-request-id":"Not-Set","x-ms-is-spilled-over":"false","x-ms-rai-invoked":"true","x-ms-region":"East US 2","x-new-api-version":"0.4.39","x-oneapi-request-id":"202604200426521945733538268d9d6GCVIvRry","x-ratelimit-abusepenalty-active":"False","x-ratelimit-limit-requests":"3850","x-ratelimit-limit-tokens":"3850000","x-ratelimit-remaining-requests":"3849","x-ratelimit-remaining-tokens":"3848300","x-ratelimit-renewalperiod-requests":"60","x-ratelimit-renewalperiod-tokens":"60","x-ratelimit-reset-requests":"15","x-ratelimit-reset-tokens":"26","x-request-id":"00ddfe83-e614-439a-8e04-42aa94c2f928"}</t>
        </is>
      </c>
      <c r="N14" t="inlineStr">
        <is>
          <t>Stussy Classic White Hoodie made from soft cotton, featuring iconic graffiti logo and 8-ball graphic. Loose fit with kangaroo pocket. Unisex streetwear style for daily urban fashion.</t>
        </is>
      </c>
      <c r="O14" t="inlineStr">
        <is>
          <t>{"choices":[{"finish_reason":"stop","index":0,"logprobs":null,"message":{"annotations":[],"content":"Stussy,Hoodies,kakobuy,kakebuy2026,kekobuysheet,kakobuysheet2026,2026kakobuy,kakobuyspreadsheeet,kakobuylink,kakebuylist,Kakobuy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1776668689,"id":"chatcmpl-DWcyXUIJO6IFVGxnDVYEBdJbp1GAs","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4" t="inlineStr">
        <is>
          <t>Stussy,Hoodies,kakobuy,kakebuy2026,kekobuysheet,kakobuysheet2026,2026kakobuy,kakobuyspreadsheeet,kakobuylink,kakebuylist,Kakobuy MEGA Spreadsheet,kakobuysheetfind,kakobuysheetfind2026,2026kakobuysheetfind,kakobuysheet2026</t>
        </is>
      </c>
      <c r="Q14" t="inlineStr">
        <is>
          <t>Stussy, White, Streetwear, Unisex</t>
        </is>
      </c>
      <c r="R14" t="inlineStr">
        <is>
          <t>recvh6xFVjctNL</t>
        </is>
      </c>
      <c r="S14" t="inlineStr">
        <is>
          <t>stussy-classic-8-ball-white-cotton-hoodie-recvh6xfvjctnl</t>
        </is>
      </c>
      <c r="T14"/>
      <c r="U14"/>
      <c r="V14"/>
      <c r="W14" t="inlineStr">
        <is>
          <t>{"choices":[{"finish_reason":"stop","index":0,"logprobs":null,"message":{"annotations":[],"content":"Stussy：经典白色连帽卫衣，柔软棉质面料舒适亲肤，胸前标志性涂鸦Logo搭配8号黑球图腾，展现街头滑板文化灵魂。宽松版型与袋鼠口袋设计兼具休闲与实用，男女皆宜，复古街潮风格彰显独立个性，是都市年轻人日常穿搭的不二之选。","refusal":null,"role":"assistant"}}],"created":1776655147,"id":"chatcmpl-DWZS747WCRlo8kU9ZQ0XyEe7lKWrh","model":"gpt-5-chat-latest","object":"chat.completion","service_tier":"default","system_fingerprint":"fp_ad66631dec","usage":{"completion_tokens":100,"completion_tokens_details":{"accepted_prediction_tokens":0,"audio_tokens":0,"reasoning_tokens":0,"rejected_prediction_tokens":0},"prompt_tokens":1319,"prompt_tokens_details":{"audio_tokens":0,"cached_tokens":0},"total_tokens":1419}}</t>
        </is>
      </c>
      <c r="X14" t="inlineStr">
        <is>
          <t>Stussy：经典白色连帽卫衣，柔软棉质面料舒适亲肤，胸前标志性涂鸦Logo搭配8号黑球图腾，展现街头滑板文化灵魂。宽松版型与袋鼠口袋设计兼具休闲与实用，男女皆宜，复古街潮风格彰显独立个性，是都市年轻人日常穿搭的不二之选。</t>
        </is>
      </c>
    </row>
    <row r="15" ht="25.5" customHeight="1">
      <c r="A15">
        <v>1839115443</v>
      </c>
      <c r="B15">
        <v>7599248335</v>
      </c>
      <c r="C15" t="inlineStr">
        <is>
          <t>https://weidian.com/item.html?itemID=7599248335</t>
        </is>
      </c>
      <c r="D15"/>
      <c r="E15" s="2" t="str">
        <f>=HYPERLINK("https://si.geilicdn.com/open1832946205-252808396-065300000197f2a12bfa0a23b491_1280_1280.jpg?w=640&amp;h=640", "https://si.geilicdn.com/open1832946205-252808396-065300000197f2a12bfa0a23b491_1280_1280.jpg?w=640&amp;h=640")</f>
        <v>https://si.geilicdn.com/open1832946205-252808396-065300000197f2a12bfa0a23b491_1280_1280.jpg?w=640&amp;h=640</v>
      </c>
      <c r="F15" t="inlineStr">
        <is>
          <t>Hoodies</t>
        </is>
      </c>
      <c r="G15" t="inlineStr">
        <is>
          <t>Carhartt</t>
        </is>
      </c>
      <c r="H15" t="inlineStr">
        <is>
          <t>242.00</t>
        </is>
      </c>
      <c r="I15">
        <v>35.07</v>
      </c>
      <c r="J15" t="inlineStr">
        <is>
          <t>{"choices":[{"finish_reason":"stop","index":0,"logprobs":null,"message":{"annotations":[],"content":"Carhartt Purple Cotton Logo Hoodie Unisex","refusal":null,"role":"assistant"}}],"created":1776665996,"id":"chatcmpl-DWcH6UfPINERxSC9tWcCTvQvy08tK","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5" t="inlineStr">
        <is>
          <t>Carhartt Purple Cotton Logo Hoodie Unisex</t>
        </is>
      </c>
      <c r="L15" t="inlineStr">
        <is>
          <t>{"choices":[{"finish_reason":"stop","index":0,"logprobs":null,"message":{"annotations":[],"content":"Carhartt Purple Cotton Hoodie – Soft fabric with color-contrast logo embroidery, classic workwear design, front kangaroo pocket, unisex fit blending street and vintage style for everyday comfort.","refusal":null,"role":"assistant"}}],"created":1776658632,"id":"chatcmpl-DWaMKros1mbkrzrz9qZMlPTRJpDXJ","model":"gpt-5-chat-latest","object":"chat.completion","service_tier":"default","system_fingerprint":"fp_ad66631dec","usage":{"completion_tokens":39,"completion_tokens_details":{"accepted_prediction_tokens":0,"audio_tokens":0,"reasoning_tokens":0,"rejected_prediction_tokens":0},"prompt_tokens":916,"prompt_tokens_details":{"audio_tokens":0,"cached_tokens":0},"total_tokens":955}}</t>
        </is>
      </c>
      <c r="M15" t="inlineStr">
        <is>
          <t>{"alt-svc":"h3=\":443\"; ma=2592000","apim-request-id":"818a835c-f639-4f24-8e50-91c6a3edadb4","azureml-model-session":"d20260405234249-f9874baf","cache-control":"no-cache","connection":"close","content-length":"785","content-security-policy":"frame-ancestors 'self'","content-type":"application/json","date":"Mon, 20 Apr 2026 04:17:13 GMT","server":"Caddy","skip-error-remapping":"true","strict-transport-security":"max-age=31536000; includeSubDomains; preload","via":"1.1 Caddy","x-api-request-id":"20260420121711465122137YTfny51O","x-content-type-options":"nosniff","x-frame-options":"SAMEORIGIN","x-ms-client-request-id":"Not-Set","x-ms-is-spilled-over":"false","x-ms-rai-invoked":"true","x-ms-region":"East US 2","x-new-api-version":"0.4.39","x-oneapi-request-id":"202604200417113196190028268d9d6PUWlJfsl","x-ratelimit-abusepenalty-active":"False","x-ratelimit-limit-requests":"3850","x-ratelimit-limit-tokens":"3850000","x-ratelimit-remaining-requests":"3849","x-ratelimit-remaining-tokens":"3848322","x-ratelimit-renewalperiod-requests":"60","x-ratelimit-renewalperiod-tokens":"60","x-ratelimit-reset-requests":"15","x-ratelimit-reset-tokens":"26","x-request-id":"2d784037-2722-4689-88f8-e8ca3343e321"}</t>
        </is>
      </c>
      <c r="N15" t="inlineStr">
        <is>
          <t>Carhartt Purple Cotton Hoodie – Soft fabric with color-contrast logo embroidery, classic workwear design, front kangaroo pocket, unisex fit blending street and vintage style for everyday comfort.</t>
        </is>
      </c>
      <c r="O15" t="inlineStr">
        <is>
          <t>{"choices":[{"finish_reason":"stop","index":0,"logprobs":null,"message":{"annotations":[],"content":"Carhartt,Hoodies,kakobuy,kakebuy2026,kekobuysheet,kakobuysheet2026,2026kakobuy,kakobuyspreadsheeet,kakobuylink,kakebuylist,Kakobuy MEGA Spreadsheet,kakobuysheetfind,kakobuysheetfind2026,2026kakobuysheetfind,kakobuysheet2026","refusal":null,"role":"assistant"}}],"created":1776668597,"id":"chatcmpl-DWcx3tNxiMsr5VglmxxDk4j22qYnP","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5" t="inlineStr">
        <is>
          <t>Carhartt,Hoodies,kakobuy,kakebuy2026,kekobuysheet,kakobuysheet2026,2026kakobuy,kakobuyspreadsheeet,kakobuylink,kakebuylist,Kakobuy MEGA Spreadsheet,kakobuysheetfind,kakobuysheetfind2026,2026kakobuysheetfind,kakobuysheet2026</t>
        </is>
      </c>
      <c r="Q15" t="inlineStr">
        <is>
          <t>Purple, Workwear, Unisex, Classic, Streetwear, Vintage</t>
        </is>
      </c>
      <c r="R15" t="inlineStr">
        <is>
          <t>recvh6xFVj5FcO</t>
        </is>
      </c>
      <c r="S15" t="inlineStr">
        <is>
          <t>carhartt-purple-cotton-logo-hoodie-recvh6xfvj5fco</t>
        </is>
      </c>
      <c r="T15"/>
      <c r="U15"/>
      <c r="V15"/>
      <c r="W15" t="inlineStr">
        <is>
          <t>{"choices":[{"finish_reason":"stop","index":0,"logprobs":null,"message":{"annotations":[],"content":"Carhartt：紫色休闲连帽卫衣，柔软棉质面料搭配撞色品牌刺绣标识，简约工装风格设计，前置袋鼠口袋实用便捷，男女通用版型，融合街头与复古元素，舒适耐穿彰显都市休闲态度。","refusal":null,"role":"assistant"}}],"created":1776655005,"id":"chatcmpl-DWZPp5n7URXodXnvdGtNYrXGQx9Jz","model":"gpt-5-chat-latest","object":"chat.completion","service_tier":"default","system_fingerprint":"fp_ad66631dec","usage":{"completion_tokens":77,"completion_tokens_details":{"accepted_prediction_tokens":0,"audio_tokens":0,"reasoning_tokens":0,"rejected_prediction_tokens":0},"prompt_tokens":1322,"prompt_tokens_details":{"audio_tokens":0,"cached_tokens":0},"total_tokens":1399}}</t>
        </is>
      </c>
      <c r="X15" t="inlineStr">
        <is>
          <t>Carhartt：紫色休闲连帽卫衣，柔软棉质面料搭配撞色品牌刺绣标识，简约工装风格设计，前置袋鼠口袋实用便捷，男女通用版型，融合街头与复古元素，舒适耐穿彰显都市休闲态度。</t>
        </is>
      </c>
    </row>
    <row r="16" ht="25.5" customHeight="1">
      <c r="A16">
        <v>1839115443</v>
      </c>
      <c r="B16">
        <v>7601069076</v>
      </c>
      <c r="C16" t="inlineStr">
        <is>
          <t>https://weidian.com/item.html?itemID=7601069076</t>
        </is>
      </c>
      <c r="D16"/>
      <c r="E16" s="2" t="str">
        <f>=HYPERLINK("https://si.geilicdn.com/open1832946205-252808396-39c10000019883e024ce0a231226_800_800.jpg?w=640&amp;h=640", "https://si.geilicdn.com/open1832946205-252808396-39c10000019883e024ce0a231226_800_800.jpg?w=640&amp;h=640")</f>
        <v>https://si.geilicdn.com/open1832946205-252808396-39c10000019883e024ce0a231226_800_800.jpg?w=640&amp;h=640</v>
      </c>
      <c r="F16" t="inlineStr">
        <is>
          <t>Hoodies</t>
        </is>
      </c>
      <c r="G16" t="inlineStr">
        <is>
          <t xml:space="preserve"> CP Company</t>
        </is>
      </c>
      <c r="H16" t="inlineStr">
        <is>
          <t>117.00</t>
        </is>
      </c>
      <c r="I16">
        <v>16.9565217391304</v>
      </c>
      <c r="J16" t="inlineStr">
        <is>
          <t>{"choices":[{"finish_reason":"stop","index":0,"logprobs":null,"message":{"annotations":[],"content":"CP Company Grey Goggle Patch Cotton Hoodie","refusal":null,"role":"assistant"}}],"created":1776665883,"id":"chatcmpl-DWcFHYKsk9gWSkgBHqydhW4h0Vk5M","model":"gpt-5-chat-latest","object":"chat.completion","service_tier":"default","system_fingerprint":"fp_ad66631dec","usage":{"completion_tokens":9,"completion_tokens_details":{"accepted_prediction_tokens":0,"audio_tokens":0,"reasoning_tokens":0,"rejected_prediction_tokens":0},"prompt_tokens":883,"prompt_tokens_details":{"audio_tokens":0,"cached_tokens":0},"total_tokens":892}}</t>
        </is>
      </c>
      <c r="K16" t="inlineStr">
        <is>
          <t>CP Company Grey Goggle Patch Cotton Hoodie</t>
        </is>
      </c>
      <c r="L16" t="inlineStr">
        <is>
          <t>{"choices":[{"finish_reason":"stop","index":0,"logprobs":null,"message":{"annotations":[],"content":"CP Company Grey Hoodie crafted from high-density cotton, soft and breathable, featuring iconic Goggle logo patch on sleeve, loose fit with drawstring hood and large pocket for urban and unisex style.","refusal":null,"role":"assistant"}}],"created":1776658751,"id":"chatcmpl-DWaOFcuYIkkKxBWNgKygEv1pZ7Ry0","model":"gpt-5-chat-latest","object":"chat.completion","service_tier":"default","system_fingerprint":"fp_ad66631dec","usage":{"completion_tokens":40,"completion_tokens_details":{"accepted_prediction_tokens":0,"audio_tokens":0,"reasoning_tokens":0,"rejected_prediction_tokens":0},"prompt_tokens":935,"prompt_tokens_details":{"audio_tokens":0,"cached_tokens":0},"total_tokens":975}}</t>
        </is>
      </c>
      <c r="M16" t="inlineStr">
        <is>
          <t>{"alt-svc":"h3=\":443\"; ma=2592000","apim-request-id":"63dabaf5-ba80-4f0f-b0a1-8796cd978912","azureml-model-session":"d20260405234249-f9874baf","cache-control":"no-cache","connection":"close","content-length":"787","content-security-policy":"frame-ancestors 'self'","content-type":"application/json","date":"Mon, 20 Apr 2026 04:19:13 GMT","server":"nginx","skip-error-remapping":"true","strict-transport-security":"max-age=31536000; includeSubDomains; preload","via":"1.1 Caddy, 1.1 Caddy","x-api-request-id":"20260420121911228125222bY8cXL2R","x-content-type-options":"nosniff","x-frame-options":"SAMEORIGIN","x-ms-client-request-id":"Not-Set","x-ms-is-spilled-over":"false","x-ms-rai-invoked":"true","x-ms-region":"East US 2","x-new-api-version":"0.4.39","x-oneapi-request-id":"202604200419111578771208268d9d6F0VJk3o9","x-ratelimit-abusepenalty-active":"False","x-ratelimit-limit-requests":"3850","x-ratelimit-limit-tokens":"3850000","x-ratelimit-remaining-requests":"3849","x-ratelimit-remaining-tokens":"3847268","x-ratelimit-renewalperiod-requests":"60","x-ratelimit-renewalperiod-tokens":"60","x-ratelimit-reset-requests":"21","x-ratelimit-reset-tokens":"42","x-request-id":"965706ca-a3a5-4365-a156-a2a586141223"}</t>
        </is>
      </c>
      <c r="N16" t="inlineStr">
        <is>
          <t>CP Company Grey Hoodie crafted from high-density cotton, soft and breathable, featuring iconic Goggle logo patch on sleeve, loose fit with drawstring hood and large pocket for urban and unisex style.</t>
        </is>
      </c>
      <c r="O16" t="inlineStr">
        <is>
          <t>{"choices":[{"finish_reason":"stop","index":0,"logprobs":null,"message":{"annotations":[],"content":"CP Company, Hoodies, kakobuy, kakebuy2026, kekobuysheet, kakobuysheet2026, 2026kakobuy, kakobuyspreadsheeet, kakobuylink, kakebuylist, Kakobuy MEGA Spreadsheet, kakobuysheetfind, kakobuysheetfind2026, 2026kakobuysheetfind, kakobuysheet2026","refusal":null,"role":"assistant"}}],"created":1776668011,"id":"chatcmpl-DWcnbuXrVSqwCpDCNyw0hsU2Pk03h","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6" t="inlineStr">
        <is>
          <t>CP Company, Hoodies, kakobuy, kakebuy2026, kekobuysheet, kakobuysheet2026, 2026kakobuy, kakobuyspreadsheeet, kakobuylink, kakebuylist, Kakobuy MEGA Spreadsheet, kakobuysheetfind, kakobuysheetfind2026, 2026kakobuysheetfind, kakobuysheet2026</t>
        </is>
      </c>
      <c r="Q16" t="inlineStr">
        <is>
          <t>Grey, Unisex, Breathable</t>
        </is>
      </c>
      <c r="R16" t="inlineStr">
        <is>
          <t>recvh6xFVjLHaJ</t>
        </is>
      </c>
      <c r="S16" t="inlineStr">
        <is>
          <t>cp-company-grey-goggle-patch-cotton-hoodie-recvh6xfvjlhaj</t>
        </is>
      </c>
      <c r="T16"/>
      <c r="U16"/>
      <c r="V16"/>
      <c r="W16" t="inlineStr">
        <is>
          <t>{"choices":[{"finish_reason":"stop","index":0,"logprobs":null,"message":{"annotations":[],"content":"CP Company：灰色连帽卫衣，采用高密度纯棉面料制成，柔软舒适且透气。袖侧配备标志性护目镜Logo臂章设计，彰显品牌机能美学与都市实穿风格。宽松剪裁搭配大口袋与抽绳帽设计，休闲中融入军事机能元素，男女皆宜，展现现代街头潮流态度。","refusal":null,"role":"assistant"}}],"created":1776655643,"id":"chatcmpl-DWZa74U92eSN5fxiXbaFiz52x1NTE","model":"gpt-5-chat-latest","object":"chat.completion","service_tier":"default","system_fingerprint":"fp_ad66631dec","usage":{"completion_tokens":101,"completion_tokens_details":{"accepted_prediction_tokens":0,"audio_tokens":0,"reasoning_tokens":0,"rejected_prediction_tokens":0},"prompt_tokens":1311,"prompt_tokens_details":{"audio_tokens":0,"cached_tokens":0},"total_tokens":1412}}</t>
        </is>
      </c>
      <c r="X16" t="inlineStr">
        <is>
          <t>CP Company：灰色连帽卫衣，采用高密度纯棉面料制成，柔软舒适且透气。袖侧配备标志性护目镜Logo臂章设计，彰显品牌机能美学与都市实穿风格。宽松剪裁搭配大口袋与抽绳帽设计，休闲中融入军事机能元素，男女皆宜，展现现代街头潮流态度。</t>
        </is>
      </c>
    </row>
    <row r="17" ht="25.5" customHeight="1">
      <c r="A17">
        <v>1839115443</v>
      </c>
      <c r="B17">
        <v>7599212809</v>
      </c>
      <c r="C17" t="inlineStr">
        <is>
          <t>https://weidian.com/item.html?itemID=7599212809</t>
        </is>
      </c>
      <c r="D17"/>
      <c r="E17" s="2" t="str">
        <f>=HYPERLINK("https://si.geilicdn.com/open1832946205-252808396-432900000197e9ce94490aa043f9_1080_1080.jpg?w=640&amp;h=640", "https://si.geilicdn.com/open1832946205-252808396-432900000197e9ce94490aa043f9_1080_1080.jpg?w=640&amp;h=640")</f>
        <v>https://si.geilicdn.com/open1832946205-252808396-432900000197e9ce94490aa043f9_1080_1080.jpg?w=640&amp;h=640</v>
      </c>
      <c r="F17" t="inlineStr">
        <is>
          <t>T-Shirts</t>
        </is>
      </c>
      <c r="G17" t="inlineStr">
        <is>
          <t>Essentials</t>
        </is>
      </c>
      <c r="H17" t="inlineStr">
        <is>
          <t>185.00</t>
        </is>
      </c>
      <c r="I17">
        <v>26.81</v>
      </c>
      <c r="J17" t="inlineStr">
        <is>
          <t>{"choices":[{"finish_reason":"stop","index":0,"logprobs":null,"message":{"annotations":[],"content":"Essentials Grey Long Sleeve T-Shirt Vintage Streetwear Crewneck","refusal":null,"role":"assistant"}}],"created":1776666231,"id":"chatcmpl-DWcKtpYNxVqyysX2j5kTY3gOP5nf1","model":"gpt-5-chat-latest","object":"chat.completion","service_tier":"default","system_fingerprint":"fp_ad66631dec","usage":{"completion_tokens":13,"completion_tokens_details":{"accepted_prediction_tokens":0,"audio_tokens":0,"reasoning_tokens":0,"rejected_prediction_tokens":0},"prompt_tokens":884,"prompt_tokens_details":{"audio_tokens":0,"cached_tokens":0},"total_tokens":897}}</t>
        </is>
      </c>
      <c r="K17" t="inlineStr">
        <is>
          <t>Essentials Grey Long Sleeve T-Shirt Vintage Streetwear Crewneck</t>
        </is>
      </c>
      <c r="L17" t="inlineStr">
        <is>
          <t>{"id":"chatcmpl-DWaSMPByl9Nmcqw7FpYmdH9WRfDwb","object":"chat.completion","created":1776659006,"model":"gpt-5-chat-latest","choices":[{"index":0,"message":{"role":"assistant","content":"Essentials Grey Long Sleeve T-Shirt, soft cotton fabric with abstract collage print, street vintage art style, classic crew neck and drop shoulder fit, unisex design for 90s casual retro look.","refusal":null,"annotations":[]},"logprobs":null,"finish_reason":"stop"}],"usage":{"prompt_tokens":904,"completion_tokens":41,"total_tokens":945,"prompt_tokens_details":{"cached_tokens":0,"audio_tokens":0},"completion_tokens_details":{"reasoning_tokens":0,"audio_tokens":0,"accepted_prediction_tokens":0,"rejected_prediction_tokens":0}},"service_tier":"default","system_fingerprint":"fp_ad66631dec"}</t>
        </is>
      </c>
      <c r="M1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ma=2592000","apim-request-id":"89096d16-bcd6-4c90-93fe-f28eefdf44f8","azureml-model-session":"d20260405234249-f9874baf","cache-control":"no-cache, no-store, must-revalidate","connection":"close","content-length":"996","content-security-policy":"frame-ancestors 'self'","content-type":"application/json","date":"Mon, 20 Apr 2026 04:23:27 GMT","server":"Caddy","skip-error-remapping":"true","strict-transport-security":"max-age=31536000; includeSubDomains; preload","via":"1.1 Caddy","x-api-request-id":"20260420122325594828063gi1fyrUN","x-content-type-options":"nosniff","x-frame-options":"SAMEORIGIN","x-ms-is-spilled-over":"false","x-ms-rai-invoked":"false","x-ms-region":"East US 2","x-new-api-version":"0.4.39","x-oneapi-request-id":"202604200423255279677118268d9d6Z9P0S1LG","x-ratelimit-abusepenalty-active":"False","x-ratelimit-limit-requests":"4994","x-ratelimit-limit-tokens":"4994000","x-ratelimit-remaining-requests":"4993","x-ratelimit-remaining-tokens":"4992334","x-ratelimit-renewalperiod-requests":"60","x-ratelimit-renewalperiod-tokens":"60","x-ratelimit-reset-requests":"12","x-ratelimit-reset-tokens":"20","x-request-id":"7d5330d0-df6b-4cbc-879d-26e73996f4e9"}</t>
        </is>
      </c>
      <c r="N17" t="inlineStr">
        <is>
          <t>Essentials Grey Long Sleeve T-Shirt, soft cotton fabric with abstract collage print, street vintage art style, classic crew neck and drop shoulder fit, unisex design for 90s casual retro look.</t>
        </is>
      </c>
      <c r="O17" t="inlineStr">
        <is>
          <t>{"choices":[{"finish_reason":"stop","index":0,"logprobs":null,"message":{"annotations":[],"content":"Enfants Riches Déprimés, T-Shirts, kakobuy, kakebuy2026, kekobuysheet, kakobuysheet2026, 2026kakobuy, kakobuyspreadsheeet, kakobuylink, kakebuylist, Kakobuy MEGA Spreadsheet, kakobuysheetfind, kakobuysheetfind2026, 2026kakobuysheetfind, kakobuysheet2026","refusal":null,"role":"assistant"}}],"created":1776667760,"id":"chatcmpl-DWcjYC3fDKQKLNCmmwO5nLMQek5Cm","model":"gpt-5-chat-latest","object":"chat.completion","service_tier":"default","system_fingerprint":"fp_ad66631dec","usage":{"completion_tokens":97,"completion_tokens_details":{"accepted_prediction_tokens":0,"audio_tokens":0,"reasoning_tokens":0,"rejected_prediction_tokens":0},"prompt_tokens":783,"prompt_tokens_details":{"audio_tokens":0,"cached_tokens":0},"total_tokens":880}}</t>
        </is>
      </c>
      <c r="P17" t="inlineStr">
        <is>
          <t>Enfants Riches Déprimés, T-Shirts, kakobuy, kakebuy2026, kekobuysheet, kakobuysheet2026, 2026kakobuy, kakobuyspreadsheeet, kakobuylink, kakebuylist, Kakobuy MEGA Spreadsheet, kakobuysheetfind, kakobuysheetfind2026, 2026kakobuysheetfind, kakobuysheet2026</t>
        </is>
      </c>
      <c r="Q17" t="inlineStr">
        <is>
          <t>Grey, Abstract, Street, Vintage, Retro, Unisex</t>
        </is>
      </c>
      <c r="R17" t="inlineStr">
        <is>
          <t>recvh6xFVjChHh</t>
        </is>
      </c>
      <c r="S17" t="inlineStr">
        <is>
          <t>essentials-grey-long-sleeve-tshirt-vintage-streetwear-crewneck-recvh6xfvjchhh</t>
        </is>
      </c>
      <c r="T17"/>
      <c r="U17"/>
      <c r="V17"/>
      <c r="W17" t="inlineStr">
        <is>
          <t>{"choices":[{"finish_reason":"stop","index":0,"logprobs":null,"message":{"annotations":[],"content":"Essentials：灰色长袖T恤，采用柔软纯棉材质，前幅拼贴抽象人物印花设计，呈现街头复古艺术风格，简约圆领剪裁搭配落肩版型，男女皆宜，展现90年代休闲潮流感。","refusal":null,"role":"assistant"}}],"created":1776655194,"id":"chatcmpl-DWZSsVFbdbN9hnUuM5jQSXV1HvvQ7","model":"gpt-5-chat-latest","object":"chat.completion","service_tier":"default","system_fingerprint":"fp_ad66631dec","usage":{"completion_tokens":69,"completion_tokens_details":{"accepted_prediction_tokens":0,"audio_tokens":0,"reasoning_tokens":0,"rejected_prediction_tokens":0},"prompt_tokens":1314,"prompt_tokens_details":{"audio_tokens":0,"cached_tokens":0},"total_tokens":1383}}</t>
        </is>
      </c>
      <c r="X17" t="inlineStr">
        <is>
          <t>Essentials：灰色长袖T恤，采用柔软纯棉材质，前幅拼贴抽象人物印花设计，呈现街头复古艺术风格，简约圆领剪裁搭配落肩版型，男女皆宜，展现90年代休闲潮流感。</t>
        </is>
      </c>
    </row>
    <row r="18" ht="25.5" customHeight="1">
      <c r="A18">
        <v>1839115443</v>
      </c>
      <c r="B18">
        <v>7599187093</v>
      </c>
      <c r="C18" t="inlineStr">
        <is>
          <t>https://weidian.com/item.html?itemID=7599187093</t>
        </is>
      </c>
      <c r="D18"/>
      <c r="E18" s="2" t="str">
        <f>=HYPERLINK("https://si.geilicdn.com/open1832946205-252808396-4ea100000197e9b802ff0a8133b0_800_800.jpg?w=640&amp;h=640", "https://si.geilicdn.com/open1832946205-252808396-4ea100000197e9b802ff0a8133b0_800_800.jpg?w=640&amp;h=640")</f>
        <v>https://si.geilicdn.com/open1832946205-252808396-4ea100000197e9b802ff0a8133b0_800_800.jpg?w=640&amp;h=640</v>
      </c>
      <c r="F18" t="inlineStr">
        <is>
          <t>Hoodies</t>
        </is>
      </c>
      <c r="G18" t="inlineStr">
        <is>
          <t>Stone Island</t>
        </is>
      </c>
      <c r="H18" t="inlineStr">
        <is>
          <t>182.00</t>
        </is>
      </c>
      <c r="I18">
        <v>26.38</v>
      </c>
      <c r="J18" t="inlineStr">
        <is>
          <t>{"choices":[{"finish_reason":"stop","index":0,"logprobs":null,"message":{"annotations":[],"content":"Stone Island Gray Cotton Compass Badge Hoodie","refusal":null,"role":"assistant"}}],"created":1776666657,"id":"chatcmpl-DWcRl01bIpy0D03fVCJrZ407MsCyE","model":"gpt-5-chat-latest","object":"chat.completion","service_tier":"default","system_fingerprint":"fp_ad66631dec","usage":{"completion_tokens":8,"completion_tokens_details":{"accepted_prediction_tokens":0,"audio_tokens":0,"reasoning_tokens":0,"rejected_prediction_tokens":0},"prompt_tokens":877,"prompt_tokens_details":{"audio_tokens":0,"cached_tokens":0},"total_tokens":885}}</t>
        </is>
      </c>
      <c r="K18" t="inlineStr">
        <is>
          <t>Stone Island Gray Cotton Compass Badge Hoodie</t>
        </is>
      </c>
      <c r="L18" t="inlineStr">
        <is>
          <t>{"id":"chatcmpl-DWaK2ULn1KgGvh4Al5uhk6WrU56DS","object":"chat.completion","created":1776658490,"model":"gpt-5-chat-latest","choices":[{"index":0,"message":{"role":"assistant","content":"Stone Island gray cotton hoodie features a soft yet structured texture, iconic compass badge on sleeve, kangaroo pocket, and drawstring hood. Unisex urban casual style with premium comfort.","refusal":null,"annotations":[]},"logprobs":null,"finish_reason":"stop"}],"usage":{"prompt_tokens":933,"completion_tokens":37,"total_tokens":970,"prompt_tokens_details":{"cached_tokens":0,"audio_tokens":0},"completion_tokens_details":{"reasoning_tokens":0,"audio_tokens":0,"accepted_prediction_tokens":0,"rejected_prediction_tokens":0}},"service_tier":"default","system_fingerprint":"fp_ad66631dec"}</t>
        </is>
      </c>
      <c r="M1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ma=2592000","apim-request-id":"371271eb-4e97-40d6-9c4d-fe32f295ffbd","azureml-model-session":"d20260402084046-4209e968","cache-control":"no-cache, no-store, must-revalidate","connection":"close","content-length":"993","content-security-policy":"frame-ancestors 'self'","content-type":"application/json","date":"Mon, 20 Apr 2026 04:14:52 GMT","server":"Caddy","skip-error-remapping":"true","strict-transport-security":"max-age=31536000; includeSubDomains; preload","via":"1.1 Caddy","x-api-request-id":"20260420121449166962819xFGlMDWd","x-content-type-options":"nosniff","x-frame-options":"SAMEORIGIN","x-ms-is-spilled-over":"false","x-ms-rai-invoked":"false","x-ms-region":"Sweden Central","x-new-api-version":"0.4.39","x-oneapi-request-id":"20260420041449252892928268d9d6reSXAmFh","x-ratelimit-abusepenalty-active":"False","x-ratelimit-limit-requests":"4993","x-ratelimit-limit-tokens":"4993000","x-ratelimit-remaining-requests":"4992","x-ratelimit-remaining-tokens":"4991305","x-ratelimit-renewalperiod-requests":"60","x-ratelimit-renewalperiod-tokens":"60","x-ratelimit-reset-requests":"12","x-ratelimit-reset-tokens":"20","x-request-id":"2d9f1af7-f2a4-47ae-a82b-e19e94a750b6"}</t>
        </is>
      </c>
      <c r="N18" t="inlineStr">
        <is>
          <t>Stone Island gray cotton hoodie features a soft yet structured texture, iconic compass badge on sleeve, kangaroo pocket, and drawstring hood. Unisex urban casual style with premium comfort.</t>
        </is>
      </c>
      <c r="O18" t="inlineStr">
        <is>
          <t>{"choices":[{"finish_reason":"stop","index":0,"logprobs":null,"message":{"annotations":[],"content":"Stone Island,Hoodies,kakobuy,kakebuy2026,kekobuysheet,kakobuysheet2026,2026kakobuy,kakobuyspreadsheeet,kakobuylink,kakebuylist,Kakobuy MEGA Spreadsheet,kakobuysheetfind,kakobuysheetfind2026,2026kakobuysheetfind,kakobuysheet2026","refusal":null,"role":"assistant"}}],"created":1776667313,"id":"chatcmpl-DWccLcs0k7vgbLZ35vPAbUrydGEuw","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8" t="inlineStr">
        <is>
          <t>Stone Island,Hoodies,kakobuy,kakebuy2026,kekobuysheet,kakobuysheet2026,2026kakobuy,kakobuyspreadsheeet,kakobuylink,kakebuylist,Kakobuy MEGA Spreadsheet,kakobuysheetfind,kakobuysheetfind2026,2026kakobuysheetfind,kakobuysheet2026</t>
        </is>
      </c>
      <c r="Q18" t="inlineStr">
        <is>
          <t>Grey, Unisex, Comfort</t>
        </is>
      </c>
      <c r="R18" t="inlineStr">
        <is>
          <t>recvh6xFVjGSQq</t>
        </is>
      </c>
      <c r="S18" t="inlineStr">
        <is>
          <t>stone-island-gray-cotton-compass-badge-hoodie-recvh6xFVjGSQq</t>
        </is>
      </c>
      <c r="T18"/>
      <c r="U18"/>
      <c r="V18"/>
      <c r="W18" t="inlineStr">
        <is>
          <t>{"choices":[{"finish_reason":"stop","index":0,"logprobs":null,"message":{"annotations":[],"content":"Stone Island：灰色连帽卫衣，采用高密度纯棉材质打造，质感柔软且挺括。左臂经典罗盘徽章彰显品牌标识，简约中不失街头格调。前袋鼠兜与抽绳帽设计兼具实用与造型感，男女皆宜，休闲都市风格，展现现代年轻态度与高端质感。","refusal":null,"role":"assistant"}}],"created":1776655294,"id":"chatcmpl-DWZUU3sJUFiNq2jMAs0sxUPenMSwN","model":"gpt-5-chat-latest","object":"chat.completion","service_tier":"default","system_fingerprint":"fp_ad66631dec","usage":{"completion_tokens":96,"completion_tokens_details":{"accepted_prediction_tokens":0,"audio_tokens":0,"reasoning_tokens":0,"rejected_prediction_tokens":0},"prompt_tokens":1317,"prompt_tokens_details":{"audio_tokens":0,"cached_tokens":0},"total_tokens":1413}}</t>
        </is>
      </c>
      <c r="X18" t="inlineStr">
        <is>
          <t>Stone Island：灰色连帽卫衣，采用高密度纯棉材质打造，质感柔软且挺括。左臂经典罗盘徽章彰显品牌标识，简约中不失街头格调。前袋鼠兜与抽绳帽设计兼具实用与造型感，男女皆宜，休闲都市风格，展现现代年轻态度与高端质感。</t>
        </is>
      </c>
    </row>
    <row r="19" ht="25.5" customHeight="1">
      <c r="A19">
        <v>1839115443</v>
      </c>
      <c r="B19">
        <v>7601148440</v>
      </c>
      <c r="C19" t="inlineStr">
        <is>
          <t>https://weidian.com/item.html?itemID=7601148440</t>
        </is>
      </c>
      <c r="D19"/>
      <c r="E19" s="2" t="str">
        <f>=HYPERLINK("https://si.geilicdn.com/open1832946205-252808396-685200000198560c3cbd0a8115c2_800_800.jpg?w=640&amp;h=640", "https://si.geilicdn.com/open1832946205-252808396-685200000198560c3cbd0a8115c2_800_800.jpg?w=640&amp;h=640")</f>
        <v>https://si.geilicdn.com/open1832946205-252808396-685200000198560c3cbd0a8115c2_800_800.jpg?w=640&amp;h=640</v>
      </c>
      <c r="F19" t="inlineStr">
        <is>
          <t>Pants</t>
        </is>
      </c>
      <c r="G19" t="inlineStr">
        <is>
          <t>Essentials</t>
        </is>
      </c>
      <c r="H19" t="inlineStr">
        <is>
          <t>117.00</t>
        </is>
      </c>
      <c r="I19">
        <v>16.96</v>
      </c>
      <c r="J19" t="inlineStr">
        <is>
          <t>{"id":"chatcmpl-DWcJxKEMQ74RSsNPEsJlVvLhjdVGd","object":"chat.completion","created":1776666173,"model":"gpt-5-chat-latest","choices":[{"index":0,"message":{"role":"assistant","content":"Essentials Cream Mesh Shorts Unisex Summer Sportswear","refusal":null,"annotations":[]},"logprobs":null,"finish_reason":"stop"}],"usage":{"prompt_tokens":866,"completion_tokens":11,"total_tokens":877,"prompt_tokens_details":{"cached_tokens":0,"audio_tokens":0},"completion_tokens_details":{"reasoning_tokens":0,"audio_tokens":0,"accepted_prediction_tokens":0,"rejected_prediction_tokens":0}},"service_tier":"default","system_fingerprint":"fp_ad66631dec"}</t>
        </is>
      </c>
      <c r="K19" t="inlineStr">
        <is>
          <t>Essentials Cream Mesh Shorts Unisex Summer Sportswear</t>
        </is>
      </c>
      <c r="L19" t="inlineStr">
        <is>
          <t>{"choices":[{"finish_reason":"stop","index":0,"logprobs":null,"message":{"annotations":[],"content":"Essentials Cream Mesh Shorts – Lightweight breathable fabric with elastic drawstring waist, minimalist logo print, unisex streetwear style perfect for casual and sporty looks.","refusal":null,"role":"assistant"}}],"created":1776658560,"id":"chatcmpl-DWaLA3DudbTfK74A4DmDc5S2Vn8Om","model":"gpt-5-chat-latest","object":"chat.completion","service_tier":"default","system_fingerprint":"fp_ad66631dec","usage":{"completion_tokens":32,"completion_tokens_details":{"accepted_prediction_tokens":0,"audio_tokens":0,"reasoning_tokens":0,"rejected_prediction_tokens":0},"prompt_tokens":892,"prompt_tokens_details":{"audio_tokens":0,"cached_tokens":0},"total_tokens":924}}</t>
        </is>
      </c>
      <c r="M19" t="inlineStr">
        <is>
          <t>{"alt-svc":"h3=\":443\"; ma=2592000","apim-request-id":"a90b4cbb-a929-4a13-b2c2-14cf29eee6d7","azureml-model-session":"d20260402083108-57a85543","cache-control":"no-cache","connection":"close","content-length":"765","content-security-policy":"frame-ancestors 'self'","content-type":"application/json","date":"Mon, 20 Apr 2026 04:16:01 GMT","server":"Caddy","skip-error-remapping":"true","strict-transport-security":"max-age=31536000; includeSubDomains; preload","via":"1.1 Caddy","x-api-request-id":"20260420121559723124472y9ZelFgL","x-content-type-options":"nosniff","x-frame-options":"SAMEORIGIN","x-ms-client-request-id":"Not-Set","x-ms-is-spilled-over":"false","x-ms-rai-invoked":"true","x-ms-region":"East US 2","x-new-api-version":"0.4.39","x-oneapi-request-id":"202604200415596565762258268d9d6hsPh0eeu","x-ratelimit-abusepenalty-active":"False","x-ratelimit-limit-requests":"3850","x-ratelimit-limit-tokens":"3850000","x-ratelimit-remaining-requests":"3849","x-ratelimit-remaining-tokens":"3848346","x-ratelimit-renewalperiod-requests":"60","x-ratelimit-renewalperiod-tokens":"60","x-ratelimit-reset-requests":"15","x-ratelimit-reset-tokens":"25","x-request-id":"aa615b7c-4b11-4235-9c3c-8e2450702445"}</t>
        </is>
      </c>
      <c r="N19" t="inlineStr">
        <is>
          <t>Essentials Cream Mesh Shorts – Lightweight breathable fabric with elastic drawstring waist, minimalist logo print, unisex streetwear style perfect for casual and sporty looks.</t>
        </is>
      </c>
      <c r="O19" t="inlineStr">
        <is>
          <t>{"choices":[{"finish_reason":"stop","index":0,"logprobs":null,"message":{"annotations":[],"content":"Essentials, Shorts, kakobuy, kakebuy2026, kekobuysheet, kakobuysheet2026, 2026kakobuy, kakobuyspreadsheeet, kakobuylink, kakebuylist, Kakobuy MEGA Spreadsheet, kakobuysheetfind, kakobuysheetfind2026, 2026kakobuysheetfind, kakobuysheet2026","refusal":null,"role":"assistant"}}],"created":1776668437,"id":"chatcmpl-DWcuTZNOqrCRefgRCNlXfLcM5d1KJ","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9" t="inlineStr">
        <is>
          <t>Essentials, Shorts, kakobuy, kakebuy2026, kekobuysheet, kakobuysheet2026, 2026kakobuy, kakobuyspreadsheeet, kakobuylink, kakebuylist, Kakobuy MEGA Spreadsheet, kakobuysheetfind, kakobuysheetfind2026, 2026kakobuysheetfind, kakobuysheet2026</t>
        </is>
      </c>
      <c r="Q19" t="inlineStr">
        <is>
          <t>Cream, Mesh, Lightweight, Breathable, Unisex, Streetwear</t>
        </is>
      </c>
      <c r="R19" t="inlineStr">
        <is>
          <t>recvh6xFVjW1ly</t>
        </is>
      </c>
      <c r="S19" t="inlineStr">
        <is>
          <t>essentials-cream-mesh-shorts-recvh6xfvjw1ly</t>
        </is>
      </c>
      <c r="T19"/>
      <c r="U19"/>
      <c r="V19"/>
      <c r="W19" t="inlineStr">
        <is>
          <t>{"id":"chatcmpl-DWZWv6ov18idSGNOfZArV8G0IDDNp","object":"chat.completion","created":1776655445,"model":"gpt-5-chat-latest","choices":[{"index":0,"message":{"role":"assistant","content":"Essentials：奶油色透气运动短裤，采用轻盈网眼面料，松紧抽绳设计舒适贴身，简约Logo印花点缀彰显街头潮流，男女皆宜的休闲百搭款。","refusal":null,"annotations":[]},"logprobs":null,"finish_reason":"stop"}],"usage":{"prompt_tokens":1314,"completion_tokens":57,"total_tokens":1371,"prompt_tokens_details":{"cached_tokens":0,"audio_tokens":0},"completion_tokens_details":{"reasoning_tokens":0,"audio_tokens":0,"accepted_prediction_tokens":0,"rejected_prediction_tokens":0}},"service_tier":"default","system_fingerprint":"fp_ad66631dec"}</t>
        </is>
      </c>
      <c r="X19" t="inlineStr">
        <is>
          <t>Essentials：奶油色透气运动短裤，采用轻盈网眼面料，松紧抽绳设计舒适贴身，简约Logo印花点缀彰显街头潮流，男女皆宜的休闲百搭款。</t>
        </is>
      </c>
    </row>
    <row r="20" ht="25.5" customHeight="1">
      <c r="A20">
        <v>1839115443</v>
      </c>
      <c r="B20">
        <v>7601145064</v>
      </c>
      <c r="C20" t="inlineStr">
        <is>
          <t>https://weidian.com/item.html?itemID=7601145064</t>
        </is>
      </c>
      <c r="D20"/>
      <c r="E20" s="2" t="str">
        <f>=HYPERLINK("https://si.geilicdn.com/pcitem902006541277-7f800000019add3f7ea00a230115-unadjust_832_772.png?w=640&amp;h=640", "https://si.geilicdn.com/pcitem902006541277-7f800000019add3f7ea00a230115-unadjust_832_772.png?w=640&amp;h=640")</f>
        <v>https://si.geilicdn.com/pcitem902006541277-7f800000019add3f7ea00a230115-unadjust_832_772.png?w=640&amp;h=640</v>
      </c>
      <c r="F20" t="inlineStr">
        <is>
          <t>Hoodies</t>
        </is>
      </c>
      <c r="G20" t="inlineStr">
        <is>
          <t>Bape</t>
        </is>
      </c>
      <c r="H20" t="inlineStr">
        <is>
          <t>81.00</t>
        </is>
      </c>
      <c r="I20">
        <v>11.74</v>
      </c>
      <c r="J20" t="inlineStr">
        <is>
          <t>{"id":"chatcmpl-DWcQPtQqywvbeeD6EleA3aVZr8KKa","object":"chat.completion","created":1776666573,"model":"gpt-5-chat-latest","choices":[{"index":0,"message":{"role":"assistant","content":"Bape Pink White Star Zip Up Hoodie Unisex Streetwear","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20" t="inlineStr">
        <is>
          <t>Bape Pink White Star Zip Up Hoodie Unisex Streetwear</t>
        </is>
      </c>
      <c r="L20" t="inlineStr">
        <is>
          <t>{"choices":[{"finish_reason":"stop","index":0,"logprobs":null,"message":{"annotations":[],"content":"Bape Hoodie: Soft cotton pink-white zip-up with red and pink star print, kangaroo pocket, unisex fit, bold streetwear style blending signature colors and youthful energy.","refusal":null,"role":"assistant"}}],"created":1776659057,"id":"chatcmpl-DWaTBhtV37MLfphUftTTk8fw5i76J","model":"gpt-5-chat-latest","object":"chat.completion","service_tier":"default","system_fingerprint":"fp_ad66631dec","usage":{"completion_tokens":37,"completion_tokens_details":{"accepted_prediction_tokens":0,"audio_tokens":0,"reasoning_tokens":0,"rejected_prediction_tokens":0},"prompt_tokens":916,"prompt_tokens_details":{"audio_tokens":0,"cached_tokens":0},"total_tokens":953}}</t>
        </is>
      </c>
      <c r="M20" t="inlineStr">
        <is>
          <t>{"alt-svc":"h3=\":443\"; ma=2592000","apim-request-id":"cb1b459f-e220-49e0-aabf-437de22eceae","azureml-model-session":"d20260402083108-57a85543","cache-control":"no-cache","connection":"close","content-length":"758","content-security-policy":"frame-ancestors 'self'","content-type":"application/json","date":"Mon, 20 Apr 2026 04:24:18 GMT","server":"nginx","skip-error-remapping":"true","strict-transport-security":"max-age=31536000; includeSubDomains; preload","via":"1.1 Caddy, 1.1 Caddy","x-api-request-id":"20260420122416435663806Q2UkyCcM","x-content-type-options":"nosniff","x-frame-options":"SAMEORIGIN","x-ms-client-request-id":"Not-Set","x-ms-is-spilled-over":"false","x-ms-rai-invoked":"true","x-ms-region":"East US 2","x-new-api-version":"0.4.39","x-oneapi-request-id":"202604200424163671843738268d9d60LK3Edvz","x-ratelimit-abusepenalty-active":"False","x-ratelimit-limit-requests":"3850","x-ratelimit-limit-tokens":"3850000","x-ratelimit-remaining-requests":"3849","x-ratelimit-remaining-tokens":"3848322","x-ratelimit-renewalperiod-requests":"60","x-ratelimit-renewalperiod-tokens":"60","x-ratelimit-reset-requests":"15","x-ratelimit-reset-tokens":"26","x-request-id":"d31cacc3-da62-4cc4-a6d1-9473ff615033"}</t>
        </is>
      </c>
      <c r="N20" t="inlineStr">
        <is>
          <t>Bape Hoodie: Soft cotton pink-white zip-up with red and pink star print, kangaroo pocket, unisex fit, bold streetwear style blending signature colors and youthful energy.</t>
        </is>
      </c>
      <c r="O20" t="inlineStr">
        <is>
          <t>{"choices":[{"finish_reason":"stop","index":0,"logprobs":null,"message":{"annotations":[],"content":"Bape,Hoodies,kakobuy,kakebuy2026,kekobuysheet,kakobuysheet2026,2026kakobuy,kakobuyspreadsheeet,kakobuylink,kakebuylist,Kakobuy MEGA Spreadsheet,kakobuysheetfind,kakobuysheetfind2026,2026kakobuysheetfind,kakobuysheet2026","refusal":null,"role":"assistant"}}],"created":1776667394,"id":"chatcmpl-DWcde4UTu1mABOwazCgVjys0fRZyN","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20" t="inlineStr">
        <is>
          <t>Bape,Hoodies,kakobuy,kakebuy2026,kekobuysheet,kakobuysheet2026,2026kakobuy,kakobuyspreadsheeet,kakobuylink,kakebuylist,Kakobuy MEGA Spreadsheet,kakobuysheetfind,kakobuysheetfind2026,2026kakobuysheetfind,kakobuysheet2026</t>
        </is>
      </c>
      <c r="Q20" t="inlineStr">
        <is>
          <t>BAPE, Pink, Streetwear, Unisex</t>
        </is>
      </c>
      <c r="R20" t="inlineStr">
        <is>
          <t>recvh6xFVjiptx</t>
        </is>
      </c>
      <c r="S20" t="inlineStr">
        <is>
          <t>bape-pink-white-star-hoodie-recvh6xfvjiptx</t>
        </is>
      </c>
      <c r="T20"/>
      <c r="U20"/>
      <c r="V20"/>
      <c r="W20" t="inlineStr">
        <is>
          <t>{"id":"chatcmpl-DWZP7mMnTgbbgYRZHZFCuPizr7sCZ","object":"chat.completion","created":1776654961,"model":"gpt-5-chat-latest","choices":[{"index":0,"message":{"role":"assistant","content":"Bape：粉白星纹连帽卫衣，甄选柔软纯棉面料，满印红粉电光星图腾设计，拉链开合搭配实用袋鼠兜，展现街头潮流美学。男女同款，舒适休闲穿搭，融合品牌标志性大胆配色与年轻活力。","refusal":null,"annotations":[]},"logprobs":null,"finish_reason":"stop"}],"usage":{"prompt_tokens":1313,"completion_tokens":81,"total_tokens":1394,"prompt_tokens_details":{"cached_tokens":0,"audio_tokens":0},"completion_tokens_details":{"reasoning_tokens":0,"audio_tokens":0,"accepted_prediction_tokens":0,"rejected_prediction_tokens":0}},"service_tier":"default","system_fingerprint":"fp_ad66631dec"}</t>
        </is>
      </c>
      <c r="X20" t="inlineStr">
        <is>
          <t>Bape：粉白星纹连帽卫衣，甄选柔软纯棉面料，满印红粉电光星图腾设计，拉链开合搭配实用袋鼠兜，展现街头潮流美学。男女同款，舒适休闲穿搭，融合品牌标志性大胆配色与年轻活力。</t>
        </is>
      </c>
    </row>
    <row r="21" ht="25.5" customHeight="1">
      <c r="A21">
        <v>1839115443</v>
      </c>
      <c r="B21">
        <v>7599185135</v>
      </c>
      <c r="C21" t="inlineStr">
        <is>
          <t>https://weidian.com/item.html?itemID=7599185135</t>
        </is>
      </c>
      <c r="D21"/>
      <c r="E21" s="2" t="str">
        <f>=HYPERLINK("https://si.geilicdn.com/open1832946205-252808396-6d7500000197598a47700a231226_790_1459.jpg?w=640&amp;h=640", "https://si.geilicdn.com/open1832946205-252808396-6d7500000197598a47700a231226_790_1459.jpg?w=640&amp;h=640")</f>
        <v>https://si.geilicdn.com/open1832946205-252808396-6d7500000197598a47700a231226_790_1459.jpg?w=640&amp;h=640</v>
      </c>
      <c r="F21" t="inlineStr">
        <is>
          <t>T-Shirts</t>
        </is>
      </c>
      <c r="G21" t="inlineStr">
        <is>
          <t xml:space="preserve"> Essentials</t>
        </is>
      </c>
      <c r="H21" t="inlineStr">
        <is>
          <t>115.00</t>
        </is>
      </c>
      <c r="I21">
        <v>16.67</v>
      </c>
      <c r="J21" t="inlineStr">
        <is>
          <t>{"choices":[{"finish_reason":"stop","index":0,"logprobs":null,"message":{"annotations":[],"content":"Essentials Jet Dye Navy Blue Cotton T-Shirt","refusal":null,"role":"assistant"}}],"created":1776665874,"id":"chatcmpl-DWcF8TDVogzsEg7wmOvvND66VKxCO","model":"gpt-5-chat-latest","object":"chat.completion","service_tier":"default","system_fingerprint":"fp_ad66631dec","usage":{"completion_tokens":10,"completion_tokens_details":{"accepted_prediction_tokens":0,"audio_tokens":0,"reasoning_tokens":0,"rejected_prediction_tokens":0},"prompt_tokens":1171,"prompt_tokens_details":{"audio_tokens":0,"cached_tokens":0},"total_tokens":1181}}</t>
        </is>
      </c>
      <c r="K21" t="inlineStr">
        <is>
          <t>Essentials Jet Dye Navy Blue Cotton T-Shirt</t>
        </is>
      </c>
      <c r="L21" t="inlineStr">
        <is>
          <t>{"choices":[{"finish_reason":"stop","index":0,"logprobs":null,"message":{"annotations":[],"content":"Essentials Jet Dyeing T-Shirt in navy blue, made from heavy pure cotton with soft breathable texture, vintage spray-dye look, unisex loose fit, street casual vibe, perfect for daily wear and trendy layering.","refusal":null,"role":"assistant"}}],"created":1776658307,"id":"chatcmpl-DWaH5od7lg7G9WU6UuB96v4eTCvZT","model":"gpt-5-chat-latest","object":"chat.completion","service_tier":"default","system_fingerprint":"fp_ad66631dec","usage":{"completion_tokens":45,"completion_tokens_details":{"accepted_prediction_tokens":0,"audio_tokens":0,"reasoning_tokens":0,"rejected_prediction_tokens":0},"prompt_tokens":1194,"prompt_tokens_details":{"audio_tokens":0,"cached_tokens":0},"total_tokens":1239}}</t>
        </is>
      </c>
      <c r="M21" t="inlineStr">
        <is>
          <t>{"alt-svc":"h3=\":443\"; ma=2592000","apim-request-id":"1ea541ec-da99-4e71-acaa-5c130ff96db6","azureml-model-session":"d20260405234249-f9874baf","cache-control":"no-cache","connection":"close","content-length":"797","content-security-policy":"frame-ancestors 'self'","content-type":"application/json","date":"Mon, 20 Apr 2026 04:11:49 GMT","server":"nginx","skip-error-remapping":"true","strict-transport-security":"max-age=31536000; includeSubDomains; preload","via":"1.1 Caddy, 1.1 Caddy","x-api-request-id":"20260420121146707352058jyzuuvTT","x-content-type-options":"nosniff","x-frame-options":"SAMEORIGIN","x-ms-client-request-id":"Not-Set","x-ms-is-spilled-over":"false","x-ms-rai-invoked":"true","x-ms-region":"East US 2","x-new-api-version":"0.4.39","x-oneapi-request-id":"202604200411466426827648268d9d6UxMNNWqJ","x-ratelimit-abusepenalty-active":"False","x-ratelimit-limit-requests":"3850","x-ratelimit-limit-tokens":"3850000","x-ratelimit-remaining-requests":"3849","x-ratelimit-remaining-tokens":"3848043","x-ratelimit-renewalperiod-requests":"60","x-ratelimit-renewalperiod-tokens":"60","x-ratelimit-reset-requests":"15","x-ratelimit-reset-tokens":"30","x-request-id":"3144c12f-d5dc-4283-9da8-340bdeda91b7"}</t>
        </is>
      </c>
      <c r="N21" t="inlineStr">
        <is>
          <t>Essentials Jet Dyeing T-Shirt in navy blue, made from heavy pure cotton with soft breathable texture, vintage spray-dye look, unisex loose fit, street casual vibe, perfect for daily wear and trendy layering.</t>
        </is>
      </c>
      <c r="O21" t="inlineStr">
        <is>
          <t>{"choices":[{"finish_reason":"stop","index":0,"logprobs":null,"message":{"annotations":[],"content":"Essentials, T-Shirts, kakobuy, kakebuy2026, kekobuysheet, kakobuysheet2026, 2026kakobuy, kakobuyspreadsheeet, kakobuylink, kakebuylist, Kakobuy MEGA Spreadsheet, kakobuysheetfind, kakobuysheetfind2026, 2026kakobuysheetfind, kakobuysheet2026","refusal":null,"role":"assistant"}}],"created":1776667358,"id":"chatcmpl-DWcd4YevQoRIOgucXtu0dCBFaqj4k","model":"gpt-5-chat-latest","object":"chat.completion","service_tier":"default","system_fingerprint":"fp_ad66631dec","usage":{"completion_tokens":92,"completion_tokens_details":{"accepted_prediction_tokens":0,"audio_tokens":0,"reasoning_tokens":0,"rejected_prediction_tokens":0},"prompt_tokens":1062,"prompt_tokens_details":{"audio_tokens":0,"cached_tokens":0},"total_tokens":1154}}</t>
        </is>
      </c>
      <c r="P21" t="inlineStr">
        <is>
          <t>Essentials, T-Shirts, kakobuy, kakebuy2026, kekobuysheet, kakobuysheet2026, 2026kakobuy, kakobuyspreadsheeet, kakobuylink, kakebuylist, Kakobuy MEGA Spreadsheet, kakobuysheetfind, kakobuysheetfind2026, 2026kakobuysheetfind, kakobuysheet2026</t>
        </is>
      </c>
      <c r="Q21" t="inlineStr">
        <is>
          <t>Navy, Vintage, Unisex, Streetwear</t>
        </is>
      </c>
      <c r="R21" t="inlineStr">
        <is>
          <t>recvh6xFVjKWRO</t>
        </is>
      </c>
      <c r="S21" t="inlineStr">
        <is>
          <t>essentials-jet-dye-navy-blue-cotton-tshirt-recvh6xfvjkwro</t>
        </is>
      </c>
      <c r="T21"/>
      <c r="U21"/>
      <c r="V21"/>
      <c r="W21" t="inlineStr">
        <is>
          <t>{"choices":[{"finish_reason":"stop","index":0,"logprobs":null,"message":{"annotations":[],"content":"Essentials：喷染藏蓝T恤，选用高克重纯棉面料，质感柔软透气，整体呈现独特复古喷染效果，简约宽松版型设计，男女皆宜，街头休闲风格，彰显低调高级质感，适合日常穿搭与潮流叠搭。","refusal":null,"role":"assistant"}}],"created":1776655083,"id":"chatcmpl-DWZR5dLoMF68DBzZxVhPMl3uBzwXj","model":"gpt-5-chat-latest","object":"chat.completion","service_tier":"default","system_fingerprint":"fp_ad66631dec","usage":{"completion_tokens":81,"completion_tokens_details":{"accepted_prediction_tokens":0,"audio_tokens":0,"reasoning_tokens":0,"rejected_prediction_tokens":0},"prompt_tokens":1589,"prompt_tokens_details":{"audio_tokens":0,"cached_tokens":1536},"total_tokens":1670}}</t>
        </is>
      </c>
      <c r="X21" t="inlineStr">
        <is>
          <t>Essentials：喷染藏蓝T恤，选用高克重纯棉面料，质感柔软透气，整体呈现独特复古喷染效果，简约宽松版型设计，男女皆宜，街头休闲风格，彰显低调高级质感，适合日常穿搭与潮流叠搭。</t>
        </is>
      </c>
    </row>
    <row r="22" ht="25.5" customHeight="1">
      <c r="A22">
        <v>1839115443</v>
      </c>
      <c r="B22">
        <v>7601170174</v>
      </c>
      <c r="C22" t="inlineStr">
        <is>
          <t>https://weidian.com/item.html?itemID=7601170174</t>
        </is>
      </c>
      <c r="D22"/>
      <c r="E22" s="2" t="str">
        <f>=HYPERLINK("https://si.geilicdn.com/open1832946205-252808396-47ab00000197e9ae44f90a22d249_1440_1920.jpg?w=640&amp;h=640", "https://si.geilicdn.com/open1832946205-252808396-47ab00000197e9ae44f90a22d249_1440_1920.jpg?w=640&amp;h=640")</f>
        <v>https://si.geilicdn.com/open1832946205-252808396-47ab00000197e9ae44f90a22d249_1440_1920.jpg?w=640&amp;h=640</v>
      </c>
      <c r="F22" t="inlineStr">
        <is>
          <t>Jackets</t>
        </is>
      </c>
      <c r="G22" t="inlineStr">
        <is>
          <t>Balenciaga</t>
        </is>
      </c>
      <c r="H22" t="inlineStr">
        <is>
          <t>355.00</t>
        </is>
      </c>
      <c r="I22">
        <v>51.45</v>
      </c>
      <c r="J22" t="inlineStr">
        <is>
          <t>{"choices":[{"finish_reason":"stop","index":0,"logprobs":null,"message":{"annotations":[],"content":"Balenciaga Black Vintage Logo Zip Hoodie Unisex","refusal":null,"role":"assistant"}}],"created":1776665931,"id":"chatcmpl-DWcG3UhX7dmZeSo0LzDSV1ilvToXP","model":"gpt-5-chat-latest","object":"chat.completion","service_tier":"default","system_fingerprint":"fp_ad66631dec","usage":{"completion_tokens":11,"completion_tokens_details":{"accepted_prediction_tokens":0,"audio_tokens":0,"reasoning_tokens":0,"rejected_prediction_tokens":0},"prompt_tokens":869,"prompt_tokens_details":{"audio_tokens":0,"cached_tokens":0},"total_tokens":880}}</t>
        </is>
      </c>
      <c r="K22" t="inlineStr">
        <is>
          <t>Balenciaga Black Vintage Logo Zip Hoodie Unisex</t>
        </is>
      </c>
      <c r="L22" t="inlineStr">
        <is>
          <t>{"choices":[{"finish_reason":"stop","index":0,"logprobs":null,"message":{"annotations":[],"content":"Balenciaga Black Vintage Zip Hoodie, crafted from soft cotton with deconstructed street style, logo prints on sleeves, unisex relaxed fit for bold modern fashion.","refusal":null,"role":"assistant"}}],"created":1776659416,"id":"chatcmpl-DWaYyGF3HnJHHaD3YpBP9tgdMEIUo","model":"gpt-5-chat-latest","object":"chat.completion","service_tier":"default","system_fingerprint":"fp_ad66631dec","usage":{"completion_tokens":33,"completion_tokens_details":{"accepted_prediction_tokens":0,"audio_tokens":0,"reasoning_tokens":0,"rejected_prediction_tokens":0},"prompt_tokens":899,"prompt_tokens_details":{"audio_tokens":0,"cached_tokens":0},"total_tokens":932}}</t>
        </is>
      </c>
      <c r="M22" t="inlineStr">
        <is>
          <t>{"alt-svc":"h3=\":443\"; ma=2592000","apim-request-id":"8e3e00ff-80da-4026-ac13-f9bd31df7c64","azureml-model-session":"d20260402074105-51db401e","cache-control":"no-cache","connection":"close","content-length":"750","content-security-policy":"frame-ancestors 'self'","content-type":"application/json","date":"Mon, 20 Apr 2026 04:30:17 GMT","server":"Caddy","skip-error-remapping":"true","strict-transport-security":"max-age=31536000; includeSubDomains; preload","via":"1.1 Caddy","x-api-request-id":"20260420123015215749610UUGL7XXA","x-content-type-options":"nosniff","x-frame-options":"SAMEORIGIN","x-ms-client-request-id":"Not-Set","x-ms-is-spilled-over":"false","x-ms-rai-invoked":"true","x-ms-region":"East US 2","x-new-api-version":"0.4.39","x-oneapi-request-id":"202604200430151485085828268d9d6RWX9jWnk","x-ratelimit-abusepenalty-active":"False","x-ratelimit-limit-requests":"3850","x-ratelimit-limit-tokens":"3850000","x-ratelimit-remaining-requests":"3849","x-ratelimit-remaining-tokens":"3848339","x-ratelimit-renewalperiod-requests":"60","x-ratelimit-renewalperiod-tokens":"60","x-ratelimit-reset-requests":"15","x-ratelimit-reset-tokens":"25","x-request-id":"c16edd57-386c-4750-8f4d-09f39b4778a6"}</t>
        </is>
      </c>
      <c r="N22" t="inlineStr">
        <is>
          <t>Balenciaga Black Vintage Zip Hoodie, crafted from soft cotton with deconstructed street style, logo prints on sleeves, unisex relaxed fit for bold modern fashion.</t>
        </is>
      </c>
      <c r="O22" t="inlineStr">
        <is>
          <t>{"choices":[{"finish_reason":"stop","index":0,"logprobs":null,"message":{"annotations":[],"content":"Balenciaga, Jackets, kakobuy, kakebuy2026, kekobuysheet, kakobuysheet2026, 2026kakobuy, kakobuyspreadsheeet, kakobuylink, kakebuylist, Kakobuy MEGA Spreadsheet, kakobuysheetfind, kakobuysheetfind2026, 2026kakobuysheetfind, kakobuysheet2026","refusal":null,"role":"assistant"}}],"created":1776668301,"id":"chatcmpl-DWcsHRKq3cZfXS7U6F7ZM2nJosndG","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22" t="inlineStr">
        <is>
          <t>Balenciaga, Jackets, kakobuy, kakebuy2026, kekobuysheet, kakobuysheet2026, 2026kakobuy, kakobuyspreadsheeet, kakobuylink, kakebuylist, Kakobuy MEGA Spreadsheet, kakobuysheetfind, kakobuysheetfind2026, 2026kakobuysheetfind, kakobuysheet2026</t>
        </is>
      </c>
      <c r="Q22" t="inlineStr">
        <is>
          <t>Balenciaga, Black, Deconstructed, Street, Unisex</t>
        </is>
      </c>
      <c r="R22" t="inlineStr">
        <is>
          <t>recvh6xFVjUDnc</t>
        </is>
      </c>
      <c r="S22" t="inlineStr">
        <is>
          <t>balenciaga-black-vintage-logo-zip-hoodie-recvh6xfvjudnc</t>
        </is>
      </c>
      <c r="T22"/>
      <c r="U22"/>
      <c r="V22"/>
      <c r="W22" t="inlineStr">
        <is>
          <t>{"id":"chatcmpl-DWZfCd4Kvufzoq8CGiBpQmxnlyGCA","object":"chat.completion","created":1776655958,"model":"gpt-5-chat-latest","choices":[{"index":0,"message":{"role":"assistant","content":"Balenciaga：黑色做旧系列拉链连帽卫衣，采用柔软纯棉质地，街头解构风格设计，袖部印有品牌标志图腾，男女同款休闲版型，展现前卫摩登美学。","refusal":null,"annotations":[]},"logprobs":null,"finish_reason":"stop"}],"usage":{"prompt_tokens":1321,"completion_tokens":61,"total_tokens":1382,"prompt_tokens_details":{"cached_tokens":1280,"audio_tokens":0},"completion_tokens_details":{"reasoning_tokens":0,"audio_tokens":0,"accepted_prediction_tokens":0,"rejected_prediction_tokens":0}},"service_tier":"default","system_fingerprint":"fp_ad66631dec"}</t>
        </is>
      </c>
      <c r="X22" t="inlineStr">
        <is>
          <t>Balenciaga：黑色做旧系列拉链连帽卫衣，采用柔软纯棉质地，街头解构风格设计，袖部印有品牌标志图腾，男女同款休闲版型，展现前卫摩登美学。</t>
        </is>
      </c>
    </row>
    <row r="23" ht="25.5" customHeight="1">
      <c r="A23">
        <v>1839115443</v>
      </c>
      <c r="B23">
        <v>7599279695</v>
      </c>
      <c r="C23" t="inlineStr">
        <is>
          <t>https://weidian.com/item.html?itemID=7599279695</t>
        </is>
      </c>
      <c r="D23"/>
      <c r="E23" s="2" t="str">
        <f>=HYPERLINK("https://si.geilicdn.com/open1832946205-252808396-17f300000197ee7ae9cb0aa043f9_800_800.jpg?w=750&amp;h=750&amp;cp=1", "https://si.geilicdn.com/open1832946205-252808396-17f300000197ee7ae9cb0aa043f9_800_800.jpg?w=750&amp;h=750&amp;cp=1")</f>
        <v>https://si.geilicdn.com/open1832946205-252808396-17f300000197ee7ae9cb0aa043f9_800_800.jpg?w=750&amp;h=750&amp;cp=1</v>
      </c>
      <c r="F23" t="inlineStr">
        <is>
          <t>Hoodies</t>
        </is>
      </c>
      <c r="G23" t="inlineStr">
        <is>
          <t>Corteiz</t>
        </is>
      </c>
      <c r="H23" t="inlineStr">
        <is>
          <t>406.00</t>
        </is>
      </c>
      <c r="I23">
        <v>58.84</v>
      </c>
      <c r="J23" t="inlineStr">
        <is>
          <t>{"choices":[{"finish_reason":"stop","index":0,"logprobs":null,"message":{"annotations":[],"content":"Corteiz CRTZ Green Hoodie Tracksuit Set Unisex","refusal":null,"role":"assistant"}}],"created":1776665726,"id":"chatcmpl-DWcCk8vHUbYzh5YUpSTCytE0z3EAG","model":"gpt-5-chat-latest","object":"chat.completion","service_tier":"default","system_fingerprint":"fp_ad66631dec","usage":{"completion_tokens":13,"completion_tokens_details":{"accepted_prediction_tokens":0,"audio_tokens":0,"reasoning_tokens":0,"rejected_prediction_tokens":0},"prompt_tokens":890,"prompt_tokens_details":{"audio_tokens":0,"cached_tokens":0},"total_tokens":903}}</t>
        </is>
      </c>
      <c r="K23" t="inlineStr">
        <is>
          <t>Corteiz CRTZ Green Hoodie Tracksuit Set Unisex</t>
        </is>
      </c>
      <c r="L23" t="inlineStr">
        <is>
          <t>{"id":"chatcmpl-DWaKIADMSvI7aKSuwJiSi8UFg4oU9","object":"chat.completion","created":1776658506,"model":"gpt-5-chat-latest","choices":[{"index":0,"message":{"role":"assistant","content":"Corteiz CRTZ Green Hoodie Set – made of high-density cotton, front logo and sleeve print design, unisex loose fit, streetwear sporty style, warm, comfy, and full of trendy personality.","refusal":null,"annotations":[]},"logprobs":null,"finish_reason":"stop"}],"usage":{"prompt_tokens":903,"completion_tokens":43,"total_tokens":946,"prompt_tokens_details":{"cached_tokens":0,"audio_tokens":0},"completion_tokens_details":{"reasoning_tokens":0,"audio_tokens":0,"accepted_prediction_tokens":0,"rejected_prediction_tokens":0}},"service_tier":"default","system_fingerprint":"fp_ad66631dec"}</t>
        </is>
      </c>
      <c r="M2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ma=2592000","apim-request-id":"a4687397-252e-460f-906a-4c3750a468d3","azureml-model-session":"d20260402075109-1fc5a0ec","cache-control":"no-cache, no-store, must-revalidate","connection":"close","content-length":"990","content-security-policy":"frame-ancestors 'self'","content-type":"application/json","date":"Mon, 20 Apr 2026 04:15:07 GMT","server":"Caddy","skip-error-remapping":"true","strict-transport-security":"max-age=31536000; includeSubDomains; preload","via":"1.1 Caddy","x-api-request-id":"20260420121504997110246zzigNyA2","x-content-type-options":"nosniff","x-frame-options":"SAMEORIGIN","x-ms-is-spilled-over":"false","x-ms-rai-invoked":"false","x-ms-region":"East US 2","x-new-api-version":"0.4.39","x-oneapi-request-id":"202604200415049316443758268d9d6jxKIpbkG","x-ratelimit-abusepenalty-active":"False","x-ratelimit-limit-requests":"4994","x-ratelimit-limit-tokens":"4994000","x-ratelimit-remaining-requests":"4993","x-ratelimit-remaining-tokens":"4992335","x-ratelimit-renewalperiod-requests":"60","x-ratelimit-renewalperiod-tokens":"60","x-ratelimit-reset-requests":"12","x-ratelimit-reset-tokens":"20","x-request-id":"4aecf808-6e5e-4a88-bdfe-d7abf2103647"}</t>
        </is>
      </c>
      <c r="N23" t="inlineStr">
        <is>
          <t>Corteiz CRTZ Green Hoodie Set – made of high-density cotton, front logo and sleeve print design, unisex loose fit, streetwear sporty style, warm, comfy, and full of trendy personality.</t>
        </is>
      </c>
      <c r="O23" t="inlineStr">
        <is>
          <t>{"choices":[{"finish_reason":"stop","index":0,"logprobs":null,"message":{"annotations":[],"content":"Corteiz,Hoodies,kakobuy,kakebuy2026,kekobuysheet,kakobuysheet2026,2026kakobuy,kakobuyspreadsheeet,kakobuylink,kakebuylist,Kakobuy MEGA Spreadsheet,kakobuysheetfind,kakobuysheetfind2026,2026kakobuysheetfind,kakobuysheet2026","refusal":null,"role":"assistant"}}],"created":1776667921,"id":"chatcmpl-DWcm9hsPyl62nNtwuZGOxCtG1frNU","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23" t="inlineStr">
        <is>
          <t>Corteiz,Hoodies,kakobuy,kakebuy2026,kekobuysheet,kakobuysheet2026,2026kakobuy,kakobuyspreadsheeet,kakobuylink,kakebuylist,Kakobuy MEGA Spreadsheet,kakobuysheetfind,kakobuysheetfind2026,2026kakobuysheetfind,kakobuysheet2026</t>
        </is>
      </c>
      <c r="Q23" t="inlineStr">
        <is>
          <t>Corteiz, Green, Streetwear, Unisex, Sporty</t>
        </is>
      </c>
      <c r="R23" t="inlineStr">
        <is>
          <t>recvh6xFVjfAfP</t>
        </is>
      </c>
      <c r="S23" t="inlineStr">
        <is>
          <t>corteiz-crtz-green-hoodie-tracksuit-recvh6xFVjfAfP</t>
        </is>
      </c>
      <c r="T23"/>
      <c r="U23"/>
      <c r="V23"/>
      <c r="W23" t="inlineStr">
        <is>
          <t>{"choices":[{"finish_reason":"stop","index":0,"logprobs":null,"message":{"annotations":[],"content":"Corteiz：绿色CRTZ连帽卫衣套装，采用高密度纯棉面料，前胸LOGO与袖侧印花设计，休闲宽松剪裁，男女同款街头运动风，舒适保暖兼具潮流个性。","refusal":null,"role":"assistant"}}],"created":1776656061,"id":"chatcmpl-DWZgrCmVOlnc8lFhLfcHbJWAbAVK7","model":"gpt-5-chat-latest","object":"chat.completion","service_tier":"default","system_fingerprint":"fp_ad66631dec","usage":{"completion_tokens":62,"completion_tokens_details":{"accepted_prediction_tokens":0,"audio_tokens":0,"reasoning_tokens":0,"rejected_prediction_tokens":0},"prompt_tokens":1326,"prompt_tokens_details":{"audio_tokens":0,"cached_tokens":0},"total_tokens":1388}}</t>
        </is>
      </c>
      <c r="X23" t="inlineStr">
        <is>
          <t>Corteiz：绿色CRTZ连帽卫衣套装，采用高密度纯棉面料，前胸LOGO与袖侧印花设计，休闲宽松剪裁，男女同款街头运动风，舒适保暖兼具潮流个性。</t>
        </is>
      </c>
    </row>
    <row r="24" ht="25.5" customHeight="1">
      <c r="A24">
        <v>1839115443</v>
      </c>
      <c r="B24">
        <v>7601152532</v>
      </c>
      <c r="C24" t="inlineStr">
        <is>
          <t>https://weidian.com/item.html?itemID=7601152532</t>
        </is>
      </c>
      <c r="D24"/>
      <c r="E24" s="2" t="str">
        <f>=HYPERLINK("https://si.geilicdn.com/open1832946205-252808396-5ab700000197f4252b160aa043f9_800_800.jpg?w=640&amp;h=640", "https://si.geilicdn.com/open1832946205-252808396-5ab700000197f4252b160aa043f9_800_800.jpg?w=640&amp;h=640")</f>
        <v>https://si.geilicdn.com/open1832946205-252808396-5ab700000197f4252b160aa043f9_800_800.jpg?w=640&amp;h=640</v>
      </c>
      <c r="F24" t="inlineStr">
        <is>
          <t>T-Shirts</t>
        </is>
      </c>
      <c r="G24" t="inlineStr">
        <is>
          <t>Represent</t>
        </is>
      </c>
      <c r="H24" t="inlineStr">
        <is>
          <t>97.00</t>
        </is>
      </c>
      <c r="I24">
        <v>14.06</v>
      </c>
      <c r="J24" t="inlineStr">
        <is>
          <t>{"choices":[{"finish_reason":"stop","index":0,"logprobs":null,"message":{"annotations":[],"content":"Represent Thoroughbred Black Dog Graphic T-Shirt","refusal":null,"role":"assistant"}}],"created":1776666928,"id":"chatcmpl-DWcW8pDtdoi3j2Di8NoOFSO78RvZV","model":"gpt-5-chat-latest","object":"chat.completion","service_tier":"default","system_fingerprint":"fp_ad66631dec","usage":{"completion_tokens":9,"completion_tokens_details":{"accepted_prediction_tokens":0,"audio_tokens":0,"reasoning_tokens":0,"rejected_prediction_tokens":0},"prompt_tokens":873,"prompt_tokens_details":{"audio_tokens":0,"cached_tokens":0},"total_tokens":882}}</t>
        </is>
      </c>
      <c r="K24" t="inlineStr">
        <is>
          <t>Represent Thoroughbred Black Dog Graphic T-Shirt</t>
        </is>
      </c>
      <c r="L24" t="inlineStr">
        <is>
          <t>{"id":"chatcmpl-DWaZKffThZ47AVpkQ4JDEZZwYtnFf","object":"chat.completion","created":1776659438,"model":"gpt-5-chat-latest","choices":[{"index":0,"message":{"role":"assistant","content":"Represent Thoroughbred Black Graphic T-Shirt – premium cotton, bold dog head print and gothic logo. Unisex relaxed fit for street style, everyday wear, and urban casual confidence.","refusal":null,"annotations":[]},"logprobs":null,"finish_reason":"stop"}],"usage":{"prompt_tokens":910,"completion_tokens":36,"total_tokens":946,"prompt_tokens_details":{"cached_tokens":0,"audio_tokens":0},"completion_tokens_details":{"reasoning_tokens":0,"audio_tokens":0,"accepted_prediction_tokens":0,"rejected_prediction_tokens":0}},"service_tier":"default","system_fingerprint":"fp_ad66631dec"}</t>
        </is>
      </c>
      <c r="M2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ma=2592000","apim-request-id":"d185c3e5-1a45-4209-b8ee-446b2b2f9dcc","azureml-model-session":"d20260405221325-2e8d5e76","cache-control":"no-cache, no-store, must-revalidate","connection":"close","content-length":"986","content-security-policy":"frame-ancestors 'self'","content-type":"application/json","date":"Mon, 20 Apr 2026 04:30:39 GMT","server":"Caddy","skip-error-remapping":"true","strict-transport-security":"max-age=31536000; includeSubDomains; preload","via":"1.1 Caddy","x-api-request-id":"20260420123037309092372QVayQHJ0","x-content-type-options":"nosniff","x-frame-options":"SAMEORIGIN","x-ms-is-spilled-over":"false","x-ms-rai-invoked":"false","x-ms-region":"East US 2","x-new-api-version":"0.4.39","x-oneapi-request-id":"202604200430372420093518268d9d6RyZt8d1V","x-ratelimit-abusepenalty-active":"False","x-ratelimit-limit-requests":"4994","x-ratelimit-limit-tokens":"4994000","x-ratelimit-remaining-requests":"4993","x-ratelimit-remaining-tokens":"4992328","x-ratelimit-renewalperiod-requests":"60","x-ratelimit-renewalperiod-tokens":"60","x-ratelimit-reset-requests":"12","x-ratelimit-reset-tokens":"20","x-request-id":"c3f10be8-4ef1-45d8-9da5-4f8e23dec869"}</t>
        </is>
      </c>
      <c r="N24" t="inlineStr">
        <is>
          <t>Represent Thoroughbred Black Graphic T-Shirt – premium cotton, bold dog head print and gothic logo. Unisex relaxed fit for street style, everyday wear, and urban casual confidence.</t>
        </is>
      </c>
      <c r="O24" t="inlineStr">
        <is>
          <t>{"id":"chatcmpl-DWcbyP6t7wXiQCYKv23T7lulxybyx","object":"chat.completion","created":1776667290,"model":"gpt-5-chat-latest","choices":[{"index":0,"message":{"role":"assistant","content":"Represent,T-Shir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86,"total_tokens":868,"prompt_tokens_details":{"cached_tokens":0,"audio_tokens":0},"completion_tokens_details":{"reasoning_tokens":0,"audio_tokens":0,"accepted_prediction_tokens":0,"rejected_prediction_tokens":0}},"service_tier":"default","system_fingerprint":"fp_ad66631dec"}</t>
        </is>
      </c>
      <c r="P24" t="inlineStr">
        <is>
          <t>Represent,T-Shirt,kakobuy,kakebuy2026,kekobuysheet,kakobuysheet2026,2026kakobuy,kakobuyspreadsheeet,kakobuylink,kakebuylist,Kakobuy MEGA Spreadsheet,kakobuysheetfind,kakobuysheetfind2026,2026kakobuysheetfind,kakobuysheet2026</t>
        </is>
      </c>
      <c r="Q24" t="inlineStr">
        <is>
          <t>Unisex, Black, Streetwear</t>
        </is>
      </c>
      <c r="R24" t="inlineStr">
        <is>
          <t>recvh6xFVjHa6Q</t>
        </is>
      </c>
      <c r="S24" t="inlineStr">
        <is>
          <t>thoroughbred-black-dog-graphic-tee-recvh6xfvjha6q</t>
        </is>
      </c>
      <c r="T24"/>
      <c r="U24"/>
      <c r="V24"/>
      <c r="W24" t="inlineStr">
        <is>
          <t>{"id":"chatcmpl-DWZXlznqOiPaDB9va2Bu3EMxsbcmc","object":"chat.completion","created":1776655497,"model":"gpt-5-chat-latest","choices":[{"index":0,"message":{"role":"assistant","content":"Represent：Thoroughbred黑色印花短袖T恤，选用高品质纯棉面料，正面狗头图腾搭配哥特字体标识，彰显街头个性与力量感。宽松剪裁，男女通用款，潮流先锋风格，适合日常穿搭与都市休闲。","refusal":null,"annotations":[]},"logprobs":null,"finish_reason":"stop"}],"usage":{"prompt_tokens":1309,"completion_tokens":77,"total_tokens":1386,"prompt_tokens_details":{"cached_tokens":0,"audio_tokens":0},"completion_tokens_details":{"reasoning_tokens":0,"audio_tokens":0,"accepted_prediction_tokens":0,"rejected_prediction_tokens":0}},"service_tier":"default","system_fingerprint":"fp_ad66631dec"}</t>
        </is>
      </c>
      <c r="X24" t="inlineStr">
        <is>
          <t>Represent：Thoroughbred黑色印花短袖T恤，选用高品质纯棉面料，正面狗头图腾搭配哥特字体标识，彰显街头个性与力量感。宽松剪裁，男女通用款，潮流先锋风格，适合日常穿搭与都市休闲。</t>
        </is>
      </c>
    </row>
    <row r="25" ht="25.5" customHeight="1">
      <c r="A25">
        <v>1839115443</v>
      </c>
      <c r="B25">
        <v>7601128596</v>
      </c>
      <c r="C25" t="inlineStr">
        <is>
          <t>https://weidian.com/item.html?itemID=7601128596</t>
        </is>
      </c>
      <c r="D25"/>
      <c r="E25" s="2" t="str">
        <f>=HYPERLINK("https://si.geilicdn.com/open1832946205-252808396-7ae200000197f348c8390aa043f9_1024_1024.jpg?w=640&amp;h=640", "https://si.geilicdn.com/open1832946205-252808396-7ae200000197f348c8390aa043f9_1024_1024.jpg?w=640&amp;h=640")</f>
        <v>https://si.geilicdn.com/open1832946205-252808396-7ae200000197f348c8390aa043f9_1024_1024.jpg?w=640&amp;h=640</v>
      </c>
      <c r="F25" t="inlineStr">
        <is>
          <t>Jackets</t>
        </is>
      </c>
      <c r="G25" t="inlineStr">
        <is>
          <t>Canada Goose</t>
        </is>
      </c>
      <c r="H25" t="inlineStr">
        <is>
          <t>605.00</t>
        </is>
      </c>
      <c r="I25">
        <v>87.68</v>
      </c>
      <c r="J25" t="inlineStr">
        <is>
          <t>{"choices":[{"finish_reason":"stop","index":0,"logprobs":null,"message":{"annotations":[],"content":"Canada Goose Black Hooded Down Winter Jacket","refusal":null,"role":"assistant"}}],"created":1776666092,"id":"chatcmpl-DWcIeTNYPTA07ZMUm7onXXSxZFL3N","model":"gpt-5-chat-latest","object":"chat.completion","service_tier":"default","system_fingerprint":"fp_ad66631dec","usage":{"completion_tokens":9,"completion_tokens_details":{"accepted_prediction_tokens":0,"audio_tokens":0,"reasoning_tokens":0,"rejected_prediction_tokens":0},"prompt_tokens":884,"prompt_tokens_details":{"audio_tokens":0,"cached_tokens":0},"total_tokens":893}}</t>
        </is>
      </c>
      <c r="K25" t="inlineStr">
        <is>
          <t>Canada Goose Black Hooded Down Winter Jacket</t>
        </is>
      </c>
      <c r="L25" t="inlineStr">
        <is>
          <t>{"choices":[{"finish_reason":"stop","index":0,"logprobs":null,"message":{"annotations":[],"content":"Canada Goose Black Hooded Down Jacket, crafted from premium windproof waterproof fabric with quality down fill, lightweight and warm. Iconic chest logo, modern urban look for men and women winter outdoor wear.","refusal":null,"role":"assistant"}}],"created":1776659232,"id":"chatcmpl-DWaW0ZfgTWR9OAK3Wvj0sUVSKxm7c","model":"gpt-5-chat-latest","object":"chat.completion","service_tier":"default","system_fingerprint":"fp_ad66631dec","usage":{"completion_tokens":41,"completion_tokens_details":{"accepted_prediction_tokens":0,"audio_tokens":0,"reasoning_tokens":0,"rejected_prediction_tokens":0},"prompt_tokens":918,"prompt_tokens_details":{"audio_tokens":0,"cached_tokens":0},"total_tokens":959}}</t>
        </is>
      </c>
      <c r="M25" t="inlineStr">
        <is>
          <t>{"alt-svc":"h3=\":443\"; ma=2592000","apim-request-id":"990c80c3-4bb0-4ed4-818a-68b4d797cfed","azureml-model-session":"d20260405234249-f9874baf","cache-control":"no-cache","connection":"close","content-length":"797","content-security-policy":"frame-ancestors 'self'","content-type":"application/json","date":"Mon, 20 Apr 2026 04:27:13 GMT","server":"Caddy","skip-error-remapping":"true","strict-transport-security":"max-age=31536000; includeSubDomains; preload","via":"1.1 Caddy","x-api-request-id":"20260420122711576789463wfsIDfqR","x-content-type-options":"nosniff","x-frame-options":"SAMEORIGIN","x-ms-client-request-id":"Not-Set","x-ms-is-spilled-over":"false","x-ms-rai-invoked":"true","x-ms-region":"East US 2","x-new-api-version":"0.4.39","x-oneapi-request-id":"202604200427115098991108268d9d6ja99bH7B","x-ratelimit-abusepenalty-active":"False","x-ratelimit-limit-requests":"3850","x-ratelimit-limit-tokens":"3850000","x-ratelimit-remaining-requests":"3849","x-ratelimit-remaining-tokens":"3848320","x-ratelimit-renewalperiod-requests":"60","x-ratelimit-renewalperiod-tokens":"60","x-ratelimit-reset-requests":"15","x-ratelimit-reset-tokens":"26","x-request-id":"e18b7727-ad21-4438-a7c6-e0971ac91a94"}</t>
        </is>
      </c>
      <c r="N25" t="inlineStr">
        <is>
          <t>Canada Goose Black Hooded Down Jacket, crafted from premium windproof waterproof fabric with quality down fill, lightweight and warm. Iconic chest logo, modern urban look for men and women winter outdoor wear.</t>
        </is>
      </c>
      <c r="O25"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1776667817,"id":"chatcmpl-DWckTpSi5eDWT9GXghfviqMSYCLB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25" t="inlineStr">
        <is>
          <t>Canada Goose, Jackets, kakobuy, kakebuy2026, kekobuysheet, kakobuysheet2026, 2026kakobuy, kakobuyspreadsheeet, kakobuylink, kakebuylist, Kakobuy MEGA Spreadsheet, kakobuysheetfind, kakobuysheetfind2026, 2026kakobuysheetfind, kakobuysheet2026</t>
        </is>
      </c>
      <c r="Q25" t="inlineStr">
        <is>
          <t>Winter, Men's And Women's, Outdoor, Waterproof, Windproof, Unisex</t>
        </is>
      </c>
      <c r="R25" t="inlineStr">
        <is>
          <t>recvh6xFVjQlgE</t>
        </is>
      </c>
      <c r="S25" t="inlineStr">
        <is>
          <t>canada-goose-black-hooded-down-winter-jacket-recvh6xfvjqlge</t>
        </is>
      </c>
      <c r="T25"/>
      <c r="U25"/>
      <c r="V25"/>
      <c r="W25" t="inlineStr">
        <is>
          <t>{"id":"chatcmpl-DWZjarfObH7akU4rYgwIjTiRKUF3q","object":"chat.completion","created":1776656230,"model":"gpt-5-chat-latest","choices":[{"index":0,"message":{"role":"assistant","content":"Canada Goose 黑色连帽羽绒夹克，甄选高品质防风防水面料与优质羽绒填充，轻盈保暖。胸前品牌标志徽章彰显经典辨识度，立体剪裁呈现简约都市风格，适合男女冬季户外穿搭，兼具舒适与时尚。","refusal":null,"annotations":[]},"logprobs":null,"finish_reason":"stop"}],"usage":{"prompt_tokens":1316,"completion_tokens":82,"total_tokens":1398,"prompt_tokens_details":{"cached_tokens":0,"audio_tokens":0},"completion_tokens_details":{"reasoning_tokens":0,"audio_tokens":0,"accepted_prediction_tokens":0,"rejected_prediction_tokens":0}},"service_tier":"default","system_fingerprint":"fp_ad66631dec"}</t>
        </is>
      </c>
      <c r="X25" t="inlineStr">
        <is>
          <t>Canada Goose 黑色连帽羽绒夹克，甄选高品质防风防水面料与优质羽绒填充，轻盈保暖。胸前品牌标志徽章彰显经典辨识度，立体剪裁呈现简约都市风格，适合男女冬季户外穿搭，兼具舒适与时尚。</t>
        </is>
      </c>
    </row>
    <row r="26" ht="25.5" customHeight="1">
      <c r="A26">
        <v>1839115443</v>
      </c>
      <c r="B26">
        <v>7599200859</v>
      </c>
      <c r="C26" t="inlineStr">
        <is>
          <t>https://weidian.com/item.html?itemID=7599200859</t>
        </is>
      </c>
      <c r="D26"/>
      <c r="E26" s="2" t="str">
        <f>=HYPERLINK("https://si.geilicdn.com/open1832946205-252808396-4ccf00000197f24a66eb0a8133b0_800_800.jpg?w=640&amp;h=640", "https://si.geilicdn.com/open1832946205-252808396-4ccf00000197f24a66eb0a8133b0_800_800.jpg?w=640&amp;h=640")</f>
        <v>https://si.geilicdn.com/open1832946205-252808396-4ccf00000197f24a66eb0a8133b0_800_800.jpg?w=640&amp;h=640</v>
      </c>
      <c r="F26" t="inlineStr">
        <is>
          <t>Hoodies</t>
        </is>
      </c>
      <c r="G26" t="inlineStr">
        <is>
          <t>Thug Club</t>
        </is>
      </c>
      <c r="H26" t="inlineStr">
        <is>
          <t>251.00</t>
        </is>
      </c>
      <c r="I26">
        <v>36.38</v>
      </c>
      <c r="J26" t="inlineStr">
        <is>
          <t>{"choices":[{"finish_reason":"stop","index":0,"logprobs":null,"message":{"annotations":[],"content":"Thug Club Black 3D TC Embroidered Full Zip Hoodie","refusal":null,"role":"assistant"}}],"created":1776666458,"id":"chatcmpl-DWcOYVlZli6niq1cBNgAyVkdht2gL","model":"gpt-5-chat-latest","object":"chat.completion","service_tier":"default","system_fingerprint":"fp_ad66631dec","usage":{"completion_tokens":15,"completion_tokens_details":{"accepted_prediction_tokens":0,"audio_tokens":0,"reasoning_tokens":0,"rejected_prediction_tokens":0},"prompt_tokens":880,"prompt_tokens_details":{"audio_tokens":0,"cached_tokens":0},"total_tokens":895}}</t>
        </is>
      </c>
      <c r="K26" t="inlineStr">
        <is>
          <t>Thug Club Black 3D TC Embroidered Full Zip Hoodie</t>
        </is>
      </c>
      <c r="L26" t="inlineStr">
        <is>
          <t>{"choices":[{"finish_reason":"stop","index":0,"logprobs":null,"message":{"annotations":[],"content":"Thug Club Black Full Hood Zip Hoodie features breathable holes, 3D design, and TC embroidery. Soft cotton blend fabric for urban unisex style, redefining futuristic street fashion.","refusal":null,"role":"assistant"}}],"created":1776658595,"id":"chatcmpl-DWaLjLeq9foZH9VYKRVeC52IBHEyp","model":"gpt-5-chat-latest","object":"chat.completion","service_tier":"default","system_fingerprint":"fp_ad66631dec","usage":{"completion_tokens":38,"completion_tokens_details":{"accepted_prediction_tokens":0,"audio_tokens":0,"reasoning_tokens":0,"rejected_prediction_tokens":0},"prompt_tokens":939,"prompt_tokens_details":{"audio_tokens":0,"cached_tokens":0},"total_tokens":977}}</t>
        </is>
      </c>
      <c r="M26" t="inlineStr">
        <is>
          <t>{"alt-svc":"h3=\":443\"; ma=2592000","apim-request-id":"5dfa3c65-21a9-462f-acb6-5148710b2872","azureml-model-session":"d20260405234249-f9874baf","cache-control":"no-cache","connection":"close","content-length":"768","content-security-policy":"frame-ancestors 'self'","content-type":"application/json","date":"Mon, 20 Apr 2026 04:16:36 GMT","server":"Caddy","skip-error-remapping":"true","strict-transport-security":"max-age=31536000; includeSubDomains; preload","via":"1.1 Caddy","x-api-request-id":"20260420121635139822139n0SVFejZ","x-content-type-options":"nosniff","x-frame-options":"SAMEORIGIN","x-ms-client-request-id":"Not-Set","x-ms-is-spilled-over":"false","x-ms-rai-invoked":"true","x-ms-region":"East US 2","x-new-api-version":"0.4.39","x-oneapi-request-id":"20260420041635735569538268d9d6XZrg7E1m","x-ratelimit-abusepenalty-active":"False","x-ratelimit-limit-requests":"3850","x-ratelimit-limit-tokens":"3850000","x-ratelimit-remaining-requests":"3849","x-ratelimit-remaining-tokens":"3848299","x-ratelimit-renewalperiod-requests":"60","x-ratelimit-renewalperiod-tokens":"60","x-ratelimit-reset-requests":"15","x-ratelimit-reset-tokens":"26","x-request-id":"42ca0be5-2c04-4f89-a8f9-6a791af1baa4"}</t>
        </is>
      </c>
      <c r="N26" t="inlineStr">
        <is>
          <t>Thug Club Black Full Hood Zip Hoodie features breathable holes, 3D design, and TC embroidery. Soft cotton blend fabric for urban unisex style, redefining futuristic street fashion.</t>
        </is>
      </c>
      <c r="O26" t="inlineStr">
        <is>
          <t>{"choices":[{"finish_reason":"stop","index":0,"logprobs":null,"message":{"annotations":[],"content":"HoodiesThug Club,Hoodie,kakobuy,kakebuy2026,kekobuysheet,kakobuysheet2026,2026kakobuy,kakobuyspreadsheeet,kakobuylink,kakebuylist,Kakobuy MEGA Spreadsheet,kakobuysheetfind,kakobuysheetfind2026,2026kakobuysheetfind,kakobuysheet2026","refusal":null,"role":"assistant"}}],"created":1776668676,"id":"chatcmpl-DWcyKrjEvigyZTzyaBPms0w0mTmyQ","model":"gpt-5-chat-latest","object":"chat.completion","service_tier":"default","system_fingerprint":"fp_ad66631dec","usage":{"completion_tokens":92,"completion_tokens_details":{"accepted_prediction_tokens":0,"audio_tokens":0,"reasoning_tokens":0,"rejected_prediction_tokens":0},"prompt_tokens":785,"prompt_tokens_details":{"audio_tokens":0,"cached_tokens":0},"total_tokens":877}}</t>
        </is>
      </c>
      <c r="P26" t="inlineStr">
        <is>
          <t>HoodiesThug Club,Hoodie,kakobuy,kakebuy2026,kekobuysheet,kakobuysheet2026,2026kakobuy,kakobuyspreadsheeet,kakobuylink,kakebuylist,Kakobuy MEGA Spreadsheet,kakobuysheetfind,kakobuysheetfind2026,2026kakobuysheetfind,kakobuysheet2026</t>
        </is>
      </c>
      <c r="Q26" t="inlineStr">
        <is>
          <t>Streetwear, Unisex, Breathable, Black</t>
        </is>
      </c>
      <c r="R26" t="inlineStr">
        <is>
          <t>recvh6xFVj3wf7</t>
        </is>
      </c>
      <c r="S26" t="inlineStr">
        <is>
          <t>thug-club-black-3d-tc-embroidered-hoodie-recvh6xFVj3wf7</t>
        </is>
      </c>
      <c r="T26"/>
      <c r="U26"/>
      <c r="V26"/>
      <c r="W26" t="inlineStr">
        <is>
          <t>{"id":"chatcmpl-DWZbh4578lkLNYB2ZYvK8fNPBJCM5","object":"chat.completion","created":1776655741,"model":"gpt-5-chat-latest","choices":[{"index":0,"message":{"role":"assistant","content":"Thug Club 黑色连帽拉链卫衣，采用高品质棉质混纺面料，质地柔软舒适。独特头罩全封闭设计搭配透气孔结构与立体剪裁，胸前点缀TC刺绣标识，彰显先锋街头机能风格。男女皆宜，适合现代都市潮流穿搭，诠释新世代前卫时尚态度。","refusal":null,"annotations":[]},"logprobs":null,"finish_reason":"stop"}],"usage":{"prompt_tokens":1322,"completion_tokens":100,"total_tokens":1422,"prompt_tokens_details":{"cached_tokens":0,"audio_tokens":0},"completion_tokens_details":{"reasoning_tokens":0,"audio_tokens":0,"accepted_prediction_tokens":0,"rejected_prediction_tokens":0}},"service_tier":"default","system_fingerprint":"fp_ad66631dec"}</t>
        </is>
      </c>
      <c r="X26" t="inlineStr">
        <is>
          <t>Thug Club 黑色连帽拉链卫衣，采用高品质棉质混纺面料，质地柔软舒适。独特头罩全封闭设计搭配透气孔结构与立体剪裁，胸前点缀TC刺绣标识，彰显先锋街头机能风格。男女皆宜，适合现代都市潮流穿搭，诠释新世代前卫时尚态度。</t>
        </is>
      </c>
    </row>
    <row r="27" ht="25.5" customHeight="1">
      <c r="A27">
        <v>1839115443</v>
      </c>
      <c r="B27">
        <v>7601087220</v>
      </c>
      <c r="C27" t="inlineStr">
        <is>
          <t>https://weidian.com/item.html?itemID=7601087220</t>
        </is>
      </c>
      <c r="D27"/>
      <c r="E27" s="2" t="str">
        <f>=HYPERLINK("https://si.geilicdn.com/open1832946205-252808396-7a9200000197f28877ba0a23b491_1920_1920.jpg?w=640&amp;h=640", "https://si.geilicdn.com/open1832946205-252808396-7a9200000197f28877ba0a23b491_1920_1920.jpg?w=640&amp;h=640")</f>
        <v>https://si.geilicdn.com/open1832946205-252808396-7a9200000197f28877ba0a23b491_1920_1920.jpg?w=640&amp;h=640</v>
      </c>
      <c r="F27" t="inlineStr">
        <is>
          <t>Hoodies</t>
        </is>
      </c>
      <c r="G27" t="inlineStr">
        <is>
          <t xml:space="preserve"> Represent</t>
        </is>
      </c>
      <c r="H27" t="inlineStr">
        <is>
          <t>221.00</t>
        </is>
      </c>
      <c r="I27">
        <v>32.03</v>
      </c>
      <c r="J27" t="inlineStr">
        <is>
          <t>{"choices":[{"finish_reason":"stop","index":0,"logprobs":null,"message":{"annotations":[],"content":"Represent Vintage Black Eagle Graphic Hoodie","refusal":null,"role":"assistant"}}],"created":1776666928,"id":"chatcmpl-DWcW8VJkDL1dfFjJPamMFaiQwGris","model":"gpt-5-chat-latest","object":"chat.completion","service_tier":"default","system_fingerprint":"fp_ad66631dec","usage":{"completion_tokens":7,"completion_tokens_details":{"accepted_prediction_tokens":0,"audio_tokens":0,"reasoning_tokens":0,"rejected_prediction_tokens":0},"prompt_tokens":872,"prompt_tokens_details":{"audio_tokens":0,"cached_tokens":0},"total_tokens":879}}</t>
        </is>
      </c>
      <c r="K27" t="inlineStr">
        <is>
          <t>Represent Vintage Black Eagle Graphic Hoodie</t>
        </is>
      </c>
      <c r="L27" t="inlineStr">
        <is>
          <t>{"id":"chatcmpl-DWaTYWT9hN4CoHheUnhslk1b2sLvU","object":"chat.completion","created":1776659080,"model":"gpt-5-chat-latest","choices":[{"index":0,"message":{"role":"assistant","content":"RepresentRepresent Vintage Washed Black Hoodie with Fierce Eagle Graphic, Thick Cotton Fabric, Loose Fit Street Style, Unisex Design for Fall Winter, Comfort Meets Bold Fashion.","refusal":null,"annotations":[]},"logprobs":null,"finish_reason":"stop"}],"usage":{"prompt_tokens":919,"completion_tokens":35,"total_tokens":954,"prompt_tokens_details":{"cached_tokens":0,"audio_tokens":0},"completion_tokens_details":{"reasoning_tokens":0,"audio_tokens":0,"accepted_prediction_tokens":0,"rejected_prediction_tokens":0}},"service_tier":"default","system_fingerprint":"fp_ad66631dec"}</t>
        </is>
      </c>
      <c r="M2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ma=2592000","apim-request-id":"da151208-9737-45ab-8dfc-30afe7f63cc3","azureml-model-session":"d20260405234249-f9874baf","cache-control":"no-cache, no-store, must-revalidate","connection":"close","content-length":"981","content-security-policy":"frame-ancestors 'self'","content-type":"application/json","date":"Mon, 20 Apr 2026 04:24:42 GMT","server":"nginx","skip-error-remapping":"true","strict-transport-security":"max-age=31536000; includeSubDomains; preload","via":"1.1 Caddy, 1.1 Caddy","x-api-request-id":"20260420122439118204335rDa3s3l1","x-content-type-options":"nosniff","x-frame-options":"SAMEORIGIN","x-ms-is-spilled-over":"false","x-ms-rai-invoked":"false","x-ms-region":"Sweden Central","x-new-api-version":"0.4.39","x-oneapi-request-id":"20260420042439338787758268d9d6bBWIcpYd","x-ratelimit-abusepenalty-active":"False","x-ratelimit-limit-requests":"4993","x-ratelimit-limit-tokens":"4993000","x-ratelimit-remaining-requests":"4992","x-ratelimit-remaining-tokens":"4991319","x-ratelimit-renewalperiod-requests":"60","x-ratelimit-renewalperiod-tokens":"60","x-ratelimit-reset-requests":"12","x-ratelimit-reset-tokens":"20","x-request-id":"962d2477-d18f-4977-9290-bb5a7a3aba8f"}</t>
        </is>
      </c>
      <c r="N27" t="inlineStr">
        <is>
          <t>RepresentRepresent Vintage Washed Black Hoodie with Fierce Eagle Graphic, Thick Cotton Fabric, Loose Fit Street Style, Unisex Design for Fall Winter, Comfort Meets Bold Fashion.</t>
        </is>
      </c>
      <c r="O27" t="inlineStr">
        <is>
          <t>{"choices":[{"finish_reason":"stop","index":0,"logprobs":null,"message":{"annotations":[],"content":"Represent,Hoodies,kakobuy,kakebuy2026,kekobuysheet,kakobuysheet2026,2026kakobuy,kakobuyspreadsheeet,kakobuylink,kakebuylist,Kakobuy MEGA Spreadsheet,kakobuysheetfind,kakobuysheetfind2026,2026kakobuysheetfind,kakobuysheet2026","refusal":null,"role":"assistant"}}],"created":1776667680,"id":"chatcmpl-DWciGoFknpusY4W8Op1aLPkTbPN7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27" t="inlineStr">
        <is>
          <t>Represent,Hoodies,kakobuy,kakebuy2026,kekobuysheet,kakobuysheet2026,2026kakobuy,kakobuyspreadsheeet,kakobuylink,kakebuylist,Kakobuy MEGA Spreadsheet,kakobuysheetfind,kakobuysheetfind2026,2026kakobuysheetfind,kakobuysheet2026</t>
        </is>
      </c>
      <c r="Q27" t="inlineStr">
        <is>
          <t>Black, Streetwear, Autumn And Winter, Unisex, Comfort</t>
        </is>
      </c>
      <c r="R27" t="inlineStr">
        <is>
          <t>recvh6xFVjSXBW</t>
        </is>
      </c>
      <c r="S27" t="inlineStr">
        <is>
          <t>represent-vintage-black-eagle-graphic-hoodie-recvh6xfvjsxbw</t>
        </is>
      </c>
      <c r="T27"/>
      <c r="U27"/>
      <c r="V27"/>
      <c r="W27" t="inlineStr">
        <is>
          <t>{"choices":[{"finish_reason":"stop","index":0,"logprobs":null,"message":{"annotations":[],"content":"Represent：复古做旧黑色连帽卫衣，厚实棉质面料打造，正面飞鹰獠牙图腾极具视觉冲击，宽松廓形结合街头设计风格，展现不羁个性。男女同款，适合秋冬季休闲穿搭，兼具舒适与时尚态度。","refusal":null,"role":"assistant"}}],"created":1776655759,"id":"chatcmpl-DWZbzbEMpaSHSs41f5miuqs72HSmR","model":"gpt-5-chat-latest","object":"chat.completion","service_tier":"default","system_fingerprint":"fp_ad66631dec","usage":{"completion_tokens":82,"completion_tokens_details":{"accepted_prediction_tokens":0,"audio_tokens":0,"reasoning_tokens":0,"rejected_prediction_tokens":0},"prompt_tokens":1316,"prompt_tokens_details":{"audio_tokens":0,"cached_tokens":0},"total_tokens":1398}}</t>
        </is>
      </c>
      <c r="X27" t="inlineStr">
        <is>
          <t>Represent：复古做旧黑色连帽卫衣，厚实棉质面料打造，正面飞鹰獠牙图腾极具视觉冲击，宽松廓形结合街头设计风格，展现不羁个性。男女同款，适合秋冬季休闲穿搭，兼具舒适与时尚态度。</t>
        </is>
      </c>
    </row>
    <row r="28" ht="25.5" customHeight="1">
      <c r="A28">
        <v>1839115443</v>
      </c>
      <c r="B28">
        <v>7599193129</v>
      </c>
      <c r="C28" t="inlineStr">
        <is>
          <t>https://weidian.com/item.html?itemID=7599193129</t>
        </is>
      </c>
      <c r="D28"/>
      <c r="E28" s="2" t="str">
        <f>=HYPERLINK("https://si.geilicdn.com/open1832946205-252808396-06a000000197e9d20d000a231226_767_686.jpg?w=640&amp;h=640", "https://si.geilicdn.com/open1832946205-252808396-06a000000197e9d20d000a231226_767_686.jpg?w=640&amp;h=640")</f>
        <v>https://si.geilicdn.com/open1832946205-252808396-06a000000197e9d20d000a231226_767_686.jpg?w=640&amp;h=640</v>
      </c>
      <c r="F28" t="inlineStr">
        <is>
          <t>Hoodies</t>
        </is>
      </c>
      <c r="G28" t="inlineStr">
        <is>
          <t>Enfants Riches Deprimes</t>
        </is>
      </c>
      <c r="H28" t="inlineStr">
        <is>
          <t>138.00</t>
        </is>
      </c>
      <c r="I28">
        <v>20</v>
      </c>
      <c r="J28" t="inlineStr">
        <is>
          <t>{"choices":[{"finish_reason":"stop","index":0,"logprobs":null,"message":{"annotations":[],"content":"Enfants Riches Déprimés Black Graphic Zip Hoodie","refusal":null,"role":"assistant"}}],"created":1776665856,"id":"chatcmpl-DWcEqt1GChNpA3DJHnPkfKe3RwXLR","model":"gpt-5-chat-latest","object":"chat.completion","service_tier":"default","system_fingerprint":"fp_ad66631dec","usage":{"completion_tokens":12,"completion_tokens_details":{"accepted_prediction_tokens":0,"audio_tokens":0,"reasoning_tokens":0,"rejected_prediction_tokens":0},"prompt_tokens":900,"prompt_tokens_details":{"audio_tokens":0,"cached_tokens":0},"total_tokens":912}}</t>
        </is>
      </c>
      <c r="K28" t="inlineStr">
        <is>
          <t>Enfants Riches Déprimés Black Graphic Zip Hoodie</t>
        </is>
      </c>
      <c r="L28" t="inlineStr">
        <is>
          <t>{"id":"chatcmpl-DWaa3DjP3JY5xD23kGYMLwkpAK45B","object":"chat.completion","created":1776659483,"model":"gpt-5-chat-latest","choices":[{"index":0,"message":{"role":"assistant","content":"Enfants Riches Déprimés black cotton zip hoodie with blue line art graphic and “nursery to misery.” print. Loose fit, drawstring hood, and kangaroo pocket blend Parisian grunge with street style.","refusal":null,"annotations":[]},"logprobs":null,"finish_reason":"stop"}],"usage":{"prompt_tokens":943,"completion_tokens":46,"total_tokens":989,"prompt_tokens_details":{"cached_tokens":0,"audio_tokens":0},"completion_tokens_details":{"reasoning_tokens":0,"audio_tokens":0,"accepted_prediction_tokens":0,"rejected_prediction_tokens":0}},"service_tier":"default","system_fingerprint":"fp_ad66631dec"}</t>
        </is>
      </c>
      <c r="M2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ma=2592000","apim-request-id":"4fd9bc94-ee0c-4b41-82f4-4583767600cb","azureml-model-session":"d20260402075109-1fc5a0ec","cache-control":"no-cache, no-store, must-revalidate","connection":"close","content-length":"1005","content-security-policy":"frame-ancestors 'self'","content-type":"application/json","date":"Mon, 20 Apr 2026 04:31:25 GMT","server":"nginx","skip-error-remapping":"true","strict-transport-security":"max-age=31536000; includeSubDomains; preload","via":"1.1 Caddy, 1.1 Caddy","x-api-request-id":"2026042012312225604948rEUIrYS2","x-content-type-options":"nosniff","x-frame-options":"SAMEORIGIN","x-ms-is-spilled-over":"false","x-ms-rai-invoked":"false","x-ms-region":"Sweden Central","x-new-api-version":"0.4.39","x-oneapi-request-id":"202604200431219592924038268d9d6o03tghy6","x-ratelimit-abusepenalty-active":"False","x-ratelimit-limit-requests":"4993","x-ratelimit-limit-tokens":"4993000","x-ratelimit-remaining-requests":"4992","x-ratelimit-remaining-tokens":"4991295","x-ratelimit-renewalperiod-requests":"60","x-ratelimit-renewalperiod-tokens":"60","x-ratelimit-reset-requests":"12","x-ratelimit-reset-tokens":"20","x-request-id":"2d795f16-5a21-47f0-873a-980d8c77343a"}</t>
        </is>
      </c>
      <c r="N28" t="inlineStr">
        <is>
          <t>Enfants Riches Déprimés black cotton zip hoodie with blue line art graphic and “nursery to misery.” print. Loose fit, drawstring hood, and kangaroo pocket blend Parisian grunge with street style.</t>
        </is>
      </c>
      <c r="O28" t="inlineStr">
        <is>
          <t>{"choices":[{"finish_reason":"stop","index":0,"logprobs":null,"message":{"annotations":[],"content":"Enfants Riches Deprimes,Hoodies,kakobuy,kakebuy2026,kekobuysheet,kakobuysheet2026,2026kakobuy,kakobuyspreadsheeet,kakobuylink,kakebuylist,Kakobuy MEGA Spreadsheet,kakobuysheetfind,kakobuysheetfind2026,2026kakobuysheetfind,kakobuysheet2026","refusal":null,"role":"assistant"}}],"created":1776668792,"id":"chatcmpl-DWd0C7PZnfimH3g80smQJ7Xlixmzu","model":"gpt-5-chat-latest","object":"chat.completion","service_tier":"default","system_fingerprint":"fp_ad66631dec","usage":{"completion_tokens":93,"completion_tokens_details":{"accepted_prediction_tokens":0,"audio_tokens":0,"reasoning_tokens":0,"rejected_prediction_tokens":0},"prompt_tokens":789,"prompt_tokens_details":{"audio_tokens":0,"cached_tokens":0},"total_tokens":882}}</t>
        </is>
      </c>
      <c r="P28" t="inlineStr">
        <is>
          <t>Enfants Riches Deprimes,Hoodies,kakobuy,kakebuy2026,kekobuysheet,kakobuysheet2026,2026kakobuy,kakobuyspreadsheeet,kakobuylink,kakebuylist,Kakobuy MEGA Spreadsheet,kakobuysheetfind,kakobuysheetfind2026,2026kakobuysheetfind,kakobuysheet2026</t>
        </is>
      </c>
      <c r="Q28" t="inlineStr">
        <is>
          <t>Black, Streetwear, Grunge, Unisex</t>
        </is>
      </c>
      <c r="R28" t="inlineStr">
        <is>
          <t>recvh6xFVjmbTV</t>
        </is>
      </c>
      <c r="S28" t="inlineStr">
        <is>
          <t>enfants-riches-deprimes-black-graphic-zip-hoodie-recvh6xFVjmbTV</t>
        </is>
      </c>
      <c r="T28"/>
      <c r="U28"/>
      <c r="V28"/>
      <c r="W28" t="inlineStr">
        <is>
          <t>{"id":"chatcmpl-DWZN3SjDqXu8GgOqC3b4GtDdx6bAM","object":"chat.completion","created":1776654833,"model":"gpt-5-chat-latest","choices":[{"index":0,"message":{"role":"assistant","content":"Enfants Riches Déprimés 黑色系列连帽拉链卫衣，甄选柔软纯棉材质，正反面以蓝色线条人物图腾与“nursery to misery.”标识呈现先锋艺术感。宽松剪裁配合抽绳帽兜与实用袋鼠口袋，融合法式颓废与街头美学，男女皆宜，彰显独立个性与当代设计精神。","refusal":null,"annotations":[]},"logprobs":null,"finish_reason":"stop"}],"usage":{"prompt_tokens":1328,"completion_tokens":103,"total_tokens":1431,"prompt_tokens_details":{"cached_tokens":0,"audio_tokens":0},"completion_tokens_details":{"reasoning_tokens":0,"audio_tokens":0,"accepted_prediction_tokens":0,"rejected_prediction_tokens":0}},"service_tier":"default","system_fingerprint":"fp_ad66631dec"}</t>
        </is>
      </c>
      <c r="X28" t="inlineStr">
        <is>
          <t>Enfants Riches Déprimés 黑色系列连帽拉链卫衣，甄选柔软纯棉材质，正反面以蓝色线条人物图腾与“nursery to misery.”标识呈现先锋艺术感。宽松剪裁配合抽绳帽兜与实用袋鼠口袋，融合法式颓废与街头美学，男女皆宜，彰显独立个性与当代设计精神。</t>
        </is>
      </c>
    </row>
    <row r="29" ht="25.5" customHeight="1">
      <c r="A29">
        <v>1839115443</v>
      </c>
      <c r="B29">
        <v>7599222777</v>
      </c>
      <c r="C29" t="inlineStr">
        <is>
          <t>https://weidian.com/item.html?itemID=7599222777</t>
        </is>
      </c>
      <c r="D29"/>
      <c r="E29" s="2" t="str">
        <f>=HYPERLINK("https://si.geilicdn.com/open1832946205-252808396-2a8300000197e965a3460aa0c791_800_800.jpg?w=640&amp;h=640", "https://si.geilicdn.com/open1832946205-252808396-2a8300000197e965a3460aa0c791_800_800.jpg?w=640&amp;h=640")</f>
        <v>https://si.geilicdn.com/open1832946205-252808396-2a8300000197e965a3460aa0c791_800_800.jpg?w=640&amp;h=640</v>
      </c>
      <c r="F29" t="inlineStr">
        <is>
          <t>Hoodies</t>
        </is>
      </c>
      <c r="G29" t="inlineStr">
        <is>
          <t>Mastermind JAPAN</t>
        </is>
      </c>
      <c r="H29" t="inlineStr">
        <is>
          <t>176.00</t>
        </is>
      </c>
      <c r="I29">
        <v>25.51</v>
      </c>
      <c r="J29" t="inlineStr">
        <is>
          <t>{"choices":[{"finish_reason":"stop","index":0,"logprobs":null,"message":{"annotations":[],"content":"Mastermind JAPAN Skull Print Black White Hoodie","refusal":null,"role":"assistant"}}],"created":1776666820,"id":"chatcmpl-DWcUODWKUigjp7LJM1A5JDl9C3AYE","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29" t="inlineStr">
        <is>
          <t>Mastermind JAPAN Skull Print Black White Hoodie</t>
        </is>
      </c>
      <c r="L29" t="inlineStr">
        <is>
          <t>{"choices":[{"finish_reason":"stop","index":0,"logprobs":null,"message":{"annotations":[],"content":"Mastermind JAPAN Skull Hoodie – Black and White cotton sweatshirt with bold abstract skull print, unisex loose fit, minimalist Japanese streetwear blending dark aesthetics and premium comfort.","refusal":null,"role":"assistant"}}],"created":1776659170,"id":"chatcmpl-DWaV0MzbtxTZTRGtKWQdXwRBPj6qO","model":"gpt-5-chat-latest","object":"chat.completion","service_tier":"default","system_fingerprint":"fp_ad66631dec","usage":{"completion_tokens":35,"completion_tokens_details":{"accepted_prediction_tokens":0,"audio_tokens":0,"reasoning_tokens":0,"rejected_prediction_tokens":0},"prompt_tokens":944,"prompt_tokens_details":{"audio_tokens":0,"cached_tokens":0},"total_tokens":979}}</t>
        </is>
      </c>
      <c r="M29" t="inlineStr">
        <is>
          <t>{"alt-svc":"h3=\":443\"; ma=2592000","apim-request-id":"1a396f04-c207-4cc7-8d83-bc6def258be9","azureml-model-session":"d20260402084046-4209e968","cache-control":"no-cache","connection":"close","content-length":"782","content-security-policy":"frame-ancestors 'self'","content-type":"application/json","date":"Mon, 20 Apr 2026 04:26:11 GMT","server":"Caddy","skip-error-remapping":"true","strict-transport-security":"max-age=31536000; includeSubDomains; preload","via":"1.1 Caddy","x-api-request-id":"20260420122609461141230Gr5AkupG","x-content-type-options":"nosniff","x-frame-options":"SAMEORIGIN","x-ms-client-request-id":"Not-Set","x-ms-is-spilled-over":"false","x-ms-rai-invoked":"true","x-ms-region":"East US 2","x-new-api-version":"0.4.39","x-oneapi-request-id":"202604200426093956098348268d9d6u8fYGj7D","x-ratelimit-abusepenalty-active":"False","x-ratelimit-limit-requests":"3850","x-ratelimit-limit-tokens":"3850000","x-ratelimit-remaining-requests":"3849","x-ratelimit-remaining-tokens":"3847814","x-ratelimit-renewalperiod-requests":"60","x-ratelimit-renewalperiod-tokens":"60","x-ratelimit-reset-requests":"15","x-ratelimit-reset-tokens":"34","x-request-id":"747a3724-381f-4178-a925-d07bf9465053"}</t>
        </is>
      </c>
      <c r="N29" t="inlineStr">
        <is>
          <t>Mastermind JAPAN Skull Hoodie – Black and White cotton sweatshirt with bold abstract skull print, unisex loose fit, minimalist Japanese streetwear blending dark aesthetics and premium comfort.</t>
        </is>
      </c>
      <c r="O29" t="inlineStr">
        <is>
          <t>{"choices":[{"finish_reason":"stop","index":0,"logprobs":null,"message":{"annotations":[],"content":"Mastermind JAPAN, Hoodie, kakobuy, kakebuy2026, kekobuysheet, kakobuysheet2026, 2026kakobuy, kakobuyspreadsheeet, kakobuylink, kakebuylist, Kakobuy MEGA Spreadsheet, kakobuysheetfind, kakobuysheetfind2026, 2026kakobuysheetfind, kakobuysheet2026","refusal":null,"role":"assistant"}}],"created":1776668804,"id":"chatcmpl-DWd0OFQLgqaqnesd2xfXlKMctVKHf","model":"gpt-5-chat-latest","object":"chat.completion","service_tier":"default","system_fingerprint":"fp_ad66631dec","usage":{"completion_tokens":93,"completion_tokens_details":{"accepted_prediction_tokens":0,"audio_tokens":0,"reasoning_tokens":0,"rejected_prediction_tokens":0},"prompt_tokens":786,"prompt_tokens_details":{"audio_tokens":0,"cached_tokens":0},"total_tokens":879}}</t>
        </is>
      </c>
      <c r="P29" t="inlineStr">
        <is>
          <t>Mastermind JAPAN, Hoodie, kakobuy, kakebuy2026, kekobuysheet, kakobuysheet2026, 2026kakobuy, kakobuyspreadsheeet, kakobuylink, kakebuylist, Kakobuy MEGA Spreadsheet, kakobuysheetfind, kakobuysheetfind2026, 2026kakobuysheetfind, kakobuysheet2026</t>
        </is>
      </c>
      <c r="Q29" t="inlineStr">
        <is>
          <t>Black, White, Unisex, Minimalist, Streetwear</t>
        </is>
      </c>
      <c r="R29" t="inlineStr">
        <is>
          <t>recvh6xFVjh1ul</t>
        </is>
      </c>
      <c r="S29" t="inlineStr">
        <is>
          <t>mastermind-japan-skull-print-hoodie-recvh6xfvjh1ul</t>
        </is>
      </c>
      <c r="T29"/>
      <c r="U29"/>
      <c r="V29"/>
      <c r="W29" t="inlineStr">
        <is>
          <t>{"id":"chatcmpl-DWZNmeWkI8ooLoPh3GN3hrofd2AKP","object":"chat.completion","created":1776654878,"model":"gpt-5-chat-latest","choices":[{"index":0,"message":{"role":"assistant","content":"Mastermind JAPAN：黑白骷髅图腾系列连帽卫衣，采用优质棉质面料，柔软舒适。正面极具辨识度的抽象骷髅印花呈现街头前卫风格，宽松版型适合男女皆宜。设计简约又大胆，融合日式极简与暗黑美学，彰显品牌标志性潮流态度，适合休闲与都市穿搭。","refusal":null,"annotations":[]},"logprobs":null,"finish_reason":"stop"}],"usage":{"prompt_tokens":1321,"completion_tokens":106,"total_tokens":1427,"prompt_tokens_details":{"cached_tokens":0,"audio_tokens":0},"completion_tokens_details":{"reasoning_tokens":0,"audio_tokens":0,"accepted_prediction_tokens":0,"rejected_prediction_tokens":0}},"service_tier":"default","system_fingerprint":"fp_ad66631dec"}</t>
        </is>
      </c>
      <c r="X29" t="inlineStr">
        <is>
          <t>Mastermind JAPAN：黑白骷髅图腾系列连帽卫衣，采用优质棉质面料，柔软舒适。正面极具辨识度的抽象骷髅印花呈现街头前卫风格，宽松版型适合男女皆宜。设计简约又大胆，融合日式极简与暗黑美学，彰显品牌标志性潮流态度，适合休闲与都市穿搭。</t>
        </is>
      </c>
    </row>
    <row r="30" ht="25.5" customHeight="1">
      <c r="A30">
        <v>1839115443</v>
      </c>
      <c r="B30">
        <v>7599159159</v>
      </c>
      <c r="C30" t="inlineStr">
        <is>
          <t>https://weidian.com/item.html?itemID=7599159159</t>
        </is>
      </c>
      <c r="D30"/>
      <c r="E30" s="2" t="str">
        <f>=HYPERLINK("https://si.geilicdn.com/open1832946205-252808396-53b900000197eed88abd0a23b4de_1200_1200.jpg?w=640&amp;h=640", "https://si.geilicdn.com/open1832946205-252808396-53b900000197eed88abd0a23b4de_1200_1200.jpg?w=640&amp;h=640")</f>
        <v>https://si.geilicdn.com/open1832946205-252808396-53b900000197eed88abd0a23b4de_1200_1200.jpg?w=640&amp;h=640</v>
      </c>
      <c r="F30" t="inlineStr">
        <is>
          <t>Hoodies</t>
        </is>
      </c>
      <c r="G30" t="inlineStr">
        <is>
          <t>Supreme</t>
        </is>
      </c>
      <c r="H30" t="inlineStr">
        <is>
          <t>159.00</t>
        </is>
      </c>
      <c r="I30">
        <v>23.04</v>
      </c>
      <c r="J30" t="inlineStr">
        <is>
          <t>{"choices":[{"finish_reason":"stop","index":0,"logprobs":null,"message":{"annotations":[],"content":"Supreme Cross Logo Unisex Cotton Hoodie","refusal":null,"role":"assistant"}}],"created":1776666887,"id":"chatcmpl-DWcVT8iS96OyZjJrXakM2mDplPlME","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30" t="inlineStr">
        <is>
          <t>Supreme Cross Logo Unisex Cotton Hoodie</t>
        </is>
      </c>
      <c r="L30" t="inlineStr">
        <is>
          <t>{"choices":[{"finish_reason":"stop","index":0,"logprobs":null,"message":{"annotations":[],"content":"Supreme Cross Logo Hoodie – soft cotton fabric with iconic red and white design, unisex loose fit, kangaroo pocket and drawstring hood for a modern streetwear look.","refusal":null,"role":"assistant"}}],"created":1776658962,"id":"chatcmpl-DWaRe4zsGyJvgUrFym2p6pem5IJ6Y","model":"gpt-5-chat-latest","object":"chat.completion","service_tier":"default","system_fingerprint":"fp_ad66631dec","usage":{"completion_tokens":36,"completion_tokens_details":{"accepted_prediction_tokens":0,"audio_tokens":0,"reasoning_tokens":0,"rejected_prediction_tokens":0},"prompt_tokens":914,"prompt_tokens_details":{"audio_tokens":0,"cached_tokens":0},"total_tokens":950}}</t>
        </is>
      </c>
      <c r="M30" t="inlineStr">
        <is>
          <t>{"alt-svc":"h3=\":443\"; ma=2592000","apim-request-id":"34dd89e1-9dc6-4acd-8eee-91a65d6de42f","azureml-model-session":"d20260405234249-f9874baf","cache-control":"no-cache","connection":"close","content-length":"754","content-security-policy":"frame-ancestors 'self'","content-type":"application/json","date":"Mon, 20 Apr 2026 04:22:43 GMT","server":"Caddy","skip-error-remapping":"true","strict-transport-security":"max-age=31536000; includeSubDomains; preload","via":"1.1 Caddy","x-api-request-id":"20260420122241484458824f6UiKRE8","x-content-type-options":"nosniff","x-frame-options":"SAMEORIGIN","x-ms-client-request-id":"Not-Set","x-ms-is-spilled-over":"false","x-ms-rai-invoked":"true","x-ms-region":"East US 2","x-new-api-version":"0.4.39","x-oneapi-request-id":"202604200422414166997078268d9d6wtCOLv0Z","x-ratelimit-abusepenalty-active":"False","x-ratelimit-limit-requests":"3850","x-ratelimit-limit-tokens":"3850000","x-ratelimit-remaining-requests":"3849","x-ratelimit-remaining-tokens":"3848324","x-ratelimit-renewalperiod-requests":"60","x-ratelimit-renewalperiod-tokens":"60","x-ratelimit-reset-requests":"15","x-ratelimit-reset-tokens":"26","x-request-id":"0ce9593b-c855-44f1-bfda-f348ac997c38"}</t>
        </is>
      </c>
      <c r="N30" t="inlineStr">
        <is>
          <t>Supreme Cross Logo Hoodie – soft cotton fabric with iconic red and white design, unisex loose fit, kangaroo pocket and drawstring hood for a modern streetwear look.</t>
        </is>
      </c>
      <c r="O30" t="inlineStr">
        <is>
          <t>{"choices":[{"finish_reason":"stop","index":0,"logprobs":null,"message":{"annotations":[],"content":"Supreme,hoodie,kakobuy,kakebuy2026,kekobuysheet,kakobuysheet2026,2026kakobuy,kakobuyspreadsheeet,kakobuylink,kakebuylist,Kakobuy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1776668282,"id":"chatcmpl-DWcryRKAM4MRWKQ3T6q8VuEytZHpx","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0" t="inlineStr">
        <is>
          <t>Supreme,hoodie,kakobuy,kakebuy2026,kekobuysheet,kakobuysheet2026,2026kakobuy,kakobuyspreadsheeet,kakobuylink,kakebuylist,Kakobuy MEGA Spreadsheet,kakobuysheetfind,kakobuysheetfind2026,2026kakobuysheetfind,kakobuysheet2026</t>
        </is>
      </c>
      <c r="Q30" t="inlineStr">
        <is>
          <t>Supreme, Streetwear, Unisex, Red, White</t>
        </is>
      </c>
      <c r="R30" t="inlineStr">
        <is>
          <t>recvh6xFVjMbOG</t>
        </is>
      </c>
      <c r="S30" t="inlineStr">
        <is>
          <t>supreme-cross-logo-hoodie-recvh6xFVjMbOG</t>
        </is>
      </c>
      <c r="T30"/>
      <c r="U30"/>
      <c r="V30"/>
      <c r="W30" t="inlineStr">
        <is>
          <t>{"id":"chatcmpl-DWZaEPAqloRkPCUY0op6guaRymxtm","object":"chat.completion","created":1776655650,"model":"gpt-5-chat-latest","choices":[{"index":0,"message":{"role":"assistant","content":"Supreme：灰色十字Logo连帽卫衣，柔软纯棉面料打造，胸前标志性红白交叉字样尽显街头潮流，宽松版型男女皆宜，搭配袋鼠口袋与抽绳帽设计，呈现休闲与时尚并重的现代都市风格。","refusal":null,"annotations":[]},"logprobs":null,"finish_reason":"stop"}],"usage":{"prompt_tokens":1317,"completion_tokens":77,"total_tokens":1394,"prompt_tokens_details":{"cached_tokens":0,"audio_tokens":0},"completion_tokens_details":{"reasoning_tokens":0,"audio_tokens":0,"accepted_prediction_tokens":0,"rejected_prediction_tokens":0}},"service_tier":"default","system_fingerprint":"fp_ad66631dec"}</t>
        </is>
      </c>
      <c r="X30" t="inlineStr">
        <is>
          <t>Supreme：灰色十字Logo连帽卫衣，柔软纯棉面料打造，胸前标志性红白交叉字样尽显街头潮流，宽松版型男女皆宜，搭配袋鼠口袋与抽绳帽设计，呈现休闲与时尚并重的现代都市风格。</t>
        </is>
      </c>
    </row>
    <row r="31" ht="25.5" customHeight="1">
      <c r="A31">
        <v>1839115443</v>
      </c>
      <c r="B31">
        <v>7599199299</v>
      </c>
      <c r="C31" t="inlineStr">
        <is>
          <t>https://weidian.com/item.html?itemID=7599199299</t>
        </is>
      </c>
      <c r="D31"/>
      <c r="E31" s="2" t="str">
        <f>=HYPERLINK("https://si.geilicdn.com/open1832946205-252808396-6c2600000196cea773580a23b4de_1920_1920.jpg?w=640&amp;h=640", "https://si.geilicdn.com/open1832946205-252808396-6c2600000196cea773580a23b4de_1920_1920.jpg?w=640&amp;h=640")</f>
        <v>https://si.geilicdn.com/open1832946205-252808396-6c2600000196cea773580a23b4de_1920_1920.jpg?w=640&amp;h=640</v>
      </c>
      <c r="F31" t="inlineStr">
        <is>
          <t>T-Shirts</t>
        </is>
      </c>
      <c r="G31" t="inlineStr">
        <is>
          <t>Corteiz</t>
        </is>
      </c>
      <c r="H31" t="inlineStr">
        <is>
          <t>94.00</t>
        </is>
      </c>
      <c r="I31">
        <v>13.62</v>
      </c>
      <c r="J31" t="inlineStr">
        <is>
          <t>{"choices":[{"finish_reason":"stop","index":0,"logprobs":null,"message":{"annotations":[],"content":"Corteiz Black Cotton Graphic T-Shirt Unisex Streetwear","refusal":null,"role":"assistant"}}],"created":1776665815,"id":"chatcmpl-DWcEB8Lq1gJ4cY6CzuHMGfT5zUkaZ","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31" t="inlineStr">
        <is>
          <t>Corteiz Black Cotton Graphic T-Shirt Unisex Streetwear</t>
        </is>
      </c>
      <c r="L31" t="inlineStr">
        <is>
          <t>{"choices":[{"finish_reason":"stop","index":0,"logprobs":null,"message":{"annotations":[],"content":"Corteiz Black Graphic T-Shirt made from soft cotton, featuring bold yellow logo and blue cartoon print for a vibrant street look. Unisex crew neck, breathable comfort and urban casual style.","refusal":null,"role":"assistant"}}],"created":1776658326,"id":"chatcmpl-DWaHOYLPd4A4zvvOj9GgNMXTatq8S","model":"gpt-5-chat-latest","object":"chat.completion","service_tier":"default","system_fingerprint":"fp_ad66631dec","usage":{"completion_tokens":39,"completion_tokens_details":{"accepted_prediction_tokens":0,"audio_tokens":0,"reasoning_tokens":0,"rejected_prediction_tokens":0},"prompt_tokens":917,"prompt_tokens_details":{"audio_tokens":0,"cached_tokens":0},"total_tokens":956}}</t>
        </is>
      </c>
      <c r="M31" t="inlineStr">
        <is>
          <t>{"alt-svc":"h3=\":443\"; ma=2592000","apim-request-id":"7e21d1fd-663d-4208-8a8c-9f6309b635b1","azureml-model-session":"d20260405234249-f9874baf","cache-control":"no-cache","connection":"close","content-length":"778","content-security-policy":"frame-ancestors 'self'","content-type":"application/json","date":"Mon, 20 Apr 2026 04:12:07 GMT","server":"nginx","skip-error-remapping":"true","strict-transport-security":"max-age=31536000; includeSubDomains; preload","via":"1.1 Caddy, 1.1 Caddy","x-api-request-id":"20260420121205235415589v7JLL6nJ","x-content-type-options":"nosniff","x-frame-options":"SAMEORIGIN","x-ms-client-request-id":"Not-Set","x-ms-is-spilled-over":"false","x-ms-rai-invoked":"true","x-ms-region":"East US 2","x-new-api-version":"0.4.39","x-oneapi-request-id":"202604200412051691054378268d9d6YtJqQZfo","x-ratelimit-abusepenalty-active":"False","x-ratelimit-limit-requests":"3850","x-ratelimit-limit-tokens":"3850000","x-ratelimit-remaining-requests":"3849","x-ratelimit-remaining-tokens":"3848321","x-ratelimit-renewalperiod-requests":"60","x-ratelimit-renewalperiod-tokens":"60","x-ratelimit-reset-requests":"15","x-ratelimit-reset-tokens":"26","x-request-id":"9cbd36b9-6fe3-4c0e-bff0-6aad2963fd20"}</t>
        </is>
      </c>
      <c r="N31" t="inlineStr">
        <is>
          <t>Corteiz Black Graphic T-Shirt made from soft cotton, featuring bold yellow logo and blue cartoon print for a vibrant street look. Unisex crew neck, breathable comfort and urban casual style.</t>
        </is>
      </c>
      <c r="O31" t="inlineStr">
        <is>
          <t>{"choices":[{"finish_reason":"stop","index":0,"logprobs":null,"message":{"annotations":[],"content":"Corteiz,T-Shirts,kakobuy,kakebuy2026,kekobuysheet,kakobuysheet2026,2026kakobuy,kakobuyspreadsheeet,kakobuylink,kakebuylist,Kakobuy MEGA Spreadsheet,kakobuysheetfind,kakobuysheetfind2026,2026kakobuysheetfind,kakobuysheet2026","refusal":null,"role":"assistant"}}],"created":1776668796,"id":"chatcmpl-DWd0GF9kGWXVCZI7UlnzlDyTRDYnJ","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1" t="inlineStr">
        <is>
          <t>Corteiz,T-Shirts,kakobuy,kakebuy2026,kekobuysheet,kakobuysheet2026,2026kakobuy,kakobuyspreadsheeet,kakobuylink,kakebuylist,Kakobuy MEGA Spreadsheet,kakobuysheetfind,kakobuysheetfind2026,2026kakobuysheetfind,kakobuysheet2026</t>
        </is>
      </c>
      <c r="Q31" t="inlineStr">
        <is>
          <t>Corteiz, Black, Yellow, Blue, Street, Unisex</t>
        </is>
      </c>
      <c r="R31" t="inlineStr">
        <is>
          <t>recvh6xFVjqY7J</t>
        </is>
      </c>
      <c r="S31" t="inlineStr">
        <is>
          <t>corteiz-black-cotton-graphic-tshirt-recvh6xfvjqy7j</t>
        </is>
      </c>
      <c r="T31"/>
      <c r="U31"/>
      <c r="V31"/>
      <c r="W31" t="inlineStr">
        <is>
          <t>{"choices":[{"finish_reason":"stop","index":0,"logprobs":null,"message":{"annotations":[],"content":"Corteiz 黑色潮流印花T恤，以柔软纯棉打造，胸前蓝色卡通图案搭配醒目黄色品牌字样，展现街头活力。简约圆领剪裁，男女通穿，极具年轻张力与都市休闲风格，舒适透气，凸显个性态度。","refusal":null,"role":"assistant"}}],"created":1776655412,"id":"chatcmpl-DWZWOasqSH9tSwUnxihf0seqNaQ7b","model":"gpt-5-chat-latest","object":"chat.completion","service_tier":"default","system_fingerprint":"fp_ad66631dec","usage":{"completion_tokens":80,"completion_tokens_details":{"accepted_prediction_tokens":0,"audio_tokens":0,"reasoning_tokens":0,"rejected_prediction_tokens":0},"prompt_tokens":1319,"prompt_tokens_details":{"audio_tokens":0,"cached_tokens":0},"total_tokens":1399}}</t>
        </is>
      </c>
      <c r="X31" t="inlineStr">
        <is>
          <t>Corteiz 黑色潮流印花T恤，以柔软纯棉打造，胸前蓝色卡通图案搭配醒目黄色品牌字样，展现街头活力。简约圆领剪裁，男女通穿，极具年轻张力与都市休闲风格，舒适透气，凸显个性态度。</t>
        </is>
      </c>
    </row>
    <row r="32" ht="25.5" customHeight="1">
      <c r="A32">
        <v>1839115443</v>
      </c>
      <c r="B32">
        <v>7601079514</v>
      </c>
      <c r="C32" t="inlineStr">
        <is>
          <t>https://weidian.com/item.html?itemID=7601079514</t>
        </is>
      </c>
      <c r="D32"/>
      <c r="E32" s="2" t="str">
        <f>=HYPERLINK("https://si.geilicdn.com/open1832946205-252808396-10e000000197f41f353f0a231226_1920_1920.jpg?w=640&amp;h=640", "https://si.geilicdn.com/open1832946205-252808396-10e000000197f41f353f0a231226_1920_1920.jpg?w=640&amp;h=640")</f>
        <v>https://si.geilicdn.com/open1832946205-252808396-10e000000197f41f353f0a231226_1920_1920.jpg?w=640&amp;h=640</v>
      </c>
      <c r="F32" t="inlineStr">
        <is>
          <t>Pants</t>
        </is>
      </c>
      <c r="G32" t="inlineStr">
        <is>
          <t>Rhude</t>
        </is>
      </c>
      <c r="H32" t="inlineStr">
        <is>
          <t>130.00</t>
        </is>
      </c>
      <c r="I32">
        <v>18.84</v>
      </c>
      <c r="J32" t="inlineStr">
        <is>
          <t>{"choices":[{"finish_reason":"stop","index":0,"logprobs":null,"message":{"annotations":[],"content":"Rhude Green Striped Cotton Shorts Yellow Drawstring","refusal":null,"role":"assistant"}}],"created":1776666757,"id":"chatcmpl-DWcTNlRdTJw3f7PIaBJ6TIDSmKCMc","model":"gpt-5-chat-latest","object":"chat.completion","service_tier":"default","system_fingerprint":"fp_ad66631dec","usage":{"completion_tokens":11,"completion_tokens_details":{"accepted_prediction_tokens":0,"audio_tokens":0,"reasoning_tokens":0,"rejected_prediction_tokens":0},"prompt_tokens":860,"prompt_tokens_details":{"audio_tokens":0,"cached_tokens":0},"total_tokens":871}}</t>
        </is>
      </c>
      <c r="K32" t="inlineStr">
        <is>
          <t>Rhude Green Striped Cotton Shorts Yellow Drawstring</t>
        </is>
      </c>
      <c r="L32" t="inlineStr">
        <is>
          <t>{"id":"chatcmpl-DWaHeI2EuSHa5yBpaykyDGKGEjpLY","object":"chat.completion","created":1776658342,"model":"gpt-5-chat-latest","choices":[{"index":0,"message":{"role":"assistant","content":"Rhude Green White Striped Cotton Shorts with Yellow Drawstring and Signature Embroidery, Unisex Luxury Street Style for Daily Wear and Vacation.","refusal":null,"annotations":[]},"logprobs":null,"finish_reason":"stop"}],"usage":{"prompt_tokens":905,"completion_tokens":29,"total_tokens":934,"prompt_tokens_details":{"cached_tokens":0,"audio_tokens":0},"completion_tokens_details":{"reasoning_tokens":0,"audio_tokens":0,"accepted_prediction_tokens":0,"rejected_prediction_tokens":0}},"service_tier":"default","system_fingerprint":"fp_ad66631dec"}</t>
        </is>
      </c>
      <c r="M3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ma=2592000","apim-request-id":"84ee0083-5f8e-4fa7-9d36-a53fd32fe52b","azureml-model-session":"d20260405221325-2e8d5e76","cache-control":"no-cache, no-store, must-revalidate","connection":"close","content-length":"948","content-security-policy":"frame-ancestors 'self'","content-type":"application/json","date":"Mon, 20 Apr 2026 04:12:24 GMT","server":"Caddy","skip-error-remapping":"true","strict-transport-security":"max-age=31536000; includeSubDomains; preload","via":"1.1 Caddy","x-api-request-id":"20260420121220517561071oZOXSk3X","x-content-type-options":"nosniff","x-frame-options":"SAMEORIGIN","x-ms-is-spilled-over":"false","x-ms-rai-invoked":"false","x-ms-region":"Sweden Central","x-new-api-version":"0.4.39","x-oneapi-request-id":"202604200412204523032878268d9d6T98yEyjU","x-ratelimit-abusepenalty-active":"False","x-ratelimit-limit-requests":"4993","x-ratelimit-limit-tokens":"4993000","x-ratelimit-remaining-requests":"4992","x-ratelimit-remaining-tokens":"4991333","x-ratelimit-renewalperiod-requests":"60","x-ratelimit-renewalperiod-tokens":"60","x-ratelimit-reset-requests":"12","x-ratelimit-reset-tokens":"20","x-request-id":"6f83b836-46a4-4c21-93af-6e0967b0ad15"}</t>
        </is>
      </c>
      <c r="N32" t="inlineStr">
        <is>
          <t>Rhude Green White Striped Cotton Shorts with Yellow Drawstring and Signature Embroidery, Unisex Luxury Street Style for Daily Wear and Vacation.</t>
        </is>
      </c>
      <c r="O32" t="inlineStr">
        <is>
          <t>{"choices":[{"finish_reason":"stop","index":0,"logprobs":null,"message":{"annotations":[],"content":"Rhude,Pants,kakobuy,kakebuy2026,kekobuysheet,kakobuysheet2026,2026kakobuy,kakobuyspreadsheeet,kakobuylink,kakebuylist,Kakobuy MEGA Spreadsheet,kakobuysheetfind,kakobuysheetfind2026,2026kakobuysheetfind,kakobuysheet2026","refusal":null,"role":"assistant"}}],"created":1776668240,"id":"chatcmpl-DWcrIHxbOjkabi4QadU5E0IXnz61k","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32" t="inlineStr">
        <is>
          <t>Rhude,Pants,kakobuy,kakebuy2026,kekobuysheet,kakobuysheet2026,2026kakobuy,kakobuyspreadsheeet,kakobuylink,kakebuylist,Kakobuy MEGA Spreadsheet,kakobuysheetfind,kakobuysheetfind2026,2026kakobuysheetfind,kakobuysheet2026</t>
        </is>
      </c>
      <c r="Q32" t="inlineStr">
        <is>
          <t>White, Green, Yellow, Streetwear, Unisex</t>
        </is>
      </c>
      <c r="R32" t="inlineStr">
        <is>
          <t>recvh6xFVjHDtS</t>
        </is>
      </c>
      <c r="S32" t="inlineStr">
        <is>
          <t>rhude-green-striped-cotton-shorts-yellow-recvh6xFVjHDtS</t>
        </is>
      </c>
      <c r="T32"/>
      <c r="U32"/>
      <c r="V32"/>
      <c r="W32" t="inlineStr">
        <is>
          <t>{"choices":[{"finish_reason":"stop","index":0,"logprobs":null,"message":{"annotations":[],"content":"Rhude：绿白条纹休闲短裤，采用柔软棉质面料，触感舒适透气，搭配醒目黄色抽绳与品牌签名刺绣，展现奢华街头风格，男女皆宜，适合日常与度假穿搭。","refusal":null,"role":"assistant"}}],"created":1776656222,"id":"chatcmpl-DWZjSU4qAFJlT2s3Htlj7uy5zRXgh","model":"gpt-5-chat-latest","object":"chat.completion","service_tier":"default","system_fingerprint":"fp_ad66631dec","usage":{"completion_tokens":69,"completion_tokens_details":{"accepted_prediction_tokens":0,"audio_tokens":0,"reasoning_tokens":0,"rejected_prediction_tokens":0},"prompt_tokens":1316,"prompt_tokens_details":{"audio_tokens":0,"cached_tokens":0},"total_tokens":1385}}</t>
        </is>
      </c>
      <c r="X32" t="inlineStr">
        <is>
          <t>Rhude：绿白条纹休闲短裤，采用柔软棉质面料，触感舒适透气，搭配醒目黄色抽绳与品牌签名刺绣，展现奢华街头风格，男女皆宜，适合日常与度假穿搭。</t>
        </is>
      </c>
    </row>
    <row r="33" ht="25.5" customHeight="1">
      <c r="A33">
        <v>1839115443</v>
      </c>
      <c r="B33">
        <v>7599258561</v>
      </c>
      <c r="C33" t="inlineStr">
        <is>
          <t>https://weidian.com/item.html?itemID=7599258561</t>
        </is>
      </c>
      <c r="D33"/>
      <c r="E33" s="2" t="str">
        <f>=HYPERLINK("https://si.geilicdn.com/open1832946205-252808396-4aaf00000196d73ffb190aa0834c_800_800.jpg?w=640&amp;h=640", "https://si.geilicdn.com/open1832946205-252808396-4aaf00000196d73ffb190aa0834c_800_800.jpg?w=640&amp;h=640")</f>
        <v>https://si.geilicdn.com/open1832946205-252808396-4aaf00000196d73ffb190aa0834c_800_800.jpg?w=640&amp;h=640</v>
      </c>
      <c r="F33" t="inlineStr">
        <is>
          <t>Hoodies</t>
        </is>
      </c>
      <c r="G33" t="inlineStr">
        <is>
          <t>The North Face</t>
        </is>
      </c>
      <c r="H33" t="inlineStr">
        <is>
          <t>62.00</t>
        </is>
      </c>
      <c r="I33">
        <v>8.98550724637681</v>
      </c>
      <c r="J33" t="inlineStr">
        <is>
          <t>{"choices":[{"finish_reason":"stop","index":0,"logprobs":null,"message":{"annotations":[],"content":"The North Face White Unisex Casual Logo Hoodie","refusal":null,"role":"assistant"}}],"created":1776666694,"id":"chatcmpl-DWcSMVEdQysijm3f2oMDtRPomqU0f","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33" t="inlineStr">
        <is>
          <t>The North Face White Unisex Casual Logo Hoodie</t>
        </is>
      </c>
      <c r="L33" t="inlineStr">
        <is>
          <t>{"choices":[{"finish_reason":"stop","index":0,"logprobs":null,"message":{"annotations":[],"content":"The North Face white casual hoodie, soft cotton fabric with iconic black half-dome logo print, unisex loose fit, comfy and versatile streetwear style showing outdoor fashion energy.","refusal":null,"role":"assistant"}}],"created":1776658254,"id":"chatcmpl-DWaGEPzKO1HhRiTjfNz5PAHjLteti","model":"gpt-5-chat-latest","object":"chat.completion","service_tier":"default","system_fingerprint":"fp_ad66631dec","usage":{"completion_tokens":36,"completion_tokens_details":{"accepted_prediction_tokens":0,"audio_tokens":0,"reasoning_tokens":0,"rejected_prediction_tokens":0},"prompt_tokens":904,"prompt_tokens_details":{"audio_tokens":0,"cached_tokens":0},"total_tokens":940}}</t>
        </is>
      </c>
      <c r="M33" t="inlineStr">
        <is>
          <t>{"alt-svc":"h3=\":443\"; ma=2592000","apim-request-id":"9dc25305-b70a-4f0f-a5a6-e3ee4c6d0458","azureml-model-session":"d20260402075109-1fc5a0ec","cache-control":"no-cache","connection":"close","content-length":"769","content-security-policy":"frame-ancestors 'self'","content-type":"application/json","date":"Mon, 20 Apr 2026 04:10:55 GMT","server":"nginx","skip-error-remapping":"true","strict-transport-security":"max-age=31536000; includeSubDomains; preload","via":"1.1 Caddy, 1.1 Caddy","x-api-request-id":"20260420121053470818323kJgAnEaZ","x-content-type-options":"nosniff","x-frame-options":"SAMEORIGIN","x-ms-client-request-id":"Not-Set","x-ms-is-spilled-over":"false","x-ms-rai-invoked":"true","x-ms-region":"East US 2","x-new-api-version":"0.4.39","x-oneapi-request-id":"202604200410528126491378268d9d6JjwI3KCY","x-ratelimit-abusepenalty-active":"False","x-ratelimit-limit-requests":"3850","x-ratelimit-limit-tokens":"3850000","x-ratelimit-remaining-requests":"3849","x-ratelimit-remaining-tokens":"3848334","x-ratelimit-renewalperiod-requests":"60","x-ratelimit-renewalperiod-tokens":"60","x-ratelimit-reset-requests":"15","x-ratelimit-reset-tokens":"25","x-request-id":"b364ba8f-030a-47cf-93e2-7d2b12f675bd"}</t>
        </is>
      </c>
      <c r="N33" t="inlineStr">
        <is>
          <t>The North Face white casual hoodie, soft cotton fabric with iconic black half-dome logo print, unisex loose fit, comfy and versatile streetwear style showing outdoor fashion energy.</t>
        </is>
      </c>
      <c r="O33" t="inlineStr">
        <is>
          <t>{"choices":[{"finish_reason":"stop","index":0,"logprobs":null,"message":{"annotations":[],"content":"The North Face, Hoodies, kakobuy, kakebuy2026, kekobuysheet, kakobuysheet2026, 2026kakobuy, kakobuyspreadsheeet, kakobuylink, kakebuylist, Kakobuy MEGA Spreadsheet, kakobuysheetfind, kakobuysheetfind2026, 2026kakobuysheetfind, kakobuysheet2026","refusal":null,"role":"assistant"}}],"created":1776667599,"id":"chatcmpl-DWcgxQ8QxjTkCcD7qLkWb4PBxyl9W","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33" t="inlineStr">
        <is>
          <t>The North Face, Hoodies, kakobuy, kakebuy2026, kekobuysheet, kakobuysheet2026, 2026kakobuy, kakobuyspreadsheeet, kakobuylink, kakebuylist, Kakobuy MEGA Spreadsheet, kakobuysheetfind, kakobuysheetfind2026, 2026kakobuysheetfind, kakobuysheet2026</t>
        </is>
      </c>
      <c r="Q33" t="inlineStr">
        <is>
          <t>White, Unisex, Streetwear, Versatile</t>
        </is>
      </c>
      <c r="R33" t="inlineStr">
        <is>
          <t>recvh6xFVjC75V</t>
        </is>
      </c>
      <c r="S33" t="inlineStr">
        <is>
          <t>the-north-face-white-unisex-casual-logo-hoodie-recvh6xfvjc75v</t>
        </is>
      </c>
      <c r="T33"/>
      <c r="U33"/>
      <c r="V33"/>
      <c r="W33" t="inlineStr">
        <is>
          <t>{"choices":[{"finish_reason":"stop","index":0,"logprobs":null,"message":{"annotations":[],"content":"The North Face 白色休闲连帽卫衣，柔软棉质面料，胸前标志性黑色弧形徽标印花设计，简约街头风格，宽松剪裁，男女皆宜，百搭舒适，展现时尚户外活力。","refusal":null,"role":"assistant"}}],"created":1776655635,"id":"chatcmpl-DWZZzRBk1lulT35ETXFiexxdFWuUC","model":"gpt-5-chat-latest","object":"chat.completion","service_tier":"default","system_fingerprint":"fp_ad66631dec","usage":{"completion_tokens":67,"completion_tokens_details":{"accepted_prediction_tokens":0,"audio_tokens":0,"reasoning_tokens":0,"rejected_prediction_tokens":0},"prompt_tokens":1318,"prompt_tokens_details":{"audio_tokens":0,"cached_tokens":0},"total_tokens":1385}}</t>
        </is>
      </c>
      <c r="X33" t="inlineStr">
        <is>
          <t>The North Face 白色休闲连帽卫衣，柔软棉质面料，胸前标志性黑色弧形徽标印花设计，简约街头风格，宽松剪裁，男女皆宜，百搭舒适，展现时尚户外活力。</t>
        </is>
      </c>
    </row>
    <row r="34" ht="25.5" customHeight="1">
      <c r="A34">
        <v>1839115443</v>
      </c>
      <c r="B34">
        <v>7601142696</v>
      </c>
      <c r="C34" t="inlineStr">
        <is>
          <t>https://weidian.com/item.html?itemID=7601142696</t>
        </is>
      </c>
      <c r="D34"/>
      <c r="E34" s="2" t="str">
        <f>=HYPERLINK("https://si.geilicdn.com/open1832946205-252808396-03660000019759af3b4e0a22d249_1000_1000.jpg?w=640&amp;h=640", "https://si.geilicdn.com/open1832946205-252808396-03660000019759af3b4e0a22d249_1000_1000.jpg?w=640&amp;h=640")</f>
        <v>https://si.geilicdn.com/open1832946205-252808396-03660000019759af3b4e0a22d249_1000_1000.jpg?w=640&amp;h=640</v>
      </c>
      <c r="F34" t="inlineStr">
        <is>
          <t>T-Shirts</t>
        </is>
      </c>
      <c r="G34" t="inlineStr">
        <is>
          <t xml:space="preserve"> AMI Paris</t>
        </is>
      </c>
      <c r="H34" t="inlineStr">
        <is>
          <t>219.00</t>
        </is>
      </c>
      <c r="I34">
        <v>31.74</v>
      </c>
      <c r="J34" t="inlineStr">
        <is>
          <t>{"choices":[{"finish_reason":"stop","index":0,"logprobs":null,"message":{"annotations":[],"content":"AMI Paris Heart Logo Unisex White Cotton T-Shirt","refusal":null,"role":"assistant"}}],"created":1776665846,"id":"chatcmpl-DWcEgoQZ9Ji8YHDuuPbCR9Z7vl9ue","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34" t="inlineStr">
        <is>
          <t>AMI Paris Heart Logo Unisex White Cotton T-Shirt</t>
        </is>
      </c>
      <c r="L34" t="inlineStr">
        <is>
          <t>{"id":"chatcmpl-DWaL2rWXehLY8etUJBdTVXt7XvwrQ","object":"chat.completion","created":1776658552,"model":"gpt-5-chat-latest","choices":[{"index":0,"message":{"role":"assistant","content":"AMI Paris Classic Heart Logo White T-Shirt, made of soft cotton with a minimalist crew neck, unisex design, and chic French casual vibe—perfect for modern Parisian romance style.","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3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ma=2592000","apim-request-id":"c929b22e-7dbe-4384-93cc-5809a50dbba0","azureml-model-session":"d20260405234249-f9874baf","cache-control":"no-cache, no-store, must-revalidate","connection":"close","content-length":"984","content-security-policy":"frame-ancestors 'self'","content-type":"application/json","date":"Mon, 20 Apr 2026 04:15:54 GMT","server":"nginx","skip-error-remapping":"true","strict-transport-security":"max-age=31536000; includeSubDomains; preload","via":"1.1 Caddy, 1.1 Caddy","x-api-request-id":"20260420121549840856726s8oFkM3c","x-content-type-options":"nosniff","x-frame-options":"SAMEORIGIN","x-ms-is-spilled-over":"false","x-ms-rai-invoked":"false","x-ms-region":"Sweden Central","x-new-api-version":"0.4.39","x-oneapi-request-id":"202604200415497741212868268d9d6wTIxKRqS","x-ratelimit-abusepenalty-active":"False","x-ratelimit-limit-requests":"4993","x-ratelimit-limit-tokens":"4993000","x-ratelimit-remaining-requests":"4992","x-ratelimit-remaining-tokens":"4991349","x-ratelimit-renewalperiod-requests":"60","x-ratelimit-renewalperiod-tokens":"60","x-ratelimit-reset-requests":"12","x-ratelimit-reset-tokens":"19","x-request-id":"9392d04c-48e2-44c6-bbba-a2e947af394f"}</t>
        </is>
      </c>
      <c r="N34" t="inlineStr">
        <is>
          <t>AMI Paris Classic Heart Logo White T-Shirt, made of soft cotton with a minimalist crew neck, unisex design, and chic French casual vibe—perfect for modern Parisian romance style.</t>
        </is>
      </c>
      <c r="O34" t="inlineStr">
        <is>
          <t>{"choices":[{"finish_reason":"stop","index":0,"logprobs":null,"message":{"annotations":[],"content":"AMI Paris,T-Shirts,kakobuy,kakebuy2026,kekobuysheet,kakobuysheet2026,2026kakobuy,kakobuyspreadsheeet,kakobuylink,kakebuylist,Kakobuy MEGA Spreadsheet,kakobuysheetfind,kakobuysheetfind2026,2026kakobuysheetfind,kakobuysheet2026","refusal":null,"role":"assistant"}}],"created":1776668168,"id":"chatcmpl-DWcq8T5FHioEanYfuY2o7Lfg58AFs","model":"gpt-5-chat-latest","object":"chat.completion","service_tier":"default","system_fingerprint":"fp_ad66631dec","usage":{"completion_tokens":87,"completion_tokens_details":{"accepted_prediction_tokens":0,"audio_tokens":0,"reasoning_tokens":0,"rejected_prediction_tokens":0},"prompt_tokens":784,"prompt_tokens_details":{"audio_tokens":0,"cached_tokens":0},"total_tokens":871}}</t>
        </is>
      </c>
      <c r="P34" t="inlineStr">
        <is>
          <t>AMI Paris,T-Shirts,kakobuy,kakebuy2026,kekobuysheet,kakobuysheet2026,2026kakobuy,kakobuyspreadsheeet,kakobuylink,kakebuylist,Kakobuy MEGA Spreadsheet,kakobuysheetfind,kakobuysheetfind2026,2026kakobuysheetfind,kakobuysheet2026</t>
        </is>
      </c>
      <c r="Q34" t="inlineStr">
        <is>
          <t>Unisex, Minimalist, White, Modern</t>
        </is>
      </c>
      <c r="R34" t="inlineStr">
        <is>
          <t>recvh6xFVjTRos</t>
        </is>
      </c>
      <c r="S34" t="inlineStr">
        <is>
          <t>ami-heart-logo-white-cotton-tshirt-recvh6xfvjtr</t>
        </is>
      </c>
      <c r="T34"/>
      <c r="U34"/>
      <c r="V34"/>
      <c r="W34" t="inlineStr">
        <is>
          <t>{"choices":[{"finish_reason":"stop","index":0,"logprobs":null,"message":{"annotations":[],"content":"AMI Paris：经典红心Logo白色短袖T恤，采用柔软纯棉面料，简约圆领设计，法式休闲风格，男女皆宜，展现现代巴黎浪漫格调。","refusal":null,"role":"assistant"}}],"created":1776656149,"id":"chatcmpl-DWZiHQAgUox8e25Kfjo41f930njtf","model":"gpt-5-chat-latest","object":"chat.completion","service_tier":"default","system_fingerprint":"fp_ad66631dec","usage":{"completion_tokens":51,"completion_tokens_details":{"accepted_prediction_tokens":0,"audio_tokens":0,"reasoning_tokens":0,"rejected_prediction_tokens":0},"prompt_tokens":1321,"prompt_tokens_details":{"audio_tokens":0,"cached_tokens":0},"total_tokens":1372}}</t>
        </is>
      </c>
      <c r="X34" t="inlineStr">
        <is>
          <t>AMI Paris：经典红心Logo白色短袖T恤，采用柔软纯棉面料，简约圆领设计，法式休闲风格，男女皆宜，展现现代巴黎浪漫格调。</t>
        </is>
      </c>
    </row>
    <row r="35" ht="25.5" customHeight="1">
      <c r="A35">
        <v>1839115443</v>
      </c>
      <c r="B35">
        <v>7599221015</v>
      </c>
      <c r="C35" t="inlineStr">
        <is>
          <t>https://weidian.com/item.html?itemID=7599221015</t>
        </is>
      </c>
      <c r="D35"/>
      <c r="E35" s="2" t="str">
        <f>=HYPERLINK("https://si.geilicdn.com/pcitem1946583606-777900000196cdcb460d0a2301b4_750_750.jpg?w=640&amp;h=640", "https://si.geilicdn.com/pcitem1946583606-777900000196cdcb460d0a2301b4_750_750.jpg?w=640&amp;h=640")</f>
        <v>https://si.geilicdn.com/pcitem1946583606-777900000196cdcb460d0a2301b4_750_750.jpg?w=640&amp;h=640</v>
      </c>
      <c r="F35" t="inlineStr">
        <is>
          <t>Hoodies</t>
        </is>
      </c>
      <c r="G35" t="inlineStr">
        <is>
          <t>KAWS</t>
        </is>
      </c>
      <c r="H35" t="inlineStr">
        <is>
          <t>194.00</t>
        </is>
      </c>
      <c r="I35">
        <v>28.12</v>
      </c>
      <c r="J35" t="inlineStr">
        <is>
          <t>{"choices":[{"finish_reason":"stop","index":0,"logprobs":null,"message":{"annotations":[],"content":"KAWSKAWS XX Black Cotton Crewneck Sweatshirt","refusal":null,"role":"assistant"}}],"created":1776665988,"id":"chatcmpl-DWcGy7MuHLvFEp6yxPlrxPX1tfxD7","model":"gpt-5-chat-latest","object":"chat.completion","service_tier":"default","system_fingerprint":"fp_ad66631dec","usage":{"completion_tokens":12,"completion_tokens_details":{"accepted_prediction_tokens":0,"audio_tokens":0,"reasoning_tokens":0,"rejected_prediction_tokens":0},"prompt_tokens":885,"prompt_tokens_details":{"audio_tokens":0,"cached_tokens":0},"total_tokens":897}}</t>
        </is>
      </c>
      <c r="K35" t="inlineStr">
        <is>
          <t>KAWSKAWS XX Black Cotton Crewneck Sweatshirt</t>
        </is>
      </c>
      <c r="L35" t="inlineStr">
        <is>
          <t>{"choices":[{"finish_reason":"stop","index":0,"logprobs":null,"message":{"annotations":[],"content":"KAWSKAWS Black Crewneck Sweatshirt, soft cotton fabric with signature “XX” embroidery, minimalist streetwear style, unisex fit, cozy and versatile, embodying modern art-inspired fashion.","refusal":null,"role":"assistant"}}],"created":1776659007,"id":"chatcmpl-DWaSNKQzYmTgQxthXDPaUeSpGAK04","model":"gpt-5-chat-latest","object":"chat.completion","service_tier":"default","system_fingerprint":"fp_ad66631dec","usage":{"completion_tokens":41,"completion_tokens_details":{"accepted_prediction_tokens":0,"audio_tokens":0,"reasoning_tokens":0,"rejected_prediction_tokens":0},"prompt_tokens":894,"prompt_tokens_details":{"audio_tokens":0,"cached_tokens":0},"total_tokens":935}}</t>
        </is>
      </c>
      <c r="M35" t="inlineStr">
        <is>
          <t>{"alt-svc":"h3=\":443\"; ma=2592000","apim-request-id":"249ab7d2-2584-469f-a71e-cd073da90e15","azureml-model-session":"d20260402083108-57a85543","cache-control":"no-cache","connection":"close","content-length":"778","content-security-policy":"frame-ancestors 'self'","content-type":"application/json","date":"Mon, 20 Apr 2026 04:23:29 GMT","server":"Caddy","skip-error-remapping":"true","strict-transport-security":"max-age=31536000; includeSubDomains; preload","via":"1.1 Caddy","x-api-request-id":"20260420122325925882439nce3XLc7","x-content-type-options":"nosniff","x-frame-options":"SAMEORIGIN","x-ms-client-request-id":"Not-Set","x-ms-is-spilled-over":"false","x-ms-rai-invoked":"true","x-ms-region":"East US 2","x-new-api-version":"0.4.39","x-oneapi-request-id":"202604200423258587209808268d9d6IdAQC4up","x-ratelimit-abusepenalty-active":"False","x-ratelimit-limit-requests":"3850","x-ratelimit-limit-tokens":"3850000","x-ratelimit-remaining-requests":"3849","x-ratelimit-remaining-tokens":"3848344","x-ratelimit-renewalperiod-requests":"60","x-ratelimit-renewalperiod-tokens":"60","x-ratelimit-reset-requests":"15","x-ratelimit-reset-tokens":"25","x-request-id":"1f8734e2-4040-4e86-a5b4-722bc2acf28a"}</t>
        </is>
      </c>
      <c r="N35" t="inlineStr">
        <is>
          <t>KAWSKAWS Black Crewneck Sweatshirt, soft cotton fabric with signature “XX” embroidery, minimalist streetwear style, unisex fit, cozy and versatile, embodying modern art-inspired fashion.</t>
        </is>
      </c>
      <c r="O35" t="inlineStr">
        <is>
          <t>{"choices":[{"finish_reason":"stop","index":0,"logprobs":null,"message":{"annotations":[],"content":"KAWS,Hoodies,kakobuy,kakebuy2026,kekobuysheet,kakobuysheet2026,2026kakobuy,kakobuyspreadsheeet,kakobuylink,kakebuylist,Kakobuy MEGA Spreadsheet,kakobuysheetfind,kakobuysheetfind2026,2026kakobuysheetfind,kakobuysheet2026","refusal":null,"role":"assistant"}}],"created":1776667718,"id":"chatcmpl-DWcisuyzEAOkLVTZX5ZtpOIsXMT78","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5" t="inlineStr">
        <is>
          <t>KAWS,Hoodies,kakobuy,kakebuy2026,kekobuysheet,kakobuysheet2026,2026kakobuy,kakobuyspreadsheeet,kakobuylink,kakebuylist,Kakobuy MEGA Spreadsheet,kakobuysheetfind,kakobuysheetfind2026,2026kakobuysheetfind,kakobuysheet2026</t>
        </is>
      </c>
      <c r="Q35" t="inlineStr">
        <is>
          <t>Unisex, Streetwear, Minimalist, Black, Versatile</t>
        </is>
      </c>
      <c r="R35" t="inlineStr">
        <is>
          <t>recvh6xFVjSMhV</t>
        </is>
      </c>
      <c r="S35" t="inlineStr">
        <is>
          <t>kaws-xx-black-crewneck-sweatshirt-recvh6xfvjsmh</t>
        </is>
      </c>
      <c r="T35"/>
      <c r="U35"/>
      <c r="V35"/>
      <c r="W35" t="inlineStr">
        <is>
          <t>{"choices":[{"finish_reason":"stop","index":0,"logprobs":null,"message":{"annotations":[],"content":"KAWS：黑色联名系列圆领卫衣，柔软棉质面料，胸前标志性“XX”刺绣设计，极简街头风格，男女通用款，舒适百搭，彰显现代艺术潮流格调。","refusal":null,"role":"assistant"}}],"created":1776655345,"id":"chatcmpl-DWZVJ9e7hdiqVHhy76VSc4bP6R4jZ","model":"gpt-5-chat-latest","object":"chat.completion","service_tier":"default","system_fingerprint":"fp_ad66631dec","usage":{"completion_tokens":61,"completion_tokens_details":{"accepted_prediction_tokens":0,"audio_tokens":0,"reasoning_tokens":0,"rejected_prediction_tokens":0},"prompt_tokens":1309,"prompt_tokens_details":{"audio_tokens":0,"cached_tokens":0},"total_tokens":1370}}</t>
        </is>
      </c>
      <c r="X35" t="inlineStr">
        <is>
          <t>KAWS：黑色联名系列圆领卫衣，柔软棉质面料，胸前标志性“XX”刺绣设计，极简街头风格，男女通用款，舒适百搭，彰显现代艺术潮流格调。</t>
        </is>
      </c>
    </row>
    <row r="36" ht="25.5" customHeight="1">
      <c r="A36">
        <v>1839115443</v>
      </c>
      <c r="B36">
        <v>7601168562</v>
      </c>
      <c r="C36" t="inlineStr">
        <is>
          <t>https://weidian.com/item.html?itemID=7601168562</t>
        </is>
      </c>
      <c r="D36"/>
      <c r="E36" s="2" t="str">
        <f>=HYPERLINK("https://si.geilicdn.com/open1832946205-252808396-02e000000196d38ab1760a23b491_800_800.jpg?w=640&amp;h=640", "https://si.geilicdn.com/open1832946205-252808396-02e000000196d38ab1760a23b491_800_800.jpg?w=640&amp;h=640")</f>
        <v>https://si.geilicdn.com/open1832946205-252808396-02e000000196d38ab1760a23b491_800_800.jpg?w=640&amp;h=640</v>
      </c>
      <c r="F36" t="inlineStr">
        <is>
          <t>T-Shirts</t>
        </is>
      </c>
      <c r="G36" t="inlineStr">
        <is>
          <t>Sicko</t>
        </is>
      </c>
      <c r="H36" t="inlineStr">
        <is>
          <t>69.00</t>
        </is>
      </c>
      <c r="I36">
        <v>10</v>
      </c>
      <c r="J36" t="inlineStr">
        <is>
          <t>{"id":"chatcmpl-DWcS10SreCj4S6HYQqeG0oExNB1L3","object":"chat.completion","created":1776666673,"model":"gpt-5-chat-latest","choices":[{"index":0,"message":{"role":"assistant","content":"Sicko Born From Pain Purple Cartoon Graphic T-Shir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36" t="inlineStr">
        <is>
          <t>Sicko Born From Pain Purple Cartoon Graphic T-Shirt</t>
        </is>
      </c>
      <c r="L36" t="inlineStr">
        <is>
          <t>{"id":"chatcmpl-DWaNqTH3GPaa290S53SPdJ11WpKA8","object":"chat.completion","created":1776658726,"model":"gpt-5-chat-latest","choices":[{"index":0,"message":{"role":"assistant","content":"Sicko “Born From Pain” Purple Cotton T-Shirt, soft and skin-friendly fabric with cartoon graphic and logo, unisex streetwear style showing youthful individuality and retro attitude.","refusal":null,"annotations":[]},"logprobs":null,"finish_reason":"stop"}],"usage":{"prompt_tokens":899,"completion_tokens":37,"total_tokens":936,"prompt_tokens_details":{"cached_tokens":0,"audio_tokens":0},"completion_tokens_details":{"reasoning_tokens":0,"audio_tokens":0,"accepted_prediction_tokens":0,"rejected_prediction_tokens":0}},"service_tier":"default","system_fingerprint":"fp_ad66631dec"}</t>
        </is>
      </c>
      <c r="M3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ma=2592000","apim-request-id":"36649e61-2dbb-4727-a8a8-0dba3a45bf2f","azureml-model-session":"d20260405234249-f9874baf","cache-control":"no-cache, no-store, must-revalidate","connection":"close","content-length":"989","content-security-policy":"frame-ancestors 'self'","content-type":"application/json","date":"Mon, 20 Apr 2026 04:18:48 GMT","server":"Caddy","skip-error-remapping":"true","strict-transport-security":"max-age=31536000; includeSubDomains; preload","via":"1.1 Caddy","x-api-request-id":"20260420121844985387291pv75j5in","x-content-type-options":"nosniff","x-frame-options":"SAMEORIGIN","x-ms-is-spilled-over":"false","x-ms-rai-invoked":"false","x-ms-region":"Sweden Central","x-new-api-version":"0.4.39","x-oneapi-request-id":"202604200418449174693958268d9d6yJ9HGofM","x-ratelimit-abusepenalty-active":"False","x-ratelimit-limit-requests":"4993","x-ratelimit-limit-tokens":"4993000","x-ratelimit-remaining-requests":"4992","x-ratelimit-remaining-tokens":"4991339","x-ratelimit-renewalperiod-requests":"60","x-ratelimit-renewalperiod-tokens":"60","x-ratelimit-reset-requests":"12","x-ratelimit-reset-tokens":"19","x-request-id":"451b1d9d-cfa6-48de-abfc-1ba795890647"}</t>
        </is>
      </c>
      <c r="N36" t="inlineStr">
        <is>
          <t>Sicko “Born From Pain” Purple Cotton T-Shirt, soft and skin-friendly fabric with cartoon graphic and logo, unisex streetwear style showing youthful individuality and retro attitude.</t>
        </is>
      </c>
      <c r="O36" t="inlineStr">
        <is>
          <t>{"choices":[{"finish_reason":"content_filter","index":0,"logprobs":null,"message":{"annotations":[],"refusal":null,"role":"assistant"}}],"created":1776668861,"id":"chatcmpl-DWd1Je3Dx1TG1J9Y9GCqaiFOR0Wdh","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6"/>
      <c r="Q36" t="inlineStr">
        <is>
          <t>Unisex, Streetwear, Retro, Purple</t>
        </is>
      </c>
      <c r="R36" t="inlineStr">
        <is>
          <t>recvh6xFVj4boy</t>
        </is>
      </c>
      <c r="S36" t="inlineStr">
        <is>
          <t>sicko-born-pain-purple-cartoon-graphic-tshirt-recvh6xfvj4boy</t>
        </is>
      </c>
      <c r="T36"/>
      <c r="U36"/>
      <c r="V36"/>
      <c r="W36" t="inlineStr">
        <is>
          <t>{"id":"chatcmpl-DWZXRQ8mKjYzo1Pt1FOU1iukDw0hK","object":"chat.completion","created":1776655477,"model":"gpt-5-chat-latest","choices":[{"index":0,"message":{"role":"assistant","content":"Sicko：紫色“Born From Pain”系列棉质短袖T恤，采用柔软亲肤面料，胸前卡通图案与品牌英文标识融合街头潮流风格，男女通用，展现年轻个性与复古态度。","refusal":null,"annotations":[]},"logprobs":null,"finish_reason":"stop"}],"usage":{"prompt_tokens":1315,"completion_tokens":64,"total_tokens":1379,"prompt_tokens_details":{"cached_tokens":0,"audio_tokens":0},"completion_tokens_details":{"reasoning_tokens":0,"audio_tokens":0,"accepted_prediction_tokens":0,"rejected_prediction_tokens":0}},"service_tier":"default","system_fingerprint":"fp_ad66631dec"}</t>
        </is>
      </c>
      <c r="X36" t="inlineStr">
        <is>
          <t>Sicko：紫色“Born From Pain”系列棉质短袖T恤，采用柔软亲肤面料，胸前卡通图案与品牌英文标识融合街头潮流风格，男女通用，展现年轻个性与复古态度。</t>
        </is>
      </c>
    </row>
    <row r="37" ht="25.5" customHeight="1">
      <c r="A37">
        <v>1839115443</v>
      </c>
      <c r="B37">
        <v>7599189393</v>
      </c>
      <c r="C37" t="inlineStr">
        <is>
          <t>https://weidian.com/item.html?itemID=7599189393</t>
        </is>
      </c>
      <c r="D37"/>
      <c r="E37" s="2" t="str">
        <f>=HYPERLINK("https://si.geilicdn.com/open1832946205-252808396-01f300000196d1f169b40a22d249_800_800.jpg?w=640&amp;h=640", "https://si.geilicdn.com/open1832946205-252808396-01f300000196d1f169b40a22d249_800_800.jpg?w=640&amp;h=640")</f>
        <v>https://si.geilicdn.com/open1832946205-252808396-01f300000196d1f169b40a22d249_800_800.jpg?w=640&amp;h=640</v>
      </c>
      <c r="F37" t="inlineStr">
        <is>
          <t>Hoodies</t>
        </is>
      </c>
      <c r="G37" t="inlineStr">
        <is>
          <t>Palm Angels</t>
        </is>
      </c>
      <c r="H37" t="inlineStr">
        <is>
          <t>162.00</t>
        </is>
      </c>
      <c r="I37">
        <v>23.48</v>
      </c>
      <c r="J37" t="inlineStr">
        <is>
          <t>{"id":"chatcmpl-DWcSajSYoQU5TomNbY7BAKEvvDUEW","object":"chat.completion","created":1776666708,"model":"gpt-5-chat-latest","choices":[{"index":0,"message":{"role":"assistant","content":"Palm Angels Black Gothic Logo Cotton Hoodie","refusal":null,"annotations":[]},"logprobs":null,"finish_reason":"stop"}],"usage":{"prompt_tokens":889,"completion_tokens":8,"total_tokens":897,"prompt_tokens_details":{"cached_tokens":0,"audio_tokens":0},"completion_tokens_details":{"reasoning_tokens":0,"audio_tokens":0,"accepted_prediction_tokens":0,"rejected_prediction_tokens":0}},"service_tier":"default","system_fingerprint":"fp_ad66631dec"}</t>
        </is>
      </c>
      <c r="K37" t="inlineStr">
        <is>
          <t>Palm Angels Black Gothic Logo Cotton Hoodie</t>
        </is>
      </c>
      <c r="L37" t="inlineStr">
        <is>
          <t>{"choices":[{"finish_reason":"stop","index":0,"logprobs":null,"message":{"annotations":[],"content":"Palm Angels Black Gothic Logo Hoodie, made of soft cotton with all-over brand print, drawstring hood, and kangaroo pocket. Streetwear style for men and women, bold, trendy, and high-fashion.","refusal":null,"role":"assistant"}}],"created":1776659521,"id":"chatcmpl-DWaafW4a6FRcN6APxdPkJr4TuDOoG","model":"gpt-5-chat-latest","object":"chat.completion","service_tier":"default","system_fingerprint":"fp_ad66631dec","usage":{"completion_tokens":43,"completion_tokens_details":{"accepted_prediction_tokens":0,"audio_tokens":0,"reasoning_tokens":0,"rejected_prediction_tokens":0},"prompt_tokens":920,"prompt_tokens_details":{"audio_tokens":0,"cached_tokens":0},"total_tokens":963}}</t>
        </is>
      </c>
      <c r="M37" t="inlineStr">
        <is>
          <t>{"alt-svc":"h3=\":443\"; ma=2592000","apim-request-id":"2ce85759-468a-4153-a870-40afd8f3d261","azureml-model-session":"d20260405234249-f9874baf","cache-control":"no-cache","connection":"close","content-length":"778","content-security-policy":"frame-ancestors 'self'","content-type":"application/json","date":"Mon, 20 Apr 2026 04:32:03 GMT","server":"nginx","skip-error-remapping":"true","strict-transport-security":"max-age=31536000; includeSubDomains; preload","via":"1.1 Caddy, 1.1 Caddy","x-api-request-id":"2026042012320123091847746pNMK6G","x-content-type-options":"nosniff","x-frame-options":"SAMEORIGIN","x-ms-client-request-id":"Not-Set","x-ms-is-spilled-over":"false","x-ms-rai-invoked":"true","x-ms-region":"East US 2","x-new-api-version":"0.4.39","x-oneapi-request-id":"202604200432011625242118268d9d6DUQAuMFg","x-ratelimit-abusepenalty-active":"False","x-ratelimit-limit-requests":"3850","x-ratelimit-limit-tokens":"3850000","x-ratelimit-remaining-requests":"3849","x-ratelimit-remaining-tokens":"3848318","x-ratelimit-renewalperiod-requests":"60","x-ratelimit-renewalperiod-tokens":"60","x-ratelimit-reset-requests":"15","x-ratelimit-reset-tokens":"26","x-request-id":"3cee78c3-4785-41b1-9656-92a9d84dc711"}</t>
        </is>
      </c>
      <c r="N37" t="inlineStr">
        <is>
          <t>Palm Angels Black Gothic Logo Hoodie, made of soft cotton with all-over brand print, drawstring hood, and kangaroo pocket. Streetwear style for men and women, bold, trendy, and high-fashion.</t>
        </is>
      </c>
      <c r="O37" t="inlineStr">
        <is>
          <t>{"choices":[{"finish_reason":"stop","index":0,"logprobs":null,"message":{"annotations":[],"content":"Palm Angels,Hoodies,kakobuy,kakebuy2026,kekobuysheet,kakobuysheet2026,2026kakobuy,kakobuyspreadsheeet,kakobuylink,kakebuylist,Kakobuy MEGA Spreadsheet,kakobuysheetfind,kakobuysheetfind2026,2026kakobuysheetfind,kakobuysheet2026","refusal":null,"role":"assistant"}}],"created":1776668369,"id":"chatcmpl-DWctNsc6O0IRBYBhJWirdOIrO99Ok","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7" t="inlineStr">
        <is>
          <t>Palm Angels,Hoodies,kakobuy,kakebuy2026,kekobuysheet,kakobuysheet2026,2026kakobuy,kakobuyspreadsheeet,kakobuylink,kakebuylist,Kakobuy MEGA Spreadsheet,kakobuysheetfind,kakobuysheetfind2026,2026kakobuysheetfind,kakobuysheet2026</t>
        </is>
      </c>
      <c r="Q37" t="inlineStr">
        <is>
          <t>Streetwear, Unisex, Black</t>
        </is>
      </c>
      <c r="R37" t="inlineStr">
        <is>
          <t>recvh6xFVjnlEB</t>
        </is>
      </c>
      <c r="S37" t="inlineStr">
        <is>
          <t>palm-angels-black-gothic-logo-cotton-hoodie-recvh6xFVjnlEB</t>
        </is>
      </c>
      <c r="T37"/>
      <c r="U37"/>
      <c r="V37"/>
      <c r="W37" t="inlineStr">
        <is>
          <t>{"id":"chatcmpl-DWZOdJCJcTpOyghAoBMMwko6GvMfm","object":"chat.completion","created":1776654931,"model":"gpt-5-chat-latest","choices":[{"index":0,"message":{"role":"assistant","content":"Palm Angels：黑色街头连帽卫衣，柔软棉质面料打造，正反面满印品牌哥特字体图腾，展现强烈视觉冲击与街头艺术感。经典抽绳帽设计配前袋鼠兜，潮流休闲风格，男女皆宜，彰显青年个性与高街时尚魅力。","refusal":null,"annotations":[]},"logprobs":null,"finish_reason":"stop"}],"usage":{"prompt_tokens":1315,"completion_tokens":84,"total_tokens":1399,"prompt_tokens_details":{"cached_tokens":1280,"audio_tokens":0},"completion_tokens_details":{"reasoning_tokens":0,"audio_tokens":0,"accepted_prediction_tokens":0,"rejected_prediction_tokens":0}},"service_tier":"default","system_fingerprint":"fp_ad66631dec"}</t>
        </is>
      </c>
      <c r="X37" t="inlineStr">
        <is>
          <t>Palm Angels：黑色街头连帽卫衣，柔软棉质面料打造，正反面满印品牌哥特字体图腾，展现强烈视觉冲击与街头艺术感。经典抽绳帽设计配前袋鼠兜，潮流休闲风格，男女皆宜，彰显青年个性与高街时尚魅力。</t>
        </is>
      </c>
    </row>
    <row r="38" ht="25.5" customHeight="1">
      <c r="A38">
        <v>1839115443</v>
      </c>
      <c r="B38">
        <v>7601195858</v>
      </c>
      <c r="C38" t="inlineStr">
        <is>
          <t>https://weidian.com/item.html?itemID=7601195858</t>
        </is>
      </c>
      <c r="D38"/>
      <c r="E38" s="2" t="str">
        <f>=HYPERLINK("https://si.geilicdn.com/open1832946205-252808396-102f00000197534e9ced0a23b491_800_800.jpg?w=640&amp;h=640", "https://si.geilicdn.com/open1832946205-252808396-102f00000197534e9ced0a23b491_800_800.jpg?w=640&amp;h=640")</f>
        <v>https://si.geilicdn.com/open1832946205-252808396-102f00000197534e9ced0a23b491_800_800.jpg?w=640&amp;h=640</v>
      </c>
      <c r="F38" t="inlineStr">
        <is>
          <t>T-Shirts</t>
        </is>
      </c>
      <c r="G38" t="inlineStr">
        <is>
          <t>Nike</t>
        </is>
      </c>
      <c r="H38" t="inlineStr">
        <is>
          <t>132.00</t>
        </is>
      </c>
      <c r="I38">
        <v>19.13</v>
      </c>
      <c r="J38" t="inlineStr">
        <is>
          <t>{"choices":[{"finish_reason":"stop","index":0,"logprobs":null,"message":{"annotations":[],"content":"Nike Classic Black Cotton T-Shirt Unisex Crew Neck","refusal":null,"role":"assistant"}}],"created":1776665788,"id":"chatcmpl-DWcDkq9Yna7ufjoVodRcnXC0Fva78","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38" t="inlineStr">
        <is>
          <t>Nike Classic Black Cotton T-Shirt Unisex Crew Neck</t>
        </is>
      </c>
      <c r="L38" t="inlineStr">
        <is>
          <t>{"choices":[{"finish_reason":"stop","index":0,"logprobs":null,"message":{"annotations":[],"content":"Nike Classic Black T-Shirt made from premium cotton, soft and breathable. Features iconic Swoosh embroidery, relaxed fit, crew neck, unisex design for effortless sporty urban style.","refusal":null,"role":"assistant"}}],"created":1776658737,"id":"chatcmpl-DWaO1J193XYKWTBXMFd3NpfmKecam","model":"gpt-5-chat-latest","object":"chat.completion","service_tier":"default","system_fingerprint":"fp_ad66631dec","usage":{"completion_tokens":37,"completion_tokens_details":{"accepted_prediction_tokens":0,"audio_tokens":0,"reasoning_tokens":0,"rejected_prediction_tokens":0},"prompt_tokens":910,"prompt_tokens_details":{"audio_tokens":0,"cached_tokens":0},"total_tokens":947}}</t>
        </is>
      </c>
      <c r="M38" t="inlineStr">
        <is>
          <t>{"alt-svc":"h3=\":443\"; ma=2592000","apim-request-id":"eff32cc3-4bbc-4660-b686-1bbc16e0bf71","azureml-model-session":"d20260402083108-57a85543","cache-control":"no-cache","connection":"close","content-length":"769","content-security-policy":"frame-ancestors 'self'","content-type":"application/json","date":"Mon, 20 Apr 2026 04:18:59 GMT","server":"Caddy","skip-error-remapping":"true","strict-transport-security":"max-age=31536000; includeSubDomains; preload","via":"1.1 Caddy","x-api-request-id":"20260420121857164074180NY3hf6x","x-content-type-options":"nosniff","x-frame-options":"SAMEORIGIN","x-ms-client-request-id":"Not-Set","x-ms-is-spilled-over":"false","x-ms-rai-invoked":"true","x-ms-region":"East US 2","x-new-api-version":"0.4.39","x-oneapi-request-id":"202604200418565160992508268d9d65oG1qv1o","x-ratelimit-abusepenalty-active":"False","x-ratelimit-limit-requests":"3850","x-ratelimit-limit-tokens":"3850000","x-ratelimit-remaining-requests":"3849","x-ratelimit-remaining-tokens":"3848328","x-ratelimit-renewalperiod-requests":"60","x-ratelimit-renewalperiod-tokens":"60","x-ratelimit-reset-requests":"15","x-ratelimit-reset-tokens":"26","x-request-id":"4930cc64-0d77-4aef-b4cf-8d6ecec488ae"}</t>
        </is>
      </c>
      <c r="N38" t="inlineStr">
        <is>
          <t>Nike Classic Black T-Shirt made from premium cotton, soft and breathable. Features iconic Swoosh embroidery, relaxed fit, crew neck, unisex design for effortless sporty urban style.</t>
        </is>
      </c>
      <c r="O38" t="inlineStr">
        <is>
          <t>{"choices":[{"finish_reason":"stop","index":0,"logprobs":null,"message":{"annotations":[],"content":"Nike,T-Shirts,kakobuy,kakebuy2026,kekobuysheet,kakobuysheet2026,2026kakobuy,kakobuyspreadsheeet,kakobuylink,kakebuylist,Kakobuy MEGA Spreadsheet,kakobuysheetfind,kakobuysheetfind2026,2026kakobuysheetfind,kakobuysheet2026","refusal":null,"role":"assistant"}}],"created":1776668834,"id":"chatcmpl-DWd0s64H7vO1PhRJqJMK52OB3CbWz","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38" t="inlineStr">
        <is>
          <t>Nike,T-Shirts,kakobuy,kakebuy2026,kekobuysheet,kakobuysheet2026,2026kakobuy,kakobuyspreadsheeet,kakobuylink,kakebuylist,Kakobuy MEGA Spreadsheet,kakobuysheetfind,kakobuysheetfind2026,2026kakobuysheetfind,kakobuysheet2026</t>
        </is>
      </c>
      <c r="Q38" t="inlineStr">
        <is>
          <t>Nike, Black, Breathable, Unisex, Sporty, Streetwear</t>
        </is>
      </c>
      <c r="R38" t="inlineStr">
        <is>
          <t>recvh6xFVjVbIR</t>
        </is>
      </c>
      <c r="S38" t="inlineStr">
        <is>
          <t>nike-classic-black-cotton-tshirt-recvh6xfvjvbir</t>
        </is>
      </c>
      <c r="T38"/>
      <c r="U38"/>
      <c r="V38"/>
      <c r="W38" t="inlineStr">
        <is>
          <t>{"choices":[{"finish_reason":"stop","index":0,"logprobs":null,"message":{"annotations":[],"content":"Nike：经典黑色短袖T恤，采用高品质纯棉面料，透气柔软，胸前标志性Swoosh刺绣简约利落。宽松剪裁搭配圆领设计，男女皆宜。都市休闲风格，轻松演绎运动与时尚的完美平衡。","refusal":null,"role":"assistant"}}],"created":1776655545,"id":"chatcmpl-DWZYXwpHaB4ij9MNDojFv4RdbgyAy","model":"gpt-5-chat-latest","object":"chat.completion","service_tier":"default","system_fingerprint":"fp_ad66631dec","usage":{"completion_tokens":77,"completion_tokens_details":{"accepted_prediction_tokens":0,"audio_tokens":0,"reasoning_tokens":0,"rejected_prediction_tokens":0},"prompt_tokens":1309,"prompt_tokens_details":{"audio_tokens":0,"cached_tokens":0},"total_tokens":1386}}</t>
        </is>
      </c>
      <c r="X38" t="inlineStr">
        <is>
          <t>Nike：经典黑色短袖T恤，采用高品质纯棉面料，透气柔软，胸前标志性Swoosh刺绣简约利落。宽松剪裁搭配圆领设计，男女皆宜。都市休闲风格，轻松演绎运动与时尚的完美平衡。</t>
        </is>
      </c>
    </row>
    <row r="39" ht="25.5" customHeight="1">
      <c r="A39">
        <v>1839115443</v>
      </c>
      <c r="B39">
        <v>7601133010</v>
      </c>
      <c r="C39" t="inlineStr">
        <is>
          <t>https://weidian.com/item.html?itemID=7601133010</t>
        </is>
      </c>
      <c r="D39"/>
      <c r="E39" s="2" t="str">
        <f>=HYPERLINK("https://si.geilicdn.com/pcitem1946583606-6ac400000196cdbcbd450a239846-unadjust_1002_1012.png?w=640&amp;h=640", "https://si.geilicdn.com/pcitem1946583606-6ac400000196cdbcbd450a239846-unadjust_1002_1012.png?w=640&amp;h=640")</f>
        <v>https://si.geilicdn.com/pcitem1946583606-6ac400000196cdbcbd450a239846-unadjust_1002_1012.png?w=640&amp;h=640</v>
      </c>
      <c r="F39" t="inlineStr">
        <is>
          <t>T-Shirts</t>
        </is>
      </c>
      <c r="G39" t="inlineStr">
        <is>
          <t>Stone Island</t>
        </is>
      </c>
      <c r="H39" t="inlineStr">
        <is>
          <t>187.00</t>
        </is>
      </c>
      <c r="I39">
        <v>27.1</v>
      </c>
      <c r="J39" t="inlineStr">
        <is>
          <t>{"choices":[{"finish_reason":"stop","index":0,"logprobs":null,"message":{"annotations":[],"content":"Stone Island Black Cotton Logo T-Shirt","refusal":null,"role":"assistant"}}],"created":1776666918,"id":"chatcmpl-DWcVyGxwqK8lqW50bdSKYdASQ3JH5","model":"gpt-5-chat-latest","object":"chat.completion","service_tier":"default","system_fingerprint":"fp_ad66631dec","usage":{"completion_tokens":8,"completion_tokens_details":{"accepted_prediction_tokens":0,"audio_tokens":0,"reasoning_tokens":0,"rejected_prediction_tokens":0},"prompt_tokens":878,"prompt_tokens_details":{"audio_tokens":0,"cached_tokens":0},"total_tokens":886}}</t>
        </is>
      </c>
      <c r="K39" t="inlineStr">
        <is>
          <t>Stone Island Black Cotton Logo T-Shirt</t>
        </is>
      </c>
      <c r="L39" t="inlineStr">
        <is>
          <t>{"id":"chatcmpl-DWaIqiCDY2NmBAAvy1rF5TVxjrb9o","object":"chat.completion","created":1776658416,"model":"gpt-5-chat-latest","choices":[{"index":0,"message":{"role":"assistant","content":"Stone Island Black Minimalist Cotton T-Shirt, soft breathable fabric, classic crew neck with subtle chest logo embroidery. Unisex fit for urban casual or streetwear style with premium Italian design.","refusal":null,"annotations":[]},"logprobs":null,"finish_reason":"stop"}],"usage":{"prompt_tokens":915,"completion_tokens":38,"total_tokens":953,"prompt_tokens_details":{"cached_tokens":0,"audio_tokens":0},"completion_tokens_details":{"reasoning_tokens":0,"audio_tokens":0,"accepted_prediction_tokens":0,"rejected_prediction_tokens":0}},"service_tier":"default","system_fingerprint":"fp_ad66631dec"}</t>
        </is>
      </c>
      <c r="M3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ma=2592000","apim-request-id":"dd4cb264-c2ac-469f-b4d8-45f7927d133d","azureml-model-session":"d20260402074105-51db401e","cache-control":"no-cache, no-store, must-revalidate","connection":"close","content-length":"1003","content-security-policy":"frame-ancestors 'self'","content-type":"application/json","date":"Mon, 20 Apr 2026 04:13:38 GMT","server":"Caddy","skip-error-remapping":"true","strict-transport-security":"max-age=31536000; includeSubDomains; preload","via":"1.1 Caddy","x-api-request-id":"20260420121334912480140tBBhaGlN","x-content-type-options":"nosniff","x-frame-options":"SAMEORIGIN","x-ms-is-spilled-over":"false","x-ms-rai-invoked":"false","x-ms-region":"East US 2","x-new-api-version":"0.4.39","x-oneapi-request-id":"202604200413347926871498268d9d6TM7ULkTU","x-ratelimit-abusepenalty-active":"False","x-ratelimit-limit-requests":"4994","x-ratelimit-limit-tokens":"4994000","x-ratelimit-remaining-requests":"4993","x-ratelimit-remaining-tokens":"4992323","x-ratelimit-renewalperiod-requests":"60","x-ratelimit-renewalperiod-tokens":"60","x-ratelimit-reset-requests":"12","x-ratelimit-reset-tokens":"20","x-request-id":"44945413-337c-494c-a28e-da1f48f6877d"}</t>
        </is>
      </c>
      <c r="N39" t="inlineStr">
        <is>
          <t>Stone Island Black Minimalist Cotton T-Shirt, soft breathable fabric, classic crew neck with subtle chest logo embroidery. Unisex fit for urban casual or streetwear style with premium Italian design.</t>
        </is>
      </c>
      <c r="O39" t="inlineStr">
        <is>
          <t>{"choices":[{"finish_reason":"stop","index":0,"logprobs":null,"message":{"annotations":[],"content":"Stone Island, T-Shirts, kakobuy, kakebuy2026, kekobuysheet, kakobuysheet2026, 2026kakobuy, kakobuyspreadsheeet, kakobuylink, kakebuylist, Kakobuy MEGA Spreadsheet, kakobuysheetfind, kakobuysheetfind2026, 2026kakobuysheetfind, kakobuysheet2026","refusal":null,"role":"assistant"}}],"created":1776668667,"id":"chatcmpl-DWcyBG3hsYvfyFCXgVt8vPA3cSLdM","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39" t="inlineStr">
        <is>
          <t>Stone Island, T-Shirts, kakobuy, kakebuy2026, kekobuysheet, kakobuysheet2026, 2026kakobuy, kakobuyspreadsheeet, kakobuylink, kakebuylist, Kakobuy MEGA Spreadsheet, kakobuysheetfind, kakobuysheetfind2026, 2026kakobuysheetfind, kakobuysheet2026</t>
        </is>
      </c>
      <c r="Q39" t="inlineStr">
        <is>
          <t>Black, Minimalist, Unisex, Streetwear</t>
        </is>
      </c>
      <c r="R39" t="inlineStr">
        <is>
          <t>recvh6xFVjL3NH</t>
        </is>
      </c>
      <c r="S39" t="inlineStr">
        <is>
          <t>stone-island-black-cotton-logo-tshirt-recvh6xFVjL3NH</t>
        </is>
      </c>
      <c r="T39"/>
      <c r="U39"/>
      <c r="V39"/>
      <c r="W39" t="inlineStr">
        <is>
          <t>{"id":"chatcmpl-DWZcJR3lZ9vqLAKgjEHtr3hbeHCZH","object":"chat.completion","created":1776655779,"model":"gpt-5-chat-latest","choices":[{"index":0,"message":{"role":"assistant","content":"Stone Island：黑色简约系列短袖T恤，采用优质纯棉面料，柔软透气。极简圆领设计搭配胸前低调品牌刺绣，展现意式机能美学。男女通用版型，适合都市休闲与街头穿搭，兼具舒适与时尚质感。","refusal":null,"annotations":[]},"logprobs":null,"finish_reason":"stop"}],"usage":{"prompt_tokens":1312,"completion_tokens":81,"total_tokens":1393,"prompt_tokens_details":{"cached_tokens":0,"audio_tokens":0},"completion_tokens_details":{"reasoning_tokens":0,"audio_tokens":0,"accepted_prediction_tokens":0,"rejected_prediction_tokens":0}},"service_tier":"default","system_fingerprint":"fp_ad66631dec"}</t>
        </is>
      </c>
      <c r="X39" t="inlineStr">
        <is>
          <t>Stone Island：黑色简约系列短袖T恤，采用优质纯棉面料，柔软透气。极简圆领设计搭配胸前低调品牌刺绣，展现意式机能美学。男女通用版型，适合都市休闲与街头穿搭，兼具舒适与时尚质感。</t>
        </is>
      </c>
    </row>
    <row r="40" ht="25.5" customHeight="1">
      <c r="A40">
        <v>1839115443</v>
      </c>
      <c r="B40">
        <v>7599230915</v>
      </c>
      <c r="C40" t="inlineStr">
        <is>
          <t>https://weidian.com/item.html?itemID=7599230915</t>
        </is>
      </c>
      <c r="D40"/>
      <c r="E40" s="2" t="str">
        <f>=HYPERLINK("https://si.geilicdn.com/open1832946205-252808396-340a00000196d2eb23b40a23b4de_800_800.jpg?w=640&amp;h=640", "https://si.geilicdn.com/open1832946205-252808396-340a00000196d2eb23b40a23b4de_800_800.jpg?w=640&amp;h=640")</f>
        <v>https://si.geilicdn.com/open1832946205-252808396-340a00000196d2eb23b40a23b4de_800_800.jpg?w=640&amp;h=640</v>
      </c>
      <c r="F40" t="inlineStr">
        <is>
          <t>Hoodies</t>
        </is>
      </c>
      <c r="G40" t="inlineStr">
        <is>
          <t>Sicko</t>
        </is>
      </c>
      <c r="H40" t="inlineStr">
        <is>
          <t>74.00</t>
        </is>
      </c>
      <c r="I40">
        <v>10.72</v>
      </c>
      <c r="J40" t="inlineStr">
        <is>
          <t>{"error":{"code":"invalid_request","message":"Model name not specified, model name cannot be empty (request id: B20260420061835876587938tUc4WRHa)","type":"new_api_error"}}</t>
        </is>
      </c>
      <c r="K40"/>
      <c r="L40" t="inlineStr">
        <is>
          <t>{"choices":[{"finish_reason":"stop","index":0,"logprobs":null,"message":{"annotations":[],"content":"HoodiesSickoSicko Black \"Born From Pain\" Hoodie, crafted from soft heavy cotton, features red embossed logo and neon graphic back design, unisex streetwear style for bold urban attitude.","refusal":null,"role":"assistant"}}],"created":1776659501,"id":"chatcmpl-DWaaLSjD3JVMNfY2XR9CNpz4jQpvN","model":"gpt-5-chat-latest","object":"chat.completion","service_tier":"default","system_fingerprint":"fp_ad66631dec","usage":{"completion_tokens":44,"completion_tokens_details":{"accepted_prediction_tokens":0,"audio_tokens":0,"reasoning_tokens":0,"rejected_prediction_tokens":0},"prompt_tokens":910,"prompt_tokens_details":{"audio_tokens":0,"cached_tokens":0},"total_tokens":954}}</t>
        </is>
      </c>
      <c r="M40" t="inlineStr">
        <is>
          <t>{"alt-svc":"h3=\":443\"; ma=2592000","apim-request-id":"bf7b57a1-7f9b-4d33-bc58-f1992aa54760","azureml-model-session":"d20260402083108-57a85543","cache-control":"no-cache","connection":"close","content-length":"776","content-security-policy":"frame-ancestors 'self'","content-type":"application/json","date":"Mon, 20 Apr 2026 04:31:44 GMT","server":"Caddy","skip-error-remapping":"true","strict-transport-security":"max-age=31536000; includeSubDomains; preload","via":"1.1 Caddy","x-api-request-id":"20260420123140952639701Oq7qQ8Lm","x-content-type-options":"nosniff","x-frame-options":"SAMEORIGIN","x-ms-client-request-id":"Not-Set","x-ms-is-spilled-over":"false","x-ms-rai-invoked":"true","x-ms-region":"East US 2","x-new-api-version":"0.4.39","x-oneapi-request-id":"202604200431408851996498268d9d6HlFP4pZC","x-ratelimit-abusepenalty-active":"False","x-ratelimit-limit-requests":"3850","x-ratelimit-limit-tokens":"3850000","x-ratelimit-remaining-requests":"3849","x-ratelimit-remaining-tokens":"3848328","x-ratelimit-renewalperiod-requests":"60","x-ratelimit-renewalperiod-tokens":"60","x-ratelimit-reset-requests":"15","x-ratelimit-reset-tokens":"26","x-request-id":"43e06920-3c01-46a7-aca3-779732bb7c27"}</t>
        </is>
      </c>
      <c r="N40" t="inlineStr">
        <is>
          <t>HoodiesSickoSicko Black "Born From Pain" Hoodie, crafted from soft heavy cotton, features red embossed logo and neon graphic back design, unisex streetwear style for bold urban attitude.</t>
        </is>
      </c>
      <c r="O40" t="inlineStr">
        <is>
          <t>{"choices":[{"finish_reason":"stop","index":0,"logprobs":null,"message":{"annotations":[],"content":"Sicko,Hoodie,kakobuy,kakebuy2026,kekobuysheet,kakobuysheet2026,2026kakobuy,kakobuyspreadsheeet,kakobuylink,kakebuylist,Kakobuy MEGA Spreadsheet,kakobuysheetfind,kakobuysheetfind2026,2026kakobuysheetfind,kakobuysheet2026","refusal":null,"role":"assistant"}}],"created":1776667690,"id":"chatcmpl-DWciQj1FSZ2EkpKEvgrlpiCVmuE8I","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40" t="inlineStr">
        <is>
          <t>Sicko,Hoodie,kakobuy,kakebuy2026,kekobuysheet,kakobuysheet2026,2026kakobuy,kakobuyspreadsheeet,kakobuylink,kakebuylist,Kakobuy MEGA Spreadsheet,kakobuysheetfind,kakobuysheetfind2026,2026kakobuysheetfind,kakobuysheet2026</t>
        </is>
      </c>
      <c r="Q40" t="inlineStr">
        <is>
          <t>Black, Unisex, Streetwear</t>
        </is>
      </c>
      <c r="R40" t="inlineStr">
        <is>
          <t>recvh6xFVj9W6s</t>
        </is>
      </c>
      <c r="S40" t="inlineStr">
        <is>
          <t>recvh6xfvj9w6s</t>
        </is>
      </c>
      <c r="T40"/>
      <c r="U40"/>
      <c r="V40"/>
      <c r="W40" t="inlineStr">
        <is>
          <t>{"choices":[{"finish_reason":"stop","index":0,"logprobs":null,"message":{"annotations":[],"content":"Sicko 黑色“Born From Pain”系列连帽卫衣，精选柔软厚棉材质，正面红色浮雕标识，背面荧光人物图腾设计，呈现独特先锋街头风格，男女通用休闲款，彰显新世代潮流态度。","refusal":null,"role":"assistant"}}],"created":1776655772,"id":"chatcmpl-DWZcCTwmPGPGUiHz4oxGI9CjopaKW","model":"gpt-5-chat-latest","object":"chat.completion","service_tier":"default","system_fingerprint":"fp_ad66631dec","usage":{"completion_tokens":72,"completion_tokens_details":{"accepted_prediction_tokens":0,"audio_tokens":0,"reasoning_tokens":0,"rejected_prediction_tokens":0},"prompt_tokens":1320,"prompt_tokens_details":{"audio_tokens":0,"cached_tokens":1280},"total_tokens":1392}}</t>
        </is>
      </c>
      <c r="X40" t="inlineStr">
        <is>
          <t>Sicko 黑色“Born From Pain”系列连帽卫衣，精选柔软厚棉材质，正面红色浮雕标识，背面荧光人物图腾设计，呈现独特先锋街头风格，男女通用休闲款，彰显新世代潮流态度。</t>
        </is>
      </c>
    </row>
    <row r="41" ht="25.5" customHeight="1">
      <c r="A41">
        <v>1839115443</v>
      </c>
      <c r="B41">
        <v>7599262295</v>
      </c>
      <c r="C41" t="inlineStr">
        <is>
          <t>https://weidian.com/item.html?itemID=7599262295</t>
        </is>
      </c>
      <c r="D41"/>
      <c r="E41" s="2" t="str">
        <f>=HYPERLINK("https://si.geilicdn.com/open1832946205-252808396-1fe700000196cd29c0b50a22d249_800_800.jpg?w=640&amp;h=640", "https://si.geilicdn.com/open1832946205-252808396-1fe700000196cd29c0b50a22d249_800_800.jpg?w=640&amp;h=640")</f>
        <v>https://si.geilicdn.com/open1832946205-252808396-1fe700000196cd29c0b50a22d249_800_800.jpg?w=640&amp;h=640</v>
      </c>
      <c r="F41" t="inlineStr">
        <is>
          <t>Hoodies</t>
        </is>
      </c>
      <c r="G41" t="inlineStr">
        <is>
          <t>Supreme</t>
        </is>
      </c>
      <c r="H41" t="inlineStr">
        <is>
          <t>94.00</t>
        </is>
      </c>
      <c r="I41">
        <v>13.62</v>
      </c>
      <c r="J41" t="inlineStr">
        <is>
          <t>{"choices":[{"finish_reason":"stop","index":0,"logprobs":null,"message":{"annotations":[],"content":"Supreme Fox Blue Yellow Mesh Hoodie","refusal":null,"role":"assistant"}}],"created":1776666018,"id":"chatcmpl-DWcHSHEkJxLOt0NQwLKoij70xo29E","model":"gpt-5-chat-latest","object":"chat.completion","service_tier":"default","system_fingerprint":"fp_ad66631dec","usage":{"completion_tokens":8,"completion_tokens_details":{"accepted_prediction_tokens":0,"audio_tokens":0,"reasoning_tokens":0,"rejected_prediction_tokens":0},"prompt_tokens":879,"prompt_tokens_details":{"audio_tokens":0,"cached_tokens":0},"total_tokens":887}}</t>
        </is>
      </c>
      <c r="K41" t="inlineStr">
        <is>
          <t>Supreme Fox Blue Yellow Mesh Hoodie</t>
        </is>
      </c>
      <c r="L41" t="inlineStr">
        <is>
          <t>{"choices":[{"finish_reason":"stop","index":0,"logprobs":null,"message":{"annotations":[],"content":"Supreme x Fox Collab Blue Yellow Mesh Hoodie – Lightweight breathable long sleeve with bold red-white logo and fox head emblem, moto street style for men and women, sporty and trendy.","refusal":null,"role":"assistant"}}],"created":1776658927,"id":"chatcmpl-DWaR52Y1AhfaSErflIktXmdQQO3kY","model":"gpt-5-chat-latest","object":"chat.completion","service_tier":"default","system_fingerprint":"fp_ad66631dec","usage":{"completion_tokens":38,"completion_tokens_details":{"accepted_prediction_tokens":0,"audio_tokens":0,"reasoning_tokens":0,"rejected_prediction_tokens":0},"prompt_tokens":902,"prompt_tokens_details":{"audio_tokens":0,"cached_tokens":0},"total_tokens":940}}</t>
        </is>
      </c>
      <c r="M41" t="inlineStr">
        <is>
          <t>{"alt-svc":"h3=\":443\"; ma=2592000","apim-request-id":"7bf2a229-4cef-4d6d-971d-67275d65853c","azureml-model-session":"d20260405234249-f9874baf","cache-control":"no-cache","connection":"close","content-length":"773","content-security-policy":"frame-ancestors 'self'","content-type":"application/json","date":"Mon, 20 Apr 2026 04:22:08 GMT","server":"nginx","skip-error-remapping":"true","strict-transport-security":"max-age=31536000; includeSubDomains; preload","via":"1.1 Caddy, 1.1 Caddy","x-api-request-id":"20260420122206321054047fI1O3lEw","x-content-type-options":"nosniff","x-frame-options":"SAMEORIGIN","x-ms-client-request-id":"Not-Set","x-ms-is-spilled-over":"false","x-ms-rai-invoked":"true","x-ms-region":"East US 2","x-new-api-version":"0.4.39","x-oneapi-request-id":"202604200422062555681798268d9d6jFkfvRkX","x-ratelimit-abusepenalty-active":"False","x-ratelimit-limit-requests":"3850","x-ratelimit-limit-tokens":"3850000","x-ratelimit-remaining-requests":"3849","x-ratelimit-remaining-tokens":"3848336","x-ratelimit-renewalperiod-requests":"60","x-ratelimit-renewalperiod-tokens":"60","x-ratelimit-reset-requests":"15","x-ratelimit-reset-tokens":"25","x-request-id":"b7af57f0-d919-47ae-a5e6-5727be8c952e"}</t>
        </is>
      </c>
      <c r="N41" t="inlineStr">
        <is>
          <t>Supreme x Fox Collab Blue Yellow Mesh Hoodie – Lightweight breathable long sleeve with bold red-white logo and fox head emblem, moto street style for men and women, sporty and trendy.</t>
        </is>
      </c>
      <c r="O41" t="inlineStr">
        <is>
          <t>{"choices":[{"finish_reason":"stop","index":0,"logprobs":null,"message":{"annotations":[],"content":"Supreme,Hoodie,kakobuy,kakebuy2026,kekobuysheet,kakobuysheet2026,2026kakobuy,kakobuyspreadsheeet,kakobuylink,kakebuylist,Kakobuy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1776667818,"id":"chatcmpl-DWckUN10xTOs7yPL8O42bEN5ksYao","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41" t="inlineStr">
        <is>
          <t>Supreme,Hoodie,kakobuy,kakebuy2026,kekobuysheet,kakobuysheet2026,2026kakobuy,kakobuyspreadsheeet,kakobuylink,kakebuylist,Kakobuy MEGA Spreadsheet,kakobuysheetfind,kakobuysheetfind2026,2026kakobuysheetfind,kakobuysheet2026</t>
        </is>
      </c>
      <c r="Q41" t="inlineStr">
        <is>
          <t>Supreme, Mesh, Lightweight, Breathable, Moto, Streetwear</t>
        </is>
      </c>
      <c r="R41" t="inlineStr">
        <is>
          <t>recvh6xFVj8TUZ</t>
        </is>
      </c>
      <c r="S41" t="inlineStr">
        <is>
          <t>supreme-fox-blue-yellow-mesh-hoodie-recvh6xFVj8TUZ</t>
        </is>
      </c>
      <c r="T41"/>
      <c r="U41"/>
      <c r="V41"/>
      <c r="W41" t="inlineStr">
        <is>
          <t>{"id":"chatcmpl-DWZgHsSiSl1wUZ5zHKMuP6UO6nQLN","object":"chat.completion","created":1776656025,"model":"gpt-5-chat-latest","choices":[{"index":0,"message":{"role":"assistant","content":"Supreme：联名系列蓝黄撞色机能长袖，采用轻盈透气网眼面料，胸前红白Logo与狐头图腾设计张扬个性，街头机车风格，男女皆宜，展现运动与潮流融合的前卫态度。","refusal":null,"annotations":[]},"logprobs":null,"finish_reason":"stop"}],"usage":{"prompt_tokens":1315,"completion_tokens":66,"total_tokens":1381,"prompt_tokens_details":{"cached_tokens":0,"audio_tokens":0},"completion_tokens_details":{"reasoning_tokens":0,"audio_tokens":0,"accepted_prediction_tokens":0,"rejected_prediction_tokens":0}},"service_tier":"default","system_fingerprint":"fp_ad66631dec"}</t>
        </is>
      </c>
      <c r="X41" t="inlineStr">
        <is>
          <t>Supreme：联名系列蓝黄撞色机能长袖，采用轻盈透气网眼面料，胸前红白Logo与狐头图腾设计张扬个性，街头机车风格，男女皆宜，展现运动与潮流融合的前卫态度。</t>
        </is>
      </c>
    </row>
    <row r="42" ht="25.5" customHeight="1">
      <c r="A42">
        <v>1839115443</v>
      </c>
      <c r="B42">
        <v>7601144836</v>
      </c>
      <c r="C42" t="inlineStr">
        <is>
          <t>https://weidian.com/item.html?itemID=7601144836</t>
        </is>
      </c>
      <c r="D42"/>
      <c r="E42" s="2" t="str">
        <f>=HYPERLINK("https://si.geilicdn.com/open1832946205-252808396-230900000197f3f6cc540aa043f9_1080_1080.jpg?w=640&amp;h=640", "https://si.geilicdn.com/open1832946205-252808396-230900000197f3f6cc540aa043f9_1080_1080.jpg?w=640&amp;h=640")</f>
        <v>https://si.geilicdn.com/open1832946205-252808396-230900000197f3f6cc540aa043f9_1080_1080.jpg?w=640&amp;h=640</v>
      </c>
      <c r="F42" t="inlineStr">
        <is>
          <t>Pants</t>
        </is>
      </c>
      <c r="G42" t="inlineStr">
        <is>
          <t>Stussy</t>
        </is>
      </c>
      <c r="H42" t="inlineStr">
        <is>
          <t>182.00</t>
        </is>
      </c>
      <c r="I42">
        <v>26.38</v>
      </c>
      <c r="J42" t="inlineStr">
        <is>
          <t>{"choices":[{"finish_reason":"stop","index":0,"logprobs":null,"message":{"annotations":[],"content":"Stussy Light Blue 8-Ball Vintage Denim Pants","refusal":null,"role":"assistant"}}],"created":1776666354,"id":"chatcmpl-DWcMsoaj8URwHPbDjBywp7VIYa6GR","model":"gpt-5-chat-latest","object":"chat.completion","service_tier":"default","system_fingerprint":"fp_ad66631dec","usage":{"completion_tokens":12,"completion_tokens_details":{"accepted_prediction_tokens":0,"audio_tokens":0,"reasoning_tokens":0,"rejected_prediction_tokens":0},"prompt_tokens":882,"prompt_tokens_details":{"audio_tokens":0,"cached_tokens":0},"total_tokens":894}}</t>
        </is>
      </c>
      <c r="K42" t="inlineStr">
        <is>
          <t>Stussy Light Blue 8-Ball Vintage Denim Pants</t>
        </is>
      </c>
      <c r="L42" t="inlineStr">
        <is>
          <t>{"choices":[{"finish_reason":"stop","index":0,"logprobs":null,"message":{"annotations":[],"content":"Stussy Light Blue Vintage Denim Pants made from high-density cotton, featuring graffiti logo and black 8-ball graphic. Straight-cut unisex design blends ’90s street style with comfort and durability.","refusal":null,"role":"assistant"}}],"created":1776659396,"id":"chatcmpl-DWaYeGwGfwBdxHNpluDJQWbi7Kve8","model":"gpt-5-chat-latest","object":"chat.completion","service_tier":"default","system_fingerprint":"fp_ad66631dec","usage":{"completion_tokens":40,"completion_tokens_details":{"accepted_prediction_tokens":0,"audio_tokens":0,"reasoning_tokens":0,"rejected_prediction_tokens":0},"prompt_tokens":939,"prompt_tokens_details":{"audio_tokens":0,"cached_tokens":0},"total_tokens":979}}</t>
        </is>
      </c>
      <c r="M42" t="inlineStr">
        <is>
          <t>{"alt-svc":"h3=\":443\"; ma=2592000","apim-request-id":"2c38674d-4e68-451e-9a31-8ac7b05a052f","azureml-model-session":"d20260405234249-f9874baf","cache-control":"no-cache","connection":"close","content-length":"789","content-security-policy":"frame-ancestors 'self'","content-type":"application/json","date":"Mon, 20 Apr 2026 04:29:57 GMT","server":"Caddy","skip-error-remapping":"true","strict-transport-security":"max-age=31536000; includeSubDomains; preload","via":"1.1 Caddy","x-api-request-id":"20260420122955150978964DwQvkXdM","x-content-type-options":"nosniff","x-frame-options":"SAMEORIGIN","x-ms-client-request-id":"Not-Set","x-ms-is-spilled-over":"false","x-ms-rai-invoked":"true","x-ms-region":"East US 2","x-new-api-version":"0.4.39","x-oneapi-request-id":"20260420042955706553648268d9d6uvVsqOYC","x-ratelimit-abusepenalty-active":"False","x-ratelimit-limit-requests":"3850","x-ratelimit-limit-tokens":"3850000","x-ratelimit-remaining-requests":"3849","x-ratelimit-remaining-tokens":"3848299","x-ratelimit-renewalperiod-requests":"60","x-ratelimit-renewalperiod-tokens":"60","x-ratelimit-reset-requests":"15","x-ratelimit-reset-tokens":"26","x-request-id":"7e7b0ee6-3927-4c05-8c3a-036ce07a2098"}</t>
        </is>
      </c>
      <c r="N42" t="inlineStr">
        <is>
          <t>Stussy Light Blue Vintage Denim Pants made from high-density cotton, featuring graffiti logo and black 8-ball graphic. Straight-cut unisex design blends ’90s street style with comfort and durability.</t>
        </is>
      </c>
      <c r="O42" t="inlineStr">
        <is>
          <t>{"choices":[{"finish_reason":"stop","index":0,"logprobs":null,"message":{"annotations":[],"content":"Stussy,Pants,kakobuy,kakebuy2026,kekobuysheet,kakobuysheet2026,2026kakobuy,kakobuyspreadsheeet,kakobuylink,kakebuylist,Kakobuy MEGA Spreadsheet,kakobuysheetfind,kakobuysheetfind2026,2026kakobuysheetfind,kakobuysheet2026","refusal":null,"role":"assistant"}}],"created":1776667905,"id":"chatcmpl-DWcltGrXgUDArLuf7hbtkRxwfg6b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42" t="inlineStr">
        <is>
          <t>Stussy,Pants,kakobuy,kakebuy2026,kekobuysheet,kakobuysheet2026,2026kakobuy,kakobuyspreadsheeet,kakobuylink,kakebuylist,Kakobuy MEGA Spreadsheet,kakobuysheetfind,kakobuysheetfind2026,2026kakobuysheetfind,kakobuysheet2026</t>
        </is>
      </c>
      <c r="Q42" t="inlineStr">
        <is>
          <t>Stussy, Denim, Vintage, Streetwear, Unisex, Blue</t>
        </is>
      </c>
      <c r="R42" t="inlineStr">
        <is>
          <t>recvh6xFVjpMOp</t>
        </is>
      </c>
      <c r="S42" t="inlineStr">
        <is>
          <t>stussy-light-blue-8-ball-vintage-denim-pants-recvh6xFVjpMOp</t>
        </is>
      </c>
      <c r="T42"/>
      <c r="U42"/>
      <c r="V42"/>
      <c r="W42" t="inlineStr">
        <is>
          <t>{"id":"chatcmpl-DWZiMb0sKVJlisWvwxD3U9tHVIMie","object":"chat.completion","created":1776656154,"model":"gpt-5-chat-latest","choices":[{"index":0,"message":{"role":"assistant","content":"Stussy浅蓝复古牛仔裤，采用高密度棉质面料打造，质感挺括耐磨。后袋印有经典涂鸦风格Logo及黑色撞色8球图腾，展现标志性街头美学。直筒剪裁修饰腿型，男女皆宜，契合90年代街头文化氛围。休闲潮流单品，兼具舒适与时尚态度。","refusal":null,"annotations":[]},"logprobs":null,"finish_reason":"stop"}],"usage":{"prompt_tokens":1316,"completion_tokens":103,"total_tokens":1419,"prompt_tokens_details":{"cached_tokens":0,"audio_tokens":0},"completion_tokens_details":{"reasoning_tokens":0,"audio_tokens":0,"accepted_prediction_tokens":0,"rejected_prediction_tokens":0}},"service_tier":"default","system_fingerprint":"fp_ad66631dec"}</t>
        </is>
      </c>
      <c r="X42" t="inlineStr">
        <is>
          <t>Stussy浅蓝复古牛仔裤，采用高密度棉质面料打造，质感挺括耐磨。后袋印有经典涂鸦风格Logo及黑色撞色8球图腾，展现标志性街头美学。直筒剪裁修饰腿型，男女皆宜，契合90年代街头文化氛围。休闲潮流单品，兼具舒适与时尚态度。</t>
        </is>
      </c>
    </row>
    <row r="43" ht="25.5" customHeight="1">
      <c r="A43">
        <v>1839115443</v>
      </c>
      <c r="B43">
        <v>7599270413</v>
      </c>
      <c r="C43" t="inlineStr">
        <is>
          <t>https://weidian.com/item.html?itemID=7599270413</t>
        </is>
      </c>
      <c r="D43"/>
      <c r="E43" s="2" t="str">
        <f>=HYPERLINK("https://si.geilicdn.com/open1832946205-252808396-020f00000196d250c4fc0a231226_750_750.jpg?w=640&amp;h=640", "https://si.geilicdn.com/open1832946205-252808396-020f00000196d250c4fc0a231226_750_750.jpg?w=640&amp;h=640")</f>
        <v>https://si.geilicdn.com/open1832946205-252808396-020f00000196d250c4fc0a231226_750_750.jpg?w=640&amp;h=640</v>
      </c>
      <c r="F43" t="inlineStr">
        <is>
          <t>Hoodies</t>
        </is>
      </c>
      <c r="G43" t="inlineStr">
        <is>
          <t xml:space="preserve">Y2K </t>
        </is>
      </c>
      <c r="H43" t="inlineStr">
        <is>
          <t>145.00</t>
        </is>
      </c>
      <c r="I43">
        <v>21.01</v>
      </c>
      <c r="J43" t="inlineStr">
        <is>
          <t>{"choices":[{"finish_reason":"stop","index":0,"logprobs":null,"message":{"annotations":[],"content":"HoodiesY2K 4tune Off-White Star Zip Up Hoodie Unisex","refusal":null,"role":"assistant"}}],"created":1776666892,"id":"chatcmpl-DWcVYxhikjl6TGOV1idwZT9HP4wz5","model":"gpt-5-chat-latest","object":"chat.completion","service_tier":"default","system_fingerprint":"fp_ad66631dec","usage":{"completion_tokens":20,"completion_tokens_details":{"accepted_prediction_tokens":0,"audio_tokens":0,"reasoning_tokens":0,"rejected_prediction_tokens":0},"prompt_tokens":899,"prompt_tokens_details":{"audio_tokens":0,"cached_tokens":0},"total_tokens":919}}</t>
        </is>
      </c>
      <c r="K43" t="inlineStr">
        <is>
          <t>HoodiesY2K 4tune Off-White Star Zip Up Hoodie Unisex</t>
        </is>
      </c>
      <c r="L43" t="inlineStr">
        <is>
          <t>{"choices":[{"finish_reason":"stop","index":0,"logprobs":null,"message":{"annotations":[],"content":"HoodiesY2K 4tune Off-White Zip Hoodie blends soft cotton comfort with star logo 3D print, delivering a Y2K futuristic streetwear style. Unisex loose fit perfect for retro fashion outfits.","refusal":null,"role":"assistant"}}],"created":1776658702,"id":"chatcmpl-DWaNShLdfVLZevh2fhOD2qNGPY1fJ","model":"gpt-5-chat-latest","object":"chat.completion","service_tier":"default","system_fingerprint":"fp_ad66631dec","usage":{"completion_tokens":48,"completion_tokens_details":{"accepted_prediction_tokens":0,"audio_tokens":0,"reasoning_tokens":0,"rejected_prediction_tokens":0},"prompt_tokens":908,"prompt_tokens_details":{"audio_tokens":0,"cached_tokens":0},"total_tokens":956}}</t>
        </is>
      </c>
      <c r="M43" t="inlineStr">
        <is>
          <t>{"alt-svc":"h3=\":443\"; ma=2592000","apim-request-id":"7f6ae22c-26c2-4b53-ae03-e4e25669cac2","azureml-model-session":"d20260402083108-57a85543","cache-control":"no-cache","connection":"close","content-length":"775","content-security-policy":"frame-ancestors 'self'","content-type":"application/json","date":"Mon, 20 Apr 2026 04:18:23 GMT","server":"nginx","skip-error-remapping":"true","strict-transport-security":"max-age=31536000; includeSubDomains; preload","via":"1.1 Caddy, 1.1 Caddy","x-api-request-id":"20260420121821875353416mGWlfxjR","x-content-type-options":"nosniff","x-frame-options":"SAMEORIGIN","x-ms-client-request-id":"Not-Set","x-ms-is-spilled-over":"false","x-ms-rai-invoked":"true","x-ms-region":"East US 2","x-new-api-version":"0.4.39","x-oneapi-request-id":"202604200418218092907708268d9d6WrNLBNMg","x-ratelimit-abusepenalty-active":"False","x-ratelimit-limit-requests":"3850","x-ratelimit-limit-tokens":"3850000","x-ratelimit-remaining-requests":"3849","x-ratelimit-remaining-tokens":"3848330","x-ratelimit-renewalperiod-requests":"60","x-ratelimit-renewalperiod-tokens":"60","x-ratelimit-reset-requests":"15","x-ratelimit-reset-tokens":"26","x-request-id":"7ca80f4e-02b6-40d5-8168-f23f450c347e"}</t>
        </is>
      </c>
      <c r="N43" t="inlineStr">
        <is>
          <t>HoodiesY2K 4tune Off-White Zip Hoodie blends soft cotton comfort with star logo 3D print, delivering a Y2K futuristic streetwear style. Unisex loose fit perfect for retro fashion outfits.</t>
        </is>
      </c>
      <c r="O43" t="inlineStr">
        <is>
          <t>{"choices":[{"finish_reason":"stop","index":0,"logprobs":null,"message":{"annotations":[],"content":"4tune, hoodie, kakobuy, kakebuy2026, kekobuysheet, kakobuysheet2026, 2026kakobuy, kakobuyspreadsheeet, kakobuylink, kakebuylist, Kakobuy MEGA Spreadsheet, kakobuysheetfind, kakobuysheetfind2026, 2026kakobuysheetfind, kakobuysheet2026","refusal":null,"role":"assistant"}}],"created":1776668813,"id":"chatcmpl-DWd0XjdonpPM5S1BYKlXEMiMmX2M4","model":"gpt-5-chat-latest","object":"chat.completion","service_tier":"default","system_fingerprint":"fp_ad66631dec","usage":{"completion_tokens":92,"completion_tokens_details":{"accepted_prediction_tokens":0,"audio_tokens":0,"reasoning_tokens":0,"rejected_prediction_tokens":0},"prompt_tokens":785,"prompt_tokens_details":{"audio_tokens":0,"cached_tokens":0},"total_tokens":877}}</t>
        </is>
      </c>
      <c r="P43" t="inlineStr">
        <is>
          <t>4tune, hoodie, kakobuy, kakebuy2026, kekobuysheet, kakobuysheet2026, 2026kakobuy, kakobuyspreadsheeet, kakobuylink, kakebuylist, Kakobuy MEGA Spreadsheet, kakobuysheetfind, kakobuysheetfind2026, 2026kakobuysheetfind, kakobuysheet2026</t>
        </is>
      </c>
      <c r="Q43" t="inlineStr">
        <is>
          <t>Off-White, Streetwear, Retro, Unisex</t>
        </is>
      </c>
      <c r="R43" t="inlineStr">
        <is>
          <t>recvh6xFVj61CR</t>
        </is>
      </c>
      <c r="S43" t="inlineStr">
        <is>
          <t>hoodiesy2k-4tune-off-white-star-zip-hoodie-recvh6xfvj61cr</t>
        </is>
      </c>
      <c r="T43"/>
      <c r="U43"/>
      <c r="V43"/>
      <c r="W43" t="inlineStr">
        <is>
          <t>{"id":"chatcmpl-DWZd1XjrBBVu5tKpw3wQX6avedBsB","object":"chat.completion","created":1776655823,"model":"gpt-5-chat-latest","choices":[{"index":0,"message":{"role":"assistant","content":"Other 系列米白色拉链连帽卫衣，柔软棉质材质结合星形Logo与4tune立体印花，呈现Y2K未来感街头风格，宽松版型兼顾舒适与造型感，男女皆宜，适合复古潮流穿搭。","refusal":null,"annotations":[]},"logprobs":null,"finish_reason":"stop"}],"usage":{"prompt_tokens":1316,"completion_tokens":72,"total_tokens":1388,"prompt_tokens_details":{"cached_tokens":0,"audio_tokens":0},"completion_tokens_details":{"reasoning_tokens":0,"audio_tokens":0,"accepted_prediction_tokens":0,"rejected_prediction_tokens":0}},"service_tier":"default","system_fingerprint":"fp_ad66631dec"}</t>
        </is>
      </c>
      <c r="X43" t="inlineStr">
        <is>
          <t>Other 系列米白色拉链连帽卫衣，柔软棉质材质结合星形Logo与4tune立体印花，呈现Y2K未来感街头风格，宽松版型兼顾舒适与造型感，男女皆宜，适合复古潮流穿搭。</t>
        </is>
      </c>
    </row>
    <row r="44" ht="25.5" customHeight="1">
      <c r="A44">
        <v>1839115443</v>
      </c>
      <c r="B44">
        <v>7601146710</v>
      </c>
      <c r="C44" t="inlineStr">
        <is>
          <t>https://weidian.com/item.html?itemID=7601146710</t>
        </is>
      </c>
      <c r="D44"/>
      <c r="E44" s="2" t="str">
        <f>=HYPERLINK("https://si.geilicdn.com/open1832946205-252808396-405b00000197f3e17e310a8133b0_790_1053.jpg?w=640&amp;h=640", "https://si.geilicdn.com/open1832946205-252808396-405b00000197f3e17e310a8133b0_790_1053.jpg?w=640&amp;h=640")</f>
        <v>https://si.geilicdn.com/open1832946205-252808396-405b00000197f3e17e310a8133b0_790_1053.jpg?w=640&amp;h=640</v>
      </c>
      <c r="F44" t="inlineStr">
        <is>
          <t>Pants</t>
        </is>
      </c>
      <c r="G44" t="inlineStr">
        <is>
          <t>Y2K</t>
        </is>
      </c>
      <c r="H44" t="inlineStr">
        <is>
          <t>182.00</t>
        </is>
      </c>
      <c r="I44">
        <v>26.38</v>
      </c>
      <c r="J44" t="inlineStr">
        <is>
          <t>{"choices":[{"finish_reason":"stop","index":0,"logprobs":null,"message":{"annotations":[],"content":"PantsY2K Orange Black Leopard Satin Wide Leg Pants","refusal":null,"role":"assistant"}}],"created":1776666705,"id":"chatcmpl-DWcSXyctktXg8JFov3I5sMWQaAkfO","model":"gpt-5-chat-latest","object":"chat.completion","service_tier":"default","system_fingerprint":"fp_ad66631dec","usage":{"completion_tokens":13,"completion_tokens_details":{"accepted_prediction_tokens":0,"audio_tokens":0,"reasoning_tokens":0,"rejected_prediction_tokens":0},"prompt_tokens":888,"prompt_tokens_details":{"audio_tokens":0,"cached_tokens":0},"total_tokens":901}}</t>
        </is>
      </c>
      <c r="K44" t="inlineStr">
        <is>
          <t>PantsY2K Orange Black Leopard Satin Wide Leg Pants</t>
        </is>
      </c>
      <c r="L44" t="inlineStr">
        <is>
          <t>{"id":"chatcmpl-DWaRBsbeQaryjfIz1VfJw8VdYaavb","object":"chat.completion","created":1776658933,"model":"gpt-5-chat-latest","choices":[{"index":0,"message":{"role":"assistant","content":"PantsY2KOther Y2K Orange Black Leopard Print Satin Wide Leg Pants, shiny retro street style with futuristic flair, loose fit flatters all genders, bold statement fashion for modern trendsetters.","refusal":null,"annotations":[]},"logprobs":null,"finish_reason":"stop"}],"usage":{"prompt_tokens":904,"completion_tokens":43,"total_tokens":947,"prompt_tokens_details":{"cached_tokens":0,"audio_tokens":0},"completion_tokens_details":{"reasoning_tokens":0,"audio_tokens":0,"accepted_prediction_tokens":0,"rejected_prediction_tokens":0}},"service_tier":"default","system_fingerprint":"fp_ad66631dec"}</t>
        </is>
      </c>
      <c r="M4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ma=2592000","apim-request-id":"3f106ca8-a845-4e1d-a430-90a5d7da0755","azureml-model-session":"d20260405234249-f9874baf","cache-control":"no-cache, no-store, must-revalidate","connection":"close","content-length":"998","content-security-policy":"frame-ancestors 'self'","content-type":"application/json","date":"Mon, 20 Apr 2026 04:22:16 GMT","server":"nginx","skip-error-remapping":"true","strict-transport-security":"max-age=31536000; includeSubDomains; preload","via":"1.1 Caddy, 1.1 Caddy","x-api-request-id":"202604201222117084506213gjcdLDp","x-content-type-options":"nosniff","x-frame-options":"SAMEORIGIN","x-ms-is-spilled-over":"false","x-ms-rai-invoked":"false","x-ms-region":"Sweden Central","x-new-api-version":"0.4.39","x-oneapi-request-id":"202604200422116432120948268d9d6urZ3EIH8","x-ratelimit-abusepenalty-active":"False","x-ratelimit-limit-requests":"4993","x-ratelimit-limit-tokens":"4993000","x-ratelimit-remaining-requests":"4992","x-ratelimit-remaining-tokens":"4991334","x-ratelimit-renewalperiod-requests":"60","x-ratelimit-renewalperiod-tokens":"60","x-ratelimit-reset-requests":"12","x-ratelimit-reset-tokens":"20","x-request-id":"3bb6d1e7-a6c7-4dba-a68f-80444542cf0f"}</t>
        </is>
      </c>
      <c r="N44" t="inlineStr">
        <is>
          <t>PantsY2KOther Y2K Orange Black Leopard Print Satin Wide Leg Pants, shiny retro street style with futuristic flair, loose fit flatters all genders, bold statement fashion for modern trendsetters.</t>
        </is>
      </c>
      <c r="O44" t="inlineStr">
        <is>
          <t>{"choices":[{"finish_reason":"stop","index":0,"logprobs":null,"message":{"annotations":[],"content":"PantsY2K,Pants,kakobuy,kakebuy2026,kekobuysheet,kakobuysheet2026,2026kakobuy,kakobuyspreadsheeet,kakobuylink,kakebuylist,Kakobuy MEGA Spreadsheet,kakobuysheetfind,kakobuysheetfind2026,2026kakobuysheetfind,kakobuysheet2026","refusal":null,"role":"assistant"}}],"created":1776667582,"id":"chatcmpl-DWcggnqQFR43IEOWAP67ZRoBSDpgK","model":"gpt-5-chat-latest","object":"chat.completion","service_tier":"default","system_fingerprint":"fp_ad66631dec","usage":{"completion_tokens":90,"completion_tokens_details":{"accepted_prediction_tokens":0,"audio_tokens":0,"reasoning_tokens":0,"rejected_prediction_tokens":0},"prompt_tokens":784,"prompt_tokens_details":{"audio_tokens":0,"cached_tokens":0},"total_tokens":874}}</t>
        </is>
      </c>
      <c r="P44" t="inlineStr">
        <is>
          <t>PantsY2K,Pants,kakobuy,kakebuy2026,kekobuysheet,kakobuysheet2026,2026kakobuy,kakobuyspreadsheeet,kakobuylink,kakebuylist,Kakobuy MEGA Spreadsheet,kakobuysheetfind,kakobuysheetfind2026,2026kakobuysheetfind,kakobuysheet2026</t>
        </is>
      </c>
      <c r="Q44" t="inlineStr">
        <is>
          <t>Orange, Black, Retro, Streetwear, Unisex</t>
        </is>
      </c>
      <c r="R44" t="inlineStr">
        <is>
          <t>recvh6xFVj44js</t>
        </is>
      </c>
      <c r="S44" t="inlineStr">
        <is>
          <t>pants-y2k-orange-black-leopard-satin-wide-leg-recvh6xFVj44js</t>
        </is>
      </c>
      <c r="T44"/>
      <c r="U44"/>
      <c r="V44"/>
      <c r="W44" t="inlineStr">
        <is>
          <t>{"choices":[{"finish_reason":"stop","index":0,"logprobs":null,"message":{"annotations":[],"content":"Other：Y2K橙黑豹纹印花阔腿裤，缎面材质光泽感十足，复古街头风格融合未来感设计，宽松剪裁修饰腿型，男女皆宜，彰显前卫个性与大胆时尚态度。","refusal":null,"role":"assistant"}}],"created":1776655039,"id":"chatcmpl-DWZQNbX8az0IIm4rOI1Nn3befwR1j","model":"gpt-5-chat-latest","object":"chat.completion","service_tier":"default","system_fingerprint":"fp_ad66631dec","usage":{"completion_tokens":66,"completion_tokens_details":{"accepted_prediction_tokens":0,"audio_tokens":0,"reasoning_tokens":0,"rejected_prediction_tokens":0},"prompt_tokens":1321,"prompt_tokens_details":{"audio_tokens":0,"cached_tokens":0},"total_tokens":1387}}</t>
        </is>
      </c>
      <c r="X44" t="inlineStr">
        <is>
          <t>Other：Y2K橙黑豹纹印花阔腿裤，缎面材质光泽感十足，复古街头风格融合未来感设计，宽松剪裁修饰腿型，男女皆宜，彰显前卫个性与大胆时尚态度。</t>
        </is>
      </c>
    </row>
    <row r="45" ht="25.5" customHeight="1">
      <c r="A45">
        <v>1839115443</v>
      </c>
      <c r="B45">
        <v>7601116750</v>
      </c>
      <c r="C45" t="inlineStr">
        <is>
          <t>https://weidian.com/item.html?itemID=7601116750</t>
        </is>
      </c>
      <c r="D45"/>
      <c r="E45" s="2" t="str">
        <f>=HYPERLINK("https://si.geilicdn.com/open1832946205-252808396-1f8200000197f34062720a8115c2_995_995.jpg?w=750&amp;h=750&amp;cp=1", "https://si.geilicdn.com/open1832946205-252808396-1f8200000197f34062720a8115c2_995_995.jpg?w=750&amp;h=750&amp;cp=1")</f>
        <v>https://si.geilicdn.com/open1832946205-252808396-1f8200000197f34062720a8115c2_995_995.jpg?w=750&amp;h=750&amp;cp=1</v>
      </c>
      <c r="F45" t="inlineStr">
        <is>
          <t>Jackets</t>
        </is>
      </c>
      <c r="G45" t="inlineStr">
        <is>
          <t>MLB</t>
        </is>
      </c>
      <c r="H45" t="inlineStr">
        <is>
          <t>439.00</t>
        </is>
      </c>
      <c r="I45">
        <v>63.62</v>
      </c>
      <c r="J45" t="inlineStr">
        <is>
          <t>{"choices":[{"finish_reason":"stop","index":0,"logprobs":null,"message":{"annotations":[],"content":"MLB NY Black Puffer Jacket Winter Unisex Down Coat","refusal":null,"role":"assistant"}}],"created":1776665726,"id":"chatcmpl-DWcCkCSKCVrOLhmPVK54rxf046k99","model":"gpt-5-chat-latest","object":"chat.completion","service_tier":"default","system_fingerprint":"fp_ad66631dec","usage":{"completion_tokens":13,"completion_tokens_details":{"accepted_prediction_tokens":0,"audio_tokens":0,"reasoning_tokens":0,"rejected_prediction_tokens":0},"prompt_tokens":890,"prompt_tokens_details":{"audio_tokens":0,"cached_tokens":0},"total_tokens":903}}</t>
        </is>
      </c>
      <c r="K45" t="inlineStr">
        <is>
          <t>MLB NY Black Puffer Jacket Winter Unisex Down Coat</t>
        </is>
      </c>
      <c r="L45" t="inlineStr">
        <is>
          <t>{"id":"chatcmpl-DWaNkDBH8JIndKkbmqswrblR6LsMW","object":"chat.completion","created":1776658720,"model":"gpt-5-chat-latest","choices":[{"index":0,"message":{"role":"assistant","content":"MLB Black NY Print Down Jacket – premium high-loft filling, windproof stand collar, lightweight yet warm. Classic New York Yankees logo adds street-style charm; unisex fit for urban fall-winter wear.","refusal":null,"annotations":[]},"logprobs":null,"finish_reason":"stop"}],"usage":{"prompt_tokens":942,"completion_tokens":44,"total_tokens":986,"prompt_tokens_details":{"cached_tokens":0,"audio_tokens":0},"completion_tokens_details":{"reasoning_tokens":0,"audio_tokens":0,"accepted_prediction_tokens":0,"rejected_prediction_tokens":0}},"service_tier":"default","system_fingerprint":"fp_ad66631dec"}</t>
        </is>
      </c>
      <c r="M4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ma=2592000","apim-request-id":"c92b6d0c-b0b7-499f-b8cf-0a0071ce1bf3","azureml-model-session":"d20260402083108-57a85543","cache-control":"no-cache, no-store, must-revalidate","connection":"close","content-length":"1005","content-security-policy":"frame-ancestors 'self'","content-type":"application/json","date":"Mon, 20 Apr 2026 04:18:43 GMT","server":"Caddy","skip-error-remapping":"true","strict-transport-security":"max-age=31536000; includeSubDomains; preload","via":"1.1 Caddy","x-api-request-id":"20260420121839448580842Y6cRvpDh","x-content-type-options":"nosniff","x-frame-options":"SAMEORIGIN","x-ms-is-spilled-over":"false","x-ms-rai-invoked":"false","x-ms-region":"Sweden Central","x-new-api-version":"0.4.39","x-oneapi-request-id":"202604200418393824359818268d9d60oFmmmwi","x-ratelimit-abusepenalty-active":"False","x-ratelimit-limit-requests":"4993","x-ratelimit-limit-tokens":"4993000","x-ratelimit-remaining-requests":"4992","x-ratelimit-remaining-tokens":"4991296","x-ratelimit-renewalperiod-requests":"60","x-ratelimit-renewalperiod-tokens":"60","x-ratelimit-reset-requests":"12","x-ratelimit-reset-tokens":"20","x-request-id":"a5e7cb64-3a0c-46ce-b108-72e2468e1b86"}</t>
        </is>
      </c>
      <c r="N45" t="inlineStr">
        <is>
          <t>MLB Black NY Print Down Jacket – premium high-loft filling, windproof stand collar, lightweight yet warm. Classic New York Yankees logo adds street-style charm; unisex fit for urban fall-winter wear.</t>
        </is>
      </c>
      <c r="O45" t="inlineStr">
        <is>
          <t>{"choices":[{"finish_reason":"stop","index":0,"logprobs":null,"message":{"annotations":[],"content":"MLB, Jackets, kakobuy, kakebuy2026, kekobuysheet, kakobuysheet2026, 2026kakobuy, kakobuyspreadsheeet, kakobuylink, kakebuylist, Kakobuy MEGA Spreadsheet, kakobuysheetfind, kakobuysheetfind2026, 2026kakobuysheetfind, kakobuysheet2026","refusal":null,"role":"assistant"}}],"created":1776667497,"id":"chatcmpl-DWcfJDXzeN7ALMQnBGiKbOj2LQBth","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45" t="inlineStr">
        <is>
          <t>MLB, Jackets, kakobuy, kakebuy2026, kekobuysheet, kakobuysheet2026, 2026kakobuy, kakobuyspreadsheeet, kakobuylink, kakebuylist, Kakobuy MEGA Spreadsheet, kakobuysheetfind, kakobuysheetfind2026, 2026kakobuysheetfind, kakobuysheet2026</t>
        </is>
      </c>
      <c r="Q45" t="inlineStr">
        <is>
          <t>Black, Street, Autumn And Winter, Windproof, Lightweight, Unisex</t>
        </is>
      </c>
      <c r="R45" t="inlineStr">
        <is>
          <t>recvh6xFVjFQkm</t>
        </is>
      </c>
      <c r="S45" t="inlineStr">
        <is>
          <t>ny-black-puffer-jacket-recvh6xfvjfqqkm</t>
        </is>
      </c>
      <c r="T45"/>
      <c r="U45"/>
      <c r="V45"/>
      <c r="W45" t="inlineStr">
        <is>
          <t>{"choices":[{"finish_reason":"stop","index":0,"logprobs":null,"message":{"annotations":[],"content":"MLB：黑色NY满印羽绒夹克，精选高蓬松优质羽绒填充，立领防风设计，质感轻盈保暖。经典纽约洋基标志点缀胸前，整体采用全身压花Logo图腾，展现街头运动潮流美学。中性版型，适配秋冬日常通勤与休闲穿搭，简约中彰显都市时尚活力。","refusal":null,"role":"assistant"}}],"created":1776656015,"id":"chatcmpl-DWZg7pD9zjrVfuT4XsOntsOrkwfzY","model":"gpt-5-chat-latest","object":"chat.completion","service_tier":"default","system_fingerprint":"fp_ad66631dec","usage":{"completion_tokens":103,"completion_tokens_details":{"accepted_prediction_tokens":0,"audio_tokens":0,"reasoning_tokens":0,"rejected_prediction_tokens":0},"prompt_tokens":1322,"prompt_tokens_details":{"audio_tokens":0,"cached_tokens":0},"total_tokens":1425}}</t>
        </is>
      </c>
      <c r="X45" t="inlineStr">
        <is>
          <t>MLB：黑色NY满印羽绒夹克，精选高蓬松优质羽绒填充，立领防风设计，质感轻盈保暖。经典纽约洋基标志点缀胸前，整体采用全身压花Logo图腾，展现街头运动潮流美学。中性版型，适配秋冬日常通勤与休闲穿搭，简约中彰显都市时尚活力。</t>
        </is>
      </c>
    </row>
    <row r="46" ht="25.5" customHeight="1">
      <c r="A46">
        <v>1839115443</v>
      </c>
      <c r="B46">
        <v>7601179786</v>
      </c>
      <c r="C46" t="inlineStr">
        <is>
          <t>https://weidian.com/item.html?itemID=7601179786</t>
        </is>
      </c>
      <c r="D46"/>
      <c r="E46" s="2" t="str">
        <f>=HYPERLINK("https://si.geilicdn.com/open1832946205-252808396-1aaf00000197598adc000aa0c79f_800_800.jpg?w=640&amp;h=640", "https://si.geilicdn.com/open1832946205-252808396-1aaf00000197598adc000aa0c79f_800_800.jpg?w=640&amp;h=640")</f>
        <v>https://si.geilicdn.com/open1832946205-252808396-1aaf00000197598adc000aa0c79f_800_800.jpg?w=640&amp;h=640</v>
      </c>
      <c r="F46" t="inlineStr">
        <is>
          <t>T-Shirts</t>
        </is>
      </c>
      <c r="G46" t="inlineStr">
        <is>
          <t>Nike</t>
        </is>
      </c>
      <c r="H46" t="inlineStr">
        <is>
          <t>119.00</t>
        </is>
      </c>
      <c r="I46">
        <v>17.25</v>
      </c>
      <c r="J46" t="inlineStr">
        <is>
          <t>{"choices":[{"finish_reason":"stop","index":0,"logprobs":null,"message":{"annotations":[],"content":"Nike Black Multi Layer Logo Cotton Unisex T Shirt","refusal":null,"role":"assistant"}}],"created":1776665944,"id":"chatcmpl-DWcGGeYpwRop1l9XdFRxoVj2rrxvT","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46" t="inlineStr">
        <is>
          <t>Nike Black Multi Layer Logo Cotton Unisex T Shirt</t>
        </is>
      </c>
      <c r="L46" t="inlineStr">
        <is>
          <t>{"choices":[{"finish_reason":"stop","index":0,"logprobs":null,"message":{"annotations":[],"content":"Nike Black Multi-Layer Logo Print T-Shirt, made from soft breathable cotton. Dynamic shadow design adds street-style flair. Unisex versatile fit for daily wear, showcasing sporty, modern fashion energy.","refusal":null,"role":"assistant"}}],"created":1776659454,"id":"chatcmpl-DWaZaPwDC4rDElS4wORpWlvliAuHG","model":"gpt-5-chat-latest","object":"chat.completion","service_tier":"default","system_fingerprint":"fp_ad66631dec","usage":{"completion_tokens":40,"completion_tokens_details":{"accepted_prediction_tokens":0,"audio_tokens":0,"reasoning_tokens":0,"rejected_prediction_tokens":0},"prompt_tokens":908,"prompt_tokens_details":{"audio_tokens":0,"cached_tokens":0},"total_tokens":948}}</t>
        </is>
      </c>
      <c r="M46" t="inlineStr">
        <is>
          <t>{"alt-svc":"h3=\":443\"; ma=2592000","apim-request-id":"9abfe9b5-8db3-4547-a09c-264bf7e6ce6f","azureml-model-session":"d20260402083108-57a85543","cache-control":"no-cache","connection":"close","content-length":"790","content-security-policy":"frame-ancestors 'self'","content-type":"application/json","date":"Mon, 20 Apr 2026 04:30:55 GMT","server":"nginx","skip-error-remapping":"true","strict-transport-security":"max-age=31536000; includeSubDomains; preload","via":"1.1 Caddy, 1.1 Caddy","x-api-request-id":"20260420123053533789734csiY2IHS","x-content-type-options":"nosniff","x-frame-options":"SAMEORIGIN","x-ms-client-request-id":"Not-Set","x-ms-is-spilled-over":"false","x-ms-rai-invoked":"true","x-ms-region":"East US 2","x-new-api-version":"0.4.39","x-oneapi-request-id":"202604200430534460467528268d9d65FeNV0BI","x-ratelimit-abusepenalty-active":"False","x-ratelimit-limit-requests":"3850","x-ratelimit-limit-tokens":"3850000","x-ratelimit-remaining-requests":"3849","x-ratelimit-remaining-tokens":"3848330","x-ratelimit-renewalperiod-requests":"60","x-ratelimit-renewalperiod-tokens":"60","x-ratelimit-reset-requests":"15","x-ratelimit-reset-tokens":"26","x-request-id":"6194e17c-4198-41c7-ba15-1a1b53338149"}</t>
        </is>
      </c>
      <c r="N46" t="inlineStr">
        <is>
          <t>Nike Black Multi-Layer Logo Print T-Shirt, made from soft breathable cotton. Dynamic shadow design adds street-style flair. Unisex versatile fit for daily wear, showcasing sporty, modern fashion energy.</t>
        </is>
      </c>
      <c r="O46" t="inlineStr">
        <is>
          <t>{"choices":[{"finish_reason":"stop","index":0,"logprobs":null,"message":{"annotations":[],"content":"Nike,T-Shirts,kakobuy,kakebuy2026,kekobuysheet,kakobuysheet2026,2026kakobuy,kakobuyspreadsheeet,kakobuylink,kakebuylist,Kakobuy MEGA Spreadsheet,kakobuysheetfind,kakobuysheetfind2026,2026kakobuysheetfind,kakobuysheet2026","refusal":null,"role":"assistant"}}],"created":1776668203,"id":"chatcmpl-DWcqhanYRpcUYcTRMTgEaau46i54w","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46" t="inlineStr">
        <is>
          <t>Nike,T-Shirts,kakobuy,kakebuy2026,kekobuysheet,kakobuysheet2026,2026kakobuy,kakobuyspreadsheeet,kakobuylink,kakebuylist,Kakobuy MEGA Spreadsheet,kakobuysheetfind,kakobuysheetfind2026,2026kakobuysheetfind,kakobuysheet2026</t>
        </is>
      </c>
      <c r="Q46" t="inlineStr">
        <is>
          <t>Nike, Black, Streetwear, Unisex, Breathable</t>
        </is>
      </c>
      <c r="R46" t="inlineStr">
        <is>
          <t>recvh6xFVj40iw</t>
        </is>
      </c>
      <c r="S46" t="inlineStr">
        <is>
          <t>nike-black-multi-layer-logo-cotton-unisex-t-shirt-recvh6xFVj40iw</t>
        </is>
      </c>
      <c r="T46"/>
      <c r="U46"/>
      <c r="V46"/>
      <c r="W46" t="inlineStr">
        <is>
          <t>{"choices":[{"finish_reason":"stop","index":0,"logprobs":null,"message":{"annotations":[],"content":"Nike：黑色多层Logo印花短袖T恤，柔软纯棉材质，透气舒适。叠影设计展现动感层次，街头潮流风格，男女同款百搭款型，适合日常休闲穿搭，彰显运动活力与时尚态度。","refusal":null,"role":"assistant"}}],"created":1776655725,"id":"chatcmpl-DWZbRaiSyPKLKE3hjEQIpfX0Srpmj","model":"gpt-5-chat-latest","object":"chat.completion","service_tier":"default","system_fingerprint":"fp_ad66631dec","usage":{"completion_tokens":75,"completion_tokens_details":{"accepted_prediction_tokens":0,"audio_tokens":0,"reasoning_tokens":0,"rejected_prediction_tokens":0},"prompt_tokens":1309,"prompt_tokens_details":{"audio_tokens":0,"cached_tokens":0},"total_tokens":1384}}</t>
        </is>
      </c>
      <c r="X46" t="inlineStr">
        <is>
          <t>Nike：黑色多层Logo印花短袖T恤，柔软纯棉材质，透气舒适。叠影设计展现动感层次，街头潮流风格，男女同款百搭款型，适合日常休闲穿搭，彰显运动活力与时尚态度。</t>
        </is>
      </c>
    </row>
    <row r="47" ht="25.5" customHeight="1">
      <c r="A47">
        <v>1839115443</v>
      </c>
      <c r="B47">
        <v>7601092876</v>
      </c>
      <c r="C47" t="inlineStr">
        <is>
          <t>https://weidian.com/item.html?itemID=7601092876</t>
        </is>
      </c>
      <c r="D47"/>
      <c r="E47" s="2" t="str">
        <f>=HYPERLINK("https://si.geilicdn.com/open1832946205-252808396-6ff5000001975998af3d0a23b491_800_1200.jpg?w=640&amp;h=640", "https://si.geilicdn.com/open1832946205-252808396-6ff5000001975998af3d0a23b491_800_1200.jpg?w=640&amp;h=640")</f>
        <v>https://si.geilicdn.com/open1832946205-252808396-6ff5000001975998af3d0a23b491_800_1200.jpg?w=640&amp;h=640</v>
      </c>
      <c r="F47" t="inlineStr">
        <is>
          <t>T-Shirts</t>
        </is>
      </c>
      <c r="G47" t="inlineStr">
        <is>
          <t>Vetements</t>
        </is>
      </c>
      <c r="H47" t="inlineStr">
        <is>
          <t>152.00</t>
        </is>
      </c>
      <c r="I47">
        <v>22.03</v>
      </c>
      <c r="J47" t="inlineStr">
        <is>
          <t>{"choices":[{"finish_reason":"stop","index":0,"logprobs":null,"message":{"annotations":[],"content":"Vetements White Ecstasy Oversized Cotton Unisex T-Shirt","refusal":null,"role":"assistant"}}],"created":1776665669,"id":"chatcmpl-DWcBpnxebs1z0Mt8IExNMMdGjpm6O","model":"gpt-5-chat-latest","object":"chat.completion","service_tier":"default","system_fingerprint":"fp_ad66631dec","usage":{"completion_tokens":13,"completion_tokens_details":{"accepted_prediction_tokens":0,"audio_tokens":0,"reasoning_tokens":0,"rejected_prediction_tokens":0},"prompt_tokens":880,"prompt_tokens_details":{"audio_tokens":0,"cached_tokens":0},"total_tokens":893}}</t>
        </is>
      </c>
      <c r="K47" t="inlineStr">
        <is>
          <t>Vetements White Ecstasy Oversized Cotton Unisex T-Shirt</t>
        </is>
      </c>
      <c r="L47" t="inlineStr">
        <is>
          <t>{"id":"chatcmpl-DWaO0xZ43GAJs5ZXuMLGKoNH0BFeP","object":"chat.completion","created":1776658736,"model":"gpt-5-chat-latest","choices":[{"index":0,"message":{"role":"assistant","content":"Vetements White Oversized T-Shirt features bold blue “ecstasy” digital graphic, soft pure cotton, unisex crew neck design. Streetwear meets minimalism for modern urban casual style.","refusal":null,"annotations":[]},"logprobs":null,"finish_reason":"stop"}],"usage":{"prompt_tokens":922,"completion_tokens":39,"total_tokens":961,"prompt_tokens_details":{"cached_tokens":0,"audio_tokens":0},"completion_tokens_details":{"reasoning_tokens":0,"audio_tokens":0,"accepted_prediction_tokens":0,"rejected_prediction_tokens":0}},"service_tier":"default","system_fingerprint":"fp_ad66631dec"}</t>
        </is>
      </c>
      <c r="M4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ma=2592000","apim-request-id":"49c0bd98-9cd2-42b3-a318-b25666584bcf","azureml-model-session":"d20260402074105-51db401e","cache-control":"no-cache, no-store, must-revalidate","connection":"close","content-length":"989","content-security-policy":"frame-ancestors 'self'","content-type":"application/json","date":"Mon, 20 Apr 2026 04:18:58 GMT","server":"nginx","skip-error-remapping":"true","strict-transport-security":"max-age=31536000; includeSubDomains; preload","via":"1.1 Caddy, 1.1 Caddy","x-api-request-id":"202604201218542358337759VemxklY","x-content-type-options":"nosniff","x-frame-options":"SAMEORIGIN","x-ms-is-spilled-over":"false","x-ms-rai-invoked":"false","x-ms-region":"Sweden Central","x-new-api-version":"0.4.39","x-oneapi-request-id":"202604200418541686432628268d9d6Tlzn6kqm","x-ratelimit-abusepenalty-active":"False","x-ratelimit-limit-requests":"4993","x-ratelimit-limit-tokens":"4993000","x-ratelimit-remaining-requests":"4992","x-ratelimit-remaining-tokens":"4991316","x-ratelimit-renewalperiod-requests":"60","x-ratelimit-renewalperiod-tokens":"60","x-ratelimit-reset-requests":"12","x-ratelimit-reset-tokens":"20","x-request-id":"8299d008-2463-4939-9641-271945540e3f"}</t>
        </is>
      </c>
      <c r="N47" t="inlineStr">
        <is>
          <t>Vetements White Oversized T-Shirt features bold blue “ecstasy” digital graphic, soft pure cotton, unisex crew neck design. Streetwear meets minimalism for modern urban casual style.</t>
        </is>
      </c>
      <c r="O47" t="inlineStr">
        <is>
          <t>{"id":"chatcmpl-DWcYRtoDppgfbeQbPQdxYIOATB2h5","object":"chat.completion","created":1776667071,"model":"gpt-5-chat-latest","choices":[{"index":0,"message":{"role":"assistant","content":"Vetements,T-Shir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47" t="inlineStr">
        <is>
          <t>Vetements,T-Shirts,kakobuy,kakebuy2026,kekobuysheet,kakobuysheet2026,2026kakobuy,kakobuyspreadsheeet,kakobuylink,kakebuylist,Kakobuy MEGA Spreadsheet,kakobuysheetfind,kakobuysheetfind2026,2026kakobuysheetfind,kakobuysheet2026</t>
        </is>
      </c>
      <c r="Q47" t="inlineStr">
        <is>
          <t>White, Streetwear, Minimalist, Unisex</t>
        </is>
      </c>
      <c r="R47" t="inlineStr">
        <is>
          <t>recvh6xFVjKKAt</t>
        </is>
      </c>
      <c r="S47" t="inlineStr">
        <is>
          <t>vetements-white-ecstasy-oversized-cotton-unisex-t-shirt-recvh6xFVjKKAt</t>
        </is>
      </c>
      <c r="T47"/>
      <c r="U47"/>
      <c r="V47"/>
      <c r="W47" t="inlineStr">
        <is>
          <t>{"id":"chatcmpl-DWZWWoUqPC7eof3VvUPZvu0SYB7rE","object":"chat.completion","created":1776655420,"model":"gpt-5-chat-latest","choices":[{"index":0,"message":{"role":"assistant","content":"Vetements：白色宽松版短袖印花T恤，以蓝色“ecstasy”图腾演绎数字文化趣味。柔软纯棉面料打造高舒适度，简约圆领设计，男女皆宜。融合街头潮流与极简风格，展现先锋设计师的解构美学，适合都市休闲穿搭。","refusal":null,"annotations":[]},"logprobs":null,"finish_reason":"stop"}],"usage":{"prompt_tokens":1316,"completion_tokens":86,"total_tokens":1402,"prompt_tokens_details":{"cached_tokens":0,"audio_tokens":0},"completion_tokens_details":{"reasoning_tokens":0,"audio_tokens":0,"accepted_prediction_tokens":0,"rejected_prediction_tokens":0}},"service_tier":"default","system_fingerprint":"fp_ad66631dec"}</t>
        </is>
      </c>
      <c r="X47" t="inlineStr">
        <is>
          <t>Vetements：白色宽松版短袖印花T恤，以蓝色“ecstasy”图腾演绎数字文化趣味。柔软纯棉面料打造高舒适度，简约圆领设计，男女皆宜。融合街头潮流与极简风格，展现先锋设计师的解构美学，适合都市休闲穿搭。</t>
        </is>
      </c>
    </row>
    <row r="48" ht="25.5" customHeight="1">
      <c r="A48">
        <v>1839115443</v>
      </c>
      <c r="B48">
        <v>7601146140</v>
      </c>
      <c r="C48" t="inlineStr">
        <is>
          <t>https://weidian.com/item.html?itemID=7601146140</t>
        </is>
      </c>
      <c r="D48"/>
      <c r="E48" s="2" t="str">
        <f>=HYPERLINK("https://si.geilicdn.com/open1832946205-252808396-5e6c00000196d34126740a23b4de_1588_1588.jpg?w=640&amp;h=640", "https://si.geilicdn.com/open1832946205-252808396-5e6c00000196d34126740a23b4de_1588_1588.jpg?w=640&amp;h=640")</f>
        <v>https://si.geilicdn.com/open1832946205-252808396-5e6c00000196d34126740a23b4de_1588_1588.jpg?w=640&amp;h=640</v>
      </c>
      <c r="F48" t="inlineStr">
        <is>
          <t>Hoodies</t>
        </is>
      </c>
      <c r="G48" t="inlineStr">
        <is>
          <t>Y2K</t>
        </is>
      </c>
      <c r="H48" t="inlineStr">
        <is>
          <t>88.00</t>
        </is>
      </c>
      <c r="I48">
        <v>12.75</v>
      </c>
      <c r="J48" t="inlineStr">
        <is>
          <t>{"choices":[{"finish_reason":"stop","index":0,"logprobs":null,"message":{"annotations":[],"content":"4Tune Y2K Purple Zip Hoodie Unisex Streetwear Jacket","refusal":null,"role":"assistant"}}],"created":1776666729,"id":"chatcmpl-DWcSv3WxxVGJsRIu8iEv7jqddONzK","model":"gpt-5-chat-latest","object":"chat.completion","service_tier":"default","system_fingerprint":"fp_ad66631dec","usage":{"completion_tokens":14,"completion_tokens_details":{"accepted_prediction_tokens":0,"audio_tokens":0,"reasoning_tokens":0,"rejected_prediction_tokens":0},"prompt_tokens":878,"prompt_tokens_details":{"audio_tokens":0,"cached_tokens":0},"total_tokens":892}}</t>
        </is>
      </c>
      <c r="K48" t="inlineStr">
        <is>
          <t>4Tune Y2K Purple Zip Hoodie Unisex Streetwear Jacket</t>
        </is>
      </c>
      <c r="L48" t="inlineStr">
        <is>
          <t>{"choices":[{"finish_reason":"stop","index":0,"logprobs":null,"message":{"annotations":[],"content":"4Tune Y2K Purple Zip Hoodie – Soft cotton fabric, star letter prints front and back, retro-futuristic vibe, unisex loose fit for trendy street casual style.","refusal":null,"role":"assistant"}}],"created":1776658848,"id":"chatcmpl-DWaPoRgR1bZTrdyKBnjCLZkYYiukS","model":"gpt-5-chat-latest","object":"chat.completion","service_tier":"default","system_fingerprint":"fp_ad66631dec","usage":{"completion_tokens":37,"completion_tokens_details":{"accepted_prediction_tokens":0,"audio_tokens":0,"reasoning_tokens":0,"rejected_prediction_tokens":0},"prompt_tokens":900,"prompt_tokens_details":{"audio_tokens":0,"cached_tokens":0},"total_tokens":937}}</t>
        </is>
      </c>
      <c r="M48" t="inlineStr">
        <is>
          <t>{"alt-svc":"h3=\":443\"; ma=2592000","apim-request-id":"22578815-06f0-4b0a-9bca-399d7934cffe","azureml-model-session":"d20260405234249-f9874baf","cache-control":"no-cache","connection":"close","content-length":"746","content-security-policy":"frame-ancestors 'self'","content-type":"application/json","date":"Mon, 20 Apr 2026 04:20:49 GMT","server":"nginx","skip-error-remapping":"true","strict-transport-security":"max-age=31536000; includeSubDomains; preload","via":"1.1 Caddy, 1.1 Caddy","x-api-request-id":"20260420122048503223581AELbTo8","x-content-type-options":"nosniff","x-frame-options":"SAMEORIGIN","x-ms-client-request-id":"Not-Set","x-ms-is-spilled-over":"false","x-ms-rai-invoked":"true","x-ms-region":"East US 2","x-new-api-version":"0.4.39","x-oneapi-request-id":"202604200420479834595208268d9d6P3NSMis4","x-ratelimit-abusepenalty-active":"False","x-ratelimit-limit-requests":"3850","x-ratelimit-limit-tokens":"3850000","x-ratelimit-remaining-requests":"3849","x-ratelimit-remaining-tokens":"3848338","x-ratelimit-renewalperiod-requests":"60","x-ratelimit-renewalperiod-tokens":"60","x-ratelimit-reset-requests":"15","x-ratelimit-reset-tokens":"25","x-request-id":"e2dffeb9-f95e-46b9-9bbd-93c92f3c749d"}</t>
        </is>
      </c>
      <c r="N48" t="inlineStr">
        <is>
          <t>4Tune Y2K Purple Zip Hoodie – Soft cotton fabric, star letter prints front and back, retro-futuristic vibe, unisex loose fit for trendy street casual style.</t>
        </is>
      </c>
      <c r="O48" t="inlineStr">
        <is>
          <t>{"choices":[{"finish_reason":"stop","index":0,"logprobs":null,"message":{"annotations":[],"content":"4une,hoodie,kakobuy,kakebuy2026,kekobuysheet,kakobuysheet2026,2026kakobuy,kakobuyspreadsheeet,kakobuylink,kakebuylist,Kakobuy MEGA Spreadsheet,kakobuysheetfind,kakobuysheetfind2026,2026kakobuysheetfind,kakobuysheet2026","refusal":null,"role":"assistant"}}],"created":1776668002,"id":"chatcmpl-DWcnSNxq33NYcrT4Gg8V9TamTsdxO","model":"gpt-5-chat-latest","object":"chat.completion","service_tier":"default","system_fingerprint":"fp_ad66631dec","usage":{"completion_tokens":88,"completion_tokens_details":{"accepted_prediction_tokens":0,"audio_tokens":0,"reasoning_tokens":0,"rejected_prediction_tokens":0},"prompt_tokens":785,"prompt_tokens_details":{"audio_tokens":0,"cached_tokens":0},"total_tokens":873}}</t>
        </is>
      </c>
      <c r="P48" t="inlineStr">
        <is>
          <t>4une,hoodie,kakobuy,kakebuy2026,kekobuysheet,kakobuysheet2026,2026kakobuy,kakobuyspreadsheeet,kakobuylink,kakebuylist,Kakobuy MEGA Spreadsheet,kakobuysheetfind,kakobuysheetfind2026,2026kakobuysheetfind,kakobuysheet2026</t>
        </is>
      </c>
      <c r="Q48" t="inlineStr">
        <is>
          <t>Purple, Retro Futuristic, Streetwear, Street, Unisex</t>
        </is>
      </c>
      <c r="R48" t="inlineStr">
        <is>
          <t>recvh6xFVjAVoK</t>
        </is>
      </c>
      <c r="S48" t="inlineStr">
        <is>
          <t>4tune-y2k-purple-zip-hoodie-recvh6xfvjavok</t>
        </is>
      </c>
      <c r="T48"/>
      <c r="U48"/>
      <c r="V48"/>
      <c r="W48" t="inlineStr">
        <is>
          <t>{"choices":[{"finish_reason":"stop","index":0,"logprobs":null,"message":{"annotations":[],"content":"Other：Y2K紫色拉链连帽卫衣，柔软棉质面料打造，前后星辰字母印花设计，复古未来感十足，男女皆宜，宽松剪裁演绎街头潮流休闲风。","refusal":null,"role":"assistant"}}],"created":1776654980,"id":"chatcmpl-DWZPQGch3HKX1o2GTxmTZhd7JMx7l","model":"gpt-5-chat-latest","object":"chat.completion","service_tier":"default","system_fingerprint":"fp_ad66631dec","usage":{"completion_tokens":60,"completion_tokens_details":{"accepted_prediction_tokens":0,"audio_tokens":0,"reasoning_tokens":0,"rejected_prediction_tokens":0},"prompt_tokens":1324,"prompt_tokens_details":{"audio_tokens":0,"cached_tokens":0},"total_tokens":1384}}</t>
        </is>
      </c>
      <c r="X48" t="inlineStr">
        <is>
          <t>Other：Y2K紫色拉链连帽卫衣，柔软棉质面料打造，前后星辰字母印花设计，复古未来感十足，男女皆宜，宽松剪裁演绎街头潮流休闲风。</t>
        </is>
      </c>
    </row>
    <row r="49" ht="25.5" customHeight="1">
      <c r="A49">
        <v>1839115443</v>
      </c>
      <c r="B49">
        <v>7599186999</v>
      </c>
      <c r="C49" t="inlineStr">
        <is>
          <t>https://weidian.com/item.html?itemID=7599186999</t>
        </is>
      </c>
      <c r="D49"/>
      <c r="E49" s="2" t="str">
        <f>=HYPERLINK("https://si.geilicdn.com/pcitem1946583606-2e1100000196cd5b8f710a20e2c5_750_750.jpg?w=640&amp;h=640", "https://si.geilicdn.com/pcitem1946583606-2e1100000196cd5b8f710a20e2c5_750_750.jpg?w=640&amp;h=640")</f>
        <v>https://si.geilicdn.com/pcitem1946583606-2e1100000196cd5b8f710a20e2c5_750_750.jpg?w=640&amp;h=640</v>
      </c>
      <c r="F49" t="inlineStr">
        <is>
          <t>T-Shirts</t>
        </is>
      </c>
      <c r="G49" t="inlineStr">
        <is>
          <t>Stone Island</t>
        </is>
      </c>
      <c r="H49" t="inlineStr">
        <is>
          <t>129.00</t>
        </is>
      </c>
      <c r="I49">
        <v>18.695652173913</v>
      </c>
      <c r="J49" t="inlineStr">
        <is>
          <t>{"choices":[{"finish_reason":"stop","index":0,"logprobs":null,"message":{"annotations":[],"content":"Stone Island Military Green Cotton Sweatshirt","refusal":null,"role":"assistant"}}],"created":1776666574,"id":"chatcmpl-DWcQQRbDTYwBj6jU2O7H8GhLaX5DC","model":"gpt-5-chat-latest","object":"chat.completion","service_tier":"default","system_fingerprint":"fp_ad66631dec","usage":{"completion_tokens":8,"completion_tokens_details":{"accepted_prediction_tokens":0,"audio_tokens":0,"reasoning_tokens":0,"rejected_prediction_tokens":0},"prompt_tokens":868,"prompt_tokens_details":{"audio_tokens":0,"cached_tokens":0},"total_tokens":876}}</t>
        </is>
      </c>
      <c r="K49" t="inlineStr">
        <is>
          <t>Stone Island Military Green Cotton Sweatshirt</t>
        </is>
      </c>
      <c r="L49" t="inlineStr">
        <is>
          <t>{"choices":[{"finish_reason":"stop","index":0,"logprobs":null,"message":{"annotations":[],"content":"Stone Island military green cotton sweatshirt with iconic compass badge, soft breathable fabric, crew neck, unisex loose fit, blending Italian craftsmanship with modern urban street style.","refusal":null,"role":"assistant"}}],"created":1776658250,"id":"chatcmpl-DWaGAl51HmwSboyJLi3lJ3na5U7ru","model":"gpt-5-chat-latest","object":"chat.completion","service_tier":"default","system_fingerprint":"fp_ad66631dec","usage":{"completion_tokens":33,"completion_tokens_details":{"accepted_prediction_tokens":0,"audio_tokens":0,"reasoning_tokens":0,"rejected_prediction_tokens":0},"prompt_tokens":916,"prompt_tokens_details":{"audio_tokens":0,"cached_tokens":0},"total_tokens":949}}</t>
        </is>
      </c>
      <c r="M49" t="inlineStr">
        <is>
          <t>{"alt-svc":"h3=\":443\"; ma=2592000","apim-request-id":"0f605070-3ba9-48d3-9b0f-eceb08163b6e","azureml-model-session":"d20260402083108-57a85543","cache-control":"no-cache","connection":"close","content-length":"776","content-security-policy":"frame-ancestors 'self'","content-type":"application/json","date":"Mon, 20 Apr 2026 04:10:52 GMT","server":"Caddy","skip-error-remapping":"true","strict-transport-security":"max-age=31536000; includeSubDomains; preload","via":"1.1 Caddy","x-api-request-id":"20260420121050264197654XmfpYAh2","x-content-type-options":"nosniff","x-frame-options":"SAMEORIGIN","x-ms-client-request-id":"Not-Set","x-ms-is-spilled-over":"false","x-ms-rai-invoked":"true","x-ms-region":"East US 2","x-new-api-version":"0.4.39","x-oneapi-request-id":"20260420041050636874948268d9d6e3wmjNZu","x-ratelimit-abusepenalty-active":"False","x-ratelimit-limit-requests":"3850","x-ratelimit-limit-tokens":"3850000","x-ratelimit-remaining-requests":"3849","x-ratelimit-remaining-tokens":"3848322","x-ratelimit-renewalperiod-requests":"60","x-ratelimit-renewalperiod-tokens":"60","x-ratelimit-reset-requests":"15","x-ratelimit-reset-tokens":"26","x-request-id":"78f8a8c2-ae2d-4be1-adc4-855855e23241"}</t>
        </is>
      </c>
      <c r="N49" t="inlineStr">
        <is>
          <t>Stone Island military green cotton sweatshirt with iconic compass badge, soft breathable fabric, crew neck, unisex loose fit, blending Italian craftsmanship with modern urban street style.</t>
        </is>
      </c>
      <c r="O49" t="inlineStr">
        <is>
          <t>{"choices":[{"finish_reason":"stop","index":0,"logprobs":null,"message":{"annotations":[],"content":"Stone Island,T-Shirts,kakobuy,kakebuy2026,kekobuysheet,kakobuysheet2026,2026kakobuy,kakobuyspreadsheeet,kakobuylink,kakebuylist,Kakobuy MEGA Spreadsheet,kakobuysheetfind,kakobuysheetfind2026,2026kakobuysheetfind,kakobuysheet2026","refusal":null,"role":"assistant"}}],"created":1776667235,"id":"chatcmpl-DWcb5wUGipMWiZffmhspPpIcg9eV7","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49" t="inlineStr">
        <is>
          <t>Stone Island,T-Shirts,kakobuy,kakebuy2026,kekobuysheet,kakobuysheet2026,2026kakobuy,kakobuyspreadsheeet,kakobuylink,kakebuylist,Kakobuy MEGA Spreadsheet,kakobuysheetfind,kakobuysheetfind2026,2026kakobuysheetfind,kakobuysheet2026</t>
        </is>
      </c>
      <c r="Q49" t="inlineStr">
        <is>
          <t>Breathable, Unisex, Street, Streetwear</t>
        </is>
      </c>
      <c r="R49" t="inlineStr">
        <is>
          <t>recvh6xFVjEkgy</t>
        </is>
      </c>
      <c r="S49" t="inlineStr">
        <is>
          <t>stone-island-military-green-sweatshirt-recvh6xfvjekgy</t>
        </is>
      </c>
      <c r="T49"/>
      <c r="U49"/>
      <c r="V49"/>
      <c r="W49" t="inlineStr">
        <is>
          <t>{"choices":[{"finish_reason":"stop","index":0,"logprobs":null,"message":{"annotations":[],"content":"Stone Island：军绿色休闲卫衣，选用优质纯棉面料，柔软透气。简约圆领设计配品牌标志性罗盘臂章，展现都市机能美学。宽松版型适合男女通穿，融合意式工艺与街头风格，演绎现代休闲品味。","refusal":null,"role":"assistant"}}],"created":1776655307,"id":"chatcmpl-DWZUh8ZBP1m7BRD6A4q4pKzYcXQ0n","model":"gpt-5-chat-latest","object":"chat.completion","service_tier":"default","system_fingerprint":"fp_ad66631dec","usage":{"completion_tokens":80,"completion_tokens_details":{"accepted_prediction_tokens":0,"audio_tokens":0,"reasoning_tokens":0,"rejected_prediction_tokens":0},"prompt_tokens":1316,"prompt_tokens_details":{"audio_tokens":0,"cached_tokens":0},"total_tokens":1396}}</t>
        </is>
      </c>
      <c r="X49" t="inlineStr">
        <is>
          <t>Stone Island：军绿色休闲卫衣，选用优质纯棉面料，柔软透气。简约圆领设计配品牌标志性罗盘臂章，展现都市机能美学。宽松版型适合男女通穿，融合意式工艺与街头风格，演绎现代休闲品味。</t>
        </is>
      </c>
    </row>
    <row r="50" ht="25.5" customHeight="1">
      <c r="A50">
        <v>1839115443</v>
      </c>
      <c r="B50">
        <v>7599167281</v>
      </c>
      <c r="C50" t="inlineStr">
        <is>
          <t>https://weidian.com/item.html?itemID=7599167281</t>
        </is>
      </c>
      <c r="D50"/>
      <c r="E50" s="2" t="str">
        <f>=HYPERLINK("https://si.geilicdn.com/open1832946205-252808396-38f400000196d3e541570aa08290_1000_1000.jpg?w=640&amp;h=640", "https://si.geilicdn.com/open1832946205-252808396-38f400000196d3e541570aa08290_1000_1000.jpg?w=640&amp;h=640")</f>
        <v>https://si.geilicdn.com/open1832946205-252808396-38f400000196d3e541570aa08290_1000_1000.jpg?w=640&amp;h=640</v>
      </c>
      <c r="F50" t="inlineStr">
        <is>
          <t>T-Shirts</t>
        </is>
      </c>
      <c r="G50" t="inlineStr">
        <is>
          <t xml:space="preserve">Aphex Twin </t>
        </is>
      </c>
      <c r="H50" t="inlineStr">
        <is>
          <t>56.00</t>
        </is>
      </c>
      <c r="I50">
        <v>8.12</v>
      </c>
      <c r="J50" t="inlineStr">
        <is>
          <t>{"id":"chatcmpl-DWcUM8xsXyqCWWrRXpUL7qYfNSx8I","object":"chat.completion","created":1776666818,"model":"gpt-5-chat-latest","choices":[{"index":0,"message":{"role":"assistant","content":"Aphex Twin Black Logo Oversized Cotton T-Shirt","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50" t="inlineStr">
        <is>
          <t>Aphex Twin Black Logo Oversized Cotton T-Shirt</t>
        </is>
      </c>
      <c r="L50" t="inlineStr">
        <is>
          <t>{"id":"chatcmpl-DWaJ6rVrukEnQwnDU0I1qa738bXpa","object":"chat.completion","created":1776658432,"model":"gpt-5-chat-latest","choices":[{"index":0,"message":{"role":"assistant","content":"Aphex Twin Black Logo Oversized T-Shirt, made of high-density pure cotton for soft, breathable comfort. Minimal abstract chest print reflects experimental electronic aesthetics and modern street style.","refusal":null,"annotations":[]},"logprobs":null,"finish_reason":"stop"}],"usage":{"prompt_tokens":921,"completion_tokens":36,"total_tokens":957,"prompt_tokens_details":{"cached_tokens":0,"audio_tokens":0},"completion_tokens_details":{"reasoning_tokens":0,"audio_tokens":0,"accepted_prediction_tokens":0,"rejected_prediction_tokens":0}},"service_tier":"default","system_fingerprint":"fp_ad66631dec"}</t>
        </is>
      </c>
      <c r="M5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ma=2592000","apim-request-id":"305fa669-3787-4628-8723-4c3dbcde1207","azureml-model-session":"d20260405234249-f9874baf","cache-control":"no-cache, no-store, must-revalidate","connection":"close","content-length":"1005","content-security-policy":"frame-ancestors 'self'","content-type":"application/json","date":"Mon, 20 Apr 2026 04:13:54 GMT","server":"Caddy","skip-error-remapping":"true","strict-transport-security":"max-age=31536000; includeSubDomains; preload","via":"1.1 Caddy","x-api-request-id":"20260420121351497920045MMemRos0","x-content-type-options":"nosniff","x-frame-options":"SAMEORIGIN","x-ms-is-spilled-over":"false","x-ms-rai-invoked":"false","x-ms-region":"Sweden Central","x-new-api-version":"0.4.39","x-oneapi-request-id":"202604200413514273270268268d9d6D8P3Bnnt","x-ratelimit-abusepenalty-active":"False","x-ratelimit-limit-requests":"4993","x-ratelimit-limit-tokens":"4993000","x-ratelimit-remaining-requests":"4992","x-ratelimit-remaining-tokens":"4991317","x-ratelimit-renewalperiod-requests":"60","x-ratelimit-renewalperiod-tokens":"60","x-ratelimit-reset-requests":"12","x-ratelimit-reset-tokens":"20","x-request-id":"bfee9104-eeb4-41ef-9ccb-84bdacba7794"}</t>
        </is>
      </c>
      <c r="N50" t="inlineStr">
        <is>
          <t>Aphex Twin Black Logo Oversized T-Shirt, made of high-density pure cotton for soft, breathable comfort. Minimal abstract chest print reflects experimental electronic aesthetics and modern street style.</t>
        </is>
      </c>
      <c r="O50" t="inlineStr">
        <is>
          <t>{"choices":[{"finish_reason":"stop","index":0,"logprobs":null,"message":{"annotations":[],"content":"Aphex Twin,T-Shirt,kakobuy,kakebuy2026,kekobuysheet,kakobuysheet2026,2026kakobuy,kakobuyspreadsheeet,kakobuylink,kakebuylist,Kakobuy MEGA Spreadsheet,kakobuysheetfind,kakobuysheetfind2026,2026kakobuysheetfind,kakobuysheet2026","refusal":null,"role":"assistant"}}],"created":1776667204,"id":"chatcmpl-DWcaaiw0JZvVqcLU67d1U9xdPMxQ5","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50" t="inlineStr">
        <is>
          <t>Aphex Twin,T-Shirt,kakobuy,kakebuy2026,kekobuysheet,kakobuysheet2026,2026kakobuy,kakobuyspreadsheeet,kakobuylink,kakebuylist,Kakobuy MEGA Spreadsheet,kakobuysheetfind,kakobuysheetfind2026,2026kakobuysheetfind,kakobuysheet2026</t>
        </is>
      </c>
      <c r="Q50" t="inlineStr">
        <is>
          <t>Minimalist, Abstract, Streetwear, Modern, Unisex</t>
        </is>
      </c>
      <c r="R50" t="inlineStr">
        <is>
          <t>recvh6xFVj6AdV</t>
        </is>
      </c>
      <c r="S50" t="inlineStr">
        <is>
          <t>aphex-twin-black-logo-oversized-cotton-t-shirt-recvh6xFVj6AdV</t>
        </is>
      </c>
      <c r="T50"/>
      <c r="U50"/>
      <c r="V50"/>
      <c r="W50" t="inlineStr">
        <is>
          <t>{"id":"chatcmpl-DWZW6DlMTkm0dPJ1eShLJwqdLfpyp","object":"chat.completion","created":1776655394,"model":"gpt-5-chat-latest","choices":[{"index":0,"message":{"role":"assistant","content":"Aphex Twin 黑色Logo系列宽松短袖T恤，采用高密纯棉面料，柔软透气不易变形。胸前经典极简抽象符号印花，彰显实验电子美学与先锋设计精神。中性街头风格，适合男女多场景休闲穿搭，复古质感融合现代艺术气息。","refusal":null,"annotations":[]},"logprobs":null,"finish_reason":"stop"}],"usage":{"prompt_tokens":1317,"completion_tokens":85,"total_tokens":1402,"prompt_tokens_details":{"cached_tokens":1280,"audio_tokens":0},"completion_tokens_details":{"reasoning_tokens":0,"audio_tokens":0,"accepted_prediction_tokens":0,"rejected_prediction_tokens":0}},"service_tier":"default","system_fingerprint":"fp_ad66631dec"}</t>
        </is>
      </c>
      <c r="X50" t="inlineStr">
        <is>
          <t>Aphex Twin 黑色Logo系列宽松短袖T恤，采用高密纯棉面料，柔软透气不易变形。胸前经典极简抽象符号印花，彰显实验电子美学与先锋设计精神。中性街头风格，适合男女多场景休闲穿搭，复古质感融合现代艺术气息。</t>
        </is>
      </c>
    </row>
    <row r="51" ht="25.5" customHeight="1">
      <c r="A51">
        <v>1839115443</v>
      </c>
      <c r="B51">
        <v>7601112578</v>
      </c>
      <c r="C51" t="inlineStr">
        <is>
          <t>https://weidian.com/item.html?itemID=7601112578</t>
        </is>
      </c>
      <c r="D51"/>
      <c r="E51" s="2" t="str">
        <f>=HYPERLINK("https://si.geilicdn.com/open1832946205-252808396-3a8400000197e8959bb40a22d249_1920_1920.jpg?w=640&amp;h=640", "https://si.geilicdn.com/open1832946205-252808396-3a8400000197e8959bb40a22d249_1920_1920.jpg?w=640&amp;h=640")</f>
        <v>https://si.geilicdn.com/open1832946205-252808396-3a8400000197e8959bb40a22d249_1920_1920.jpg?w=640&amp;h=640</v>
      </c>
      <c r="F51" t="inlineStr">
        <is>
          <t>T-Shirts</t>
        </is>
      </c>
      <c r="G51" t="inlineStr">
        <is>
          <t>Stussy</t>
        </is>
      </c>
      <c r="H51" t="inlineStr">
        <is>
          <t>113.00</t>
        </is>
      </c>
      <c r="I51">
        <v>16.38</v>
      </c>
      <c r="J51" t="inlineStr">
        <is>
          <t>{"id":"chatcmpl-DWcMWdcVXyz3OtJ2QKo3lRMlrxzfj","object":"chat.completion","created":1776666332,"model":"gpt-5-chat-latest","choices":[{"index":0,"message":{"role":"assistant","content":"Stussy Grey Unisex Crewneck Sweatshirt Vintage Skate Style  ","refusal":null,"annotations":[]},"logprobs":null,"finish_reason":"stop"}],"usage":{"prompt_tokens":888,"completion_tokens":14,"total_tokens":902,"prompt_tokens_details":{"cached_tokens":0,"audio_tokens":0},"completion_tokens_details":{"reasoning_tokens":0,"audio_tokens":0,"accepted_prediction_tokens":0,"rejected_prediction_tokens":0}},"service_tier":"default","system_fingerprint":"fp_ad66631dec"}</t>
        </is>
      </c>
      <c r="K51" t="inlineStr">
        <is>
          <t xml:space="preserve">Stussy Grey Unisex Crewneck Sweatshirt Vintage Skate Style  </t>
        </is>
      </c>
      <c r="L51" t="inlineStr">
        <is>
          <t>{"id":"chatcmpl-DWaaJl31Jy4oM2n9qgfk8gr9S0z5o","object":"chat.completion","created":1776659499,"model":"gpt-5-chat-latest","choices":[{"index":0,"message":{"role":"assistant","content":"Stussy Grey Unisex Crewneck Sweatshirt, crafted from soft cotton for comfort, featuring signature black handwritten logo prints on front and back, vintage 80s skate style, loose casual fit for daily wear.","refusal":null,"annotations":[]},"logprobs":null,"finish_reason":"stop"}],"usage":{"prompt_tokens":905,"completion_tokens":43,"total_tokens":948,"prompt_tokens_details":{"cached_tokens":0,"audio_tokens":0},"completion_tokens_details":{"reasoning_tokens":0,"audio_tokens":0,"accepted_prediction_tokens":0,"rejected_prediction_tokens":0}},"service_tier":"default","system_fingerprint":"fp_ad66631dec"}</t>
        </is>
      </c>
      <c r="M5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ma=2592000","apim-request-id":"7f8f6567-29f1-47ef-be85-744ca87d6ee1","azureml-model-session":"d20260402075109-1fc5a0ec","cache-control":"no-cache, no-store, must-revalidate","connection":"close","content-length":"1008","content-security-policy":"frame-ancestors 'self'","content-type":"application/json","date":"Mon, 20 Apr 2026 04:31:41 GMT","server":"Caddy","skip-error-remapping":"true","strict-transport-security":"max-age=31536000; includeSubDomains; preload","via":"1.1 Caddy","x-api-request-id":"2026042012313861152368Lp5i0sDe","x-content-type-options":"nosniff","x-frame-options":"SAMEORIGIN","x-ms-is-spilled-over":"false","x-ms-rai-invoked":"false","x-ms-region":"Sweden Central","x-new-api-version":"0.4.39","x-oneapi-request-id":"202604200431379925621738268d9d6ob08clcF","x-ratelimit-abusepenalty-active":"False","x-ratelimit-limit-requests":"4993","x-ratelimit-limit-tokens":"4993000","x-ratelimit-remaining-requests":"4992","x-ratelimit-remaining-tokens":"4991333","x-ratelimit-renewalperiod-requests":"60","x-ratelimit-renewalperiod-tokens":"60","x-ratelimit-reset-requests":"12","x-ratelimit-reset-tokens":"20","x-request-id":"2caf6014-e0f2-4f62-b22d-fd1060c7c3b3"}</t>
        </is>
      </c>
      <c r="N51" t="inlineStr">
        <is>
          <t>Stussy Grey Unisex Crewneck Sweatshirt, crafted from soft cotton for comfort, featuring signature black handwritten logo prints on front and back, vintage 80s skate style, loose casual fit for daily wear.</t>
        </is>
      </c>
      <c r="O51"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1776668388,"id":"chatcmpl-DWctgcIxFMJt8SrSfmvzHoSwEBde4","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51" t="inlineStr">
        <is>
          <t>Stussy,T-Shirts,kakobuy,kakebuy2026,kekobuysheet,kakobuysheet2026,2026kakobuy,kakobuyspreadsheeet,kakobuylink,kakebuylist,Kakobuy MEGA Spreadsheet,kakobuysheetfind,kakobuysheetfind2026,2026kakobuysheetfind,kakobuysheet2026</t>
        </is>
      </c>
      <c r="Q51" t="inlineStr">
        <is>
          <t>Stussy, Grey, Unisex, Vintage</t>
        </is>
      </c>
      <c r="R51" t="inlineStr">
        <is>
          <t>recvh6xFVjku4q</t>
        </is>
      </c>
      <c r="S51" t="inlineStr">
        <is>
          <t>stussy-grey-crewneck-sweatshirt-vintage-skate-recvh6xfvjku4q</t>
        </is>
      </c>
      <c r="T51"/>
      <c r="U51"/>
      <c r="V51"/>
      <c r="W51" t="inlineStr">
        <is>
          <t>{"choices":[{"finish_reason":"stop","index":0,"logprobs":null,"message":{"annotations":[],"content":"Stussy：灰色街头系列中性圆领卫衣，柔软纯棉面料打造舒适触感，正背面黑色品牌手写标识印花，彰显80年代复古滑板文化风格，休闲宽松版型适合男女日常穿搭。","refusal":null,"role":"assistant"}}],"created":1776655646,"id":"chatcmpl-DWZaABRzt1lSuOydp2QWVwSrlQPAz","model":"gpt-5-chat-latest","object":"chat.completion","service_tier":"default","system_fingerprint":"fp_ad66631dec","usage":{"completion_tokens":68,"completion_tokens_details":{"accepted_prediction_tokens":0,"audio_tokens":0,"reasoning_tokens":0,"rejected_prediction_tokens":0},"prompt_tokens":1318,"prompt_tokens_details":{"audio_tokens":0,"cached_tokens":1280},"total_tokens":1386}}</t>
        </is>
      </c>
      <c r="X51" t="inlineStr">
        <is>
          <t>Stussy：灰色街头系列中性圆领卫衣，柔软纯棉面料打造舒适触感，正背面黑色品牌手写标识印花，彰显80年代复古滑板文化风格，休闲宽松版型适合男女日常穿搭。</t>
        </is>
      </c>
    </row>
    <row r="52" ht="25.5" customHeight="1">
      <c r="A52">
        <v>1839115443</v>
      </c>
      <c r="B52">
        <v>7599169013</v>
      </c>
      <c r="C52" t="inlineStr">
        <is>
          <t>https://weidian.com/item.html?itemID=7599169013</t>
        </is>
      </c>
      <c r="D52"/>
      <c r="E52" s="2" t="str">
        <f>=HYPERLINK("https://si.geilicdn.com/open1832946205-252808396-520200000197e95063180a23b491_1920_1279.jpg?w=640&amp;h=640", "https://si.geilicdn.com/open1832946205-252808396-520200000197e95063180a23b491_1920_1279.jpg?w=640&amp;h=640")</f>
        <v>https://si.geilicdn.com/open1832946205-252808396-520200000197e95063180a23b491_1920_1279.jpg?w=640&amp;h=640</v>
      </c>
      <c r="F52" t="inlineStr">
        <is>
          <t>Hoodies</t>
        </is>
      </c>
      <c r="G52" t="inlineStr">
        <is>
          <t>Chrome Hearts</t>
        </is>
      </c>
      <c r="H52" t="inlineStr">
        <is>
          <t>205.00</t>
        </is>
      </c>
      <c r="I52">
        <v>29.71</v>
      </c>
      <c r="J52" t="inlineStr">
        <is>
          <t>{"id":"chatcmpl-DWcDgBvh0oInHAkStVGxHgYAis8Py","object":"chat.completion","created":1776665784,"model":"gpt-5-chat-latest","choices":[{"index":0,"message":{"role":"assistant","content":"Chrome Hearts White Cotton Hoodie Unisex Luxury Street Style","refusal":null,"annotations":[]},"logprobs":null,"finish_reason":"stop"}],"usage":{"prompt_tokens":595,"completion_tokens":11,"total_tokens":606,"prompt_tokens_details":{"cached_tokens":0,"audio_tokens":0},"completion_tokens_details":{"reasoning_tokens":0,"audio_tokens":0,"accepted_prediction_tokens":0,"rejected_prediction_tokens":0}},"service_tier":"default","system_fingerprint":"fp_ad66631dec"}</t>
        </is>
      </c>
      <c r="K52" t="inlineStr">
        <is>
          <t>Chrome Hearts White Cotton Hoodie Unisex Luxury Street Style</t>
        </is>
      </c>
      <c r="L52" t="inlineStr">
        <is>
          <t>{"id":"chatcmpl-DWaSbzuLMyG4pLuP6yVnZtodifKBK","object":"chat.completion","created":1776659021,"model":"gpt-5-chat-latest","choices":[{"index":0,"message":{"role":"assistant","content":"Chrome Hearts White Classic Cotton Hoodie, featuring golden embroidered logo and cross print on sleeves, blends luxury with street style. Unisex design, soft, stylish, and effortlessly cool.","refusal":null,"annotations":[]},"logprobs":null,"finish_reason":"stop"}],"usage":{"prompt_tokens":643,"completion_tokens":36,"total_tokens":679,"prompt_tokens_details":{"cached_tokens":0,"audio_tokens":0},"completion_tokens_details":{"reasoning_tokens":0,"audio_tokens":0,"accepted_prediction_tokens":0,"rejected_prediction_tokens":0}},"service_tier":"default","system_fingerprint":"fp_ad66631dec"}</t>
        </is>
      </c>
      <c r="M5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ma=2592000","apim-request-id":"1d0d8df2-9471-490e-9548-ea1857a23add","azureml-model-session":"d20260402074105-51db401e","cache-control":"no-cache, no-store, must-revalidate","connection":"close","content-length":"994","content-security-policy":"frame-ancestors 'self'","content-type":"application/json","date":"Mon, 20 Apr 2026 04:23:43 GMT","server":"nginx","skip-error-remapping":"true","strict-transport-security":"max-age=31536000; includeSubDomains; preload","via":"1.1 Caddy, 1.1 Caddy","x-api-request-id":"20260420122339862474265X7kQakWz","x-content-type-options":"nosniff","x-frame-options":"SAMEORIGIN","x-ms-is-spilled-over":"false","x-ms-rai-invoked":"false","x-ms-region":"Sweden Central","x-new-api-version":"0.4.39","x-oneapi-request-id":"202604200423397970650818268d9d6XqiKCqoO","x-ratelimit-abusepenalty-active":"False","x-ratelimit-limit-requests":"4993","x-ratelimit-limit-tokens":"4993000","x-ratelimit-remaining-requests":"4992","x-ratelimit-remaining-tokens":"4991593","x-ratelimit-renewalperiod-requests":"60","x-ratelimit-renewalperiod-tokens":"60","x-ratelimit-reset-requests":"12","x-ratelimit-reset-tokens":"16","x-request-id":"ec5a943a-c3e7-458b-b09d-b57a641505ce"}</t>
        </is>
      </c>
      <c r="N52" t="inlineStr">
        <is>
          <t>Chrome Hearts White Classic Cotton Hoodie, featuring golden embroidered logo and cross print on sleeves, blends luxury with street style. Unisex design, soft, stylish, and effortlessly cool.</t>
        </is>
      </c>
      <c r="O52" t="inlineStr">
        <is>
          <t>{"choices":[{"finish_reason":"stop","index":0,"logprobs":null,"message":{"annotations":[],"content":"Chrome Hearts, Hoodies, kakobuy, kakebuy2026, kekobuysheet, kakobuysheet2026, 2026kakobuy, kakobuyspreadsheeet, kakobuylink, kakebuylist, Kakobuy MEGA Spreadsheet, kakobuysheetfind, kakobuysheetfind2026, 2026kakobuysheetfind, kakobuysheet2026","refusal":null,"role":"assistant"}}],"created":1776668133,"id":"chatcmpl-DWcpZorwynKg5kfMYjzWLoI6GVxsj","model":"gpt-5-chat-latest","object":"chat.completion","service_tier":"default","system_fingerprint":"fp_ad66631dec","usage":{"completion_tokens":92,"completion_tokens_details":{"accepted_prediction_tokens":0,"audio_tokens":0,"reasoning_tokens":0,"rejected_prediction_tokens":0},"prompt_tokens":504,"prompt_tokens_details":{"audio_tokens":0,"cached_tokens":0},"total_tokens":596}}</t>
        </is>
      </c>
      <c r="P52" t="inlineStr">
        <is>
          <t>Chrome Hearts, Hoodies, kakobuy, kakebuy2026, kekobuysheet, kakobuysheet2026, 2026kakobuy, kakobuyspreadsheeet, kakobuylink, kakebuylist, Kakobuy MEGA Spreadsheet, kakobuysheetfind, kakobuysheetfind2026, 2026kakobuysheetfind, kakobuysheet2026</t>
        </is>
      </c>
      <c r="Q52" t="inlineStr">
        <is>
          <t>White, Unisex, Streetwear, High End, Classic</t>
        </is>
      </c>
      <c r="R52" t="inlineStr">
        <is>
          <t>recvh6xFVjNlJG</t>
        </is>
      </c>
      <c r="S52" t="inlineStr">
        <is>
          <t>chrome-hearts-white-cotton-hoodie-recvh6xfvjnljg</t>
        </is>
      </c>
      <c r="T52"/>
      <c r="U52"/>
      <c r="V52"/>
      <c r="W52" t="inlineStr">
        <is>
          <t>{"choices":[{"finish_reason":"stop","index":0,"logprobs":null,"message":{"annotations":[],"content":"Chrome Hearts：白色经典连帽卫衣，优质纯棉面料柔软亲肤，袖侧饰以标志性十字徽章印花，胸前金色刺绣logo低调奢华，融合街头与高街风格，男女皆宜，展现美式前卫设计魅力，休闲与个性兼备的潮流单品。","refusal":null,"role":"assistant"}}],"created":1776656082,"id":"chatcmpl-DWZhC8mSJNl9ivxJBG7xohFKjcgiJ","model":"gpt-5-chat-latest","object":"chat.completion","service_tier":"default","system_fingerprint":"fp_ad66631dec","usage":{"completion_tokens":88,"completion_tokens_details":{"accepted_prediction_tokens":0,"audio_tokens":0,"reasoning_tokens":0,"rejected_prediction_tokens":0},"prompt_tokens":1033,"prompt_tokens_details":{"audio_tokens":0,"cached_tokens":1024},"total_tokens":1121}}</t>
        </is>
      </c>
      <c r="X52" t="inlineStr">
        <is>
          <t>Chrome Hearts：白色经典连帽卫衣，优质纯棉面料柔软亲肤，袖侧饰以标志性十字徽章印花，胸前金色刺绣logo低调奢华，融合街头与高街风格，男女皆宜，展现美式前卫设计魅力，休闲与个性兼备的潮流单品。</t>
        </is>
      </c>
    </row>
    <row r="53" ht="25.5" customHeight="1">
      <c r="A53">
        <v>1839115443</v>
      </c>
      <c r="B53">
        <v>7599163205</v>
      </c>
      <c r="C53" t="inlineStr">
        <is>
          <t>https://weidian.com/item.html?itemID=7599163205</t>
        </is>
      </c>
      <c r="D53"/>
      <c r="E53" s="2" t="str">
        <f>=HYPERLINK("https://si.geilicdn.com/open1832946205-252808396-6c2b00000197f26fd3d30a231226_1276_1276.jpg?w=640&amp;h=640", "https://si.geilicdn.com/open1832946205-252808396-6c2b00000197f26fd3d30a231226_1276_1276.jpg?w=640&amp;h=640")</f>
        <v>https://si.geilicdn.com/open1832946205-252808396-6c2b00000197f26fd3d30a231226_1276_1276.jpg?w=640&amp;h=640</v>
      </c>
      <c r="F53" t="inlineStr">
        <is>
          <t>Hoodies</t>
        </is>
      </c>
      <c r="G53" t="inlineStr">
        <is>
          <t>Saint Michael</t>
        </is>
      </c>
      <c r="H53" t="inlineStr">
        <is>
          <t>114.00</t>
        </is>
      </c>
      <c r="I53">
        <v>16.52</v>
      </c>
      <c r="J53" t="inlineStr">
        <is>
          <t>{"choices":[{"finish_reason":"stop","index":0,"logprobs":null,"message":{"annotations":[],"content":"Saint Michael Black Embossed Logo Cotton Hoodie","refusal":null,"role":"assistant"}}],"created":1776666015,"id":"chatcmpl-DWcHPYRlyiUZA7eoeHCF3E8pAKGRd","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53" t="inlineStr">
        <is>
          <t>Saint Michael Black Embossed Logo Cotton Hoodie</t>
        </is>
      </c>
      <c r="L53" t="inlineStr">
        <is>
          <t>{"choices":[{"finish_reason":"stop","index":0,"logprobs":null,"message":{"annotations":[],"content":"Saint Michael black embossed logo hoodie, crafted from high-density pure cotton. Loose fit with circular sleeve embossing, curved back stitching, street-style unisex design for modern urban fashion.","refusal":null,"role":"assistant"}}],"created":1776658522,"id":"chatcmpl-DWaKYsJimpmy3WHpMqeP2qhVqdDam","model":"gpt-5-chat-latest","object":"chat.completion","service_tier":"default","system_fingerprint":"fp_ad66631dec","usage":{"completion_tokens":37,"completion_tokens_details":{"accepted_prediction_tokens":0,"audio_tokens":0,"reasoning_tokens":0,"rejected_prediction_tokens":0},"prompt_tokens":942,"prompt_tokens_details":{"audio_tokens":0,"cached_tokens":0},"total_tokens":979}}</t>
        </is>
      </c>
      <c r="M53" t="inlineStr">
        <is>
          <t>{"alt-svc":"h3=\":443\"; ma=2592000","apim-request-id":"4c494dad-4aef-4e72-a467-025ebb41c2a2","azureml-model-session":"d20260402083108-57a85543","cache-control":"no-cache","connection":"close","content-length":"786","content-security-policy":"frame-ancestors 'self'","content-type":"application/json","date":"Mon, 20 Apr 2026 04:15:23 GMT","server":"nginx","skip-error-remapping":"true","strict-transport-security":"max-age=31536000; includeSubDomains; preload","via":"1.1 Caddy, 1.1 Caddy","x-api-request-id":"202604201215216300372945UvCQQON","x-content-type-options":"nosniff","x-frame-options":"SAMEORIGIN","x-ms-client-request-id":"Not-Set","x-ms-is-spilled-over":"false","x-ms-rai-invoked":"true","x-ms-region":"East US 2","x-new-api-version":"0.4.39","x-oneapi-request-id":"202604200415215645230538268d9d6H5T3lEMw","x-ratelimit-abusepenalty-active":"False","x-ratelimit-limit-requests":"3850","x-ratelimit-limit-tokens":"3850000","x-ratelimit-remaining-requests":"3849","x-ratelimit-remaining-tokens":"3848296","x-ratelimit-renewalperiod-requests":"60","x-ratelimit-renewalperiod-tokens":"60","x-ratelimit-reset-requests":"15","x-ratelimit-reset-tokens":"26","x-request-id":"ad6d55de-70d8-44f9-84f0-309e5015f253"}</t>
        </is>
      </c>
      <c r="N53" t="inlineStr">
        <is>
          <t>Saint Michael black embossed logo hoodie, crafted from high-density pure cotton. Loose fit with circular sleeve embossing, curved back stitching, street-style unisex design for modern urban fashion.</t>
        </is>
      </c>
      <c r="O53" t="inlineStr">
        <is>
          <t>{"choices":[{"finish_reason":"stop","index":0,"logprobs":null,"message":{"annotations":[],"content":"Saint Michael,Hoodies,kakobuy,kakebuy2026,kekobuysheet,kakobuysheet2026,2026kakobuy,kakobuyspreadsheeet,kakobuylink,kakebuylist,Kakobuy MEGA Spreadsheet,kakobuysheetfind,kakobuysheetfind2026,2026kakobuysheetfind,kakobuysheet2026","refusal":null,"role":"assistant"}}],"created":1776668395,"id":"chatcmpl-DWctnlcgZBd7foVm1GkQj1zJJ8xBa","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53" t="inlineStr">
        <is>
          <t>Saint Michael,Hoodies,kakobuy,kakebuy2026,kekobuysheet,kakobuysheet2026,2026kakobuy,kakobuyspreadsheeet,kakobuylink,kakebuylist,Kakobuy MEGA Spreadsheet,kakobuysheetfind,kakobuysheetfind2026,2026kakobuysheetfind,kakobuysheet2026</t>
        </is>
      </c>
      <c r="Q53" t="inlineStr">
        <is>
          <t>Black, Streetwear, Unisex</t>
        </is>
      </c>
      <c r="R53" t="inlineStr">
        <is>
          <t>recvh6xFVjv3KS</t>
        </is>
      </c>
      <c r="S53" t="inlineStr">
        <is>
          <t>saint-michael-black-embossed-logo-cotton-hoodie-recvh6xFVjv3KS</t>
        </is>
      </c>
      <c r="T53"/>
      <c r="U53"/>
      <c r="V53"/>
      <c r="W53" t="inlineStr">
        <is>
          <t>{"id":"chatcmpl-DWZZCcfe5iIi3npPHCDGcPPt77VGe","object":"chat.completion","created":1776655586,"model":"gpt-5-chat-latest","choices":[{"index":0,"message":{"role":"assistant","content":"Saint Michael 黑色立体字母图腾连帽卫衣，甄选高密度纯棉材质，版型宽松街头感十足。袖部点缀圆形压纹细节展现独特设计语言，背部浮雕弧形拼接彰显品牌艺术美学。柔软舒适兼具造型感，男女皆宜，符合当代都市休闲风格，轻松打造个性穿搭。","refusal":null,"annotations":[]},"logprobs":null,"finish_reason":"stop"}],"usage":{"prompt_tokens":1321,"completion_tokens":103,"total_tokens":1424,"prompt_tokens_details":{"cached_tokens":0,"audio_tokens":0},"completion_tokens_details":{"reasoning_tokens":0,"audio_tokens":0,"accepted_prediction_tokens":0,"rejected_prediction_tokens":0}},"service_tier":"default","system_fingerprint":"fp_ad66631dec"}</t>
        </is>
      </c>
      <c r="X53" t="inlineStr">
        <is>
          <t>Saint Michael 黑色立体字母图腾连帽卫衣，甄选高密度纯棉材质，版型宽松街头感十足。袖部点缀圆形压纹细节展现独特设计语言，背部浮雕弧形拼接彰显品牌艺术美学。柔软舒适兼具造型感，男女皆宜，符合当代都市休闲风格，轻松打造个性穿搭。</t>
        </is>
      </c>
    </row>
    <row r="54" ht="25.5" customHeight="1">
      <c r="A54">
        <v>1839115443</v>
      </c>
      <c r="B54">
        <v>7599246055</v>
      </c>
      <c r="C54" t="inlineStr">
        <is>
          <t>https://weidian.com/item.html?itemID=7599246055</t>
        </is>
      </c>
      <c r="D54"/>
      <c r="E54" s="2" t="str">
        <f>=HYPERLINK("https://si.geilicdn.com/open1832946205-252808396-70f800000197f3d849e70aa043f9_960_1280.jpg?w=640&amp;h=640", "https://si.geilicdn.com/open1832946205-252808396-70f800000197f3d849e70aa043f9_960_1280.jpg?w=640&amp;h=640")</f>
        <v>https://si.geilicdn.com/open1832946205-252808396-70f800000197f3d849e70aa043f9_960_1280.jpg?w=640&amp;h=640</v>
      </c>
      <c r="F54" t="inlineStr">
        <is>
          <t>Pants</t>
        </is>
      </c>
      <c r="G54" t="inlineStr">
        <is>
          <t>Other</t>
        </is>
      </c>
      <c r="H54" t="inlineStr">
        <is>
          <t>182.00</t>
        </is>
      </c>
      <c r="I54">
        <v>26.38</v>
      </c>
      <c r="J54" t="inlineStr">
        <is>
          <t>{"id":"chatcmpl-DWcVjXZ4bXJN22AZl9OxrJ4OgRtxx","object":"chat.completion","created":1776666903,"model":"gpt-5-chat-latest","choices":[{"index":0,"message":{"role":"assistant","content":"PantsOther Forest Camo Grey Black Loose Pants","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ad66631dec"}</t>
        </is>
      </c>
      <c r="K54" t="inlineStr">
        <is>
          <t>PantsOther Forest Camo Grey Black Loose Pants</t>
        </is>
      </c>
      <c r="L54" t="inlineStr">
        <is>
          <t>{"choices":[{"finish_reason":"stop","index":0,"logprobs":null,"message":{"annotations":[],"content":"PantsOther Forest Camo Grey Black Loose Pants made of high-density cotton blend, smooth drape, featuring tree branch and leaf print. Unisex straight-leg for urban or outdoor style with comfort and attitude.","refusal":null,"role":"assistant"}}],"created":1776658874,"id":"chatcmpl-DWaQE4DERm5nmg6pge3TSkN6ZKewS","model":"gpt-5-chat-latest","object":"chat.completion","service_tier":"default","system_fingerprint":"fp_ad66631dec","usage":{"completion_tokens":43,"completion_tokens_details":{"accepted_prediction_tokens":0,"audio_tokens":0,"reasoning_tokens":0,"rejected_prediction_tokens":0},"prompt_tokens":950,"prompt_tokens_details":{"audio_tokens":0,"cached_tokens":0},"total_tokens":993}}</t>
        </is>
      </c>
      <c r="M54" t="inlineStr">
        <is>
          <t>{"alt-svc":"h3=\":443\"; ma=2592000","apim-request-id":"9147b1f2-1db1-407e-ab76-1dea3c09f392","azureml-model-session":"d20260405225800-40f19e54","cache-control":"no-cache","connection":"close","content-length":"794","content-security-policy":"frame-ancestors 'self'","content-type":"application/json","date":"Mon, 20 Apr 2026 04:21:15 GMT","server":"nginx","skip-error-remapping":"true","strict-transport-security":"max-age=31536000; includeSubDomains; preload","via":"1.1 Caddy, 1.1 Caddy","x-api-request-id":"2026042012211340615901SRpcGGAs","x-content-type-options":"nosniff","x-frame-options":"SAMEORIGIN","x-ms-client-request-id":"Not-Set","x-ms-is-spilled-over":"false","x-ms-rai-invoked":"true","x-ms-region":"East US 2","x-new-api-version":"0.4.39","x-oneapi-request-id":"202604200421129729531708268d9d61nOvMYvQ","x-ratelimit-abusepenalty-active":"False","x-ratelimit-limit-requests":"3850","x-ratelimit-limit-tokens":"3850000","x-ratelimit-remaining-requests":"3849","x-ratelimit-remaining-tokens":"3848288","x-ratelimit-renewalperiod-requests":"60","x-ratelimit-renewalperiod-tokens":"60","x-ratelimit-reset-requests":"15","x-ratelimit-reset-tokens":"26","x-request-id":"59d460ea-cb35-4d4c-a53f-969c62b819c0"}</t>
        </is>
      </c>
      <c r="N54" t="inlineStr">
        <is>
          <t>PantsOther Forest Camo Grey Black Loose Pants made of high-density cotton blend, smooth drape, featuring tree branch and leaf print. Unisex straight-leg for urban or outdoor style with comfort and attitude.</t>
        </is>
      </c>
      <c r="O54" t="inlineStr">
        <is>
          <t>{"id":"chatcmpl-DWceVdFZ4Tfc4RaY2faSUxbsJqoFn","object":"chat.completion","created":1776667447,"model":"gpt-5-chat-latest","choices":[{"index":0,"message":{"role":"assistant","content":"C2H4,Pan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54" t="inlineStr">
        <is>
          <t>C2H4,Pants,kakobuy,kakebuy2026,kekobuysheet,kakobuysheet2026,2026kakobuy,kakobuyspreadsheeet,kakobuylink,kakebuylist,Kakobuy MEGA Spreadsheet,kakobuysheetfind,kakobuysheetfind2026,2026kakobuysheetfind,kakobuysheet2026</t>
        </is>
      </c>
      <c r="Q54" t="inlineStr">
        <is>
          <t>Unisex, Outdoor</t>
        </is>
      </c>
      <c r="R54" t="inlineStr">
        <is>
          <t>recvh6xFVjNtfd</t>
        </is>
      </c>
      <c r="S54" t="inlineStr">
        <is>
          <t>pantsother-forest-camo-grey-black-loose-recvh6xfvjntfd</t>
        </is>
      </c>
      <c r="T54"/>
      <c r="U54"/>
      <c r="V54"/>
      <c r="W54" t="inlineStr">
        <is>
          <t>{"id":"chatcmpl-DWZdT0J5otOB3lUzx6VrZE3jG75Lu","object":"chat.completion","created":1776655851,"model":"gpt-5-chat-latest","choices":[{"index":0,"message":{"role":"assistant","content":"迷彩森林系列灰黑色宽松长裤，采用高密度棉质混纺面料，手感顺滑垂坠感优越。全幅树枝与枯叶仿生印花设计，展现自然机能与街头感融合的独特美学。直筒剪裁修饰腿型，搭配厚底鞋更显比例。男女皆可穿着，适合都市休闲或户外造型，兼具舒适与时尚态度。","refusal":null,"annotations":[]},"logprobs":null,"finish_reason":"stop"}],"usage":{"prompt_tokens":1313,"completion_tokens":115,"total_tokens":1428,"prompt_tokens_details":{"cached_tokens":0,"audio_tokens":0},"completion_tokens_details":{"reasoning_tokens":0,"audio_tokens":0,"accepted_prediction_tokens":0,"rejected_prediction_tokens":0}},"service_tier":"default","system_fingerprint":"fp_ad66631dec"}</t>
        </is>
      </c>
      <c r="X54" t="inlineStr">
        <is>
          <t>迷彩森林系列灰黑色宽松长裤，采用高密度棉质混纺面料，手感顺滑垂坠感优越。全幅树枝与枯叶仿生印花设计，展现自然机能与街头感融合的独特美学。直筒剪裁修饰腿型，搭配厚底鞋更显比例。男女皆可穿着，适合都市休闲或户外造型，兼具舒适与时尚态度。</t>
        </is>
      </c>
    </row>
    <row r="55" ht="25.5" customHeight="1">
      <c r="A55">
        <v>1839115443</v>
      </c>
      <c r="B55">
        <v>7599210519</v>
      </c>
      <c r="C55" t="inlineStr">
        <is>
          <t>https://weidian.com/item.html?itemID=7599210519</t>
        </is>
      </c>
      <c r="D55"/>
      <c r="E55" s="2" t="str">
        <f>=HYPERLINK("https://si.geilicdn.com/open1832946205-252808396-24a8000001975994ace80aa043be_800_800.jpg?w=640&amp;h=640", "https://si.geilicdn.com/open1832946205-252808396-24a8000001975994ace80aa043be_800_800.jpg?w=640&amp;h=640")</f>
        <v>https://si.geilicdn.com/open1832946205-252808396-24a8000001975994ace80aa043be_800_800.jpg?w=640&amp;h=640</v>
      </c>
      <c r="F55" t="inlineStr">
        <is>
          <t>T-Shirts</t>
        </is>
      </c>
      <c r="G55" t="inlineStr">
        <is>
          <t>Kanye</t>
        </is>
      </c>
      <c r="H55" t="inlineStr">
        <is>
          <t>69.00</t>
        </is>
      </c>
      <c r="I55">
        <v>10</v>
      </c>
      <c r="J55" t="inlineStr">
        <is>
          <t>{"choices":[{"finish_reason":"stop","index":0,"logprobs":null,"message":{"annotations":[],"content":"Kanye Series Black Vintage Comic Graphic T-Shirt","refusal":null,"role":"assistant"}}],"created":1776665862,"id":"chatcmpl-DWcEwFnCxUXAm1RsAUJLehj8KoE46","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55" t="inlineStr">
        <is>
          <t>Kanye Series Black Vintage Comic Graphic T-Shirt</t>
        </is>
      </c>
      <c r="L55" t="inlineStr">
        <is>
          <t>{"choices":[{"finish_reason":"stop","index":0,"logprobs":null,"message":{"annotations":[],"content":"Kanye Series Black Graphic T-Shirt, premium cotton, soft and breathable. Features colorful comic print and slogan design, vintage street style for men and women, perfect for casual and trendy wear.","refusal":null,"role":"assistant"}}],"created":1776658868,"id":"chatcmpl-DWaQ8Jxtr8fzKMb6IUJOZAyoKR2W5","model":"gpt-5-chat-latest","object":"chat.completion","service_tier":"default","system_fingerprint":"fp_ad66631dec","usage":{"completion_tokens":39,"completion_tokens_details":{"accepted_prediction_tokens":0,"audio_tokens":0,"reasoning_tokens":0,"rejected_prediction_tokens":0},"prompt_tokens":898,"prompt_tokens_details":{"audio_tokens":0,"cached_tokens":0},"total_tokens":937}}</t>
        </is>
      </c>
      <c r="M55" t="inlineStr">
        <is>
          <t>{"alt-svc":"h3=\":443\"; ma=2592000","apim-request-id":"f2610d25-dbf5-4894-83c3-61b0b8e98ffa","azureml-model-session":"d20260405225800-40f19e54","cache-control":"no-cache","connection":"close","content-length":"785","content-security-policy":"frame-ancestors 'self'","content-type":"application/json","date":"Mon, 20 Apr 2026 04:21:10 GMT","server":"nginx","skip-error-remapping":"true","strict-transport-security":"max-age=31536000; includeSubDomains; preload","via":"1.1 Caddy, 1.1 Caddy","x-api-request-id":"20260420122108260474755K0g558J5","x-content-type-options":"nosniff","x-frame-options":"SAMEORIGIN","x-ms-client-request-id":"Not-Set","x-ms-is-spilled-over":"false","x-ms-rai-invoked":"true","x-ms-region":"East US 2","x-new-api-version":"0.4.39","x-oneapi-request-id":"202604200421081954696348268d9d6E6bF5LOJ","x-ratelimit-abusepenalty-active":"False","x-ratelimit-limit-requests":"3850","x-ratelimit-limit-tokens":"3850000","x-ratelimit-remaining-requests":"3849","x-ratelimit-remaining-tokens":"3848340","x-ratelimit-renewalperiod-requests":"60","x-ratelimit-renewalperiod-tokens":"60","x-ratelimit-reset-requests":"15","x-ratelimit-reset-tokens":"25","x-request-id":"87f54495-d1ba-44a3-ab75-19e9e1959b86"}</t>
        </is>
      </c>
      <c r="N55" t="inlineStr">
        <is>
          <t>Kanye Series Black Graphic T-Shirt, premium cotton, soft and breathable. Features colorful comic print and slogan design, vintage street style for men and women, perfect for casual and trendy wear.</t>
        </is>
      </c>
      <c r="O55" t="inlineStr">
        <is>
          <t>{"choices":[{"finish_reason":"stop","index":0,"logprobs":null,"message":{"annotations":[],"content":"Kanye,T-Shirts,kakobuy,kakebuy2026,kekobuysheet,kakobuysheet2026,2026kakobuy,kakobuyspreadsheeet,kakobuylink,kakebuylist,Kakobuy MEGA Spreadsheet,kakobuysheetfind,kakobuysheetfind2026,2026kakobuysheetfind,kakobuysheet2026","refusal":null,"role":"assistant"}}],"created":1776668511,"id":"chatcmpl-DWcvfCA4IWtXSbjzQHXo7pESotifY","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55" t="inlineStr">
        <is>
          <t>Kanye,T-Shirts,kakobuy,kakebuy2026,kekobuysheet,kakobuysheet2026,2026kakobuy,kakobuyspreadsheeet,kakobuylink,kakebuylist,Kakobuy MEGA Spreadsheet,kakobuysheetfind,kakobuysheetfind2026,2026kakobuysheetfind,kakobuysheet2026</t>
        </is>
      </c>
      <c r="Q55" t="inlineStr">
        <is>
          <t>Vintage, Street, Unisex, Colorful</t>
        </is>
      </c>
      <c r="R55" t="inlineStr">
        <is>
          <t>recvh6xFVjY3Vf</t>
        </is>
      </c>
      <c r="S55" t="inlineStr">
        <is>
          <t>kanye-series-black-vintage-comic-graphic-tee-recvh6xfvjY3Vf</t>
        </is>
      </c>
      <c r="T55"/>
      <c r="U55"/>
      <c r="V55"/>
      <c r="W55" t="inlineStr">
        <is>
          <t>{"choices":[{"finish_reason":"stop","index":0,"logprobs":null,"message":{"annotations":[],"content":"Kanye系列黑色印花T恤，精选纯棉材质，柔软透气，正面彩色漫画图腾与标语设计，街头复古风格，男女皆宜，彰显个性态度，适合日常休闲与潮流穿搭。","refusal":null,"role":"assistant"}}],"created":1776655939,"id":"chatcmpl-DWZetomcf63hv8fOanIAi0hd05Y5p","model":"gpt-5-chat-latest","object":"chat.completion","service_tier":"default","system_fingerprint":"fp_ad66631dec","usage":{"completion_tokens":66,"completion_tokens_details":{"accepted_prediction_tokens":0,"audio_tokens":0,"reasoning_tokens":0,"rejected_prediction_tokens":0},"prompt_tokens":1308,"prompt_tokens_details":{"audio_tokens":0,"cached_tokens":0},"total_tokens":1374}}</t>
        </is>
      </c>
      <c r="X55" t="inlineStr">
        <is>
          <t>Kanye系列黑色印花T恤，精选纯棉材质，柔软透气，正面彩色漫画图腾与标语设计，街头复古风格，男女皆宜，彰显个性态度，适合日常休闲与潮流穿搭。</t>
        </is>
      </c>
    </row>
    <row r="56" ht="25.5" customHeight="1">
      <c r="A56">
        <v>1839115443</v>
      </c>
      <c r="B56">
        <v>7599194663</v>
      </c>
      <c r="C56" t="inlineStr">
        <is>
          <t>https://weidian.com/item.html?itemID=7599194663</t>
        </is>
      </c>
      <c r="D56"/>
      <c r="E56" s="2" t="str">
        <f>=HYPERLINK("https://si.geilicdn.com/open1832946205-252808396-229900000197e95d93710aa0c791_827_828.jpg?w=640&amp;h=640", "https://si.geilicdn.com/open1832946205-252808396-229900000197e95d93710aa0c791_827_828.jpg?w=640&amp;h=640")</f>
        <v>https://si.geilicdn.com/open1832946205-252808396-229900000197e95d93710aa0c791_827_828.jpg?w=640&amp;h=640</v>
      </c>
      <c r="F56" t="inlineStr">
        <is>
          <t>Hoodies</t>
        </is>
      </c>
      <c r="G56" t="inlineStr">
        <is>
          <t>Vetements</t>
        </is>
      </c>
      <c r="H56" t="inlineStr">
        <is>
          <t>219.00</t>
        </is>
      </c>
      <c r="I56">
        <v>31.74</v>
      </c>
      <c r="J56" t="inlineStr">
        <is>
          <t>{"choices":[{"finish_reason":"stop","index":0,"logprobs":null,"message":{"annotations":[],"content":"Vetements Grey Oversized Unisex Wikipedia Hoodie","refusal":null,"role":"assistant"}}],"created":1776665899,"id":"chatcmpl-DWcFXhYvuQEHEF1jWmPKNvYK5vcXZ","model":"gpt-5-chat-latest","object":"chat.completion","service_tier":"default","system_fingerprint":"fp_ad66631dec","usage":{"completion_tokens":10,"completion_tokens_details":{"accepted_prediction_tokens":0,"audio_tokens":0,"reasoning_tokens":0,"rejected_prediction_tokens":0},"prompt_tokens":885,"prompt_tokens_details":{"audio_tokens":0,"cached_tokens":0},"total_tokens":895}}</t>
        </is>
      </c>
      <c r="K56" t="inlineStr">
        <is>
          <t>Vetements Grey Oversized Unisex Wikipedia Hoodie</t>
        </is>
      </c>
      <c r="L56" t="inlineStr">
        <is>
          <t>{"choices":[{"finish_reason":"stop","index":0,"logprobs":null,"message":{"annotations":[],"content":"Vetements Grey Hoodie in soft thick cotton featuring bold navy “WIKIPEDIA EDITOR” print, oversized drop-shoulder fit, unisex streetwear style for modern urban fashion and comfort.","refusal":null,"role":"assistant"}}],"created":1776658236,"id":"chatcmpl-DWaFwPKPUWifHgbwfYP3NbDKAqCmy","model":"gpt-5-chat-latest","object":"chat.completion","service_tier":"default","system_fingerprint":"fp_ad66631dec","usage":{"completion_tokens":41,"completion_tokens_details":{"accepted_prediction_tokens":0,"audio_tokens":0,"reasoning_tokens":0,"rejected_prediction_tokens":0},"prompt_tokens":930,"prompt_tokens_details":{"audio_tokens":0,"cached_tokens":0},"total_tokens":971}}</t>
        </is>
      </c>
      <c r="M56" t="inlineStr">
        <is>
          <t>{"alt-svc":"h3=\":443\"; ma=2592000","apim-request-id":"adcba791-c9ac-44f4-b6e5-230b61f903dd","azureml-model-session":"d20260405234249-f9874baf","cache-control":"no-cache","connection":"close","content-length":"771","content-security-policy":"frame-ancestors 'self'","content-type":"application/json","date":"Mon, 20 Apr 2026 04:10:38 GMT","server":"nginx","skip-error-remapping":"true","strict-transport-security":"max-age=31536000; includeSubDomains; preload","via":"1.1 Caddy, 1.1 Caddy","x-api-request-id":"2026042012103579756433CJkKi1S3","x-content-type-options":"nosniff","x-frame-options":"SAMEORIGIN","x-ms-client-request-id":"Not-Set","x-ms-is-spilled-over":"false","x-ms-rai-invoked":"true","x-ms-region":"East US 2","x-new-api-version":"0.4.39","x-oneapi-request-id":"202604200410347893608428268d9d6ZxUw2ROU","x-ratelimit-abusepenalty-active":"False","x-ratelimit-limit-requests":"3850","x-ratelimit-limit-tokens":"3850000","x-ratelimit-remaining-requests":"3849","x-ratelimit-remaining-tokens":"3848308","x-ratelimit-renewalperiod-requests":"60","x-ratelimit-renewalperiod-tokens":"60","x-ratelimit-reset-requests":"15","x-ratelimit-reset-tokens":"26","x-request-id":"d4238dee-5ec2-413c-9eef-4e2858c48fff"}</t>
        </is>
      </c>
      <c r="N56" t="inlineStr">
        <is>
          <t>Vetements Grey Hoodie in soft thick cotton featuring bold navy “WIKIPEDIA EDITOR” print, oversized drop-shoulder fit, unisex streetwear style for modern urban fashion and comfort.</t>
        </is>
      </c>
      <c r="O56" t="inlineStr">
        <is>
          <t>{"choices":[{"finish_reason":"stop","index":0,"logprobs":null,"message":{"annotations":[],"content":"Vetements,Hoodies,kakobuy,kakebuy2026,kekobuysheet,kakobuysheet2026,2026kakobuy,kakobuyspreadsheeet,kakobuylink,kakebuylist,Kakobuy MEGA Spreadsheet,kakobuysheetfind,kakobuysheetfind2026,2026kakobuysheetfind,kakobuysheet2026","refusal":null,"role":"assistant"}}],"created":1776667984,"id":"chatcmpl-DWcnA8IOXSAoh5JfPuOqOwFTjHOVf","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56" t="inlineStr">
        <is>
          <t>Vetements,Hoodies,kakobuy,kakebuy2026,kekobuysheet,kakobuysheet2026,2026kakobuy,kakobuyspreadsheeet,kakobuylink,kakebuylist,Kakobuy MEGA Spreadsheet,kakobuysheetfind,kakobuysheetfind2026,2026kakobuysheetfind,kakobuysheet2026</t>
        </is>
      </c>
      <c r="Q56" t="inlineStr">
        <is>
          <t>Grey, Unisex, Streetwear, Modern, Comfort</t>
        </is>
      </c>
      <c r="R56" t="inlineStr">
        <is>
          <t>recvh6xFVjQgaY</t>
        </is>
      </c>
      <c r="S56" t="inlineStr">
        <is>
          <t>vetements-grey-oversized-unisex-wikipedia-hoodie-recvh6xfvjqgay</t>
        </is>
      </c>
      <c r="T56"/>
      <c r="U56"/>
      <c r="V56"/>
      <c r="W56" t="inlineStr">
        <is>
          <t>{"choices":[{"finish_reason":"stop","index":0,"logprobs":null,"message":{"annotations":[],"content":"Vetements灰色连帽卫衣，柔软厚棉材质打造舒适穿着体验，正面深蓝字母“WIKIPEDIA EDITOR”印花极具反讽街头设计感，宽松落肩剪裁呈现高级随性轮廓，男女皆宜，展现品牌前卫解构风格与当代文化张力，适合都市休闲与潮流穿搭。","refusal":null,"role":"assistant"}}],"created":1776655154,"id":"chatcmpl-DWZSEBi8qSx0OrdXztpWELacb33RR","model":"gpt-5-chat-latest","object":"chat.completion","service_tier":"default","system_fingerprint":"fp_ad66631dec","usage":{"completion_tokens":96,"completion_tokens_details":{"accepted_prediction_tokens":0,"audio_tokens":0,"reasoning_tokens":0,"rejected_prediction_tokens":0},"prompt_tokens":1311,"prompt_tokens_details":{"audio_tokens":0,"cached_tokens":0},"total_tokens":1407}}</t>
        </is>
      </c>
      <c r="X56" t="inlineStr">
        <is>
          <t>Vetements灰色连帽卫衣，柔软厚棉材质打造舒适穿着体验，正面深蓝字母“WIKIPEDIA EDITOR”印花极具反讽街头设计感，宽松落肩剪裁呈现高级随性轮廓，男女皆宜，展现品牌前卫解构风格与当代文化张力，适合都市休闲与潮流穿搭。</t>
        </is>
      </c>
    </row>
    <row r="57" ht="25.5" customHeight="1">
      <c r="A57">
        <v>1839115443</v>
      </c>
      <c r="B57">
        <v>7599204403</v>
      </c>
      <c r="C57" t="inlineStr">
        <is>
          <t>https://weidian.com/item.html?itemID=7599204403</t>
        </is>
      </c>
      <c r="D57"/>
      <c r="E57" s="2" t="str">
        <f>=HYPERLINK("https://si.geilicdn.com/open1832946205-252808396-114c00000196d31b53d90a22d249_1000_1000.jpg?w=640&amp;h=640", "https://si.geilicdn.com/open1832946205-252808396-114c00000196d31b53d90a22d249_1000_1000.jpg?w=640&amp;h=640")</f>
        <v>https://si.geilicdn.com/open1832946205-252808396-114c00000196d31b53d90a22d249_1000_1000.jpg?w=640&amp;h=640</v>
      </c>
      <c r="F57" t="inlineStr">
        <is>
          <t>Hoodies</t>
        </is>
      </c>
      <c r="G57" t="inlineStr">
        <is>
          <t>Bape</t>
        </is>
      </c>
      <c r="H57" t="inlineStr">
        <is>
          <t>116.00</t>
        </is>
      </c>
      <c r="I57">
        <v>16.81</v>
      </c>
      <c r="J57" t="inlineStr">
        <is>
          <t>{"id":"chatcmpl-DWcHXkhb0Kk6Thg65MMYqAfFzKzEn","object":"chat.completion","created":1776666023,"model":"gpt-5-chat-latest","choices":[{"index":0,"message":{"role":"assistant","content":"Bape Pink Camo Hoodie Unisex Streetwear Pullover","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57" t="inlineStr">
        <is>
          <t>Bape Pink Camo Hoodie Unisex Streetwear Pullover</t>
        </is>
      </c>
      <c r="L57" t="inlineStr">
        <is>
          <t>{"id":"chatcmpl-DWaMee4YxNg9ZP8BJtqp0lQNI5wTZ","object":"chat.completion","created":1776658652,"model":"gpt-5-chat-latest","choices":[{"index":0,"message":{"role":"assistant","content":"Bape Pink Camo Hoodie—soft cotton fabric with signature ape line totem design, unisex streetwear blending art and fashion, perfect for everyday casual style.","refusal":null,"annotations":[]},"logprobs":null,"finish_reason":"stop"}],"usage":{"prompt_tokens":889,"completion_tokens":34,"total_tokens":923,"prompt_tokens_details":{"cached_tokens":0,"audio_tokens":0},"completion_tokens_details":{"reasoning_tokens":0,"audio_tokens":0,"accepted_prediction_tokens":0,"rejected_prediction_tokens":0}},"service_tier":"default","system_fingerprint":"fp_ad66631dec"}</t>
        </is>
      </c>
      <c r="M5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ma=2592000","apim-request-id":"6014ce19-bb3d-4e86-9fb1-7421ab850221","azureml-model-session":"d20260402083108-57a85543","cache-control":"no-cache, no-store, must-revalidate","connection":"close","content-length":"963","content-security-policy":"frame-ancestors 'self'","content-type":"application/json","date":"Mon, 20 Apr 2026 04:17:34 GMT","server":"Caddy","skip-error-remapping":"true","strict-transport-security":"max-age=31536000; includeSubDomains; preload","via":"1.1 Caddy","x-api-request-id":"20260420121731358918510XxeL5y6b","x-content-type-options":"nosniff","x-frame-options":"SAMEORIGIN","x-ms-is-spilled-over":"false","x-ms-rai-invoked":"false","x-ms-region":"Sweden Central","x-new-api-version":"0.4.39","x-oneapi-request-id":"202604200417312929805368268d9d6RM0lgkhy","x-ratelimit-abusepenalty-active":"False","x-ratelimit-limit-requests":"4993","x-ratelimit-limit-tokens":"4993000","x-ratelimit-remaining-requests":"4992","x-ratelimit-remaining-tokens":"4991349","x-ratelimit-renewalperiod-requests":"60","x-ratelimit-renewalperiod-tokens":"60","x-ratelimit-reset-requests":"12","x-ratelimit-reset-tokens":"19","x-request-id":"b70ac8db-0e97-4277-a8bd-68c555dd526c"}</t>
        </is>
      </c>
      <c r="N57" t="inlineStr">
        <is>
          <t>Bape Pink Camo Hoodie—soft cotton fabric with signature ape line totem design, unisex streetwear blending art and fashion, perfect for everyday casual style.</t>
        </is>
      </c>
      <c r="O57" t="inlineStr">
        <is>
          <t>{"id":"chatcmpl-DWcYnObwAcP1Pv3LiUPLDVvXdocUH","object":"chat.completion","created":1776667093,"model":"gpt-5-chat-latest","choices":[{"index":0,"message":{"role":"assistant","content":"Bape,Hoodie,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57" t="inlineStr">
        <is>
          <t>Bape,Hoodie,kakobuy,kakebuy2026,kekobuysheet,kakobuysheet2026,2026kakobuy,kakobuyspreadsheeet,kakobuylink,kakebuylist,Kakobuy MEGA Spreadsheet,kakobuysheetfind,kakobuysheetfind2026,2026kakobuysheetfind,kakobuysheet2026</t>
        </is>
      </c>
      <c r="Q57" t="inlineStr">
        <is>
          <t>BAPE, Pink, Streetwear, Unisex</t>
        </is>
      </c>
      <c r="R57" t="inlineStr">
        <is>
          <t>recvh6xFVjs993</t>
        </is>
      </c>
      <c r="S57" t="inlineStr">
        <is>
          <t>bape-pink-camo-hoodie-recvh6xfvjs993</t>
        </is>
      </c>
      <c r="T57"/>
      <c r="U57"/>
      <c r="V57"/>
      <c r="W57" t="inlineStr">
        <is>
          <t>{"choices":[{"finish_reason":"stop","index":0,"logprobs":null,"message":{"annotations":[],"content":"Bape：粉色迷彩连帽卫衣，柔软棉质面料，正面猿人线条图腾设计，融合街头艺术风格，男女通用，休闲时尚必备款。","refusal":null,"role":"assistant"}}],"created":1776656249,"id":"chatcmpl-DWZjtNSO9zwBJ0MFHKx4MqaRsuIWw","model":"gpt-5-chat-latest","object":"chat.completion","service_tier":"default","system_fingerprint":"fp_ad66631dec","usage":{"completion_tokens":51,"completion_tokens_details":{"accepted_prediction_tokens":0,"audio_tokens":0,"reasoning_tokens":0,"rejected_prediction_tokens":0},"prompt_tokens":1319,"prompt_tokens_details":{"audio_tokens":0,"cached_tokens":1280},"total_tokens":1370}}</t>
        </is>
      </c>
      <c r="X57" t="inlineStr">
        <is>
          <t>Bape：粉色迷彩连帽卫衣，柔软棉质面料，正面猿人线条图腾设计，融合街头艺术风格，男女通用，休闲时尚必备款。</t>
        </is>
      </c>
    </row>
    <row r="58" ht="25.5" customHeight="1">
      <c r="A58">
        <v>1839115443</v>
      </c>
      <c r="B58">
        <v>7599232193</v>
      </c>
      <c r="C58" t="inlineStr">
        <is>
          <t>https://weidian.com/item.html?itemID=7599232193</t>
        </is>
      </c>
      <c r="D58"/>
      <c r="E58" s="2" t="str">
        <f>=HYPERLINK("https://si.geilicdn.com/open1832946205-252808396-0f9400000197e9d726580a231226_800_800.jpg?w=640&amp;h=640", "https://si.geilicdn.com/open1832946205-252808396-0f9400000197e9d726580a231226_800_800.jpg?w=640&amp;h=640")</f>
        <v>https://si.geilicdn.com/open1832946205-252808396-0f9400000197e9d726580a231226_800_800.jpg?w=640&amp;h=640</v>
      </c>
      <c r="F58" t="inlineStr">
        <is>
          <t>T-Shirts</t>
        </is>
      </c>
      <c r="G58" t="inlineStr">
        <is>
          <t>Enfants Riches Deprimes</t>
        </is>
      </c>
      <c r="H58" t="inlineStr">
        <is>
          <t>185.00</t>
        </is>
      </c>
      <c r="I58">
        <v>26.81</v>
      </c>
      <c r="J58" t="inlineStr">
        <is>
          <t>{"id":"chatcmpl-DWcKaldu2iscoSHL5jHAW0tmdS4Ql","object":"chat.completion","created":1776666212,"model":"gpt-5-chat-latest","choices":[{"index":0,"message":{"role":"assistant","content":"Enfants Riches Déprimés White Punk Graphic Long Sleeve Tee","refusal":null,"annotations":[]},"logprobs":null,"finish_reason":"stop"}],"usage":{"prompt_tokens":889,"completion_tokens":14,"total_tokens":903,"prompt_tokens_details":{"cached_tokens":0,"audio_tokens":0},"completion_tokens_details":{"reasoning_tokens":0,"audio_tokens":0,"accepted_prediction_tokens":0,"rejected_prediction_tokens":0}},"service_tier":"default","system_fingerprint":"fp_ad66631dec"}</t>
        </is>
      </c>
      <c r="K58" t="inlineStr">
        <is>
          <t>Enfants Riches Déprimés White Punk Graphic Long Sleeve Tee</t>
        </is>
      </c>
      <c r="L58" t="inlineStr">
        <is>
          <t>{"id":"chatcmpl-DWaHQkZupB2zxnEzr1DhzupdVX7FM","object":"chat.completion","created":1776658328,"model":"gpt-5-chat-latest","choices":[{"index":0,"message":{"role":"assistant","content":"Enfants Riches Déprimés white long-sleeve T-shirt in premium cotton, featuring black-and-white photo collage and red handwritten print, unisex loose fit, showcasing avant-garde punk aesthetic.","refusal":null,"annotations":[]},"logprobs":null,"finish_reason":"stop"}],"usage":{"prompt_tokens":922,"completion_tokens":41,"total_tokens":963,"prompt_tokens_details":{"cached_tokens":0,"audio_tokens":0},"completion_tokens_details":{"reasoning_tokens":0,"audio_tokens":0,"accepted_prediction_tokens":0,"rejected_prediction_tokens":0}},"service_tier":"default","system_fingerprint":"fp_ad66631dec"}</t>
        </is>
      </c>
      <c r="M5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ma=2592000","apim-request-id":"33efaec7-f55d-4ef0-a381-57200ddf4536","azureml-model-session":"d20260405234249-f9874baf","cache-control":"no-cache, no-store, must-revalidate","connection":"close","content-length":"998","content-security-policy":"frame-ancestors 'self'","content-type":"application/json","date":"Mon, 20 Apr 2026 04:12:09 GMT","server":"Caddy","skip-error-remapping":"true","strict-transport-security":"max-age=31536000; includeSubDomains; preload","via":"1.1 Caddy","x-api-request-id":"202604201212075148712996jBQGZZW","x-content-type-options":"nosniff","x-frame-options":"SAMEORIGIN","x-ms-is-spilled-over":"false","x-ms-rai-invoked":"false","x-ms-region":"East US 2","x-new-api-version":"0.4.39","x-oneapi-request-id":"202604200412074496431458268d9d6IxJRsCaV","x-ratelimit-abusepenalty-active":"False","x-ratelimit-limit-requests":"4994","x-ratelimit-limit-tokens":"4994000","x-ratelimit-remaining-requests":"4993","x-ratelimit-remaining-tokens":"4992316","x-ratelimit-renewalperiod-requests":"60","x-ratelimit-renewalperiod-tokens":"60","x-ratelimit-reset-requests":"12","x-ratelimit-reset-tokens":"20","x-request-id":"5d494e47-b123-404d-bb57-43efadf2f933"}</t>
        </is>
      </c>
      <c r="N58" t="inlineStr">
        <is>
          <t>Enfants Riches Déprimés white long-sleeve T-shirt in premium cotton, featuring black-and-white photo collage and red handwritten print, unisex loose fit, showcasing avant-garde punk aesthetic.</t>
        </is>
      </c>
      <c r="O58" t="inlineStr">
        <is>
          <t>{"choices":[{"finish_reason":"stop","index":0,"logprobs":null,"message":{"annotations":[],"content":"Enfants Riches Deprimes, T-Shirts, kakobuy, kakebuy2026, kekobuysheet, kakobuysheet2026, 2026kakobuy, kakobuyspreadsheeet, kakobuylink, kakebuylist, Kakobuy MEGA Spreadsheet, kakobuysheetfind, kakobuysheetfind2026, 2026kakobuysheetfind, kakobuysheet2026","refusal":null,"role":"assistant"}}],"created":1776668597,"id":"chatcmpl-DWcx3Y93rcF8ubXm3bmwYzkrGU0c8","model":"gpt-5-chat-latest","object":"chat.completion","service_tier":"default","system_fingerprint":"fp_ad66631dec","usage":{"completion_tokens":97,"completion_tokens_details":{"accepted_prediction_tokens":0,"audio_tokens":0,"reasoning_tokens":0,"rejected_prediction_tokens":0},"prompt_tokens":788,"prompt_tokens_details":{"audio_tokens":0,"cached_tokens":0},"total_tokens":885}}</t>
        </is>
      </c>
      <c r="P58" t="inlineStr">
        <is>
          <t>Enfants Riches Deprimes, T-Shirts, kakobuy, kakebuy2026, kekobuysheet, kakobuysheet2026, 2026kakobuy, kakobuyspreadsheeet, kakobuylink, kakebuylist, Kakobuy MEGA Spreadsheet, kakobuysheetfind, kakobuysheetfind2026, 2026kakobuysheetfind, kakobuysheet2026</t>
        </is>
      </c>
      <c r="Q58" t="inlineStr">
        <is>
          <t>White, Unisex, Punk</t>
        </is>
      </c>
      <c r="R58" t="inlineStr">
        <is>
          <t>recvh6xFVjX7Qn</t>
        </is>
      </c>
      <c r="S58" t="inlineStr">
        <is>
          <t>enfants-riches-deprimes-white-punk-graphic-tee-recvh6xFVjX7Qn</t>
        </is>
      </c>
      <c r="T58"/>
      <c r="U58"/>
      <c r="V58"/>
      <c r="W58" t="inlineStr">
        <is>
          <t>{"id":"chatcmpl-DWZUqECmcrEcKoMZ3tl4gU6psgU3b","object":"chat.completion","created":1776655316,"model":"gpt-5-chat-latest","choices":[{"index":0,"message":{"role":"assistant","content":"Enfants Riches Déprimés：白色长袖T恤，优质纯棉材质，正面拼接式黑白照片与红色手写字母印花设计，展现朋克叛逆艺术风格；宽松剪裁，兼具舒适与造型感，男女皆宜，彰显设计师前卫个性美学。","refusal":null,"annotations":[]},"logprobs":null,"finish_reason":"stop"}],"usage":{"prompt_tokens":1327,"completion_tokens":83,"total_tokens":1410,"prompt_tokens_details":{"cached_tokens":0,"audio_tokens":0},"completion_tokens_details":{"reasoning_tokens":0,"audio_tokens":0,"accepted_prediction_tokens":0,"rejected_prediction_tokens":0}},"service_tier":"default","system_fingerprint":"fp_ad66631dec"}</t>
        </is>
      </c>
      <c r="X58" t="inlineStr">
        <is>
          <t>Enfants Riches Déprimés：白色长袖T恤，优质纯棉材质，正面拼接式黑白照片与红色手写字母印花设计，展现朋克叛逆艺术风格；宽松剪裁，兼具舒适与造型感，男女皆宜，彰显设计师前卫个性美学。</t>
        </is>
      </c>
    </row>
    <row r="59" ht="25.5" customHeight="1">
      <c r="A59">
        <v>1839115443</v>
      </c>
      <c r="B59">
        <v>7599184657</v>
      </c>
      <c r="C59" t="inlineStr">
        <is>
          <t>https://weidian.com/item.html?itemID=7599184657</t>
        </is>
      </c>
      <c r="D59"/>
      <c r="E59" s="2" t="str">
        <f>=HYPERLINK("https://si.geilicdn.com/open1832946205-252808396-289b00000197e9fab8c80a8115c2_850_850.jpg?w=640&amp;h=640", "https://si.geilicdn.com/open1832946205-252808396-289b00000197e9fab8c80a8115c2_850_850.jpg?w=640&amp;h=640")</f>
        <v>https://si.geilicdn.com/open1832946205-252808396-289b00000197e9fab8c80a8115c2_850_850.jpg?w=640&amp;h=640</v>
      </c>
      <c r="F59" t="inlineStr">
        <is>
          <t>Hoodies</t>
        </is>
      </c>
      <c r="G59" t="inlineStr">
        <is>
          <t>Playboi Carti</t>
        </is>
      </c>
      <c r="H59" t="inlineStr">
        <is>
          <t>170.00</t>
        </is>
      </c>
      <c r="I59">
        <v>24.64</v>
      </c>
      <c r="J59" t="inlineStr">
        <is>
          <t>{"choices":[{"finish_reason":"stop","index":0,"logprobs":null,"message":{"annotations":[],"content":"Playboi Carti Whole Lotta Red Black Graphic Hoodie","refusal":null,"role":"assistant"}}],"created":1776665692,"id":"chatcmpl-DWcCCKWitDWh1SSgdZnBlgCnuqjFB","model":"gpt-5-chat-latest","object":"chat.completion","service_tier":"default","system_fingerprint":"fp_ad66631dec","usage":{"completion_tokens":13,"completion_tokens_details":{"accepted_prediction_tokens":0,"audio_tokens":0,"reasoning_tokens":0,"rejected_prediction_tokens":0},"prompt_tokens":896,"prompt_tokens_details":{"audio_tokens":0,"cached_tokens":0},"total_tokens":909}}</t>
        </is>
      </c>
      <c r="K59" t="inlineStr">
        <is>
          <t>Playboi Carti Whole Lotta Red Black Graphic Hoodie</t>
        </is>
      </c>
      <c r="L59" t="inlineStr">
        <is>
          <t>{"choices":[{"finish_reason":"stop","index":0,"logprobs":null,"message":{"annotations":[],"content":"Playboi Carti “Whole Lotta Red” black hoodie, bold black-white graphic design, soft thick cotton for comfort and warmth, unisex loose fit, street Y2K punk aesthetic, edgy urban style.","refusal":null,"role":"assistant"}}],"created":1776658590,"id":"chatcmpl-DWaLePQ96pkgXhYMLOOrHxEt7T2Bo","model":"gpt-5-chat-latest","object":"chat.completion","service_tier":"default","system_fingerprint":"fp_ad66631dec","usage":{"completion_tokens":45,"completion_tokens_details":{"accepted_prediction_tokens":0,"audio_tokens":0,"reasoning_tokens":0,"rejected_prediction_tokens":0},"prompt_tokens":927,"prompt_tokens_details":{"audio_tokens":0,"cached_tokens":0},"total_tokens":972}}</t>
        </is>
      </c>
      <c r="M59" t="inlineStr">
        <is>
          <t>{"alt-svc":"h3=\":443\"; ma=2592000","apim-request-id":"95b04ad9-ad01-4311-8157-4fdaf484770d","azureml-model-session":"d20260402083108-57a85543","cache-control":"no-cache","connection":"close","content-length":"775","content-security-policy":"frame-ancestors 'self'","content-type":"application/json","date":"Mon, 20 Apr 2026 04:16:32 GMT","server":"Caddy","skip-error-remapping":"true","strict-transport-security":"max-age=31536000; includeSubDomains; preload","via":"1.1 Caddy","x-api-request-id":"20260420121629741974301PCVtjnCY","x-content-type-options":"nosniff","x-frame-options":"SAMEORIGIN","x-ms-client-request-id":"Not-Set","x-ms-is-spilled-over":"false","x-ms-rai-invoked":"true","x-ms-region":"East US 2","x-new-api-version":"0.4.39","x-oneapi-request-id":"202604200416296400042288268d9d65ryBN6Ac","x-ratelimit-abusepenalty-active":"False","x-ratelimit-limit-requests":"3850","x-ratelimit-limit-tokens":"3850000","x-ratelimit-remaining-requests":"3849","x-ratelimit-remaining-tokens":"3848311","x-ratelimit-renewalperiod-requests":"60","x-ratelimit-renewalperiod-tokens":"60","x-ratelimit-reset-requests":"15","x-ratelimit-reset-tokens":"26","x-request-id":"10802643-9330-42ee-a3c3-b1c21898fa4f"}</t>
        </is>
      </c>
      <c r="N59" t="inlineStr">
        <is>
          <t>Playboi Carti “Whole Lotta Red” black hoodie, bold black-white graphic design, soft thick cotton for comfort and warmth, unisex loose fit, street Y2K punk aesthetic, edgy urban style.</t>
        </is>
      </c>
      <c r="O59" t="inlineStr">
        <is>
          <t>{"choices":[{"finish_reason":"stop","index":0,"logprobs":null,"message":{"annotations":[],"content":"Playboi Carti,Hoodies,kakobuy,kakebuy2026,kekobuysheet,kakobuysheet2026,2026kakobuy,kakobuyspreadsheeet,kakobuylink,kakebuylist,Kakobuy MEGA Spreadsheet,kakobuysheetfind,kakobuysheetfind2026,2026kakobuysheetfind,kakobuysheet2026","refusal":null,"role":"assistant"}}],"created":1776667838,"id":"chatcmpl-DWckoFfKa2YxZzSkyNeAZsgl1zg6m","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P59" t="inlineStr">
        <is>
          <t>Playboi Carti,Hoodies,kakobuy,kakebuy2026,kekobuysheet,kakobuysheet2026,2026kakobuy,kakobuyspreadsheeet,kakobuylink,kakebuylist,Kakobuy MEGA Spreadsheet,kakobuysheetfind,kakobuysheetfind2026,2026kakobuysheetfind,kakobuysheet2026</t>
        </is>
      </c>
      <c r="Q59" t="inlineStr">
        <is>
          <t>Black, Streetwear, Punk, Unisex, Winter</t>
        </is>
      </c>
      <c r="R59" t="inlineStr">
        <is>
          <t>recvh6xFVjRJ0O</t>
        </is>
      </c>
      <c r="S59" t="inlineStr">
        <is>
          <t>playboi-carti-whole-lotta-red-black-hoodie-recvh6xfvjrj0o</t>
        </is>
      </c>
      <c r="T59"/>
      <c r="U59"/>
      <c r="V59"/>
      <c r="W59" t="inlineStr">
        <is>
          <t>{"id":"chatcmpl-DWZMMNxbn3CpiRh2XBMuVOd4ux5Ks","object":"chat.completion","created":1776654790,"model":"gpt-5-chat-2025-10-03","choices":[{"index":0,"message":{"role":"assistant","content":"Playboi Carti：「Whole Lotta Red」黑色潮流连帽卫衣，前后高对比黑白艺术印花设计，采用柔软厚实棉质面料，兼具舒适与保暖。街头前卫风格，宽松剪裁男女皆宜，彰显年轻自由态度，完美演绎Y2K地下朋克美学。","refusal":null,"annotations":[]},"logprobs":null,"finish_reason":"stop"}],"usage":{"prompt_tokens":1326,"completion_tokens":87,"total_tokens":1413,"prompt_tokens_details":{"cached_tokens":0,"audio_tokens":0},"completion_tokens_details":{"reasoning_tokens":0,"audio_tokens":0,"accepted_prediction_tokens":0,"rejected_prediction_tokens":0}},"service_tier":"default","system_fingerprint":"fp_ad66631dec"}</t>
        </is>
      </c>
      <c r="X59" t="inlineStr">
        <is>
          <t>Playboi Carti：「Whole Lotta Red」黑色潮流连帽卫衣，前后高对比黑白艺术印花设计，采用柔软厚实棉质面料，兼具舒适与保暖。街头前卫风格，宽松剪裁男女皆宜，彰显年轻自由态度，完美演绎Y2K地下朋克美学。</t>
        </is>
      </c>
    </row>
    <row r="60" ht="25.5" customHeight="1">
      <c r="A60">
        <v>1839115443</v>
      </c>
      <c r="B60">
        <v>7601071166</v>
      </c>
      <c r="C60" t="inlineStr">
        <is>
          <t>https://weidian.com/item.html?itemID=7601071166</t>
        </is>
      </c>
      <c r="D60"/>
      <c r="E60" s="2" t="str">
        <f>=HYPERLINK("https://si.geilicdn.com/open1832946205-252808396-4cac00000197f3ecf6bd0a8133b0_800_800.jpg?w=750&amp;h=750&amp;cp=1", "https://si.geilicdn.com/open1832946205-252808396-4cac00000197f3ecf6bd0a8133b0_800_800.jpg?w=750&amp;h=750&amp;cp=1")</f>
        <v>https://si.geilicdn.com/open1832946205-252808396-4cac00000197f3ecf6bd0a8133b0_800_800.jpg?w=750&amp;h=750&amp;cp=1</v>
      </c>
      <c r="F60" t="inlineStr">
        <is>
          <t>Pants</t>
        </is>
      </c>
      <c r="G60" t="inlineStr">
        <is>
          <t>Other</t>
        </is>
      </c>
      <c r="H60" t="inlineStr">
        <is>
          <t>109.00</t>
        </is>
      </c>
      <c r="I60">
        <v>15.8</v>
      </c>
      <c r="J60" t="inlineStr">
        <is>
          <t>{"id":"chatcmpl-DWcRB7vujSp1KTrICW4nm2GYKYiU0","object":"chat.completion","created":1776666621,"model":"gpt-5-chat-latest","choices":[{"index":0,"message":{"role":"assistant","content":"PantsOther Vintage Gray Green Washed Straight Jean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60" t="inlineStr">
        <is>
          <t>PantsOther Vintage Gray Green Washed Straight Jeans</t>
        </is>
      </c>
      <c r="L60" t="inlineStr">
        <is>
          <t>{"choices":[{"finish_reason":"stop","index":0,"logprobs":null,"message":{"annotations":[],"content":"PantsOther Vintage Gray-Green Washed Straight Jeans made from heavy cotton denim offer natural fading, street-style vibes, loose mid-rise fit, breathable comfort, and unisex urban fashion appeal.","refusal":null,"role":"assistant"}}],"created":1776658887,"id":"chatcmpl-DWaQRmdXlxxkxyYUD4GS3RSCmRLa2","model":"gpt-5-chat-latest","object":"chat.completion","service_tier":"default","system_fingerprint":"fp_ad66631dec","usage":{"completion_tokens":40,"completion_tokens_details":{"accepted_prediction_tokens":0,"audio_tokens":0,"reasoning_tokens":0,"rejected_prediction_tokens":0},"prompt_tokens":929,"prompt_tokens_details":{"audio_tokens":0,"cached_tokens":0},"total_tokens":969}}</t>
        </is>
      </c>
      <c r="M60" t="inlineStr">
        <is>
          <t>{"alt-svc":"h3=\":443\"; ma=2592000","apim-request-id":"b92f0fd8-b94a-4c2c-8660-3b01cf5302a5","azureml-model-session":"d20260405234249-f9874baf","cache-control":"no-cache","connection":"close","content-length":"783","content-security-policy":"frame-ancestors 'self'","content-type":"application/json","date":"Mon, 20 Apr 2026 04:21:28 GMT","server":"Caddy","skip-error-remapping":"true","strict-transport-security":"max-age=31536000; includeSubDomains; preload","via":"1.1 Caddy","x-api-request-id":"20260420122126646725356Gex6WhsM","x-content-type-options":"nosniff","x-frame-options":"SAMEORIGIN","x-ms-client-request-id":"Not-Set","x-ms-is-spilled-over":"false","x-ms-rai-invoked":"true","x-ms-region":"East US 2","x-new-api-version":"0.4.39","x-oneapi-request-id":"202604200421265817673878268d9d641vDiwSL","x-ratelimit-abusepenalty-active":"False","x-ratelimit-limit-requests":"3850","x-ratelimit-limit-tokens":"3850000","x-ratelimit-remaining-requests":"3849","x-ratelimit-remaining-tokens":"3848309","x-ratelimit-renewalperiod-requests":"60","x-ratelimit-renewalperiod-tokens":"60","x-ratelimit-reset-requests":"15","x-ratelimit-reset-tokens":"26","x-request-id":"72ae1402-3d1a-49e9-a73b-d0797337eac9"}</t>
        </is>
      </c>
      <c r="N60" t="inlineStr">
        <is>
          <t>PantsOther Vintage Gray-Green Washed Straight Jeans made from heavy cotton denim offer natural fading, street-style vibes, loose mid-rise fit, breathable comfort, and unisex urban fashion appeal.</t>
        </is>
      </c>
      <c r="O60" t="inlineStr">
        <is>
          <t>{"choices":[{"finish_reason":"stop","index":0,"logprobs":null,"message":{"annotations":[],"content":"YuanShu,Pants,kakobuy,kakebuy2026,kekobuysheet,kakobuysheet2026,2026kakobuy,kakobuyspreadsheeet,kakobuylink,kakebuylist,Kakobuy MEGA Spreadsheet,kakobuysheetfind,kakobuysheetfind2026,2026kakobuysheetfind,kakobuysheet2026","refusal":null,"role":"assistant"}}],"created":1776668578,"id":"chatcmpl-DWcwkkirOvAvySr65SgeVy5ia8hbY","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60" t="inlineStr">
        <is>
          <t>YuanShu,Pants,kakobuy,kakebuy2026,kekobuysheet,kakobuysheet2026,2026kakobuy,kakobuyspreadsheeet,kakobuylink,kakebuylist,Kakobuy MEGA Spreadsheet,kakobuysheetfind,kakobuysheetfind2026,2026kakobuysheetfind,kakobuysheet2026</t>
        </is>
      </c>
      <c r="Q60" t="inlineStr">
        <is>
          <t>Denim, Grey Green, Streetwear, Unisex</t>
        </is>
      </c>
      <c r="R60" t="inlineStr">
        <is>
          <t>recvh6xFVjpje7</t>
        </is>
      </c>
      <c r="S60" t="inlineStr">
        <is>
          <t>pantsother-vintage-gray-green-washed-straight-jeans-recvh6xfvjpje7</t>
        </is>
      </c>
      <c r="T60"/>
      <c r="U60"/>
      <c r="V60"/>
      <c r="W60" t="inlineStr">
        <is>
          <t>{"choices":[{"finish_reason":"stop","index":0,"logprobs":null,"message":{"annotations":[],"content":"复古灰绿色水洗直筒牛仔裤，选用厚实棉质牛仔面料，带来自然褪色质感，做旧工艺展现街头潮流风格。宽松剪裁搭配中腰设计，舒适透气兼具造型感，男女皆宜，轻松打造休闲与个性并存的都市时尚造型。","refusal":null,"role":"assistant"}}],"created":1776654936,"id":"chatcmpl-DWZOiU0amWTAdhfUcHZKv4GPnaZFz","model":"gpt-5-chat-latest","object":"chat.completion","service_tier":"default","system_fingerprint":"fp_ad66631dec","usage":{"completion_tokens":89,"completion_tokens_details":{"accepted_prediction_tokens":0,"audio_tokens":0,"reasoning_tokens":0,"rejected_prediction_tokens":0},"prompt_tokens":1323,"prompt_tokens_details":{"audio_tokens":0,"cached_tokens":1280},"total_tokens":1412}}</t>
        </is>
      </c>
      <c r="X60" t="inlineStr">
        <is>
          <t>复古灰绿色水洗直筒牛仔裤，选用厚实棉质牛仔面料，带来自然褪色质感，做旧工艺展现街头潮流风格。宽松剪裁搭配中腰设计，舒适透气兼具造型感，男女皆宜，轻松打造休闲与个性并存的都市时尚造型。</t>
        </is>
      </c>
    </row>
    <row r="61" ht="25.5" customHeight="1">
      <c r="A61">
        <v>1839115443</v>
      </c>
      <c r="B61">
        <v>7599251953</v>
      </c>
      <c r="C61" t="inlineStr">
        <is>
          <t>https://weidian.com/item.html?itemID=7599251953</t>
        </is>
      </c>
      <c r="D61"/>
      <c r="E61" s="2" t="str">
        <f>=HYPERLINK("https://si.geilicdn.com/open1832946205-252808396-376b00000197f3aee4bd0a8133b0_790_821.jpg?w=640&amp;h=640", "https://si.geilicdn.com/open1832946205-252808396-376b00000197f3aee4bd0a8133b0_790_821.jpg?w=640&amp;h=640")</f>
        <v>https://si.geilicdn.com/open1832946205-252808396-376b00000197f3aee4bd0a8133b0_790_821.jpg?w=640&amp;h=640</v>
      </c>
      <c r="F61" t="inlineStr">
        <is>
          <t>Jackets</t>
        </is>
      </c>
      <c r="G61" t="inlineStr">
        <is>
          <t>Adidas</t>
        </is>
      </c>
      <c r="H61" t="inlineStr">
        <is>
          <t>342.00</t>
        </is>
      </c>
      <c r="I61">
        <v>49.5652173913043</v>
      </c>
      <c r="J61" t="inlineStr">
        <is>
          <t>{"choices":[{"finish_reason":"stop","index":0,"logprobs":null,"message":{"annotations":[],"content":"Adidas White Down Jacket Three Stripes Winter Coat","refusal":null,"role":"assistant"}}],"created":1776665976,"id":"chatcmpl-DWcGmWorPcsyQEnzEilCQzeM4dz0R","model":"gpt-5-chat-latest","object":"chat.completion","service_tier":"default","system_fingerprint":"fp_ad66631dec","usage":{"completion_tokens":11,"completion_tokens_details":{"accepted_prediction_tokens":0,"audio_tokens":0,"reasoning_tokens":0,"rejected_prediction_tokens":0},"prompt_tokens":880,"prompt_tokens_details":{"audio_tokens":0,"cached_tokens":0},"total_tokens":891}}</t>
        </is>
      </c>
      <c r="K61" t="inlineStr">
        <is>
          <t>Adidas White Down Jacket Three Stripes Winter Coat</t>
        </is>
      </c>
      <c r="L61" t="inlineStr">
        <is>
          <t>{"choices":[{"finish_reason":"stop","index":0,"logprobs":null,"message":{"annotations":[],"content":"Adidas White Down Jacket – Classic Three Stripes, windproof and warm, unisex sporty design, perfect for casual winter wear and outdoor fashion. Stay stylish and cozy with Adidas quality.","refusal":null,"role":"assistant"}}],"created":1776658868,"id":"chatcmpl-DWaQ8fcvRYYcpMtczSYsOI2aYqgtA","model":"gpt-5-chat-latest","object":"chat.completion","service_tier":"default","system_fingerprint":"fp_ad66631dec","usage":{"completion_tokens":39,"completion_tokens_details":{"accepted_prediction_tokens":0,"audio_tokens":0,"reasoning_tokens":0,"rejected_prediction_tokens":0},"prompt_tokens":881,"prompt_tokens_details":{"audio_tokens":0,"cached_tokens":0},"total_tokens":920}}</t>
        </is>
      </c>
      <c r="M61" t="inlineStr">
        <is>
          <t>{"alt-svc":"h3=\":443\"; ma=2592000","apim-request-id":"82a51a7c-0c62-4ab6-9810-bba85e473cb2","azureml-model-session":"d20260402083108-57a85543","cache-control":"no-cache","connection":"close","content-length":"776","content-security-policy":"frame-ancestors 'self'","content-type":"application/json","date":"Mon, 20 Apr 2026 04:21:10 GMT","server":"Caddy","skip-error-remapping":"true","strict-transport-security":"max-age=31536000; includeSubDomains; preload","via":"1.1 Caddy","x-api-request-id":"20260420122108148945102D6436hVx","x-content-type-options":"nosniff","x-frame-options":"SAMEORIGIN","x-ms-client-request-id":"Not-Set","x-ms-is-spilled-over":"false","x-ms-rai-invoked":"true","x-ms-region":"East US 2","x-new-api-version":"0.4.39","x-oneapi-request-id":"20260420042108833060388268d9d6A9OVXDoD","x-ratelimit-abusepenalty-active":"False","x-ratelimit-limit-requests":"3850","x-ratelimit-limit-tokens":"3850000","x-ratelimit-remaining-requests":"3849","x-ratelimit-remaining-tokens":"3848357","x-ratelimit-renewalperiod-requests":"60","x-ratelimit-renewalperiod-tokens":"60","x-ratelimit-reset-requests":"15","x-ratelimit-reset-tokens":"25","x-request-id":"238327dd-4052-40ca-8cfd-6b3c5ed705f1"}</t>
        </is>
      </c>
      <c r="N61" t="inlineStr">
        <is>
          <t>Adidas White Down Jacket – Classic Three Stripes, windproof and warm, unisex sporty design, perfect for casual winter wear and outdoor fashion. Stay stylish and cozy with Adidas quality.</t>
        </is>
      </c>
      <c r="O61" t="inlineStr">
        <is>
          <t>{"choices":[{"finish_reason":"stop","index":0,"logprobs":null,"message":{"annotations":[],"content":"Adidas, Jackets, kakobuy, kakebuy2026, kekobuysheet, kakobuysheet2026, 2026kakobuy, kakobuyspreadsheeet, kakobuylink, kakebuylist, Kakobuy MEGA Spreadsheet, kakobuysheetfind, kakobuysheetfind2026, 2026kakobuysheetfind, kakobuysheet2026","refusal":null,"role":"assistant"}}],"created":1776668349,"id":"chatcmpl-DWct3r20IROHK4ROHsWzwtC6G0xbU","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61" t="inlineStr">
        <is>
          <t>Adidas, Jackets, kakobuy, kakebuy2026, kekobuysheet, kakobuysheet2026, 2026kakobuy, kakobuyspreadsheeet, kakobuylink, kakebuylist, Kakobuy MEGA Spreadsheet, kakobuysheetfind, kakobuysheetfind2026, 2026kakobuysheetfind, kakobuysheet2026</t>
        </is>
      </c>
      <c r="Q61" t="inlineStr">
        <is>
          <t>ADIDAS, White, Classic, Sporty, Winter, Unisex</t>
        </is>
      </c>
      <c r="R61" t="inlineStr">
        <is>
          <t>recvh6xFVj4977</t>
        </is>
      </c>
      <c r="S61" t="inlineStr">
        <is>
          <t>adidas-white-down-jacket-three-stripes-winter-coat-recvh6xFVj4977</t>
        </is>
      </c>
      <c r="T61"/>
      <c r="U61"/>
      <c r="V61"/>
      <c r="W61" t="inlineStr">
        <is>
          <t>{"choices":[{"finish_reason":"stop","index":0,"logprobs":null,"message":{"annotations":[],"content":"Adidas：白色保暖羽绒夹克，经典三条纹设计，优质防风面料，休闲运动风格，男女通用，冬季时尚必备。","refusal":null,"role":"assistant"}}],"created":1776655873,"id":"chatcmpl-DWZdp9d5DI6l9Qg9LBnWzmNU6Degu","model":"gpt-5-chat-latest","object":"chat.completion","service_tier":"default","system_fingerprint":"fp_ad66631dec","usage":{"completion_tokens":44,"completion_tokens_details":{"accepted_prediction_tokens":0,"audio_tokens":0,"reasoning_tokens":0,"rejected_prediction_tokens":0},"prompt_tokens":1318,"prompt_tokens_details":{"audio_tokens":0,"cached_tokens":1280},"total_tokens":1362}}</t>
        </is>
      </c>
      <c r="X61" t="inlineStr">
        <is>
          <t>Adidas：白色保暖羽绒夹克，经典三条纹设计，优质防风面料，休闲运动风格，男女通用，冬季时尚必备。</t>
        </is>
      </c>
    </row>
    <row r="62" ht="25.5" customHeight="1">
      <c r="A62">
        <v>1839115443</v>
      </c>
      <c r="B62">
        <v>7599170995</v>
      </c>
      <c r="C62" t="inlineStr">
        <is>
          <t>https://weidian.com/item.html?itemID=7599170995</t>
        </is>
      </c>
      <c r="D62"/>
      <c r="E62" s="2" t="str">
        <f>=HYPERLINK("https://si.geilicdn.com/open1832946205-252808396-2c8f000001988e7ddee30a8133b0_960_946.jpg?w=640&amp;h=640", "https://si.geilicdn.com/open1832946205-252808396-2c8f000001988e7ddee30a8133b0_960_946.jpg?w=640&amp;h=640")</f>
        <v>https://si.geilicdn.com/open1832946205-252808396-2c8f000001988e7ddee30a8133b0_960_946.jpg?w=640&amp;h=640</v>
      </c>
      <c r="F62" t="inlineStr">
        <is>
          <t>Jackets</t>
        </is>
      </c>
      <c r="G62" t="inlineStr">
        <is>
          <t>Supreme</t>
        </is>
      </c>
      <c r="H62" t="inlineStr">
        <is>
          <t>367.00</t>
        </is>
      </c>
      <c r="I62">
        <v>53.19</v>
      </c>
      <c r="J62" t="inlineStr">
        <is>
          <t>{"id":"chatcmpl-DWcIWa41mnOOJ60XSXguez2B1ygIs","object":"chat.completion","created":1776666084,"model":"gpt-5-chat-latest","choices":[{"index":0,"message":{"role":"assistant","content":"Supreme x Umbro Black Retro Windbreaker Jacket 90s Style","refusal":null,"annotations":[]},"logprobs":null,"finish_reason":"stop"}],"usage":{"prompt_tokens":886,"completion_tokens":15,"total_tokens":901,"prompt_tokens_details":{"cached_tokens":0,"audio_tokens":0},"completion_tokens_details":{"reasoning_tokens":0,"audio_tokens":0,"accepted_prediction_tokens":0,"rejected_prediction_tokens":0}},"service_tier":"default","system_fingerprint":"fp_ad66631dec"}</t>
        </is>
      </c>
      <c r="K62" t="inlineStr">
        <is>
          <t>Supreme x Umbro Black Retro Windbreaker Jacket 90s Style</t>
        </is>
      </c>
      <c r="L62" t="inlineStr">
        <is>
          <t>{"id":"chatcmpl-DWaaKAmNtfouseREZjzGkmqIrNIS5","object":"chat.completion","created":1776659500,"model":"gpt-5-chat-latest","choices":[{"index":0,"message":{"role":"assistant","content":"Supreme x Umbro Black Windbreaker Jacket – Limited Edition nylon sports jacket featuring logo and shield emblem, unisex 90s retro design, lightweight, windproof, stylish, and comfortable streetwear.","refusal":null,"annotations":[]},"logprobs":null,"finish_reason":"stop"}],"usage":{"prompt_tokens":906,"completion_tokens":42,"total_tokens":948,"prompt_tokens_details":{"cached_tokens":0,"audio_tokens":0},"completion_tokens_details":{"reasoning_tokens":0,"audio_tokens":0,"accepted_prediction_tokens":0,"rejected_prediction_tokens":0}},"service_tier":"default","system_fingerprint":"fp_ad66631dec"}</t>
        </is>
      </c>
      <c r="M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ma=2592000","apim-request-id":"8c926c98-ae7d-4542-89b6-1a713d761a6c","azureml-model-session":"d20260402074105-51db401e","cache-control":"no-cache, no-store, must-revalidate","connection":"close","content-length":"1004","content-security-policy":"frame-ancestors 'self'","content-type":"application/json","date":"Mon, 20 Apr 2026 04:31:41 GMT","server":"nginx","skip-error-remapping":"true","strict-transport-security":"max-age=31536000; includeSubDomains; preload","via":"1.1 Caddy, 1.1 Caddy","x-api-request-id":"20260420123139656070167PTkicSXU","x-content-type-options":"nosniff","x-frame-options":"SAMEORIGIN","x-ms-is-spilled-over":"false","x-ms-rai-invoked":"false","x-ms-region":"East US 2","x-new-api-version":"0.4.39","x-oneapi-request-id":"202604200431395873434848268d9d6y7olKwTD","x-ratelimit-abusepenalty-active":"False","x-ratelimit-limit-requests":"4994","x-ratelimit-limit-tokens":"4994000","x-ratelimit-remaining-requests":"4993","x-ratelimit-remaining-tokens":"4992332","x-ratelimit-renewalperiod-requests":"60","x-ratelimit-renewalperiod-tokens":"60","x-ratelimit-reset-requests":"12","x-ratelimit-reset-tokens":"20","x-request-id":"3b84ca71-04dd-4c0e-b4ca-e51fd6a13940"}</t>
        </is>
      </c>
      <c r="N62" t="inlineStr">
        <is>
          <t>Supreme x Umbro Black Windbreaker Jacket – Limited Edition nylon sports jacket featuring logo and shield emblem, unisex 90s retro design, lightweight, windproof, stylish, and comfortable streetwear.</t>
        </is>
      </c>
      <c r="O62" t="inlineStr">
        <is>
          <t>{"choices":[{"finish_reason":"stop","index":0,"logprobs":null,"message":{"annotations":[],"content":"Supreme,Jacket,kakobuy,kakebuy2026,kekobuysheet,kakobuysheet2026,2026kakobuy,kakobuyspreadsheeet,kakobuylink,kakebuylist,Kakobuy MEGA Spreadsheet,kakobuysheetfind,kakobuysheetfind2026,2026kakobuysheetfind,kakobuysheet2026","refusal":null,"role":"assistant"}}],"created":1776667807,"id":"chatcmpl-DWckJekmVFH4Z2tzLPcPAZxydskV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62" t="inlineStr">
        <is>
          <t>Supreme,Jacket,kakobuy,kakebuy2026,kekobuysheet,kakobuysheet2026,2026kakobuy,kakobuyspreadsheeet,kakobuylink,kakebuylist,Kakobuy MEGA Spreadsheet,kakobuysheetfind,kakobuysheetfind2026,2026kakobuysheetfind,kakobuysheet2026</t>
        </is>
      </c>
      <c r="Q62" t="inlineStr">
        <is>
          <t>Supreme, Nylon, Retro, Windproof, Lightweight, Unisex</t>
        </is>
      </c>
      <c r="R62" t="inlineStr">
        <is>
          <t>recvh6xFVjw81j</t>
        </is>
      </c>
      <c r="S62" t="inlineStr">
        <is>
          <t>supreme-umbro-black-retro-windbreaker-90s-recvh6xFVjw81j</t>
        </is>
      </c>
      <c r="T62"/>
      <c r="U62"/>
      <c r="V62"/>
      <c r="W62" t="inlineStr">
        <is>
          <t>{"choices":[{"finish_reason":"stop","index":0,"logprobs":null,"message":{"annotations":[],"content":"Supreme：黑色运动夹克，联合Umbro系列限量款，采用轻盈防风尼龙面料，胸前品牌Logo与盾形图腾设计彰显街头运动风格，适合男女通用，复古90年代灵感剪裁，兼具舒适与个性。","refusal":null,"role":"assistant"}}],"created":1776656041,"id":"chatcmpl-DWZgXsnDSkYhUM3HSNs7YHY9K25Qv","model":"gpt-5-chat-latest","object":"chat.completion","service_tier":"default","system_fingerprint":"fp_ad66631dec","usage":{"completion_tokens":69,"completion_tokens_details":{"accepted_prediction_tokens":0,"audio_tokens":0,"reasoning_tokens":0,"rejected_prediction_tokens":0},"prompt_tokens":1318,"prompt_tokens_details":{"audio_tokens":0,"cached_tokens":0},"total_tokens":1387}}</t>
        </is>
      </c>
      <c r="X62" t="inlineStr">
        <is>
          <t>Supreme：黑色运动夹克，联合Umbro系列限量款，采用轻盈防风尼龙面料，胸前品牌Logo与盾形图腾设计彰显街头运动风格，适合男女通用，复古90年代灵感剪裁，兼具舒适与个性。</t>
        </is>
      </c>
    </row>
    <row r="63" ht="25.5" customHeight="1">
      <c r="A63">
        <v>1839115443</v>
      </c>
      <c r="B63">
        <v>7599149589</v>
      </c>
      <c r="C63" t="inlineStr">
        <is>
          <t>https://weidian.com/item.html?itemID=7599149589</t>
        </is>
      </c>
      <c r="D63"/>
      <c r="E63" s="2" t="str">
        <f>=HYPERLINK("https://si.geilicdn.com/open1832946205-252808396-5e54000001975978e50d0a8115c2_1280_1600.jpg?w=640&amp;h=640", "https://si.geilicdn.com/open1832946205-252808396-5e54000001975978e50d0a8115c2_1280_1600.jpg?w=640&amp;h=640")</f>
        <v>https://si.geilicdn.com/open1832946205-252808396-5e54000001975978e50d0a8115c2_1280_1600.jpg?w=640&amp;h=640</v>
      </c>
      <c r="F63" t="inlineStr">
        <is>
          <t>T-Shirts</t>
        </is>
      </c>
      <c r="G63" t="inlineStr">
        <is>
          <t>Calvin Klein</t>
        </is>
      </c>
      <c r="H63" t="inlineStr">
        <is>
          <t>146.00</t>
        </is>
      </c>
      <c r="I63">
        <v>21.16</v>
      </c>
      <c r="J63" t="inlineStr">
        <is>
          <t>{"choices":[{"finish_reason":"stop","index":0,"logprobs":null,"message":{"annotations":[],"content":"Calvin Klein White Graffiti CK Logo Cotton T-Shirt","refusal":null,"role":"assistant"}}],"created":1776666108,"id":"chatcmpl-DWcIu9K2URFn86nJTBXIkWXJwtgQ6","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63" t="inlineStr">
        <is>
          <t>Calvin Klein White Graffiti CK Logo Cotton T-Shirt</t>
        </is>
      </c>
      <c r="L63" t="inlineStr">
        <is>
          <t>{"choices":[{"finish_reason":"stop","index":0,"logprobs":null,"message":{"annotations":[],"content":"Calvin Klein white unisex cotton T-shirt with a bold black graffiti CK logo on the back, minimal and modern American street style, soft, breathable, and perfect for everyday casual wear.","refusal":null,"role":"assistant"}}],"created":1776659521,"id":"chatcmpl-DWaafyMEV7BaCvT83dLVWkdLsIJGg","model":"gpt-5-chat-latest","object":"chat.completion","service_tier":"default","system_fingerprint":"fp_ad66631dec","usage":{"completion_tokens":39,"completion_tokens_details":{"accepted_prediction_tokens":0,"audio_tokens":0,"reasoning_tokens":0,"rejected_prediction_tokens":0},"prompt_tokens":915,"prompt_tokens_details":{"audio_tokens":0,"cached_tokens":0},"total_tokens":954}}</t>
        </is>
      </c>
      <c r="M63" t="inlineStr">
        <is>
          <t>{"alt-svc":"h3=\":443\"; ma=2592000","apim-request-id":"dbb6ff57-ea4c-489d-a008-296a20b61400","azureml-model-session":"d20260402083108-57a85543","cache-control":"no-cache","connection":"close","content-length":"774","content-security-policy":"frame-ancestors 'self'","content-type":"application/json","date":"Mon, 20 Apr 2026 04:32:02 GMT","server":"Caddy","skip-error-remapping":"true","strict-transport-security":"max-age=31536000; includeSubDomains; preload","via":"1.1 Caddy","x-api-request-id":"202604201232009006228143DqkqTxu","x-content-type-options":"nosniff","x-frame-options":"SAMEORIGIN","x-ms-client-request-id":"Not-Set","x-ms-is-spilled-over":"false","x-ms-rai-invoked":"true","x-ms-region":"East US 2","x-new-api-version":"0.4.39","x-oneapi-request-id":"202604200432008340791628268d9d6uMUfpkYX","x-ratelimit-abusepenalty-active":"False","x-ratelimit-limit-requests":"3850","x-ratelimit-limit-tokens":"3850000","x-ratelimit-remaining-requests":"3849","x-ratelimit-remaining-tokens":"3848323","x-ratelimit-renewalperiod-requests":"60","x-ratelimit-renewalperiod-tokens":"60","x-ratelimit-reset-requests":"15","x-ratelimit-reset-tokens":"26","x-request-id":"333eb93c-1a73-49a8-9547-c2c6e24aa562"}</t>
        </is>
      </c>
      <c r="N63" t="inlineStr">
        <is>
          <t>Calvin Klein white unisex cotton T-shirt with a bold black graffiti CK logo on the back, minimal and modern American street style, soft, breathable, and perfect for everyday casual wear.</t>
        </is>
      </c>
      <c r="O63" t="inlineStr">
        <is>
          <t>{"choices":[{"finish_reason":"stop","index":0,"logprobs":null,"message":{"annotations":[],"content":"Calvin Klein, T-Shirts, kakobuy, kakebuy2026, kekobuysheet, kakobuysheet2026, 2026kakobuy, kakobuyspreadsheeet, kakobuylink, kakebuylist, Kakobuy MEGA Spreadsheet, kakobuysheetfind, kakobuysheetfind2026, 2026kakobuysheetfind, kakobuysheet2026","refusal":null,"role":"assistant"}}],"created":1776668564,"id":"chatcmpl-DWcwWs4oP2f2fTB7lTmHED5oKWF9D","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63" t="inlineStr">
        <is>
          <t>Calvin Klein, T-Shirts, kakobuy, kakebuy2026, kekobuysheet, kakobuysheet2026, 2026kakobuy, kakobuyspreadsheeet, kakobuylink, kakebuylist, Kakobuy MEGA Spreadsheet, kakobuysheetfind, kakobuysheetfind2026, 2026kakobuysheetfind, kakobuysheet2026</t>
        </is>
      </c>
      <c r="Q63" t="inlineStr">
        <is>
          <t>White, Unisex, Minimalist, Modern, Streetwear</t>
        </is>
      </c>
      <c r="R63" t="inlineStr">
        <is>
          <t>recvh6xFVjcAFO</t>
        </is>
      </c>
      <c r="S63" t="inlineStr">
        <is>
          <t>ck-white-graffiti-logo-cotton-tshirt-recvh6xfvjcafo</t>
        </is>
      </c>
      <c r="T63"/>
      <c r="U63"/>
      <c r="V63"/>
      <c r="W63" t="inlineStr">
        <is>
          <t>{"choices":[{"finish_reason":"stop","index":0,"logprobs":null,"message":{"annotations":[],"content":"Calvin Klein：白色休闲款短袖T恤，精选纯棉材质，背面大号黑色“CK”涂鸦Logo设计，极简现代风格，男女皆宜，展现美式都市时尚品味，舒适百搭，适合日常穿搭与街头造型。","refusal":null,"role":"assistant"}}],"created":1776655221,"id":"chatcmpl-DWZTJP5xufd2kmq3EFCTlgJCqyymb","model":"gpt-5-chat-latest","object":"chat.completion","service_tier":"default","system_fingerprint":"fp_ad66631dec","usage":{"completion_tokens":76,"completion_tokens_details":{"accepted_prediction_tokens":0,"audio_tokens":0,"reasoning_tokens":0,"rejected_prediction_tokens":0},"prompt_tokens":1323,"prompt_tokens_details":{"audio_tokens":0,"cached_tokens":0},"total_tokens":1399}}</t>
        </is>
      </c>
      <c r="X63" t="inlineStr">
        <is>
          <t>Calvin Klein：白色休闲款短袖T恤，精选纯棉材质，背面大号黑色“CK”涂鸦Logo设计，极简现代风格，男女皆宜，展现美式都市时尚品味，舒适百搭，适合日常穿搭与街头造型。</t>
        </is>
      </c>
    </row>
    <row r="64" ht="25.5" customHeight="1">
      <c r="A64">
        <v>1839115443</v>
      </c>
      <c r="B64">
        <v>7601134312</v>
      </c>
      <c r="C64" t="inlineStr">
        <is>
          <t>https://weidian.com/item.html?itemID=7601134312</t>
        </is>
      </c>
      <c r="D64"/>
      <c r="E64" s="2" t="str">
        <f>=HYPERLINK("https://si.geilicdn.com/open1832946205-252808396-77c500000197f31f19cd0a23b491_800_800.jpg?w=640&amp;h=640", "https://si.geilicdn.com/open1832946205-252808396-77c500000197f31f19cd0a23b491_800_800.jpg?w=640&amp;h=640")</f>
        <v>https://si.geilicdn.com/open1832946205-252808396-77c500000197f31f19cd0a23b491_800_800.jpg?w=640&amp;h=640</v>
      </c>
      <c r="F64" t="inlineStr">
        <is>
          <t>Hoodies</t>
        </is>
      </c>
      <c r="G64" t="inlineStr">
        <is>
          <t>Other</t>
        </is>
      </c>
      <c r="H64" t="inlineStr">
        <is>
          <t>227.00</t>
        </is>
      </c>
      <c r="I64">
        <v>32.9</v>
      </c>
      <c r="J64" t="inlineStr">
        <is>
          <t>{"choices":[{"finish_reason":"stop","index":0,"logprobs":null,"message":{"annotations":[],"content":"HoodiesOther Retro Gradient Red Unisex Cotton Hoodie","refusal":null,"role":"assistant"}}],"created":1776665795,"id":"chatcmpl-DWcDrtAreRcP7gJNgpVSxflzcEyr2","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is>
      </c>
      <c r="K64" t="inlineStr">
        <is>
          <t>HoodiesOther Retro Gradient Red Unisex Cotton Hoodie</t>
        </is>
      </c>
      <c r="L64" t="inlineStr">
        <is>
          <t>{"id":"chatcmpl-DWaY9ZmmUaCIM81Zd4zltCqynaLee","object":"chat.completion","created":1776659365,"model":"gpt-5-chat-latest","choices":[{"index":0,"message":{"role":"assistant","content":"HoodiesOther Retro Gradient Red Hoodie, made of thick soft cotton for warmth and comfort. Loose fit with drawstring hood and kangaroo pocket, unisex style for casual streetwear and daily outfits.","refusal":null,"annotations":[]},"logprobs":null,"finish_reason":"stop"}],"usage":{"prompt_tokens":929,"completion_tokens":42,"total_tokens":971,"prompt_tokens_details":{"cached_tokens":0,"audio_tokens":0},"completion_tokens_details":{"reasoning_tokens":0,"audio_tokens":0,"accepted_prediction_tokens":0,"rejected_prediction_tokens":0}},"service_tier":"default","system_fingerprint":"fp_ad66631dec"}</t>
        </is>
      </c>
      <c r="M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ma=2592000","apim-request-id":"dcc086ac-f8c7-4ff7-bd12-e4105b764268","azureml-model-session":"d20260402075109-1fc5a0ec","cache-control":"no-cache, no-store, must-revalidate","connection":"close","content-length":"999","content-security-policy":"frame-ancestors 'self'","content-type":"application/json","date":"Mon, 20 Apr 2026 04:29:27 GMT","server":"Caddy","skip-error-remapping":"true","strict-transport-security":"max-age=31536000; includeSubDomains; preload","via":"1.1 Caddy","x-api-request-id":"202604201229241105121502GkOg1YS","x-content-type-options":"nosniff","x-frame-options":"SAMEORIGIN","x-ms-is-spilled-over":"false","x-ms-rai-invoked":"false","x-ms-region":"Sweden Central","x-new-api-version":"0.4.39","x-oneapi-request-id":"2026042004292470427768268d9d6ArXRRX3t","x-ratelimit-abusepenalty-active":"False","x-ratelimit-limit-requests":"4993","x-ratelimit-limit-tokens":"4993000","x-ratelimit-remaining-requests":"4992","x-ratelimit-remaining-tokens":"4991309","x-ratelimit-renewalperiod-requests":"60","x-ratelimit-renewalperiod-tokens":"60","x-ratelimit-reset-requests":"12","x-ratelimit-reset-tokens":"20","x-request-id":"bf709d72-43e7-4a8d-ae01-62c01764ad17"}</t>
        </is>
      </c>
      <c r="N64" t="inlineStr">
        <is>
          <t>HoodiesOther Retro Gradient Red Hoodie, made of thick soft cotton for warmth and comfort. Loose fit with drawstring hood and kangaroo pocket, unisex style for casual streetwear and daily outfits.</t>
        </is>
      </c>
      <c r="O64" t="inlineStr">
        <is>
          <t>{"choices":[{"finish_reason":"stop","index":0,"logprobs":null,"message":{"annotations":[],"content":"HoodiesOther,kakobuy,kakebuy2026,kekobuysheet,kakobuysheet2026,2026kakobuy,kakobuyspreadsheeet,kakobuylink,kakebuylist,Kakobuy MEGA Spreadsheet,kakobuysheetfind,kakobuysheetfind2026,2026kakobuysheetfind,kakobuysheet2026","refusal":null,"role":"assistant"}}],"created":1776667919,"id":"chatcmpl-DWcm7MVYVD7IAMnfD1HfWXO6WUI9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64" t="inlineStr">
        <is>
          <t>HoodiesOther,kakobuy,kakebuy2026,kekobuysheet,kakobuysheet2026,2026kakobuy,kakobuyspreadsheeet,kakobuylink,kakebuylist,Kakobuy MEGA Spreadsheet,kakobuysheetfind,kakobuysheetfind2026,2026kakobuysheetfind,kakobuysheet2026</t>
        </is>
      </c>
      <c r="Q64" t="inlineStr">
        <is>
          <t>Retro, Gradient, Red, Streetwear</t>
        </is>
      </c>
      <c r="R64" t="inlineStr">
        <is>
          <t>recvh6xFVjoQ1j</t>
        </is>
      </c>
      <c r="S64" t="inlineStr">
        <is>
          <t>retro-gradient-red-hoodie-recvh6xFVjoQ1j</t>
        </is>
      </c>
      <c r="T64"/>
      <c r="U64"/>
      <c r="V64"/>
      <c r="W64" t="inlineStr">
        <is>
          <t>{"id":"chatcmpl-DWZSSOyiwVC3GtR8MNVKPEapm0LCu","object":"chat.completion","created":1776655168,"model":"gpt-5-chat-latest","choices":[{"index":0,"message":{"role":"assistant","content":"复古渐变红色连帽卫衣，采用柔软加厚纯棉材质，手感舒适保暖。宽松廓形搭配经典抽绳帽设计与前置袋鼠口袋，展现休闲街头风。男女皆宜款式，融入简约色差设计感与复古洗旧质感，适合日常穿搭与都市潮流造型。","refusal":null,"annotations":[]},"logprobs":null,"finish_reason":"stop"}],"usage":{"prompt_tokens":1312,"completion_tokens":94,"total_tokens":1406,"prompt_tokens_details":{"cached_tokens":0,"audio_tokens":0},"completion_tokens_details":{"reasoning_tokens":0,"audio_tokens":0,"accepted_prediction_tokens":0,"rejected_prediction_tokens":0}},"service_tier":"default","system_fingerprint":"fp_ad66631dec"}</t>
        </is>
      </c>
      <c r="X64" t="inlineStr">
        <is>
          <t>复古渐变红色连帽卫衣，采用柔软加厚纯棉材质，手感舒适保暖。宽松廓形搭配经典抽绳帽设计与前置袋鼠口袋，展现休闲街头风。男女皆宜款式，融入简约色差设计感与复古洗旧质感，适合日常穿搭与都市潮流造型。</t>
        </is>
      </c>
    </row>
    <row r="65" ht="25.5" customHeight="1">
      <c r="A65">
        <v>1839115443</v>
      </c>
      <c r="B65">
        <v>7601094548</v>
      </c>
      <c r="C65" t="inlineStr">
        <is>
          <t>https://weidian.com/item.html?itemID=7601094548</t>
        </is>
      </c>
      <c r="D65"/>
      <c r="E65" s="2" t="str">
        <f>=HYPERLINK("https://si.geilicdn.com/open1832946205-252808396-022b00000197f295929b0a8133b0_870_719.jpg?w=640&amp;h=640", "https://si.geilicdn.com/open1832946205-252808396-022b00000197f295929b0a8133b0_870_719.jpg?w=640&amp;h=640")</f>
        <v>https://si.geilicdn.com/open1832946205-252808396-022b00000197f295929b0a8133b0_870_719.jpg?w=640&amp;h=640</v>
      </c>
      <c r="F65" t="inlineStr">
        <is>
          <t>T-Shirts</t>
        </is>
      </c>
      <c r="G65" t="inlineStr">
        <is>
          <t>Saint Michael</t>
        </is>
      </c>
      <c r="H65" t="inlineStr">
        <is>
          <t>154.00</t>
        </is>
      </c>
      <c r="I65">
        <v>22.32</v>
      </c>
      <c r="J65" t="inlineStr">
        <is>
          <t>{"choices":[{"finish_reason":"stop","index":0,"logprobs":null,"message":{"annotations":[],"content":"Saint Michael Dark Gray Punk Long Sleeve T-Shirt","refusal":null,"role":"assistant"}}],"created":1776666451,"id":"chatcmpl-DWcORCxh1s4zG481Z2fHpmbGAAMvB","model":"gpt-5-chat-latest","object":"chat.completion","service_tier":"default","system_fingerprint":"fp_ad66631dec","usage":{"completion_tokens":10,"completion_tokens_details":{"accepted_prediction_tokens":0,"audio_tokens":0,"reasoning_tokens":0,"rejected_prediction_tokens":0},"prompt_tokens":896,"prompt_tokens_details":{"audio_tokens":0,"cached_tokens":0},"total_tokens":906}}</t>
        </is>
      </c>
      <c r="K65" t="inlineStr">
        <is>
          <t>Saint Michael Dark Gray Punk Long Sleeve T-Shirt</t>
        </is>
      </c>
      <c r="L65" t="inlineStr">
        <is>
          <t>{"id":"chatcmpl-DWaP2FJYyXiyxctd5AWz6ia2ZWEeJ","object":"chat.completion","created":1776658800,"model":"gpt-5-chat-latest","choices":[{"index":0,"message":{"role":"assistant","content":"Saint Michael dark gray long-sleeve T-shirt, pure cotton, red shield “The Saint Army” front, blood-red “Vampire People” back, vintage street punk style, unisex fit for bold casual fashion.","refusal":null,"annotations":[]},"logprobs":null,"finish_reason":"stop"}],"usage":{"prompt_tokens":910,"completion_tokens":47,"total_tokens":957,"prompt_tokens_details":{"cached_tokens":0,"audio_tokens":0},"completion_tokens_details":{"reasoning_tokens":0,"audio_tokens":0,"accepted_prediction_tokens":0,"rejected_prediction_tokens":0}},"service_tier":"default","system_fingerprint":"fp_ad66631dec"}</t>
        </is>
      </c>
      <c r="M6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ma=2592000","apim-request-id":"cfbf7dc3-f9c8-4eff-9b11-3a1d1eff361b","azureml-model-session":"d20260405234249-f9874baf","cache-control":"no-cache, no-store, must-revalidate","connection":"close","content-length":"1000","content-security-policy":"frame-ancestors 'self'","content-type":"application/json","date":"Mon, 20 Apr 2026 04:20:02 GMT","server":"Caddy","skip-error-remapping":"true","strict-transport-security":"max-age=31536000; includeSubDomains; preload","via":"1.1 Caddy","x-api-request-id":"20260420121959985157379nvg4rBDQ","x-content-type-options":"nosniff","x-frame-options":"SAMEORIGIN","x-ms-is-spilled-over":"false","x-ms-rai-invoked":"false","x-ms-region":"East US 2","x-new-api-version":"0.4.39","x-oneapi-request-id":"202604200419599089255688268d9d68i2Wu8Vn","x-ratelimit-abusepenalty-active":"False","x-ratelimit-limit-requests":"4994","x-ratelimit-limit-tokens":"4994000","x-ratelimit-remaining-requests":"4993","x-ratelimit-remaining-tokens":"4992328","x-ratelimit-renewalperiod-requests":"60","x-ratelimit-renewalperiod-tokens":"60","x-ratelimit-reset-requests":"12","x-ratelimit-reset-tokens":"20","x-request-id":"4447c467-4365-45b1-b57e-ad0a6fc7e292"}</t>
        </is>
      </c>
      <c r="N65" t="inlineStr">
        <is>
          <t>Saint Michael dark gray long-sleeve T-shirt, pure cotton, red shield “The Saint Army” front, blood-red “Vampire People” back, vintage street punk style, unisex fit for bold casual fashion.</t>
        </is>
      </c>
      <c r="O65" t="inlineStr">
        <is>
          <t>{"choices":[{"finish_reason":"stop","index":0,"logprobs":null,"message":{"annotations":[],"content":"Saint Michael, T-Shirts, kakobuy, kakebuy2026, kekobuysheet, kakobuysheet2026, 2026kakobuy, kakobuyspreadsheeet, kakobuylink, kakebuylist, Kakobuy MEGA Spreadsheet, kakobuysheetfind, kakobuysheetfind2026, 2026kakobuysheetfind, kakobuysheet2026","refusal":null,"role":"assistant"}}],"created":1776668879,"id":"chatcmpl-DWd1bIiU3cElQNX3mwStQJDjJTo68","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65" t="inlineStr">
        <is>
          <t>Saint Michael, T-Shirts, kakobuy, kakebuy2026, kekobuysheet, kakobuysheet2026, 2026kakobuy, kakobuyspreadsheeet, kakobuylink, kakebuylist, Kakobuy MEGA Spreadsheet, kakobuysheetfind, kakobuysheetfind2026, 2026kakobuysheetfind, kakobuysheet2026</t>
        </is>
      </c>
      <c r="Q65" t="inlineStr">
        <is>
          <t>Dark Grey, Vintage, Street, Punk, Unisex</t>
        </is>
      </c>
      <c r="R65" t="inlineStr">
        <is>
          <t>recvh6xFVjRPtI</t>
        </is>
      </c>
      <c r="S65" t="inlineStr">
        <is>
          <t>saint-michael-dark-gray-punk-long-sleeve-tshirt-recvh6xFVjRPtI</t>
        </is>
      </c>
      <c r="T65"/>
      <c r="U65"/>
      <c r="V65"/>
      <c r="W65" t="inlineStr">
        <is>
          <t>{"id":"chatcmpl-DWZYqoUFwHKAmma5C9h5gSTOsTOr2","object":"chat.completion","created":1776655564,"model":"gpt-5-chat-latest","choices":[{"index":0,"message":{"role":"assistant","content":"Saint Michael 深灰色长袖T恤，以纯棉面料打造，正面红色盾牌印“The Saint Army”，背面血红字样“Vampire People”，街头复古重工风格，男女通穿，中性剪裁彰显叛逆美学，适合潮流休闲穿搭。","refusal":null,"annotations":[]},"logprobs":null,"finish_reason":"stop"}],"usage":{"prompt_tokens":1314,"completion_tokens":75,"total_tokens":1389,"prompt_tokens_details":{"cached_tokens":0,"audio_tokens":0},"completion_tokens_details":{"reasoning_tokens":0,"audio_tokens":0,"accepted_prediction_tokens":0,"rejected_prediction_tokens":0}},"service_tier":"default","system_fingerprint":"fp_ad66631dec"}</t>
        </is>
      </c>
      <c r="X65" t="inlineStr">
        <is>
          <t>Saint Michael 深灰色长袖T恤，以纯棉面料打造，正面红色盾牌印“The Saint Army”，背面血红字样“Vampire People”，街头复古重工风格，男女通穿，中性剪裁彰显叛逆美学，适合潮流休闲穿搭。</t>
        </is>
      </c>
    </row>
    <row r="66" ht="25.5" customHeight="1">
      <c r="A66">
        <v>1839115443</v>
      </c>
      <c r="B66">
        <v>7599184775</v>
      </c>
      <c r="C66" t="inlineStr">
        <is>
          <t>https://weidian.com/item.html?itemID=7599184775</t>
        </is>
      </c>
      <c r="D66"/>
      <c r="E66" s="2" t="str">
        <f>=HYPERLINK("https://si.geilicdn.com/open1832946205-252808396-06c500000196d28f6f280a22d249_800_800.jpg?w=640&amp;h=640", "https://si.geilicdn.com/open1832946205-252808396-06c500000196d28f6f280a22d249_800_800.jpg?w=640&amp;h=640")</f>
        <v>https://si.geilicdn.com/open1832946205-252808396-06c500000196d28f6f280a22d249_800_800.jpg?w=640&amp;h=640</v>
      </c>
      <c r="F66" t="inlineStr">
        <is>
          <t>T-Shirts</t>
        </is>
      </c>
      <c r="G66" t="inlineStr">
        <is>
          <t>Cactus Jack</t>
        </is>
      </c>
      <c r="H66" t="inlineStr">
        <is>
          <t>119.00</t>
        </is>
      </c>
      <c r="I66">
        <v>17.25</v>
      </c>
      <c r="J66" t="inlineStr">
        <is>
          <t>{"choices":[{"finish_reason":"stop","index":0,"logprobs":null,"message":{"annotations":[],"content":"Cactus Jack Vintage Brown Panther Graphic T-Shirt","refusal":null,"role":"assistant"}}],"created":1776666822,"id":"chatcmpl-DWcUQ7uMzNIGV2wpdQRRvG92NU4Ui","model":"gpt-5-chat-latest","object":"chat.completion","service_tier":"default","system_fingerprint":"fp_ad66631dec","usage":{"completion_tokens":10,"completion_tokens_details":{"accepted_prediction_tokens":0,"audio_tokens":0,"reasoning_tokens":0,"rejected_prediction_tokens":0},"prompt_tokens":887,"prompt_tokens_details":{"audio_tokens":0,"cached_tokens":0},"total_tokens":897}}</t>
        </is>
      </c>
      <c r="K66" t="inlineStr">
        <is>
          <t>Cactus Jack Vintage Brown Panther Graphic T-Shirt</t>
        </is>
      </c>
      <c r="L66" t="inlineStr">
        <is>
          <t>{"choices":[{"finish_reason":"stop","index":0,"logprobs":null,"message":{"annotations":[],"content":"Cactus Jack Vintage Brown T-Shirt, 100% cotton, front graffiti logo print, fiery black panther graphic on back, streetwear oversized fit for men and women, bold style with unique attitude.","refusal":null,"role":"assistant"}}],"created":1776658482,"id":"chatcmpl-DWaJuBmaJ7ATmjk9LBDRpHRybD1q2","model":"gpt-5-chat-latest","object":"chat.completion","service_tier":"default","system_fingerprint":"fp_ad66631dec","usage":{"completion_tokens":42,"completion_tokens_details":{"accepted_prediction_tokens":0,"audio_tokens":0,"reasoning_tokens":0,"rejected_prediction_tokens":0},"prompt_tokens":906,"prompt_tokens_details":{"audio_tokens":0,"cached_tokens":0},"total_tokens":948}}</t>
        </is>
      </c>
      <c r="M66" t="inlineStr">
        <is>
          <t>{"alt-svc":"h3=\":443\"; ma=2592000","apim-request-id":"ca944167-236c-4454-90e4-fafa63f83cba","azureml-model-session":"d20260402083108-57a85543","cache-control":"no-cache","connection":"close","content-length":"776","content-security-policy":"frame-ancestors 'self'","content-type":"application/json","date":"Mon, 20 Apr 2026 04:14:43 GMT","server":"nginx","skip-error-remapping":"true","strict-transport-security":"max-age=31536000; includeSubDomains; preload","via":"1.1 Caddy, 1.1 Caddy","x-api-request-id":"20260420121442315485097PWqNwmXP","x-content-type-options":"nosniff","x-frame-options":"SAMEORIGIN","x-ms-client-request-id":"Not-Set","x-ms-is-spilled-over":"false","x-ms-rai-invoked":"true","x-ms-region":"East US 2","x-new-api-version":"0.4.39","x-oneapi-request-id":"202604200414422172635338268d9d6GVSqi4uu","x-ratelimit-abusepenalty-active":"False","x-ratelimit-limit-requests":"3850","x-ratelimit-limit-tokens":"3850000","x-ratelimit-remaining-requests":"3849","x-ratelimit-remaining-tokens":"3848332","x-ratelimit-renewalperiod-requests":"60","x-ratelimit-renewalperiod-tokens":"60","x-ratelimit-reset-requests":"15","x-ratelimit-reset-tokens":"25","x-request-id":"52ae86d1-700f-4f09-9ede-b0fabe2c4390"}</t>
        </is>
      </c>
      <c r="N66" t="inlineStr">
        <is>
          <t>Cactus Jack Vintage Brown T-Shirt, 100% cotton, front graffiti logo print, fiery black panther graphic on back, streetwear oversized fit for men and women, bold style with unique attitude.</t>
        </is>
      </c>
      <c r="O66" t="inlineStr">
        <is>
          <t>{"choices":[{"finish_reason":"stop","index":0,"logprobs":null,"message":{"annotations":[],"content":"Cactus Jack,T-Shirts,kakobuy,kakebuy2026,kekobuysheet,kakobuysheet2026,2026kakobuy,kakobuyspreadsheeet,kakobuylink,kakebuylist,Kakobuy MEGA Spreadsheet,kakobuysheetfind,kakobuysheetfind2026,2026kakobuysheetfind,kakobuysheet2026","refusal":null,"role":"assistant"}}],"created":1776667135,"id":"chatcmpl-DWcZTJlbY2bDRi8f7C0aCKWzaGjP5","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66" t="inlineStr">
        <is>
          <t>Cactus Jack,T-Shirts,kakobuy,kakebuy2026,kekobuysheet,kakobuysheet2026,2026kakobuy,kakobuyspreadsheeet,kakobuylink,kakebuylist,Kakobuy MEGA Spreadsheet,kakobuysheetfind,kakobuysheetfind2026,2026kakobuysheetfind,kakobuysheet2026</t>
        </is>
      </c>
      <c r="Q66" t="inlineStr">
        <is>
          <t>Streetwear, Unisex, Brown, Men's And Women's</t>
        </is>
      </c>
      <c r="R66" t="inlineStr">
        <is>
          <t>recvh6xFVjwo0J</t>
        </is>
      </c>
      <c r="S66" t="inlineStr">
        <is>
          <t>cactus-jack-vintage-brown-panther-graphic-recvh6xFVjwo0J</t>
        </is>
      </c>
      <c r="T66"/>
      <c r="U66"/>
      <c r="V66"/>
      <c r="W66" t="inlineStr">
        <is>
          <t>{"id":"chatcmpl-DWZNOHvyaODg5ogKLh2tPhDBY1NxI","object":"chat.completion","created":1776654854,"model":"gpt-5-chat-2025-10-03","choices":[{"index":0,"message":{"role":"assistant","content":"Cactus Jack：复古棕色短袖T恤，精选纯棉面料，正面涂鸦字母印花，背面燃烧黑豹图腾设计，街头潮流风格，宽松剪裁，男女皆宜，展现独特个性与张力。","refusal":null,"annotations":[]},"logprobs":null,"finish_reason":"stop"}],"usage":{"prompt_tokens":1317,"completion_tokens":70,"total_tokens":1387,"prompt_tokens_details":{"cached_tokens":0,"audio_tokens":0},"completion_tokens_details":{"reasoning_tokens":0,"audio_tokens":0,"accepted_prediction_tokens":0,"rejected_prediction_tokens":0}},"service_tier":"default","system_fingerprint":"fp_ad66631dec"}</t>
        </is>
      </c>
      <c r="X66" t="inlineStr">
        <is>
          <t>Cactus Jack：复古棕色短袖T恤，精选纯棉面料，正面涂鸦字母印花，背面燃烧黑豹图腾设计，街头潮流风格，宽松剪裁，男女皆宜，展现独特个性与张力。</t>
        </is>
      </c>
    </row>
    <row r="67" ht="25.5" customHeight="1">
      <c r="A67">
        <v>1839115443</v>
      </c>
      <c r="B67">
        <v>7601166130</v>
      </c>
      <c r="C67" t="inlineStr">
        <is>
          <t>https://weidian.com/item.html?itemID=7601166130</t>
        </is>
      </c>
      <c r="D67"/>
      <c r="E67" s="2" t="str">
        <f>=HYPERLINK("https://si.geilicdn.com/open1832946205-252808396-298800000196d3bffcd30aa0834c_800_800.jpg?w=640&amp;h=640", "https://si.geilicdn.com/open1832946205-252808396-298800000196d3bffcd30aa0834c_800_800.jpg?w=640&amp;h=640")</f>
        <v>https://si.geilicdn.com/open1832946205-252808396-298800000196d3bffcd30aa0834c_800_800.jpg?w=640&amp;h=640</v>
      </c>
      <c r="F67" t="inlineStr">
        <is>
          <t>T-Shirts</t>
        </is>
      </c>
      <c r="G67" t="inlineStr">
        <is>
          <t>Louis Vuitton</t>
        </is>
      </c>
      <c r="H67" t="inlineStr">
        <is>
          <t>69.00</t>
        </is>
      </c>
      <c r="I67">
        <v>10</v>
      </c>
      <c r="J67" t="inlineStr">
        <is>
          <t>{"choices":[{"finish_reason":"stop","index":0,"logprobs":null,"message":{"annotations":[],"content":"Louis Vuitton Black Monogram Cotton Unisex T-Shirt","refusal":null,"role":"assistant"}}],"created":1776665667,"id":"chatcmpl-DWcBnfC8B8pqzdgelY8NVDWPZ5Jr4","model":"gpt-5-chat-latest","object":"chat.completion","service_tier":"default","system_fingerprint":"fp_ad66631dec","usage":{"completion_tokens":11,"completion_tokens_details":{"accepted_prediction_tokens":0,"audio_tokens":0,"reasoning_tokens":0,"rejected_prediction_tokens":0},"prompt_tokens":872,"prompt_tokens_details":{"audio_tokens":0,"cached_tokens":0},"total_tokens":883}}</t>
        </is>
      </c>
      <c r="K67" t="inlineStr">
        <is>
          <t>Louis Vuitton Black Monogram Cotton Unisex T-Shirt</t>
        </is>
      </c>
      <c r="L67" t="inlineStr">
        <is>
          <t>{"id":"chatcmpl-DWaUIMH4t5WQKtFJUjtxBOtRE7Rat","object":"chat.completion","created":1776659126,"model":"gpt-5-chat-latest","choices":[{"index":0,"message":{"role":"assistant","content":"Louis Vuitton Black Monogram T-Shirt crafted from premium soft cotton, featuring all-over LV floral pattern, slim fit, breathable unisex design blending street style with French elegance.","refusal":null,"annotations":[]},"logprobs":null,"finish_reason":"stop"}],"usage":{"prompt_tokens":934,"completion_tokens":35,"total_tokens":969,"prompt_tokens_details":{"cached_tokens":0,"audio_tokens":0},"completion_tokens_details":{"reasoning_tokens":0,"audio_tokens":0,"accepted_prediction_tokens":0,"rejected_prediction_tokens":0}},"service_tier":"default","system_fingerprint":"fp_ad66631dec"}</t>
        </is>
      </c>
      <c r="M6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ma=2592000","apim-request-id":"104d2f8f-7aa1-4290-b035-5ce7c2c70aa1","azureml-model-session":"d20260405234249-f9874baf","cache-control":"no-cache, no-store, must-revalidate","connection":"close","content-length":"991","content-security-policy":"frame-ancestors 'self'","content-type":"application/json","date":"Mon, 20 Apr 2026 04:25:28 GMT","server":"nginx","skip-error-remapping":"true","strict-transport-security":"max-age=31536000; includeSubDomains; preload","via":"1.1 Caddy, 1.1 Caddy","x-api-request-id":"20260420122525245838748OZvi98fS","x-content-type-options":"nosniff","x-frame-options":"SAMEORIGIN","x-ms-is-spilled-over":"false","x-ms-rai-invoked":"false","x-ms-region":"Sweden Central","x-new-api-version":"0.4.39","x-oneapi-request-id":"202604200425251776502098268d9d6aMZUOJgF","x-ratelimit-abusepenalty-active":"False","x-ratelimit-limit-requests":"4993","x-ratelimit-limit-tokens":"4993000","x-ratelimit-remaining-requests":"4992","x-ratelimit-remaining-tokens":"4991304","x-ratelimit-renewalperiod-requests":"60","x-ratelimit-renewalperiod-tokens":"60","x-ratelimit-reset-requests":"12","x-ratelimit-reset-tokens":"20","x-request-id":"8bd7ed24-9f8f-43c0-8822-7f66f1332bb0"}</t>
        </is>
      </c>
      <c r="N67" t="inlineStr">
        <is>
          <t>Louis Vuitton Black Monogram T-Shirt crafted from premium soft cotton, featuring all-over LV floral pattern, slim fit, breathable unisex design blending street style with French elegance.</t>
        </is>
      </c>
      <c r="O67" t="inlineStr">
        <is>
          <t>{"choices":[{"finish_reason":"stop","index":0,"logprobs":null,"message":{"annotations":[],"content":"Louis Vuitton, T-Shirts, kakobuy, kakebuy2026, kekobuysheet, kakobuysheet2026, 2026kakobuy, kakobuyspreadsheeet, kakobuylink, kakebuylist, Kakobuy MEGA Spreadsheet, kakobuysheetfind, kakobuysheetfind2026, 2026kakobuysheetfind, kakobuysheet2026","refusal":null,"role":"assistant"}}],"created":1776667677,"id":"chatcmpl-DWciDP9RfTd9X1C4rSPFmhmZkBWcP","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67" t="inlineStr">
        <is>
          <t>Louis Vuitton, T-Shirts, kakobuy, kakebuy2026, kekobuysheet, kakobuysheet2026, 2026kakobuy, kakobuyspreadsheeet, kakobuylink, kakebuylist, Kakobuy MEGA Spreadsheet, kakobuysheetfind, kakobuysheetfind2026, 2026kakobuysheetfind, kakobuysheet2026</t>
        </is>
      </c>
      <c r="Q67" t="inlineStr">
        <is>
          <t>LV, Unisex, Streetwear, Elegant, Breathable</t>
        </is>
      </c>
      <c r="R67" t="inlineStr">
        <is>
          <t>recvh6xFVjue6u</t>
        </is>
      </c>
      <c r="S67" t="inlineStr">
        <is>
          <t>louis-vuitton-black-monogram-cotton-unisex-t-shirt-recvh6xfvjue6u</t>
        </is>
      </c>
      <c r="T67"/>
      <c r="U67"/>
      <c r="V67"/>
      <c r="W67" t="inlineStr">
        <is>
          <t>{"choices":[{"finish_reason":"stop","index":0,"logprobs":null,"message":{"annotations":[],"content":"Louis Vuitton：黑色经典Monogram印花T恤，甄选柔软高品质棉料，满版LV字母与花卉图腾交织，展现品牌标志性奢华美学。立体剪裁修身设计，舒适透气，男女皆宜。融合现代街头与法式优雅风格，休闲亦可时尚出行，尽显低调奢华品味。","refusal":null,"role":"assistant"}}],"created":1776655077,"id":"chatcmpl-DWZQz477br8OuXWTFYv0FDlm8kA7T","model":"gpt-5-chat-latest","object":"chat.completion","service_tier":"default","system_fingerprint":"fp_ad66631dec","usage":{"completion_tokens":100,"completion_tokens_details":{"accepted_prediction_tokens":0,"audio_tokens":0,"reasoning_tokens":0,"rejected_prediction_tokens":0},"prompt_tokens":1312,"prompt_tokens_details":{"audio_tokens":0,"cached_tokens":0},"total_tokens":1412}}</t>
        </is>
      </c>
      <c r="X67" t="inlineStr">
        <is>
          <t>Louis Vuitton：黑色经典Monogram印花T恤，甄选柔软高品质棉料，满版LV字母与花卉图腾交织，展现品牌标志性奢华美学。立体剪裁修身设计，舒适透气，男女皆宜。融合现代街头与法式优雅风格，休闲亦可时尚出行，尽显低调奢华品味。</t>
        </is>
      </c>
    </row>
    <row r="68" ht="25.5" customHeight="1">
      <c r="A68">
        <v>1839115443</v>
      </c>
      <c r="B68">
        <v>7601083204</v>
      </c>
      <c r="C68" t="inlineStr">
        <is>
          <t>https://weidian.com/item.html?itemID=7601083204</t>
        </is>
      </c>
      <c r="D68"/>
      <c r="E68" s="2" t="str">
        <f>=HYPERLINK("https://si.geilicdn.com/open1832946205-252808396-105c000001985a52ab640a8115c2_800_800.jpg?w=750&amp;h=750&amp;cp=1", "https://si.geilicdn.com/open1832946205-252808396-105c000001985a52ab640a8115c2_800_800.jpg?w=750&amp;h=750&amp;cp=1")</f>
        <v>https://si.geilicdn.com/open1832946205-252808396-105c000001985a52ab640a8115c2_800_800.jpg?w=750&amp;h=750&amp;cp=1</v>
      </c>
      <c r="F68" t="inlineStr">
        <is>
          <t>Pants</t>
        </is>
      </c>
      <c r="G68" t="inlineStr">
        <is>
          <t>Other</t>
        </is>
      </c>
      <c r="H68" t="inlineStr">
        <is>
          <t>84.00</t>
        </is>
      </c>
      <c r="I68">
        <v>12.17</v>
      </c>
      <c r="J68" t="inlineStr">
        <is>
          <t>{"choices":[{"finish_reason":"stop","index":0,"logprobs":null,"message":{"annotations":[],"content":"PantsOther Gray Twill Cropped Unisex Suit Pants","refusal":null,"role":"assistant"}}],"created":1776666770,"id":"chatcmpl-DWcTap52mAd5jCrAKZmcXR45hSoT4","model":"gpt-5-chat-latest","object":"chat.completion","service_tier":"default","system_fingerprint":"fp_ad66631dec","usage":{"completion_tokens":13,"completion_tokens_details":{"accepted_prediction_tokens":0,"audio_tokens":0,"reasoning_tokens":0,"rejected_prediction_tokens":0},"prompt_tokens":897,"prompt_tokens_details":{"audio_tokens":0,"cached_tokens":0},"total_tokens":910}}</t>
        </is>
      </c>
      <c r="K68" t="inlineStr">
        <is>
          <t>PantsOther Gray Twill Cropped Unisex Suit Pants</t>
        </is>
      </c>
      <c r="L68" t="inlineStr">
        <is>
          <t>{"id":"chatcmpl-DWaKxslQ16eDWXp5Io6LrDmYMDyiq","object":"chat.completion","created":1776658547,"model":"gpt-5-chat-latest","choices":[{"index":0,"message":{"role":"assistant","content":"PantsOther minimalist gray casual suit pants, made of high-density twill blend with smooth texture and elegant drape. Tailored front pleats, straight cropped fit for men and women, modern urban style for daily or office wear.","refusal":null,"annotations":[]},"logprobs":null,"finish_reason":"stop"}],"usage":{"prompt_tokens":940,"completion_tokens":48,"total_tokens":988,"prompt_tokens_details":{"cached_tokens":0,"audio_tokens":0},"completion_tokens_details":{"reasoning_tokens":0,"audio_tokens":0,"accepted_prediction_tokens":0,"rejected_prediction_tokens":0}},"service_tier":"default","system_fingerprint":"fp_ad66631dec"}</t>
        </is>
      </c>
      <c r="M6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ma=2592000","apim-request-id":"df595d6e-caa8-44c3-8973-6ec49ba067fd","azureml-model-session":"d20260405234249-f9874baf","cache-control":"no-cache, no-store, must-revalidate","connection":"close","content-length":"1029","content-security-policy":"frame-ancestors 'self'","content-type":"application/json","date":"Mon, 20 Apr 2026 04:15:49 GMT","server":"nginx","skip-error-remapping":"true","strict-transport-security":"max-age=31536000; includeSubDomains; preload","vary":"Accept-Encoding","via":"1.1 Caddy, 1.1 Caddy","x-api-request-id":"20260420121545160440815bMCizb4Y","x-content-type-options":"nosniff","x-frame-options":"SAMEORIGIN","x-ms-is-spilled-over":"false","x-ms-rai-invoked":"false","x-ms-region":"Sweden Central","x-new-api-version":"0.4.39","x-oneapi-request-id":"20260420041545946940288268d9d64t2Mofcm","x-ratelimit-abusepenalty-active":"False","x-ratelimit-limit-requests":"4993","x-ratelimit-limit-tokens":"4993000","x-ratelimit-remaining-requests":"4992","x-ratelimit-remaining-tokens":"4991298","x-ratelimit-renewalperiod-requests":"60","x-ratelimit-renewalperiod-tokens":"60","x-ratelimit-reset-requests":"12","x-ratelimit-reset-tokens":"20","x-request-id":"7ab0c69d-7b48-4984-9ccd-8a024bdf7298"}</t>
        </is>
      </c>
      <c r="N68" t="inlineStr">
        <is>
          <t>PantsOther minimalist gray casual suit pants, made of high-density twill blend with smooth texture and elegant drape. Tailored front pleats, straight cropped fit for men and women, modern urban style for daily or office wear.</t>
        </is>
      </c>
      <c r="O68" t="inlineStr">
        <is>
          <t>{"choices":[{"finish_reason":"stop","index":0,"logprobs":null,"message":{"annotations":[],"content":"PantsOther,Pants,kakobuy,kakebuy2026,kekobuysheet,kakobuysheet2026,2026kakobuy,kakobuyspreadsheeet,kakobuylink,kakebuylist,Kakobuy MEGA Spreadsheet,kakobuysheetfind,kakobuysheetfind2026,2026kakobuysheetfind,kakobuysheet2026","refusal":null,"role":"assistant"}}],"created":1776667234,"id":"chatcmpl-DWcb4RmSXJxDqZrLkNqe1LgwVXrMV","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68" t="inlineStr">
        <is>
          <t>PantsOther,Pants,kakobuy,kakebuy2026,kekobuysheet,kakobuysheet2026,2026kakobuy,kakobuyspreadsheeet,kakobuylink,kakebuylist,Kakobuy MEGA Spreadsheet,kakobuysheetfind,kakobuysheetfind2026,2026kakobuysheetfind,kakobuysheet2026</t>
        </is>
      </c>
      <c r="Q68" t="inlineStr">
        <is>
          <t>Minimalist, Gray, Men's And Women's, Modern, All Seasons</t>
        </is>
      </c>
      <c r="R68" t="inlineStr">
        <is>
          <t>recvh6xFVjw3HT</t>
        </is>
      </c>
      <c r="S68" t="inlineStr">
        <is>
          <t>gray-twill-cropped-unisex-suit-pants-recvh6xfvjw3ht</t>
        </is>
      </c>
      <c r="T68"/>
      <c r="U68"/>
      <c r="V68"/>
      <c r="W68" t="inlineStr">
        <is>
          <t>{"id":"chatcmpl-DWZXsTiXeBHLez5M997oJOrUZyCfe","object":"chat.completion","created":1776655504,"model":"gpt-5-chat-latest","choices":[{"index":0,"message":{"role":"assistant","content":"简约灰色休闲西装裤，选用高密斜纹混纺面料，触感顺滑垂感优雅。立体剪裁搭配前褶设计，修饰腿型更显挺拔。经典直筒九分版型，适合通勤与日常穿搭，男女皆宜。极简都市风格，彰显低调质感与摩登气息，轻松打造雅致品味。","refusal":null,"annotations":[]},"logprobs":null,"finish_reason":"stop"}],"usage":{"prompt_tokens":1317,"completion_tokens":103,"total_tokens":1420,"prompt_tokens_details":{"cached_tokens":0,"audio_tokens":0},"completion_tokens_details":{"reasoning_tokens":0,"audio_tokens":0,"accepted_prediction_tokens":0,"rejected_prediction_tokens":0}},"service_tier":"default","system_fingerprint":"fp_ad66631dec"}</t>
        </is>
      </c>
      <c r="X68" t="inlineStr">
        <is>
          <t>简约灰色休闲西装裤，选用高密斜纹混纺面料，触感顺滑垂感优雅。立体剪裁搭配前褶设计，修饰腿型更显挺拔。经典直筒九分版型，适合通勤与日常穿搭，男女皆宜。极简都市风格，彰显低调质感与摩登气息，轻松打造雅致品味。</t>
        </is>
      </c>
    </row>
    <row r="69" ht="25.5" customHeight="1">
      <c r="A69">
        <v>1839115443</v>
      </c>
      <c r="B69">
        <v>7599200763</v>
      </c>
      <c r="C69" t="inlineStr">
        <is>
          <t>https://weidian.com/item.html?itemID=7599200763</t>
        </is>
      </c>
      <c r="D69"/>
      <c r="E69" s="2" t="str">
        <f>=HYPERLINK("https://si.geilicdn.com/open1832946205-252808396-3a68000001963cdc5b4c0a23b491_1080_1080.jpg?w=640&amp;h=640", "https://si.geilicdn.com/open1832946205-252808396-3a68000001963cdc5b4c0a23b491_1080_1080.jpg?w=640&amp;h=640")</f>
        <v>https://si.geilicdn.com/open1832946205-252808396-3a68000001963cdc5b4c0a23b491_1080_1080.jpg?w=640&amp;h=640</v>
      </c>
      <c r="F69" t="inlineStr">
        <is>
          <t>T-Shirts</t>
        </is>
      </c>
      <c r="G69" t="inlineStr">
        <is>
          <t>Stone Island</t>
        </is>
      </c>
      <c r="H69" t="inlineStr">
        <is>
          <t>189.00</t>
        </is>
      </c>
      <c r="I69">
        <v>27.39</v>
      </c>
      <c r="J69" t="inlineStr">
        <is>
          <t>{"id":"chatcmpl-DWcMa2ehm39SiN8j5MIfkmpxtVrIo","object":"chat.completion","created":1776666336,"model":"gpt-5-chat-latest","choices":[{"index":0,"message":{"role":"assistant","content":"Stone Island White Cotton Crewneck Sweatshirt Unisex","refusal":null,"annotations":[]},"logprobs":null,"finish_reason":"stop"}],"usage":{"prompt_tokens":866,"completion_tokens":11,"total_tokens":877,"prompt_tokens_details":{"cached_tokens":0,"audio_tokens":0},"completion_tokens_details":{"reasoning_tokens":0,"audio_tokens":0,"accepted_prediction_tokens":0,"rejected_prediction_tokens":0}},"service_tier":"default","system_fingerprint":"fp_ad66631dec"}</t>
        </is>
      </c>
      <c r="K69" t="inlineStr">
        <is>
          <t>Stone Island White Cotton Crewneck Sweatshirt Unisex</t>
        </is>
      </c>
      <c r="L69" t="inlineStr">
        <is>
          <t>{"choices":[{"finish_reason":"stop","index":0,"logprobs":null,"message":{"annotations":[],"content":"Stone Island white cotton crewneck sweatshirt with iconic sleeve badge, relaxed fit for men and women, minimalist urban style, soft and comfortable for everyday casual wear.","refusal":null,"role":"assistant"}}],"created":1776659119,"id":"chatcmpl-DWaUBfixsryv9YfCx400lSxY9VpOM","model":"gpt-5-chat-latest","object":"chat.completion","service_tier":"default","system_fingerprint":"fp_ad66631dec","usage":{"completion_tokens":32,"completion_tokens_details":{"accepted_prediction_tokens":0,"audio_tokens":0,"reasoning_tokens":0,"rejected_prediction_tokens":0},"prompt_tokens":912,"prompt_tokens_details":{"audio_tokens":0,"cached_tokens":0},"total_tokens":944}}</t>
        </is>
      </c>
      <c r="M69" t="inlineStr">
        <is>
          <t>{"alt-svc":"h3=\":443\"; ma=2592000","apim-request-id":"734eb75b-54e6-41e4-adba-50db55e54e4e","azureml-model-session":"d20260402084046-4209e968","cache-control":"no-cache","connection":"close","content-length":"761","content-security-policy":"frame-ancestors 'self'","content-type":"application/json","date":"Mon, 20 Apr 2026 04:25:20 GMT","server":"nginx","skip-error-remapping":"true","strict-transport-security":"max-age=31536000; includeSubDomains; preload","via":"1.1 Caddy, 1.1 Caddy","x-api-request-id":"20260420122518938607975hvBLQx12","x-content-type-options":"nosniff","x-frame-options":"SAMEORIGIN","x-ms-client-request-id":"Not-Set","x-ms-is-spilled-over":"false","x-ms-rai-invoked":"true","x-ms-region":"East US 2","x-new-api-version":"0.4.39","x-oneapi-request-id":"202604200425188218012438268d9d69aiKooVr","x-ratelimit-abusepenalty-active":"False","x-ratelimit-limit-requests":"3850","x-ratelimit-limit-tokens":"3850000","x-ratelimit-remaining-requests":"3849","x-ratelimit-remaining-tokens":"3848326","x-ratelimit-renewalperiod-requests":"60","x-ratelimit-renewalperiod-tokens":"60","x-ratelimit-reset-requests":"15","x-ratelimit-reset-tokens":"26","x-request-id":"3af86cb8-e4d9-4563-944c-6e23d3e7cb02"}</t>
        </is>
      </c>
      <c r="N69" t="inlineStr">
        <is>
          <t>Stone Island white cotton crewneck sweatshirt with iconic sleeve badge, relaxed fit for men and women, minimalist urban style, soft and comfortable for everyday casual wear.</t>
        </is>
      </c>
      <c r="O69" t="inlineStr">
        <is>
          <t>{"choices":[{"finish_reason":"stop","index":0,"logprobs":null,"message":{"annotations":[],"content":"Stone Island,T-Shirts,kakobuy,kakebuy2026,kekobuysheet,kakobuysheet2026,2026kakobuy,kakobuyspreadsheeet,kakobuylink,kakebuylist,Kakobuy MEGA Spreadsheet,kakobuysheetfind,kakobuysheetfind2026,2026kakobuysheetfind,kakobuysheet2026","refusal":null,"role":"assistant"}}],"created":1776668072,"id":"chatcmpl-DWcoapq98ZFaIJF016XHnBooWUgGI","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69" t="inlineStr">
        <is>
          <t>Stone Island,T-Shirts,kakobuy,kakebuy2026,kekobuysheet,kakobuysheet2026,2026kakobuy,kakobuyspreadsheeet,kakobuylink,kakebuylist,Kakobuy MEGA Spreadsheet,kakobuysheetfind,kakobuysheetfind2026,2026kakobuysheetfind,kakobuysheet2026</t>
        </is>
      </c>
      <c r="Q69" t="inlineStr">
        <is>
          <t>White, Minimalist, Unisex</t>
        </is>
      </c>
      <c r="R69" t="inlineStr">
        <is>
          <t>recvh6xFVj81ds</t>
        </is>
      </c>
      <c r="S69" t="inlineStr">
        <is>
          <t>stone-island-white-cotton-crewneck-sweatshirt-unisex-recvh6xfvj81ds</t>
        </is>
      </c>
      <c r="T69"/>
      <c r="U69"/>
      <c r="V69"/>
      <c r="W69" t="inlineStr">
        <is>
          <t>{"choices":[{"finish_reason":"stop","index":0,"logprobs":null,"message":{"annotations":[],"content":"Stone Island：白色简约圆领卫衣，甄选柔软纯棉面料，左袖徽章标识彰显品牌辨识度。宽松剪裁舒适百搭，适合男女日常休闲穿搭，融合极简都市机能风，展现现代意式潮流格调。","refusal":null,"role":"assistant"}}],"created":1776655478,"id":"chatcmpl-DWZXSJ5MYzE9kH9UcO7G5vnucFhkQ","model":"gpt-5-chat-latest","object":"chat.completion","service_tier":"default","system_fingerprint":"fp_ad66631dec","usage":{"completion_tokens":74,"completion_tokens_details":{"accepted_prediction_tokens":0,"audio_tokens":0,"reasoning_tokens":0,"rejected_prediction_tokens":0},"prompt_tokens":1320,"prompt_tokens_details":{"audio_tokens":0,"cached_tokens":0},"total_tokens":1394}}</t>
        </is>
      </c>
      <c r="X69" t="inlineStr">
        <is>
          <t>Stone Island：白色简约圆领卫衣，甄选柔软纯棉面料，左袖徽章标识彰显品牌辨识度。宽松剪裁舒适百搭，适合男女日常休闲穿搭，融合极简都市机能风，展现现代意式潮流格调。</t>
        </is>
      </c>
    </row>
    <row r="70" ht="25.5" customHeight="1">
      <c r="A70">
        <v>1839115443</v>
      </c>
      <c r="B70">
        <v>7599265911</v>
      </c>
      <c r="C70" t="inlineStr">
        <is>
          <t>https://weidian.com/item.html?itemID=7599265911</t>
        </is>
      </c>
      <c r="D70"/>
      <c r="E70" s="2" t="str">
        <f>=HYPERLINK("https://si.geilicdn.com/pcitem1946583606-2df900000196cd4865d70a23047e_640_640.jpg?w=640&amp;h=640", "https://si.geilicdn.com/pcitem1946583606-2df900000196cd4865d70a23047e_640_640.jpg?w=640&amp;h=640")</f>
        <v>https://si.geilicdn.com/pcitem1946583606-2df900000196cd4865d70a23047e_640_640.jpg?w=640&amp;h=640</v>
      </c>
      <c r="F70" t="inlineStr">
        <is>
          <t>T-Shirts</t>
        </is>
      </c>
      <c r="G70" t="inlineStr">
        <is>
          <t>Nike</t>
        </is>
      </c>
      <c r="H70" t="inlineStr">
        <is>
          <t>99.00</t>
        </is>
      </c>
      <c r="I70">
        <v>14.35</v>
      </c>
      <c r="J70" t="inlineStr">
        <is>
          <t>{"choices":[{"finish_reason":"stop","index":0,"logprobs":null,"message":{"annotations":[],"content":"Nike Black Cotton T-Shirt White Text Swoosh Unisex","refusal":null,"role":"assistant"}}],"created":1776666486,"id":"chatcmpl-DWcP0RWXYxwB63dXRytkdB6290Q43","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is>
      </c>
      <c r="K70" t="inlineStr">
        <is>
          <t>Nike Black Cotton T-Shirt White Text Swoosh Unisex</t>
        </is>
      </c>
      <c r="L70" t="inlineStr">
        <is>
          <t>{"id":"chatcmpl-DWaQWgP4rC6yqVhtjLkjJNr5yCslw","object":"chat.completion","created":1776658892,"model":"gpt-5-chat-latest","choices":[{"index":0,"message":{"role":"assistant","content":"Nike Black Cotton T-Shirt with white hand-drawn text and Swoosh logo, breathable and unisex, perfect for casual wear or light workouts, showcasing a modern sporty street style.","refusal":null,"annotations":[]},"logprobs":null,"finish_reason":"stop"}],"usage":{"prompt_tokens":908,"completion_tokens":38,"total_tokens":946,"prompt_tokens_details":{"cached_tokens":0,"audio_tokens":0},"completion_tokens_details":{"reasoning_tokens":0,"audio_tokens":0,"accepted_prediction_tokens":0,"rejected_prediction_tokens":0}},"service_tier":"default","system_fingerprint":"fp_ad66631dec"}</t>
        </is>
      </c>
      <c r="M7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ma=2592000","apim-request-id":"e42785ec-9766-4d2d-aadf-68680825de9e","azureml-model-session":"d20260402075109-1fc5a0ec","cache-control":"no-cache, no-store, must-revalidate","connection":"close","content-length":"980","content-security-policy":"frame-ancestors 'self'","content-type":"application/json","date":"Mon, 20 Apr 2026 04:21:33 GMT","server":"nginx","skip-error-remapping":"true","strict-transport-security":"max-age=31536000; includeSubDomains; preload","via":"1.1 Caddy, 1.1 Caddy","x-api-request-id":"20260420122130761483431okF8E0yq","x-content-type-options":"nosniff","x-frame-options":"SAMEORIGIN","x-ms-is-spilled-over":"false","x-ms-rai-invoked":"false","x-ms-region":"East US 2","x-new-api-version":"0.4.39","x-oneapi-request-id":"202604200421306949621888268d9d6DR8FP7nT","x-ratelimit-abusepenalty-active":"False","x-ratelimit-limit-requests":"4994","x-ratelimit-limit-tokens":"4994000","x-ratelimit-remaining-requests":"4993","x-ratelimit-remaining-tokens":"4992330","x-ratelimit-renewalperiod-requests":"60","x-ratelimit-renewalperiod-tokens":"60","x-ratelimit-reset-requests":"12","x-ratelimit-reset-tokens":"20","x-request-id":"b5e40ee8-9431-4ece-9ba3-74b4f441b47b"}</t>
        </is>
      </c>
      <c r="N70" t="inlineStr">
        <is>
          <t>Nike Black Cotton T-Shirt with white hand-drawn text and Swoosh logo, breathable and unisex, perfect for casual wear or light workouts, showcasing a modern sporty street style.</t>
        </is>
      </c>
      <c r="O70" t="inlineStr">
        <is>
          <t>{"choices":[{"finish_reason":"stop","index":0,"logprobs":null,"message":{"annotations":[],"content":"Nike,T-Shirts,kakobuy,kakebuy2026,kekobuysheet,kakobuysheet2026,2026kakobuy,kakobuyspreadsheeet,kakobuylink,kakebuylist,Kakobuy MEGA Spreadsheet,kakobuysheetfind,kakobuysheetfind2026,2026kakobuysheetfind,kakobuysheet2026","refusal":null,"role":"assistant"}}],"created":1776668168,"id":"chatcmpl-DWcq8oRqLKQLD5oWhg9veMgof09VI","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70" t="inlineStr">
        <is>
          <t>Nike,T-Shirts,kakobuy,kakebuy2026,kekobuysheet,kakobuysheet2026,2026kakobuy,kakobuyspreadsheeet,kakobuylink,kakebuylist,Kakobuy MEGA Spreadsheet,kakobuysheetfind,kakobuysheetfind2026,2026kakobuysheetfind,kakobuysheet2026</t>
        </is>
      </c>
      <c r="Q70" t="inlineStr">
        <is>
          <t>Nike, Black, Breathable, Unisex, Sporty, Street</t>
        </is>
      </c>
      <c r="R70" t="inlineStr">
        <is>
          <t>recvh6xFVj1KQ2</t>
        </is>
      </c>
      <c r="S70" t="inlineStr">
        <is>
          <t>nike-black-cotton-t-shirt-white-swoosh-unisex-recvh6xFVj1KQ2</t>
        </is>
      </c>
      <c r="T70"/>
      <c r="U70"/>
      <c r="V70"/>
      <c r="W70" t="inlineStr">
        <is>
          <t>{"choices":[{"finish_reason":"stop","index":0,"logprobs":null,"message":{"annotations":[],"content":"Nike：黑色短袖T恤，采用柔软纯棉面料，胸前白色手绘字母印花搭配标志性勾勾Logo，简约街头设计，透气舒适，男女皆宜，彰显现代运动休闲风格，适合日常穿搭与轻运动场景。","refusal":null,"role":"assistant"}}],"created":1776655329,"id":"chatcmpl-DWZV3ds1R4mxOJJTf9bDrIhN0Y8ct","model":"gpt-5-chat-latest","object":"chat.completion","service_tier":"default","system_fingerprint":"fp_ad66631dec","usage":{"completion_tokens":77,"completion_tokens_details":{"accepted_prediction_tokens":0,"audio_tokens":0,"reasoning_tokens":0,"rejected_prediction_tokens":0},"prompt_tokens":1305,"prompt_tokens_details":{"audio_tokens":0,"cached_tokens":0},"total_tokens":1382}}</t>
        </is>
      </c>
      <c r="X70" t="inlineStr">
        <is>
          <t>Nike：黑色短袖T恤，采用柔软纯棉面料，胸前白色手绘字母印花搭配标志性勾勾Logo，简约街头设计，透气舒适，男女皆宜，彰显现代运动休闲风格，适合日常穿搭与轻运动场景。</t>
        </is>
      </c>
    </row>
    <row r="71" ht="25.5" customHeight="1">
      <c r="A71">
        <v>1839115443</v>
      </c>
      <c r="B71">
        <v>7599242487</v>
      </c>
      <c r="C71" t="inlineStr">
        <is>
          <t>https://weidian.com/item.html?itemID=7599242487</t>
        </is>
      </c>
      <c r="D71"/>
      <c r="E71" s="2" t="str">
        <f>=HYPERLINK("https://si.geilicdn.com/open1832946205-252808396-242700000196d1ce894f0aa0834c_800_800.jpg?w=640&amp;h=640", "https://si.geilicdn.com/open1832946205-252808396-242700000196d1ce894f0aa0834c_800_800.jpg?w=640&amp;h=640")</f>
        <v>https://si.geilicdn.com/open1832946205-252808396-242700000196d1ce894f0aa0834c_800_800.jpg?w=640&amp;h=640</v>
      </c>
      <c r="F71" t="inlineStr">
        <is>
          <t>Hoodies</t>
        </is>
      </c>
      <c r="G71" t="inlineStr">
        <is>
          <t>Sp5der</t>
        </is>
      </c>
      <c r="H71" t="inlineStr">
        <is>
          <t>111.00</t>
        </is>
      </c>
      <c r="I71">
        <v>16.09</v>
      </c>
      <c r="J71" t="inlineStr">
        <is>
          <t>{"choices":[{"finish_reason":"stop","index":0,"logprobs":null,"message":{"annotations":[],"content":"Sp5der Black Hoodie Pink Logo Web Streetwear","refusal":null,"role":"assistant"}}],"created":1776666595,"id":"chatcmpl-DWcQle9HY7FcVR8pKYjycqxxcjZ4d","model":"gpt-5-chat-latest","object":"chat.completion","service_tier":"default","system_fingerprint":"fp_ad66631dec","usage":{"completion_tokens":11,"completion_tokens_details":{"accepted_prediction_tokens":0,"audio_tokens":0,"reasoning_tokens":0,"rejected_prediction_tokens":0},"prompt_tokens":884,"prompt_tokens_details":{"audio_tokens":0,"cached_tokens":0},"total_tokens":895}}</t>
        </is>
      </c>
      <c r="K71" t="inlineStr">
        <is>
          <t>Sp5der Black Hoodie Pink Logo Web Streetwear</t>
        </is>
      </c>
      <c r="L71" t="inlineStr">
        <is>
          <t>{"id":"chatcmpl-DWaWyuSWmbRiiMoRnUFvc8GBT23f0","object":"chat.completion","created":1776659292,"model":"gpt-5-chat-latest","choices":[{"index":0,"message":{"role":"assistant","content":"Sp5der Hoodie: Black streetwear sweatshirt with pink logo and spider web print, soft cotton, Y2K aesthetic, oversized unisex fit, perfect for casual outfits and trendy urban style.","refusal":null,"annotations":[]},"logprobs":null,"finish_reason":"stop"}],"usage":{"prompt_tokens":908,"completion_tokens":40,"total_tokens":948,"prompt_tokens_details":{"cached_tokens":0,"audio_tokens":0},"completion_tokens_details":{"reasoning_tokens":0,"audio_tokens":0,"accepted_prediction_tokens":0,"rejected_prediction_tokens":0}},"service_tier":"default","system_fingerprint":"fp_ad66631dec"}</t>
        </is>
      </c>
      <c r="M7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ma=2592000","apim-request-id":"17ef6cb6-b394-45ca-81ee-cedf9217c2d3","azureml-model-session":"d20260402083108-57a85543","cache-control":"no-cache, no-store, must-revalidate","connection":"close","content-length":"984","content-security-policy":"frame-ancestors 'self'","content-type":"application/json","date":"Mon, 20 Apr 2026 04:28:13 GMT","server":"Caddy","skip-error-remapping":"true","strict-transport-security":"max-age=31536000; includeSubDomains; preload","via":"1.1 Caddy","x-api-request-id":"20260420122811330859506bOMVa73K","x-content-type-options":"nosniff","x-frame-options":"SAMEORIGIN","x-ms-is-spilled-over":"false","x-ms-rai-invoked":"false","x-ms-region":"East US 2","x-new-api-version":"0.4.39","x-oneapi-request-id":"202604200428112640425058268d9d6lz5vgV2i","x-ratelimit-abusepenalty-active":"False","x-ratelimit-limit-requests":"4994","x-ratelimit-limit-tokens":"4994000","x-ratelimit-remaining-requests":"4993","x-ratelimit-remaining-tokens":"4992330","x-ratelimit-renewalperiod-requests":"60","x-ratelimit-renewalperiod-tokens":"60","x-ratelimit-reset-requests":"12","x-ratelimit-reset-tokens":"20","x-request-id":"4015b466-bd49-42ab-adca-e4f084df58a6"}</t>
        </is>
      </c>
      <c r="N71" t="inlineStr">
        <is>
          <t>Sp5der Hoodie: Black streetwear sweatshirt with pink logo and spider web print, soft cotton, Y2K aesthetic, oversized unisex fit, perfect for casual outfits and trendy urban style.</t>
        </is>
      </c>
      <c r="O71" t="inlineStr">
        <is>
          <t>{"choices":[{"finish_reason":"stop","index":0,"logprobs":null,"message":{"annotations":[],"content":"Sp5der,Hoodies,kakobuy,kakebuy2026,kekobuysheet,kakobuysheet2026,2026kakobuy,kakobuyspreadsheeet,kakobuylink,kakebuylist,Kakobuy MEGA Spreadsheet,kakobuysheetfind,kakobuysheetfind2026,2026kakobuysheetfind,kakobuysheet2026","refusal":null,"role":"assistant"}}],"created":1776667152,"id":"chatcmpl-DWcZkJ6fM8JQnrORamZgaF0iKkOd6","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71" t="inlineStr">
        <is>
          <t>Sp5der,Hoodies,kakobuy,kakebuy2026,kekobuysheet,kakobuysheet2026,2026kakobuy,kakobuyspreadsheeet,kakobuylink,kakebuylist,Kakobuy MEGA Spreadsheet,kakobuysheetfind,kakobuysheetfind2026,2026kakobuysheetfind,kakobuysheet2026</t>
        </is>
      </c>
      <c r="Q71" t="inlineStr">
        <is>
          <t>Black, Streetwear, Unisex</t>
        </is>
      </c>
      <c r="R71" t="inlineStr">
        <is>
          <t>recvh6xFVjxsb7</t>
        </is>
      </c>
      <c r="S71" t="inlineStr">
        <is>
          <t>sp5der-black-hoodie-pink-logo-recvh6xFVjxsb7</t>
        </is>
      </c>
      <c r="T71"/>
      <c r="U71"/>
      <c r="V71"/>
      <c r="W71" t="inlineStr">
        <is>
          <t>{"id":"chatcmpl-DWZXpZAfsc7gJCnahUVvpj4XOdPgs","object":"chat.completion","created":1776655501,"model":"gpt-5-chat-latest","choices":[{"index":0,"message":{"role":"assistant","content":"Sp5der：黑色街头风连帽卫衣，柔软棉质面料打造，胸前蜘蛛网图腾与粉色字体印花设计，融合Y2K与潮流美学，休闲宽松版型适合男女皆宜，展现独立个性与时尚态度。","refusal":null,"annotations":[]},"logprobs":null,"finish_reason":"stop"}],"usage":{"prompt_tokens":1316,"completion_tokens":72,"total_tokens":1388,"prompt_tokens_details":{"cached_tokens":0,"audio_tokens":0},"completion_tokens_details":{"reasoning_tokens":0,"audio_tokens":0,"accepted_prediction_tokens":0,"rejected_prediction_tokens":0}},"service_tier":"default","system_fingerprint":"fp_ad66631dec"}</t>
        </is>
      </c>
      <c r="X71" t="inlineStr">
        <is>
          <t>Sp5der：黑色街头风连帽卫衣，柔软棉质面料打造，胸前蜘蛛网图腾与粉色字体印花设计，融合Y2K与潮流美学，休闲宽松版型适合男女皆宜，展现独立个性与时尚态度。</t>
        </is>
      </c>
    </row>
    <row r="72" ht="25.5" customHeight="1">
      <c r="A72">
        <v>1839115443</v>
      </c>
      <c r="B72">
        <v>7599277651</v>
      </c>
      <c r="C72" t="inlineStr">
        <is>
          <t>https://weidian.com/item.html?itemID=7599277651</t>
        </is>
      </c>
      <c r="D72"/>
      <c r="E72" s="2" t="str">
        <f>=HYPERLINK("https://si.geilicdn.com/open1832946205-252808396-79010000019888f079e70a8133b0_800_800.jpg?w=640&amp;h=640", "https://si.geilicdn.com/open1832946205-252808396-79010000019888f079e70a8133b0_800_800.jpg?w=640&amp;h=640")</f>
        <v>https://si.geilicdn.com/open1832946205-252808396-79010000019888f079e70a8133b0_800_800.jpg?w=640&amp;h=640</v>
      </c>
      <c r="F72" t="inlineStr">
        <is>
          <t>T-Shirts</t>
        </is>
      </c>
      <c r="G72" t="inlineStr">
        <is>
          <t>Stüssy</t>
        </is>
      </c>
      <c r="H72" t="inlineStr">
        <is>
          <t>196.00</t>
        </is>
      </c>
      <c r="I72">
        <v>28.41</v>
      </c>
      <c r="J72" t="inlineStr">
        <is>
          <t>{"id":"chatcmpl-DWcE3sFgw4xfGFhOqNCtw5I7OMIpL","object":"chat.completion","created":1776665807,"model":"gpt-5-chat-latest","choices":[{"index":0,"message":{"role":"assistant","content":"Stussy 8 Ball Spiral Wool Street Crewneck Sweater","refusal":null,"annotations":[]},"logprobs":null,"finish_reason":"stop"}],"usage":{"prompt_tokens":889,"completion_tokens":13,"total_tokens":902,"prompt_tokens_details":{"cached_tokens":0,"audio_tokens":0},"completion_tokens_details":{"reasoning_tokens":0,"audio_tokens":0,"accepted_prediction_tokens":0,"rejected_prediction_tokens":0}},"service_tier":"default","system_fingerprint":"fp_ad66631dec"}</t>
        </is>
      </c>
      <c r="K72" t="inlineStr">
        <is>
          <t>Stussy 8 Ball Spiral Wool Street Crewneck Sweater</t>
        </is>
      </c>
      <c r="L72" t="inlineStr">
        <is>
          <t>{"choices":[{"finish_reason":"stop","index":0,"logprobs":null,"message":{"annotations":[],"content":"Stüssy Black Street Wool Blend Crewneck Sweatshirt featuring graffiti spiral and 8-ball totems, signature logo design, 90s retro skate style, relaxed unisex fit for casual, trendy comfort.","refusal":null,"role":"assistant"}}],"created":1776658251,"id":"chatcmpl-DWaGBGU4D6fPR9dFlEK0rOV0CGsJi","model":"gpt-5-chat-latest","object":"chat.completion","service_tier":"default","system_fingerprint":"fp_ad66631dec","usage":{"completion_tokens":43,"completion_tokens_details":{"accepted_prediction_tokens":0,"audio_tokens":0,"reasoning_tokens":0,"rejected_prediction_tokens":0},"prompt_tokens":919,"prompt_tokens_details":{"audio_tokens":0,"cached_tokens":0},"total_tokens":962}}</t>
        </is>
      </c>
      <c r="M72" t="inlineStr">
        <is>
          <t>{"alt-svc":"h3=\":443\"; ma=2592000","apim-request-id":"af5b30a9-af29-4564-8ae1-507df74b8abf","azureml-model-session":"d20260405234249-f9874baf","cache-control":"no-cache","connection":"close","content-length":"777","content-security-policy":"frame-ancestors 'self'","content-type":"application/json","date":"Mon, 20 Apr 2026 04:10:53 GMT","server":"nginx","skip-error-remapping":"true","strict-transport-security":"max-age=31536000; includeSubDomains; preload","via":"1.1 Caddy, 1.1 Caddy","x-api-request-id":"20260420121051414793999q2nLCYK6","x-content-type-options":"nosniff","x-frame-options":"SAMEORIGIN","x-ms-client-request-id":"Not-Set","x-ms-is-spilled-over":"false","x-ms-rai-invoked":"true","x-ms-region":"East US 2","x-new-api-version":"0.4.39","x-oneapi-request-id":"202604200410512022976148268d9d6QypJILVy","x-ratelimit-abusepenalty-active":"False","x-ratelimit-limit-requests":"3850","x-ratelimit-limit-tokens":"3850000","x-ratelimit-remaining-requests":"3849","x-ratelimit-remaining-tokens":"3847845","x-ratelimit-renewalperiod-requests":"60","x-ratelimit-renewalperiod-tokens":"60","x-ratelimit-reset-requests":"15","x-ratelimit-reset-tokens":"33","x-request-id":"a46b9bec-4403-4978-95e0-d99e960fbee3"}</t>
        </is>
      </c>
      <c r="N72" t="inlineStr">
        <is>
          <t>Stüssy Black Street Wool Blend Crewneck Sweatshirt featuring graffiti spiral and 8-ball totems, signature logo design, 90s retro skate style, relaxed unisex fit for casual, trendy comfort.</t>
        </is>
      </c>
      <c r="O72" t="inlineStr">
        <is>
          <t>{"choices":[{"finish_reason":"stop","index":0,"logprobs":null,"message":{"annotations":[],"content":"Stüssy,T-Shirts,kakobuy,kakebuy2026,kekobuysheet,kakobuysheet2026,2026kakobuy,kakobuyspreadsheeet,kakobuylink,kakebuylist,Kakobuy MEGA Spreadsheet,kakobuysheetfind,kakobuysheetfind2026,2026kakobuysheetfind,kakobuysheet2026","refusal":null,"role":"assistant"}}],"created":1776667717,"id":"chatcmpl-DWcirQiR6CGV4Mckf2E67JxnaNMUI","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72" t="inlineStr">
        <is>
          <t>Stüssy,T-Shirts,kakobuy,kakebuy2026,kekobuysheet,kakobuysheet2026,2026kakobuy,kakobuyspreadsheeet,kakobuylink,kakebuylist,Kakobuy MEGA Spreadsheet,kakobuysheetfind,kakobuysheetfind2026,2026kakobuysheetfind,kakobuysheet2026</t>
        </is>
      </c>
      <c r="Q72" t="inlineStr">
        <is>
          <t>Stussy, Black, Retro, Skater, Unisex, Wool</t>
        </is>
      </c>
      <c r="R72" t="inlineStr">
        <is>
          <t>recvh6xFVjZbix</t>
        </is>
      </c>
      <c r="S72" t="inlineStr">
        <is>
          <t>stussy-8-ball-spiral-wool-crewneck-recvh6xfvjzbix</t>
        </is>
      </c>
      <c r="T72"/>
      <c r="U72"/>
      <c r="V72"/>
      <c r="W72" t="inlineStr">
        <is>
          <t>{"id":"chatcmpl-DWZVFc7uf9v9e0pd5n99FMn79lFGY","object":"chat.completion","created":1776655341,"model":"gpt-5-chat-latest","choices":[{"index":0,"message":{"role":"assistant","content":"Stüssy：黑色街头系列羊毛混纺圆领卫衣，前后以涂鸦螺旋与8号球图腾点缀，融入品牌签名字体设计，彰显90年代复古滑板文化风格，宽松中性剪裁适合男女穿搭，休闲舒适兼具潮流态度。","refusal":null,"annotations":[]},"logprobs":null,"finish_reason":"stop"}],"usage":{"prompt_tokens":1315,"completion_tokens":84,"total_tokens":1399,"prompt_tokens_details":{"cached_tokens":0,"audio_tokens":0},"completion_tokens_details":{"reasoning_tokens":0,"audio_tokens":0,"accepted_prediction_tokens":0,"rejected_prediction_tokens":0}},"service_tier":"default","system_fingerprint":"fp_ad66631dec"}</t>
        </is>
      </c>
      <c r="X72" t="inlineStr">
        <is>
          <t>Stüssy：黑色街头系列羊毛混纺圆领卫衣，前后以涂鸦螺旋与8号球图腾点缀，融入品牌签名字体设计，彰显90年代复古滑板文化风格，宽松中性剪裁适合男女穿搭，休闲舒适兼具潮流态度。</t>
        </is>
      </c>
    </row>
    <row r="73" ht="25.5" customHeight="1">
      <c r="A73">
        <v>1839115443</v>
      </c>
      <c r="B73">
        <v>7599236449</v>
      </c>
      <c r="C73" t="inlineStr">
        <is>
          <t>https://weidian.com/item.html?itemID=7599236449</t>
        </is>
      </c>
      <c r="D73"/>
      <c r="E73" s="2" t="str">
        <f>=HYPERLINK("https://si.geilicdn.com/open1832946205-252808396-0dee00000196d38ca1180a231226_800_800.jpg?w=640&amp;h=640", "https://si.geilicdn.com/open1832946205-252808396-0dee00000196d38ca1180a231226_800_800.jpg?w=640&amp;h=640")</f>
        <v>https://si.geilicdn.com/open1832946205-252808396-0dee00000196d38ca1180a231226_800_800.jpg?w=640&amp;h=640</v>
      </c>
      <c r="F73" t="inlineStr">
        <is>
          <t>Hoodies</t>
        </is>
      </c>
      <c r="G73" t="inlineStr">
        <is>
          <t>MR.NEARLY</t>
        </is>
      </c>
      <c r="H73" t="inlineStr">
        <is>
          <t>126.00</t>
        </is>
      </c>
      <c r="I73">
        <v>18.26</v>
      </c>
      <c r="J73" t="inlineStr">
        <is>
          <t>{"id":"chatcmpl-DWcUBjSXbBtUgWUSl1rG1BY2Rr450","object":"chat.completion","created":1776666807,"model":"gpt-5-chat-latest","choices":[{"index":0,"message":{"role":"assistant","content":"MR.NEARLY Vintage Black Washed Unisex Streetwear Hoodie","refusal":null,"annotations":[]},"logprobs":null,"finish_reason":"stop"}],"usage":{"prompt_tokens":895,"completion_tokens":14,"total_tokens":909,"prompt_tokens_details":{"cached_tokens":0,"audio_tokens":0},"completion_tokens_details":{"reasoning_tokens":0,"audio_tokens":0,"accepted_prediction_tokens":0,"rejected_prediction_tokens":0}},"service_tier":"default","system_fingerprint":"fp_ad66631dec"}</t>
        </is>
      </c>
      <c r="K73" t="inlineStr">
        <is>
          <t>MR.NEARLY Vintage Black Washed Unisex Streetwear Hoodie</t>
        </is>
      </c>
      <c r="L73" t="inlineStr">
        <is>
          <t>{"choices":[{"finish_reason":"stop","index":0,"logprobs":null,"message":{"annotations":[],"content":"MR.NEARLY Vintage Black Washed Hoodie, made of thick cotton with a worn texture, loose fit, kangaroo pocket, and adjustable drawstring, unisex cozy streetwear for 2020s casual fashion.","refusal":null,"role":"assistant"}}],"created":1776658810,"id":"chatcmpl-DWaPCeDOe30Xv0TYWo7g2GGgS0Gct","model":"gpt-5-chat-latest","object":"chat.completion","service_tier":"default","system_fingerprint":"fp_ad66631dec","usage":{"completion_tokens":45,"completion_tokens_details":{"accepted_prediction_tokens":0,"audio_tokens":0,"reasoning_tokens":0,"rejected_prediction_tokens":0},"prompt_tokens":914,"prompt_tokens_details":{"audio_tokens":0,"cached_tokens":0},"total_tokens":959}}</t>
        </is>
      </c>
      <c r="M73" t="inlineStr">
        <is>
          <t>{"alt-svc":"h3=\":443\"; ma=2592000","apim-request-id":"2720f6c1-b1af-41f0-b604-f73b5ff4ddd1","azureml-model-session":"d20260402084046-4209e968","cache-control":"no-cache","connection":"close","content-length":"772","content-security-policy":"frame-ancestors 'self'","content-type":"application/json","date":"Mon, 20 Apr 2026 04:20:12 GMT","server":"nginx","skip-error-remapping":"true","strict-transport-security":"max-age=31536000; includeSubDomains; preload","via":"1.1 Caddy, 1.1 Caddy","x-api-request-id":"20260420122010212534357dHSy0VDv","x-content-type-options":"nosniff","x-frame-options":"SAMEORIGIN","x-ms-client-request-id":"Not-Set","x-ms-is-spilled-over":"false","x-ms-rai-invoked":"true","x-ms-region":"East US 2","x-new-api-version":"0.4.39","x-oneapi-request-id":"202604200420101463262008268d9d65jBMCVw5","x-ratelimit-abusepenalty-active":"False","x-ratelimit-limit-requests":"3850","x-ratelimit-limit-tokens":"3850000","x-ratelimit-remaining-requests":"3849","x-ratelimit-remaining-tokens":"3848324","x-ratelimit-renewalperiod-requests":"60","x-ratelimit-renewalperiod-tokens":"60","x-ratelimit-reset-requests":"15","x-ratelimit-reset-tokens":"26","x-request-id":"dd8478ad-31e4-434b-9be5-851cfdc4b9b0"}</t>
        </is>
      </c>
      <c r="N73" t="inlineStr">
        <is>
          <t>MR.NEARLY Vintage Black Washed Hoodie, made of thick cotton with a worn texture, loose fit, kangaroo pocket, and adjustable drawstring, unisex cozy streetwear for 2020s casual fashion.</t>
        </is>
      </c>
      <c r="O73" t="inlineStr">
        <is>
          <t>{"choices":[{"finish_reason":"stop","index":0,"logprobs":null,"message":{"annotations":[],"content":"MR.NEARLY,Hoodies,kakobuy,kakebuy2026,kekobuysheet,kakobuysheet2026,2026kakobuy,kakobuyspreadsheeet,kakobuylink,kakebuylist,Kakobuy MEGA Spreadsheet,kakobuysheetfind,kakobuysheetfind2026,2026kakobuysheetfind,kakobuysheet2026","refusal":null,"role":"assistant"}}],"created":1776668392,"id":"chatcmpl-DWctkBMdQPp4HmEVCsxHm8fGADxVI","model":"gpt-5-chat-latest","object":"chat.completion","service_tier":"default","system_fingerprint":"fp_ad66631dec","usage":{"completion_tokens":90,"completion_tokens_details":{"accepted_prediction_tokens":0,"audio_tokens":0,"reasoning_tokens":0,"rejected_prediction_tokens":0},"prompt_tokens":786,"prompt_tokens_details":{"audio_tokens":0,"cached_tokens":0},"total_tokens":876}}</t>
        </is>
      </c>
      <c r="P73" t="inlineStr">
        <is>
          <t>MR.NEARLY,Hoodies,kakobuy,kakebuy2026,kekobuysheet,kakobuysheet2026,2026kakobuy,kakobuyspreadsheeet,kakobuylink,kakebuylist,Kakobuy MEGA Spreadsheet,kakobuysheetfind,kakobuysheetfind2026,2026kakobuysheetfind,kakobuysheet2026</t>
        </is>
      </c>
      <c r="Q73" t="inlineStr">
        <is>
          <t>Vintage, Black, Streetwear, Unisex</t>
        </is>
      </c>
      <c r="R73" t="inlineStr">
        <is>
          <t>recvh6xFVjtyEt</t>
        </is>
      </c>
      <c r="S73" t="inlineStr">
        <is>
          <t>mr-nearly-vintage-black-washed-hoodie-recvh6xFVjtyEt</t>
        </is>
      </c>
      <c r="T73"/>
      <c r="U73"/>
      <c r="V73"/>
      <c r="W73" t="inlineStr">
        <is>
          <t>{"id":"chatcmpl-DWZcCrlwQ6Ik1Oxrp76VTnskL7MMe","object":"chat.completion","created":1776655772,"model":"gpt-5-chat-latest","choices":[{"index":0,"message":{"role":"assistant","content":"MR.NEARLY：复古黑水洗连帽卫衣，优选厚实纯棉面料，做旧质感彰显街头格调，宽松版型搭配实用袋鼠兜与可调抽绳设计，舒适保暖男女皆宜，演绎2020年代休闲潮流风尚。","refusal":null,"annotations":[]},"logprobs":null,"finish_reason":"stop"}],"usage":{"prompt_tokens":1317,"completion_tokens":78,"total_tokens":1395,"prompt_tokens_details":{"cached_tokens":0,"audio_tokens":0},"completion_tokens_details":{"reasoning_tokens":0,"audio_tokens":0,"accepted_prediction_tokens":0,"rejected_prediction_tokens":0}},"service_tier":"default","system_fingerprint":"fp_ad66631dec"}</t>
        </is>
      </c>
      <c r="X73" t="inlineStr">
        <is>
          <t>MR.NEARLY：复古黑水洗连帽卫衣，优选厚实纯棉面料，做旧质感彰显街头格调，宽松版型搭配实用袋鼠兜与可调抽绳设计，舒适保暖男女皆宜，演绎2020年代休闲潮流风尚。</t>
        </is>
      </c>
    </row>
    <row r="74" ht="25.5" customHeight="1">
      <c r="A74">
        <v>1839115443</v>
      </c>
      <c r="B74">
        <v>7599173203</v>
      </c>
      <c r="C74" t="inlineStr">
        <is>
          <t>https://weidian.com/item.html?itemID=7599173203</t>
        </is>
      </c>
      <c r="D74"/>
      <c r="E74" s="2" t="str">
        <f>=HYPERLINK("https://si.geilicdn.com/open1832946205-252808396-49b9000001986a3db5980a8133b0_1600_1600.jpg?w=640&amp;h=640", "https://si.geilicdn.com/open1832946205-252808396-49b9000001986a3db5980a8133b0_1600_1600.jpg?w=640&amp;h=640")</f>
        <v>https://si.geilicdn.com/open1832946205-252808396-49b9000001986a3db5980a8133b0_1600_1600.jpg?w=640&amp;h=640</v>
      </c>
      <c r="F74" t="inlineStr">
        <is>
          <t>T-Shirts</t>
        </is>
      </c>
      <c r="G74" t="inlineStr">
        <is>
          <t>Corteiz</t>
        </is>
      </c>
      <c r="H74" t="inlineStr">
        <is>
          <t>92.00</t>
        </is>
      </c>
      <c r="I74">
        <v>13.33</v>
      </c>
      <c r="J74" t="inlineStr">
        <is>
          <t>{"choices":[{"finish_reason":"stop","index":0,"logprobs":null,"message":{"annotations":[],"content":"Corteiz Vintage Colorblock Off-White Brown Unisex T-Shirt","refusal":null,"role":"assistant"}}],"created":1776665745,"id":"chatcmpl-DWcD3RLe2WHnYHkpDnU7osrF9gzbh","model":"gpt-5-chat-latest","object":"chat.completion","service_tier":"default","system_fingerprint":"fp_ad66631dec","usage":{"completion_tokens":15,"completion_tokens_details":{"accepted_prediction_tokens":0,"audio_tokens":0,"reasoning_tokens":0,"rejected_prediction_tokens":0},"prompt_tokens":881,"prompt_tokens_details":{"audio_tokens":0,"cached_tokens":0},"total_tokens":896}}</t>
        </is>
      </c>
      <c r="K74" t="inlineStr">
        <is>
          <t>Corteiz Vintage Colorblock Off-White Brown Unisex T-Shirt</t>
        </is>
      </c>
      <c r="L74" t="inlineStr">
        <is>
          <t>{"id":"chatcmpl-DWaX5s8YfdJWZ2vZhnq5FUYcadZA4","object":"chat.completion","created":1776659299,"model":"gpt-5-chat-latest","choices":[{"index":0,"message":{"role":"assistant","content":"Corteiz Vintage Colorblock T-Shirt in Off-White and Brown, soft breathable cotton, retro “Rules the World” graphic, unisex streetwear style, casual British fashion essential.","refusal":null,"annotations":[]},"logprobs":null,"finish_reason":"stop"}],"usage":{"prompt_tokens":910,"completion_tokens":39,"total_tokens":949,"prompt_tokens_details":{"cached_tokens":0,"audio_tokens":0},"completion_tokens_details":{"reasoning_tokens":0,"audio_tokens":0,"accepted_prediction_tokens":0,"rejected_prediction_tokens":0}},"service_tier":"default","system_fingerprint":"fp_ad66631dec"}</t>
        </is>
      </c>
      <c r="M7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ma=2592000","apim-request-id":"346d0b74-d1d6-495d-a722-12cec68ddc79","azureml-model-session":"d20260402075109-1fc5a0ec","cache-control":"no-cache, no-store, must-revalidate","connection":"close","content-length":"982","content-security-policy":"frame-ancestors 'self'","content-type":"application/json","date":"Mon, 20 Apr 2026 04:28:20 GMT","server":"nginx","skip-error-remapping":"true","strict-transport-security":"max-age=31536000; includeSubDomains; preload","via":"1.1 Caddy, 1.1 Caddy","x-api-request-id":"20260420122818327896071VtYeDe4O","x-content-type-options":"nosniff","x-frame-options":"SAMEORIGIN","x-ms-is-spilled-over":"false","x-ms-rai-invoked":"false","x-ms-region":"East US 2","x-new-api-version":"0.4.39","x-oneapi-request-id":"202604200428182608726608268d9d68z0d6sFx","x-ratelimit-abusepenalty-active":"False","x-ratelimit-limit-requests":"4994","x-ratelimit-limit-tokens":"4994000","x-ratelimit-remaining-requests":"4993","x-ratelimit-remaining-tokens":"4992328","x-ratelimit-renewalperiod-requests":"60","x-ratelimit-renewalperiod-tokens":"60","x-ratelimit-reset-requests":"12","x-ratelimit-reset-tokens":"20","x-request-id":"a77879fa-c408-46aa-b5af-2e3d1c56363b"}</t>
        </is>
      </c>
      <c r="N74" t="inlineStr">
        <is>
          <t>Corteiz Vintage Colorblock T-Shirt in Off-White and Brown, soft breathable cotton, retro “Rules the World” graphic, unisex streetwear style, casual British fashion essential.</t>
        </is>
      </c>
      <c r="O74" t="inlineStr">
        <is>
          <t>{"choices":[{"finish_reason":"stop","index":0,"logprobs":null,"message":{"annotations":[],"content":"Corteiz,T-Shirts,kakobuy,kakebuy2026,kekobuysheet,kakobuysheet2026,2026kakobuy,kakobuyspreadsheeet,kakobuylink,kakebuylist,Kakobuy MEGA Spreadsheet,kakobuysheetfind,kakobuysheetfind2026,2026kakobuysheetfind,kakobuysheet2026","refusal":null,"role":"assistant"}}],"created":1776667826,"id":"chatcmpl-DWckcU002KSaVuPwyGALaPZVum6zJ","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74" t="inlineStr">
        <is>
          <t>Corteiz,T-Shirts,kakobuy,kakebuy2026,kekobuysheet,kakobuysheet2026,2026kakobuy,kakobuyspreadsheeet,kakobuylink,kakebuylist,Kakobuy MEGA Spreadsheet,kakobuysheetfind,kakobuysheetfind2026,2026kakobuysheetfind,kakobuysheet2026</t>
        </is>
      </c>
      <c r="Q74" t="inlineStr">
        <is>
          <t>Corteiz, Vintage, Color Block, Off-White, Brown, Unisex</t>
        </is>
      </c>
      <c r="R74" t="inlineStr">
        <is>
          <t>recvh6xFVjA8Kh</t>
        </is>
      </c>
      <c r="S74" t="inlineStr">
        <is>
          <t>corteiz-vintage-colorblock-off-white-brown-unisex-t-shirt-recvh6xFVjA8Kh</t>
        </is>
      </c>
      <c r="T74"/>
      <c r="U74"/>
      <c r="V74"/>
      <c r="W74" t="inlineStr">
        <is>
          <t>{"id":"chatcmpl-DWZbiyBFQ6Wz6LIoQA8zjwrP9kCRo","object":"chat.completion","created":1776655742,"model":"gpt-5-chat-latest","choices":[{"index":0,"message":{"role":"assistant","content":"Corteiz：复古拼色系列米白棕色短袖T恤，纯棉面料柔软透气，正面复古印花“RULES THE WORLD”图腾设计，街头休闲风格，男女同款百搭单品，彰显英伦潮流态度。","refusal":null,"annotations":[]},"logprobs":null,"finish_reason":"stop"}],"usage":{"prompt_tokens":1323,"completion_tokens":71,"total_tokens":1394,"prompt_tokens_details":{"cached_tokens":0,"audio_tokens":0},"completion_tokens_details":{"reasoning_tokens":0,"audio_tokens":0,"accepted_prediction_tokens":0,"rejected_prediction_tokens":0}},"service_tier":"default","system_fingerprint":"fp_ad66631dec"}</t>
        </is>
      </c>
      <c r="X74" t="inlineStr">
        <is>
          <t>Corteiz：复古拼色系列米白棕色短袖T恤，纯棉面料柔软透气，正面复古印花“RULES THE WORLD”图腾设计，街头休闲风格，男女同款百搭单品，彰显英伦潮流态度。</t>
        </is>
      </c>
    </row>
    <row r="75" ht="25.5" customHeight="1">
      <c r="A75">
        <v>1839115443</v>
      </c>
      <c r="B75">
        <v>7601108710</v>
      </c>
      <c r="C75" t="inlineStr">
        <is>
          <t>https://weidian.com/item.html?itemID=7601108710</t>
        </is>
      </c>
      <c r="D75"/>
      <c r="E75" s="2" t="str">
        <f>=HYPERLINK("https://si.geilicdn.com/open1832946205-252808396-66ac00000196d34ab5650a8115c2_822_822.jpg?w=640&amp;h=640", "https://si.geilicdn.com/open1832946205-252808396-66ac00000196d34ab5650a8115c2_822_822.jpg?w=640&amp;h=640")</f>
        <v>https://si.geilicdn.com/open1832946205-252808396-66ac00000196d34ab5650a8115c2_822_822.jpg?w=640&amp;h=640</v>
      </c>
      <c r="F75" t="inlineStr">
        <is>
          <t>Hoodies</t>
        </is>
      </c>
      <c r="G75" t="inlineStr">
        <is>
          <t>Saint Michael</t>
        </is>
      </c>
      <c r="H75" t="inlineStr">
        <is>
          <t>203.00</t>
        </is>
      </c>
      <c r="I75">
        <v>29.42</v>
      </c>
      <c r="J75" t="inlineStr">
        <is>
          <t>{"choices":[{"finish_reason":"stop","index":0,"logprobs":null,"message":{"annotations":[],"content":"Saint Michael Vintage Black Oversized Hoodie Trust God","refusal":null,"role":"assistant"}}],"created":1776665740,"id":"chatcmpl-DWcCy6ynocHRCx54zgODkrjr31TWd","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75" t="inlineStr">
        <is>
          <t>Saint Michael Vintage Black Oversized Hoodie Trust God</t>
        </is>
      </c>
      <c r="L75" t="inlineStr">
        <is>
          <t>{"choices":[{"finish_reason":"stop","index":0,"logprobs":null,"message":{"annotations":[],"content":"Saint Michael Vintage Black Oversized Hoodie features a soft cotton build, religious graphic with “Trust in God” print, washed retro finish, and unisex design blending Japanese streetwear and faith style.","refusal":null,"role":"assistant"}}],"created":1776658537,"id":"chatcmpl-DWaKnoRDY3gZR4ynkbCiQKWMC6s70","model":"gpt-5-chat-latest","object":"chat.completion","service_tier":"default","system_fingerprint":"fp_ad66631dec","usage":{"completion_tokens":40,"completion_tokens_details":{"accepted_prediction_tokens":0,"audio_tokens":0,"reasoning_tokens":0,"rejected_prediction_tokens":0},"prompt_tokens":925,"prompt_tokens_details":{"audio_tokens":0,"cached_tokens":0},"total_tokens":965}}</t>
        </is>
      </c>
      <c r="M75" t="inlineStr">
        <is>
          <t>{"alt-svc":"h3=\":443\"; ma=2592000","apim-request-id":"e5679211-5186-4f1d-8267-7c71d2220755","azureml-model-session":"d20260402083108-57a85543","cache-control":"no-cache","connection":"close","content-length":"796","content-security-policy":"frame-ancestors 'self'","content-type":"application/json","date":"Mon, 20 Apr 2026 04:15:39 GMT","server":"Caddy","skip-error-remapping":"true","strict-transport-security":"max-age=31536000; includeSubDomains; preload","via":"1.1 Caddy","x-api-request-id":"20260420121537258479775PKyxFkfl","x-content-type-options":"nosniff","x-frame-options":"SAMEORIGIN","x-ms-client-request-id":"Not-Set","x-ms-is-spilled-over":"false","x-ms-rai-invoked":"true","x-ms-region":"East US 2","x-new-api-version":"0.4.39","x-oneapi-request-id":"202604200415371593463858268d9d6kn5FRpxR","x-ratelimit-abusepenalty-active":"False","x-ratelimit-limit-requests":"3850","x-ratelimit-limit-tokens":"3850000","x-ratelimit-remaining-requests":"3849","x-ratelimit-remaining-tokens":"3848313","x-ratelimit-renewalperiod-requests":"60","x-ratelimit-renewalperiod-tokens":"60","x-ratelimit-reset-requests":"15","x-ratelimit-reset-tokens":"26","x-request-id":"2c43f58b-1814-4be0-9509-26e06f0c34a4"}</t>
        </is>
      </c>
      <c r="N75" t="inlineStr">
        <is>
          <t>Saint Michael Vintage Black Oversized Hoodie features a soft cotton build, religious graphic with “Trust in God” print, washed retro finish, and unisex design blending Japanese streetwear and faith style.</t>
        </is>
      </c>
      <c r="O75" t="inlineStr">
        <is>
          <t>{"choices":[{"finish_reason":"stop","index":0,"logprobs":null,"message":{"annotations":[],"content":"Saint Michael,Hoodies,kakobuy,kakebuy2026,kekobuysheet,kakobuysheet2026,2026kakobuy,kakobuyspreadsheeet,kakobuylink,kakebuylist,Kakobuy MEGA Spreadsheet,kakobuysheetfind,kakobuysheetfind2026,2026kakobuysheetfind,kakobuysheet2026","refusal":null,"role":"assistant"}}],"created":1776668525,"id":"chatcmpl-DWcvtQX1HVWqhhEcp2xpxWMTUAsMv","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75" t="inlineStr">
        <is>
          <t>Saint Michael,Hoodies,kakobuy,kakebuy2026,kekobuysheet,kakobuysheet2026,2026kakobuy,kakobuyspreadsheeet,kakobuylink,kakebuylist,Kakobuy MEGA Spreadsheet,kakobuysheetfind,kakobuysheetfind2026,2026kakobuysheetfind,kakobuysheet2026</t>
        </is>
      </c>
      <c r="Q75" t="inlineStr">
        <is>
          <t>Unisex, Retro, Streetwear, Japanese</t>
        </is>
      </c>
      <c r="R75" t="inlineStr">
        <is>
          <t>recvh6xFVjmKP8</t>
        </is>
      </c>
      <c r="S75" t="inlineStr">
        <is>
          <t>saint-michael-vintage-black-oversized-hoodie-trust-god-recvh6xFVjmKP8</t>
        </is>
      </c>
      <c r="T75"/>
      <c r="U75"/>
      <c r="V75"/>
      <c r="W75" t="inlineStr">
        <is>
          <t>{"choices":[{"finish_reason":"stop","index":0,"logprobs":null,"message":{"annotations":[],"content":"Saint Michael：复古黑色宽松连帽卫衣，采用柔软棉质材质打造，正面宗教风格图腾与“Trust in God”字样印花相结合，展现独特艺术态度。做旧水洗设计增添街头复古质感，男女皆宜，彰显日本街头潮流美学与信仰精神的融合。","refusal":null,"role":"assistant"}}],"created":1776655361,"id":"chatcmpl-DWZVZAIGs0vyQJW5CyQ0t8bbdnhFS","model":"gpt-5-chat-latest","object":"chat.completion","service_tier":"default","system_fingerprint":"fp_ad66631dec","usage":{"completion_tokens":89,"completion_tokens_details":{"accepted_prediction_tokens":0,"audio_tokens":0,"reasoning_tokens":0,"rejected_prediction_tokens":0},"prompt_tokens":1315,"prompt_tokens_details":{"audio_tokens":0,"cached_tokens":0},"total_tokens":1404}}</t>
        </is>
      </c>
      <c r="X75" t="inlineStr">
        <is>
          <t>Saint Michael：复古黑色宽松连帽卫衣，采用柔软棉质材质打造，正面宗教风格图腾与“Trust in God”字样印花相结合，展现独特艺术态度。做旧水洗设计增添街头复古质感，男女皆宜，彰显日本街头潮流美学与信仰精神的融合。</t>
        </is>
      </c>
    </row>
    <row r="76" ht="25.5" customHeight="1">
      <c r="A76">
        <v>1839115443</v>
      </c>
      <c r="B76">
        <v>7614023219</v>
      </c>
      <c r="C76" t="inlineStr">
        <is>
          <t>https://weidian.com/item.html?itemID=7614023219</t>
        </is>
      </c>
      <c r="D76"/>
      <c r="E76" s="2" t="str">
        <f>=HYPERLINK("https://si.geilicdn.com/open1839115443-252808396-4cb10000019aaf7fc4b90a23b491_800_800.jpg?w=750&amp;h=750&amp;cp=1", "https://si.geilicdn.com/open1839115443-252808396-4cb10000019aaf7fc4b90a23b491_800_800.jpg?w=750&amp;h=750&amp;cp=1")</f>
        <v>https://si.geilicdn.com/open1839115443-252808396-4cb10000019aaf7fc4b90a23b491_800_800.jpg?w=750&amp;h=750&amp;cp=1</v>
      </c>
      <c r="F76" t="inlineStr">
        <is>
          <t>T-Shirts</t>
        </is>
      </c>
      <c r="G76" t="inlineStr">
        <is>
          <t>Playboi Carti</t>
        </is>
      </c>
      <c r="H76" t="inlineStr">
        <is>
          <t>120.00</t>
        </is>
      </c>
      <c r="I76">
        <v>17.39</v>
      </c>
      <c r="J76" t="inlineStr">
        <is>
          <t>{"id":"chatcmpl-DWcNi3m2hL34UEhM1Sp5oKnnGDdHY","object":"chat.completion","created":1776666406,"model":"gpt-5-chat-latest","choices":[{"index":0,"message":{"role":"assistant","content":"Playboi Carti Vintage Rock Graphic Black Cotton T-Shirt","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76" t="inlineStr">
        <is>
          <t>Playboi Carti Vintage Rock Graphic Black Cotton T-Shirt</t>
        </is>
      </c>
      <c r="L76" t="inlineStr">
        <is>
          <t>{"id":"chatcmpl-DWaZ0p2omCX1EQTB7owxkEKouE7kY","object":"chat.completion","created":1776659418,"model":"gpt-5-chat-latest","choices":[{"index":0,"message":{"role":"assistant","content":"Playboi Carti Vintage Rock Graphic T-Shirt, black cotton tee with bold red-black print and signature bunny logo, unisex streetwear style for trendy hip-hop fashion lovers.","refusal":null,"annotations":[]},"logprobs":null,"finish_reason":"stop"}],"usage":{"prompt_tokens":915,"completion_tokens":37,"total_tokens":952,"prompt_tokens_details":{"cached_tokens":0,"audio_tokens":0},"completion_tokens_details":{"reasoning_tokens":0,"audio_tokens":0,"accepted_prediction_tokens":0,"rejected_prediction_tokens":0}},"service_tier":"default","system_fingerprint":"fp_ad66631dec"}</t>
        </is>
      </c>
      <c r="M7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ma=2592000","apim-request-id":"d3ad86fe-4c76-4ac7-b8d8-367950079aa8","azureml-model-session":"d20260402075109-1fc5a0ec","cache-control":"no-cache, no-store, must-revalidate","connection":"close","content-length":"975","content-security-policy":"frame-ancestors 'self'","content-type":"application/json","date":"Mon, 20 Apr 2026 04:30:20 GMT","server":"Caddy","skip-error-remapping":"true","strict-transport-security":"max-age=31536000; includeSubDomains; preload","via":"1.1 Caddy","x-api-request-id":"20260420123016365425336d48M4YJ6","x-content-type-options":"nosniff","x-frame-options":"SAMEORIGIN","x-ms-is-spilled-over":"false","x-ms-rai-invoked":"false","x-ms-region":"Sweden Central","x-new-api-version":"0.4.39","x-oneapi-request-id":"202604200430162981924058268d9d6TcvDBPmm","x-ratelimit-abusepenalty-active":"False","x-ratelimit-limit-requests":"4993","x-ratelimit-limit-tokens":"4993000","x-ratelimit-remaining-requests":"4992","x-ratelimit-remaining-tokens":"4991323","x-ratelimit-renewalperiod-requests":"60","x-ratelimit-renewalperiod-tokens":"60","x-ratelimit-reset-requests":"12","x-ratelimit-reset-tokens":"20","x-request-id":"6355b8b9-d12b-4327-ba5a-7b48e73522cb"}</t>
        </is>
      </c>
      <c r="N76" t="inlineStr">
        <is>
          <t>Playboi Carti Vintage Rock Graphic T-Shirt, black cotton tee with bold red-black print and signature bunny logo, unisex streetwear style for trendy hip-hop fashion lovers.</t>
        </is>
      </c>
      <c r="O76" t="inlineStr">
        <is>
          <t>{"choices":[{"finish_reason":"stop","index":0,"logprobs":null,"message":{"annotations":[],"content":"Playboi Carti,T-Shirts,kakobuy,kakebuy2026,kekobuysheet,kakobuysheet2026,2026kakobuy,kakobuyspreadsheeet,kakobuylink,kakebuylist,Kakobuy MEGA Spreadsheet,kakobuysheetfind,kakobuysheetfind2026,2026kakobuysheetfind,kakobuysheet2026","refusal":null,"role":"assistant"}}],"created":1776668822,"id":"chatcmpl-DWd0ggQATwcbohozr2JSlvgrxawDt","model":"gpt-5-chat-latest","object":"chat.completion","service_tier":"default","system_fingerprint":"fp_ad66631dec","usage":{"completion_tokens":90,"completion_tokens_details":{"accepted_prediction_tokens":0,"audio_tokens":0,"reasoning_tokens":0,"rejected_prediction_tokens":0},"prompt_tokens":786,"prompt_tokens_details":{"audio_tokens":0,"cached_tokens":0},"total_tokens":876}}</t>
        </is>
      </c>
      <c r="P76" t="inlineStr">
        <is>
          <t>Playboi Carti,T-Shirts,kakobuy,kakebuy2026,kekobuysheet,kakobuysheet2026,2026kakobuy,kakobuyspreadsheeet,kakobuylink,kakebuylist,Kakobuy MEGA Spreadsheet,kakobuysheetfind,kakobuysheetfind2026,2026kakobuysheetfind,kakobuysheet2026</t>
        </is>
      </c>
      <c r="Q76" t="inlineStr">
        <is>
          <t>Black, Streetwear, Hip Hop, Unisex, Vintage</t>
        </is>
      </c>
      <c r="R76" t="inlineStr">
        <is>
          <t>recvh6xFVj9iMp</t>
        </is>
      </c>
      <c r="S76" t="inlineStr">
        <is>
          <t>playboi-carti-vintage-rock-graphic-black-cotton-tshirt-recvh6xFVj9iMp</t>
        </is>
      </c>
      <c r="T76"/>
      <c r="U76"/>
      <c r="V76"/>
      <c r="W76" t="inlineStr">
        <is>
          <t>{"choices":[{"finish_reason":"stop","index":0,"logprobs":null,"message":{"annotations":[],"content":"Playboi Carti：黑色复古摇滚印花短袖T恤，以优质棉质面料打造，前胸红黑对比图腾搭配标志性兔头徽标，展现街头说唱风格，男女通用款，潮流个性彰显先锋态度。","refusal":null,"role":"assistant"}}],"created":1776655522,"id":"chatcmpl-DWZYAnai0R0rqxxddILYRDRjvH7Bm","model":"gpt-5-chat-latest","object":"chat.completion","service_tier":"default","system_fingerprint":"fp_ad66631dec","usage":{"completion_tokens":72,"completion_tokens_details":{"accepted_prediction_tokens":0,"audio_tokens":0,"reasoning_tokens":0,"rejected_prediction_tokens":0},"prompt_tokens":1333,"prompt_tokens_details":{"audio_tokens":0,"cached_tokens":0},"total_tokens":1405}}</t>
        </is>
      </c>
      <c r="X76" t="inlineStr">
        <is>
          <t>Playboi Carti：黑色复古摇滚印花短袖T恤，以优质棉质面料打造，前胸红黑对比图腾搭配标志性兔头徽标，展现街头说唱风格，男女通用款，潮流个性彰显先锋态度。</t>
        </is>
      </c>
    </row>
    <row r="77" ht="25.5" customHeight="1">
      <c r="A77">
        <v>1839115443</v>
      </c>
      <c r="B77">
        <v>7614033125</v>
      </c>
      <c r="C77" t="inlineStr">
        <is>
          <t>https://weidian.com/item.html?itemID=7614033125</t>
        </is>
      </c>
      <c r="D77"/>
      <c r="E77" s="2" t="str">
        <f>=HYPERLINK("https://si.geilicdn.com/open1839115443-252808396-6d550000019aaf7f64580aa086a7_800_800.jpg?w=750&amp;h=750&amp;cp=1", "https://si.geilicdn.com/open1839115443-252808396-6d550000019aaf7f64580aa086a7_800_800.jpg?w=750&amp;h=750&amp;cp=1")</f>
        <v>https://si.geilicdn.com/open1839115443-252808396-6d550000019aaf7f64580aa086a7_800_800.jpg?w=750&amp;h=750&amp;cp=1</v>
      </c>
      <c r="F77" t="inlineStr">
        <is>
          <t>T-Shirts</t>
        </is>
      </c>
      <c r="G77" t="inlineStr">
        <is>
          <t>Other</t>
        </is>
      </c>
      <c r="H77" t="inlineStr">
        <is>
          <t>120.00</t>
        </is>
      </c>
      <c r="I77">
        <v>17.39</v>
      </c>
      <c r="J77" t="inlineStr">
        <is>
          <t>{"choices":[{"finish_reason":"stop","index":0,"logprobs":null,"message":{"annotations":[],"content":"RetroHoops Vintage Black Basketball Graphic Cotton T-Shirt","refusal":null,"role":"assistant"}}],"created":1776666948,"id":"chatcmpl-DWcWSkEGmA2KaHaESDNoPq0h5DOJ5","model":"gpt-5-chat-latest","object":"chat.completion","service_tier":"default","system_fingerprint":"fp_ad66631dec","usage":{"completion_tokens":11,"completion_tokens_details":{"accepted_prediction_tokens":0,"audio_tokens":0,"reasoning_tokens":0,"rejected_prediction_tokens":0},"prompt_tokens":885,"prompt_tokens_details":{"audio_tokens":0,"cached_tokens":0},"total_tokens":896}}</t>
        </is>
      </c>
      <c r="K77" t="inlineStr">
        <is>
          <t>RetroHoops Vintage Black Basketball Graphic Cotton T-Shirt</t>
        </is>
      </c>
      <c r="L77" t="inlineStr">
        <is>
          <t>{"id":"chatcmpl-DWaaPDWBfxiadKSnCap5TmeiMmL7a","object":"chat.completion","created":1776659505,"model":"gpt-5-chat-latest","choices":[{"index":0,"message":{"role":"assistant","content":"Brand RetroHoops Vintage Black Basketball Graphic T-Shirt, made of premium cotton, soft and comfy. Bold multicolor collage front design, loose fit for men and women, perfect for casual or court style.","refusal":null,"annotations":[]},"logprobs":null,"finish_reason":"stop"}],"usage":{"prompt_tokens":924,"completion_tokens":42,"total_tokens":966,"prompt_tokens_details":{"cached_tokens":0,"audio_tokens":0},"completion_tokens_details":{"reasoning_tokens":0,"audio_tokens":0,"accepted_prediction_tokens":0,"rejected_prediction_tokens":0}},"service_tier":"default","system_fingerprint":"fp_ad66631dec"}</t>
        </is>
      </c>
      <c r="M7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ma=2592000","apim-request-id":"f844e69c-4ae9-41fd-bda0-bea9a91bbd2b","azureml-model-session":"d20260405234249-f9874baf","cache-control":"no-cache, no-store, must-revalidate","connection":"close","content-length":"1004","content-security-policy":"frame-ancestors 'self'","content-type":"application/json","date":"Mon, 20 Apr 2026 04:31:46 GMT","server":"nginx","skip-error-remapping":"true","strict-transport-security":"max-age=31536000; includeSubDomains; preload","via":"1.1 Caddy, 1.1 Caddy","x-api-request-id":"20260420123143864443178NxgjIGR3","x-content-type-options":"nosniff","x-frame-options":"SAMEORIGIN","x-ms-is-spilled-over":"false","x-ms-rai-invoked":"false","x-ms-region":"East US 2","x-new-api-version":"0.4.39","x-oneapi-request-id":"202604200431437971708908268d9d6XCnxYOlz","x-ratelimit-abusepenalty-active":"False","x-ratelimit-limit-requests":"4994","x-ratelimit-limit-tokens":"4994000","x-ratelimit-remaining-requests":"4993","x-ratelimit-remaining-tokens":"4992314","x-ratelimit-renewalperiod-requests":"60","x-ratelimit-renewalperiod-tokens":"60","x-ratelimit-reset-requests":"12","x-ratelimit-reset-tokens":"20","x-request-id":"547dc358-5375-4247-92f4-c48a192d68b5"}</t>
        </is>
      </c>
      <c r="N77" t="inlineStr">
        <is>
          <t>Brand RetroHoops Vintage Black Basketball Graphic T-Shirt, made of premium cotton, soft and comfy. Bold multicolor collage front design, loose fit for men and women, perfect for casual or court style.</t>
        </is>
      </c>
      <c r="O77" t="inlineStr">
        <is>
          <t>{"choices":[{"finish_reason":"stop","index":0,"logprobs":null,"message":{"annotations":[],"content":"Kakobuy,T-Shirts,kakebuy2026,kekobuysheet,kakobuysheet2026,2026kakobuy,kakobuyspreadsheeet,kakobuylink,kakebuylist,Kakobuy MEGA Spreadsheet,kakobuysheetfind,kakobuysheetfind2026,2026kakobuysheetfind,kakobuysheet2026","refusal":null,"role":"assistant"}}],"created":1776668137,"id":"chatcmpl-DWcpdsvKRDJPJJbmeXsJv9x4G7Lki","model":"gpt-5-chat-latest","object":"chat.completion","service_tier":"default","system_fingerprint":"fp_ad66631dec","usage":{"completion_tokens":85,"completion_tokens_details":{"accepted_prediction_tokens":0,"audio_tokens":0,"reasoning_tokens":0,"rejected_prediction_tokens":0},"prompt_tokens":782,"prompt_tokens_details":{"audio_tokens":0,"cached_tokens":0},"total_tokens":867}}</t>
        </is>
      </c>
      <c r="P77" t="inlineStr">
        <is>
          <t>Kakobuy,T-Shirts,kakebuy2026,kekobuysheet,kakobuysheet2026,2026kakobuy,kakobuyspreadsheeet,kakobuylink,kakebuylist,Kakobuy MEGA Spreadsheet,kakobuysheetfind,kakobuysheetfind2026,2026kakobuysheetfind,kakobuysheet2026</t>
        </is>
      </c>
      <c r="Q77" t="inlineStr">
        <is>
          <t>Men's And Women's, Black</t>
        </is>
      </c>
      <c r="R77" t="inlineStr">
        <is>
          <t>recvh6xFVjqaYu</t>
        </is>
      </c>
      <c r="S77" t="inlineStr">
        <is>
          <t>retrohoops-vintage-black-basketball-graphic-cotton-t-shirt-recvh6xFVjqaYu</t>
        </is>
      </c>
      <c r="T77"/>
      <c r="U77"/>
      <c r="V77"/>
      <c r="W77" t="inlineStr">
        <is>
          <t>{"choices":[{"finish_reason":"stop","index":0,"logprobs":null,"message":{"annotations":[],"content":"复古黑色篮球主题印花短袖T恤，采用高品质纯棉面料，质感柔软舒适。正面多图拼贴设计融合街头运动风格，色彩鲜明彰显个性魅力。宽松版型适合男女通穿，休闲潮流氛围浓厚，适合日常与球场穿搭。","refusal":null,"role":"assistant"}}],"created":1776654889,"id":"chatcmpl-DWZNxZwKw2jNxrOqhoeJHt82Z27K8","model":"gpt-5-chat-latest","object":"chat.completion","service_tier":"default","system_fingerprint":"fp_ad66631dec","usage":{"completion_tokens":86,"completion_tokens_details":{"accepted_prediction_tokens":0,"audio_tokens":0,"reasoning_tokens":0,"rejected_prediction_tokens":0},"prompt_tokens":1319,"prompt_tokens_details":{"audio_tokens":0,"cached_tokens":0},"total_tokens":1405}}</t>
        </is>
      </c>
      <c r="X77" t="inlineStr">
        <is>
          <t>复古黑色篮球主题印花短袖T恤，采用高品质纯棉面料，质感柔软舒适。正面多图拼贴设计融合街头运动风格，色彩鲜明彰显个性魅力。宽松版型适合男女通穿，休闲潮流氛围浓厚，适合日常与球场穿搭。</t>
        </is>
      </c>
    </row>
    <row r="78" ht="25.5" customHeight="1">
      <c r="A78">
        <v>1839115443</v>
      </c>
      <c r="B78">
        <v>7617022604</v>
      </c>
      <c r="C78" t="inlineStr">
        <is>
          <t>https://weidian.com/item.html?itemID=7617022604</t>
        </is>
      </c>
      <c r="D78"/>
      <c r="E78" s="2" t="str">
        <f>=HYPERLINK("https://si.geilicdn.com/open1839115443-252808396-4c1b0000019aaf7f67cf0a23b491_800_800.jpg?w=750&amp;h=750&amp;cp=1", "https://si.geilicdn.com/open1839115443-252808396-4c1b0000019aaf7f67cf0a23b491_800_800.jpg?w=750&amp;h=750&amp;cp=1")</f>
        <v>https://si.geilicdn.com/open1839115443-252808396-4c1b0000019aaf7f67cf0a23b491_800_800.jpg?w=750&amp;h=750&amp;cp=1</v>
      </c>
      <c r="F78" t="inlineStr">
        <is>
          <t>T-Shirts</t>
        </is>
      </c>
      <c r="G78" t="inlineStr">
        <is>
          <t>Other</t>
        </is>
      </c>
      <c r="H78" t="inlineStr">
        <is>
          <t>116.00</t>
        </is>
      </c>
      <c r="I78">
        <v>16.81</v>
      </c>
      <c r="J78" t="inlineStr">
        <is>
          <t>{"choices":[{"finish_reason":"stop","index":0,"logprobs":null,"message":{"annotations":[],"content":"VINTAGEVERSE Retro 1996 Basketball Graphic Black T-Shirt","refusal":null,"role":"assistant"}}],"created":1776666726,"id":"chatcmpl-DWcSsFtDViGLzh5PQVIMkCt6BubfQ","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78" t="inlineStr">
        <is>
          <t>VINTAGEVERSE Retro 1996 Basketball Graphic Black T-Shirt</t>
        </is>
      </c>
      <c r="L78" t="inlineStr">
        <is>
          <t>{"choices":[{"finish_reason":"stop","index":0,"logprobs":null,"message":{"annotations":[],"content":"**VINTAGEVERSE Retro Series Black Basketball T-Shirt** – Soft breathable cotton with vivid 1996 Bulls vs Sonics collage. Unisex loose fit blends sporty energy and streetwear nostalgia.","refusal":null,"role":"assistant"}}],"created":1776658587,"id":"chatcmpl-DWaLbNPwYHnZ0cRWgsozPKmJ4sxsL","model":"gpt-5-chat-latest","object":"chat.completion","service_tier":"default","system_fingerprint":"fp_ad66631dec","usage":{"completion_tokens":40,"completion_tokens_details":{"accepted_prediction_tokens":0,"audio_tokens":0,"reasoning_tokens":0,"rejected_prediction_tokens":0},"prompt_tokens":931,"prompt_tokens_details":{"audio_tokens":0,"cached_tokens":0},"total_tokens":971}}</t>
        </is>
      </c>
      <c r="M78" t="inlineStr">
        <is>
          <t>{"alt-svc":"h3=\":443\"; ma=2592000","apim-request-id":"5492aea0-d216-4d64-9d69-db5d8e8d17d8","azureml-model-session":"d20260402083108-57a85543","cache-control":"no-cache","connection":"close","content-length":"774","content-security-policy":"frame-ancestors 'self'","content-type":"application/json","date":"Mon, 20 Apr 2026 04:16:28 GMT","server":"Caddy","skip-error-remapping":"true","strict-transport-security":"max-age=31536000; includeSubDomains; preload","via":"1.1 Caddy","x-api-request-id":"20260420121625899315750gnofGU94","x-content-type-options":"nosniff","x-frame-options":"SAMEORIGIN","x-ms-client-request-id":"Not-Set","x-ms-is-spilled-over":"false","x-ms-rai-invoked":"true","x-ms-region":"East US 2","x-new-api-version":"0.4.39","x-oneapi-request-id":"202604200416258325322568268d9d6dqT5VPRO","x-ratelimit-abusepenalty-active":"False","x-ratelimit-limit-requests":"3850","x-ratelimit-limit-tokens":"3850000","x-ratelimit-remaining-requests":"3849","x-ratelimit-remaining-tokens":"3848307","x-ratelimit-renewalperiod-requests":"60","x-ratelimit-renewalperiod-tokens":"60","x-ratelimit-reset-requests":"15","x-ratelimit-reset-tokens":"26","x-request-id":"029edbb5-478b-4568-835b-6f90b59015f5"}</t>
        </is>
      </c>
      <c r="N78" t="inlineStr">
        <is>
          <t>**VINTAGEVERSE Retro Series Black Basketball T-Shirt** – Soft breathable cotton with vivid 1996 Bulls vs Sonics collage. Unisex loose fit blends sporty energy and streetwear nostalgia.</t>
        </is>
      </c>
      <c r="O78" t="inlineStr">
        <is>
          <t>{"id":"chatcmpl-DWcd7VC1lVINfsthZc0SSdL0R4rTo","object":"chat.completion","created":1776667361,"model":"gpt-5-chat-latest","choices":[{"index":0,"message":{"role":"assistant","content":"Bulls,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78" t="inlineStr">
        <is>
          <t>Bulls, T-Shirts, kakobuy, kakebuy2026, kekobuysheet, kakobuysheet2026, 2026kakobuy, kakobuyspreadsheeet, kakobuylink, kakebuylist, Kakobuy MEGA Spreadsheet, kakobuysheetfind, kakobuysheetfind2026, 2026kakobuysheetfind, kakobuysheet2026</t>
        </is>
      </c>
      <c r="Q78" t="inlineStr">
        <is>
          <t>Retro, Black, Unisex, Sporty, Streetwear</t>
        </is>
      </c>
      <c r="R78" t="inlineStr">
        <is>
          <t>recvh6xFVjbBGl</t>
        </is>
      </c>
      <c r="S78" t="inlineStr">
        <is>
          <t>vintageverse-retro-1996-basketball-graphic-black-tshirt-recvh6xfvjbbgl</t>
        </is>
      </c>
      <c r="T78"/>
      <c r="U78"/>
      <c r="V78"/>
      <c r="W78" t="inlineStr">
        <is>
          <t>{"id":"chatcmpl-DWZNYIDwI2jbKwzfTf547d7oMyrom","object":"chat.completion","created":1776654864,"model":"gpt-5-chat-latest","choices":[{"index":0,"message":{"role":"assistant","content":"复古系列黑色篮球主题短袖T恤，采用高品质纯棉面料，柔软透气。正面印有1996年BULLS与SONICS对决复古拼贴图腾，色彩饱满，复刻怀旧美式街头风格。休闲宽松版型，男女皆宜，展现运动与潮流融合的经典态度。","refusal":null,"annotations":[]},"logprobs":null,"finish_reason":"stop"}],"usage":{"prompt_tokens":1325,"completion_tokens":90,"total_tokens":1415,"prompt_tokens_details":{"cached_tokens":0,"audio_tokens":0},"completion_tokens_details":{"reasoning_tokens":0,"audio_tokens":0,"accepted_prediction_tokens":0,"rejected_prediction_tokens":0}},"service_tier":"default","system_fingerprint":"fp_ad66631dec"}</t>
        </is>
      </c>
      <c r="X78" t="inlineStr">
        <is>
          <t>复古系列黑色篮球主题短袖T恤，采用高品质纯棉面料，柔软透气。正面印有1996年BULLS与SONICS对决复古拼贴图腾，色彩饱满，复刻怀旧美式街头风格。休闲宽松版型，男女皆宜，展现运动与潮流融合的经典态度。</t>
        </is>
      </c>
    </row>
    <row r="79" ht="25.5" customHeight="1">
      <c r="A79">
        <v>1839115443</v>
      </c>
      <c r="B79">
        <v>7614122335</v>
      </c>
      <c r="C79" t="inlineStr">
        <is>
          <t>https://weidian.com/item.html?itemID=7614122335</t>
        </is>
      </c>
      <c r="D79"/>
      <c r="E79" s="2" t="str">
        <f>=HYPERLINK("https://si.geilicdn.com/open1839115443-252808396-52bb0000019aaf7f86840a23b4de_800_994.jpg?w=640&amp;h=640", "https://si.geilicdn.com/open1839115443-252808396-52bb0000019aaf7f86840a23b4de_800_994.jpg?w=640&amp;h=640")</f>
        <v>https://si.geilicdn.com/open1839115443-252808396-52bb0000019aaf7f86840a23b4de_800_994.jpg?w=640&amp;h=640</v>
      </c>
      <c r="F79" t="inlineStr">
        <is>
          <t>T-Shirts</t>
        </is>
      </c>
      <c r="G79" t="inlineStr">
        <is>
          <t>Other</t>
        </is>
      </c>
      <c r="H79" t="inlineStr">
        <is>
          <t>120.00</t>
        </is>
      </c>
      <c r="I79">
        <v>17.39</v>
      </c>
      <c r="J79" t="inlineStr">
        <is>
          <t>{"choices":[{"finish_reason":"stop","index":0,"logprobs":null,"message":{"annotations":[],"content":"RECOVER Dark Series Joker Fire Art Vintage T-Shirt","refusal":null,"role":"assistant"}}],"created":1776666305,"id":"chatcmpl-DWcM55okHaz3zw4M1W9MKuvUHjRi9","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79" t="inlineStr">
        <is>
          <t>RECOVER Dark Series Joker Fire Art Vintage T-Shirt</t>
        </is>
      </c>
      <c r="L79" t="inlineStr">
        <is>
          <t>{"choices":[{"finish_reason":"stop","index":0,"logprobs":null,"message":{"annotations":[],"content":"RECOVER Dark Series charcoal washed cotton T-shirt, soft and breathable. Features vibrant fire art “JOKER” print, rebellious street style, unisex loose fit, vintage American look for free casual fashion.","refusal":null,"role":"assistant"}}],"created":1776659251,"id":"chatcmpl-DWaWJJI4Upy4CYkJxVMwKVPkOJeU8","model":"gpt-5-chat-latest","object":"chat.completion","service_tier":"default","system_fingerprint":"fp_ad66631dec","usage":{"completion_tokens":43,"completion_tokens_details":{"accepted_prediction_tokens":0,"audio_tokens":0,"reasoning_tokens":0,"rejected_prediction_tokens":0},"prompt_tokens":932,"prompt_tokens_details":{"audio_tokens":0,"cached_tokens":0},"total_tokens":975}}</t>
        </is>
      </c>
      <c r="M79" t="inlineStr">
        <is>
          <t>{"alt-svc":"h3=\":443\"; ma=2592000","apim-request-id":"7d9f516c-591a-466d-a2dc-0c70c0d88186","azureml-model-session":"d20260402083108-57a85543","cache-control":"no-cache","connection":"close","content-length":"795","content-security-policy":"frame-ancestors 'self'","content-type":"application/json","date":"Mon, 20 Apr 2026 04:27:33 GMT","server":"nginx","skip-error-remapping":"true","strict-transport-security":"max-age=31536000; includeSubDomains; preload","via":"1.1 Caddy, 1.1 Caddy","x-api-request-id":"2026042012273116071514001oC95Ph","x-content-type-options":"nosniff","x-frame-options":"SAMEORIGIN","x-ms-client-request-id":"Not-Set","x-ms-is-spilled-over":"false","x-ms-rai-invoked":"true","x-ms-region":"East US 2","x-new-api-version":"0.4.39","x-oneapi-request-id":"20260420042731939600908268d9d6jlcFN8av","x-ratelimit-abusepenalty-active":"False","x-ratelimit-limit-requests":"3850","x-ratelimit-limit-tokens":"3850000","x-ratelimit-remaining-requests":"3849","x-ratelimit-remaining-tokens":"3848306","x-ratelimit-renewalperiod-requests":"60","x-ratelimit-renewalperiod-tokens":"60","x-ratelimit-reset-requests":"15","x-ratelimit-reset-tokens":"26","x-request-id":"b5debe99-c8b8-4de9-ac96-b8abeb7878bf"}</t>
        </is>
      </c>
      <c r="N79" t="inlineStr">
        <is>
          <t>RECOVER Dark Series charcoal washed cotton T-shirt, soft and breathable. Features vibrant fire art “JOKER” print, rebellious street style, unisex loose fit, vintage American look for free casual fashion.</t>
        </is>
      </c>
      <c r="O79"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1776667671,"id":"chatcmpl-DWci72pI8vigYUBHjblkmJFMtRnrn","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79" t="inlineStr">
        <is>
          <t>Recover, T-Shirts, kakobuy, kakebuy2026, kekobuysheet, kakobuysheet2026, 2026kakobuy, kakobuyspreadsheeet, kakobuylink, kakebuylist, Kakobuy MEGA Spreadsheet, kakobuysheetfind, kakobuysheetfind2026, 2026kakobuysheetfind, kakobuysheet2026</t>
        </is>
      </c>
      <c r="Q79" t="inlineStr">
        <is>
          <t>Charcoal, Street, Unisex, Vintage</t>
        </is>
      </c>
      <c r="R79" t="inlineStr">
        <is>
          <t>recvh6xFVjZZgH</t>
        </is>
      </c>
      <c r="S79" t="inlineStr">
        <is>
          <t>recover-dark-series-joker-fire-art-vintage-recvh6xFVjZZgH</t>
        </is>
      </c>
      <c r="T79"/>
      <c r="U79"/>
      <c r="V79"/>
      <c r="W79" t="inlineStr">
        <is>
          <t>{"id":"chatcmpl-DWZbwJEH1BrA5y8Pz3HvdOGtOjtez","object":"chat.completion","created":1776655756,"model":"gpt-5-chat-latest","choices":[{"index":0,"message":{"role":"assistant","content":"暗黑系列炭灰色复古短袖T恤，采用纯棉水洗面料，柔软透气。正面炫彩火光人物与“JOKER”字样印花融合街头艺术风，展现叛逆个性。宽松版型适合男女同穿，复古做旧质感结合美式街头设计，休闲穿搭彰显时尚自由态度。","refusal":null,"annotations":[]},"logprobs":null,"finish_reason":"stop"}],"usage":{"prompt_tokens":1313,"completion_tokens":97,"total_tokens":1410,"prompt_tokens_details":{"cached_tokens":0,"audio_tokens":0},"completion_tokens_details":{"reasoning_tokens":0,"audio_tokens":0,"accepted_prediction_tokens":0,"rejected_prediction_tokens":0}},"service_tier":"default","system_fingerprint":"fp_ad66631dec"}</t>
        </is>
      </c>
      <c r="X79" t="inlineStr">
        <is>
          <t>暗黑系列炭灰色复古短袖T恤，采用纯棉水洗面料，柔软透气。正面炫彩火光人物与“JOKER”字样印花融合街头艺术风，展现叛逆个性。宽松版型适合男女同穿，复古做旧质感结合美式街头设计，休闲穿搭彰显时尚自由态度。</t>
        </is>
      </c>
    </row>
    <row r="80" ht="25.5" customHeight="1">
      <c r="A80">
        <v>1839115443</v>
      </c>
      <c r="B80">
        <v>7614094451</v>
      </c>
      <c r="C80" t="inlineStr">
        <is>
          <t>https://weidian.com/item.html?itemID=7614094451</t>
        </is>
      </c>
      <c r="D80"/>
      <c r="E80" s="2" t="str">
        <f>=HYPERLINK("https://si.geilicdn.com/open1839115443-252808396-6d5d0000019aaf7f6c6e0aa086a7_800_800.jpg?w=750&amp;h=750&amp;cp=1", "https://si.geilicdn.com/open1839115443-252808396-6d5d0000019aaf7f6c6e0aa086a7_800_800.jpg?w=750&amp;h=750&amp;cp=1")</f>
        <v>https://si.geilicdn.com/open1839115443-252808396-6d5d0000019aaf7f6c6e0aa086a7_800_800.jpg?w=750&amp;h=750&amp;cp=1</v>
      </c>
      <c r="F80" t="inlineStr">
        <is>
          <t>T-Shirts</t>
        </is>
      </c>
      <c r="G80" t="inlineStr">
        <is>
          <t>Other</t>
        </is>
      </c>
      <c r="H80" t="inlineStr">
        <is>
          <t>120.00</t>
        </is>
      </c>
      <c r="I80">
        <v>17.39</v>
      </c>
      <c r="J80" t="inlineStr">
        <is>
          <t>{"choices":[{"finish_reason":"stop","index":0,"logprobs":null,"message":{"annotations":[],"content":"JOKER Folie À Deux Vintage Black Graphic Cotton T-Shirt","refusal":null,"role":"assistant"}}],"created":1776666312,"id":"chatcmpl-DWcMC6J16s60Lh4c6tFdeR5KqzqJK","model":"gpt-5-chat-latest","object":"chat.completion","service_tier":"default","system_fingerprint":"fp_ad66631dec","usage":{"completion_tokens":14,"completion_tokens_details":{"accepted_prediction_tokens":0,"audio_tokens":0,"reasoning_tokens":0,"rejected_prediction_tokens":0},"prompt_tokens":891,"prompt_tokens_details":{"audio_tokens":0,"cached_tokens":0},"total_tokens":905}}</t>
        </is>
      </c>
      <c r="K80" t="inlineStr">
        <is>
          <t>JOKER Folie À Deux Vintage Black Graphic Cotton T-Shirt</t>
        </is>
      </c>
      <c r="L80" t="inlineStr">
        <is>
          <t>{"choices":[{"finish_reason":"stop","index":0,"logprobs":null,"message":{"annotations":[],"content":"JOKER FOLIE À DEUX Vintage Black T-Shirt, made from premium cotton, soft and breathable. Bold red-black graphic totem print with unisex loose fit for edgy street style and casual daily wear.","refusal":null,"role":"assistant"}}],"created":1776659527,"id":"chatcmpl-DWaalxRnLQ9Ev05c6Qb4S3XQzpx0E","model":"gpt-5-chat-latest","object":"chat.completion","service_tier":"default","system_fingerprint":"fp_ad66631dec","usage":{"completion_tokens":45,"completion_tokens_details":{"accepted_prediction_tokens":0,"audio_tokens":0,"reasoning_tokens":0,"rejected_prediction_tokens":0},"prompt_tokens":940,"prompt_tokens_details":{"audio_tokens":0,"cached_tokens":0},"total_tokens":985}}</t>
        </is>
      </c>
      <c r="M80" t="inlineStr">
        <is>
          <t>{"alt-svc":"h3=\":443\"; ma=2592000","apim-request-id":"e2c8bdaf-6321-45a5-bd92-a4125957e8db","azureml-model-session":"d20260405234249-f9874baf","cache-control":"no-cache","connection":"close","content-length":"779","content-security-policy":"frame-ancestors 'self'","content-type":"application/json","date":"Mon, 20 Apr 2026 04:32:09 GMT","server":"Caddy","skip-error-remapping":"true","strict-transport-security":"max-age=31536000; includeSubDomains; preload","via":"1.1 Caddy","x-api-request-id":"202604201232063454788624FqtMKiw","x-content-type-options":"nosniff","x-frame-options":"SAMEORIGIN","x-ms-client-request-id":"Not-Set","x-ms-is-spilled-over":"false","x-ms-rai-invoked":"true","x-ms-region":"East US 2","x-new-api-version":"0.4.39","x-oneapi-request-id":"202604200432062780567818268d9d6oQ14jyPn","x-ratelimit-abusepenalty-active":"False","x-ratelimit-limit-requests":"3850","x-ratelimit-limit-tokens":"3850000","x-ratelimit-remaining-requests":"3849","x-ratelimit-remaining-tokens":"3848298","x-ratelimit-renewalperiod-requests":"60","x-ratelimit-renewalperiod-tokens":"60","x-ratelimit-reset-requests":"15","x-ratelimit-reset-tokens":"26","x-request-id":"5159bc20-b4fc-4e5a-b522-f62e0e193ce0"}</t>
        </is>
      </c>
      <c r="N80" t="inlineStr">
        <is>
          <t>JOKER FOLIE À DEUX Vintage Black T-Shirt, made from premium cotton, soft and breathable. Bold red-black graphic totem print with unisex loose fit for edgy street style and casual daily wear.</t>
        </is>
      </c>
      <c r="O80" t="inlineStr">
        <is>
          <t>{"choices":[{"finish_reason":"stop","index":0,"logprobs":null,"message":{"annotations":[],"content":"Joker,T-Shirts,kakobuy,kakebuy2026,kekobuysheet,kakobuysheet2026,2026kakobuy,kakobuyspreadsheeet,kakobuylink,kakebuylist,Kakobuy MEGA Spreadsheet,kakobuysheetfind,kakobuysheetfind2026,2026kakobuysheetfind,kakobuysheet2026","refusal":null,"role":"assistant"}}],"created":1776667672,"id":"chatcmpl-DWci81S39HZL01N4NvRHfvpeiNIhs","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80" t="inlineStr">
        <is>
          <t>Joker,T-Shirts,kakobuy,kakebuy2026,kekobuysheet,kakobuysheet2026,2026kakobuy,kakobuyspreadsheeet,kakobuylink,kakebuylist,Kakobuy MEGA Spreadsheet,kakobuysheetfind,kakobuysheetfind2026,2026kakobuysheetfind,kakobuysheet2026</t>
        </is>
      </c>
      <c r="Q80" t="inlineStr">
        <is>
          <t>Black, Red, Unisex, Streetwear, Edgy</t>
        </is>
      </c>
      <c r="R80" t="inlineStr">
        <is>
          <t>recvh6xFVjBzMA</t>
        </is>
      </c>
      <c r="S80" t="inlineStr">
        <is>
          <t>joker-folie-a-deux-vintage-black-graphic-cotton-t-shirt-recvh6xfvjbzma</t>
        </is>
      </c>
      <c r="T80"/>
      <c r="U80"/>
      <c r="V80"/>
      <c r="W80" t="inlineStr">
        <is>
          <t>{"choices":[{"finish_reason":"stop","index":0,"logprobs":null,"message":{"annotations":[],"content":"黑色复古系列短袖T恤，采用高品质纯棉材质，柔软透气。正面印有红黑撞色艺术图腾与“JOKER FOLIE À DEUX”标识，呈现大胆个性设计风格。宽松版型，男女皆宜，街头潮流感十足，彰显前卫与自由气息，适合休闲或个性穿搭。","refusal":null,"role":"assistant"}}],"created":1776655238,"id":"chatcmpl-DWZTaIcsBaN2WbVlBS4h4KLOVxIy1","model":"gpt-5-chat-latest","object":"chat.completion","service_tier":"default","system_fingerprint":"fp_ad66631dec","usage":{"completion_tokens":97,"completion_tokens_details":{"accepted_prediction_tokens":0,"audio_tokens":0,"reasoning_tokens":0,"rejected_prediction_tokens":0},"prompt_tokens":1329,"prompt_tokens_details":{"audio_tokens":0,"cached_tokens":0},"total_tokens":1426}}</t>
        </is>
      </c>
      <c r="X80" t="inlineStr">
        <is>
          <t>黑色复古系列短袖T恤，采用高品质纯棉材质，柔软透气。正面印有红黑撞色艺术图腾与“JOKER FOLIE À DEUX”标识，呈现大胆个性设计风格。宽松版型，男女皆宜，街头潮流感十足，彰显前卫与自由气息，适合休闲或个性穿搭。</t>
        </is>
      </c>
    </row>
    <row r="81" ht="25.5" customHeight="1">
      <c r="A81">
        <v>1839115443</v>
      </c>
      <c r="B81">
        <v>7614114689</v>
      </c>
      <c r="C81" t="inlineStr">
        <is>
          <t>https://weidian.com/item.html?itemID=7614114689</t>
        </is>
      </c>
      <c r="D81"/>
      <c r="E81" s="2" t="str">
        <f>=HYPERLINK("https://si.geilicdn.com/open1839115443-252808396-55590000019aaf7f63a30a231226_800_800.jpg?w=750&amp;h=750&amp;cp=1", "https://si.geilicdn.com/open1839115443-252808396-55590000019aaf7f63a30a231226_800_800.jpg?w=750&amp;h=750&amp;cp=1")</f>
        <v>https://si.geilicdn.com/open1839115443-252808396-55590000019aaf7f63a30a231226_800_800.jpg?w=750&amp;h=750&amp;cp=1</v>
      </c>
      <c r="F81" t="inlineStr">
        <is>
          <t>T-Shirts</t>
        </is>
      </c>
      <c r="G81" t="inlineStr">
        <is>
          <t>Other</t>
        </is>
      </c>
      <c r="H81" t="inlineStr">
        <is>
          <t>120.00</t>
        </is>
      </c>
      <c r="I81">
        <v>17.39</v>
      </c>
      <c r="J81" t="inlineStr">
        <is>
          <t>{"id":"chatcmpl-DWcQpwq5IyX3ATIYjxWLGDRniUSUY","object":"chat.completion","created":1776666599,"model":"gpt-5-chat-latest","choices":[{"index":0,"message":{"role":"assistant","content":"Gun Kelly Vintage Rock Graphic Washed Cotton T-Shir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81" t="inlineStr">
        <is>
          <t>Gun Kelly Vintage Rock Graphic Washed Cotton T-Shirt</t>
        </is>
      </c>
      <c r="L81" t="inlineStr">
        <is>
          <t>{"id":"chatcmpl-DWaRCk2gdhDzh2vmmAVtS3bRrUjrI","object":"chat.completion","created":1776658934,"model":"gpt-5-chat-latest","choices":[{"index":0,"message":{"role":"assistant","content":"Gun Kelly Vintage Rock Style T-Shirt, black-gray washed cotton, electric photo and metallic text print, bold streetwear vibe, unisex design for casual outfits and music festivals.","refusal":null,"annotations":[]},"logprobs":null,"finish_reason":"stop"}],"usage":{"prompt_tokens":907,"completion_tokens":36,"total_tokens":943,"prompt_tokens_details":{"cached_tokens":0,"audio_tokens":0},"completion_tokens_details":{"reasoning_tokens":0,"audio_tokens":0,"accepted_prediction_tokens":0,"rejected_prediction_tokens":0}},"service_tier":"default","system_fingerprint":"fp_ad66631dec"}</t>
        </is>
      </c>
      <c r="M8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ma=2592000","apim-request-id":"27c7356a-f825-4f41-979f-3384026f8841","azureml-model-session":"d20260405234249-f9874baf","cache-control":"no-cache, no-store, must-revalidate","connection":"close","content-length":"983","content-security-policy":"frame-ancestors 'self'","content-type":"application/json","date":"Mon, 20 Apr 2026 04:22:16 GMT","server":"Caddy","skip-error-remapping":"true","strict-transport-security":"max-age=31536000; includeSubDomains; preload","via":"1.1 Caddy","x-api-request-id":"20260420122211985551812jjcD5ZXX","x-content-type-options":"nosniff","x-frame-options":"SAMEORIGIN","x-ms-is-spilled-over":"false","x-ms-rai-invoked":"false","x-ms-region":"Sweden Central","x-new-api-version":"0.4.39","x-oneapi-request-id":"202604200422119189144528268d9d6YrMKNyFE","x-ratelimit-abusepenalty-active":"False","x-ratelimit-limit-requests":"4993","x-ratelimit-limit-tokens":"4993000","x-ratelimit-remaining-requests":"4992","x-ratelimit-remaining-tokens":"4991331","x-ratelimit-renewalperiod-requests":"60","x-ratelimit-renewalperiod-tokens":"60","x-ratelimit-reset-requests":"12","x-ratelimit-reset-tokens":"20","x-request-id":"5e4b55d6-2545-4877-b39d-7312553b6239"}</t>
        </is>
      </c>
      <c r="N81" t="inlineStr">
        <is>
          <t>Gun Kelly Vintage Rock Style T-Shirt, black-gray washed cotton, electric photo and metallic text print, bold streetwear vibe, unisex design for casual outfits and music festivals.</t>
        </is>
      </c>
      <c r="O81" t="inlineStr">
        <is>
          <t>{"choices":[{"finish_reason":"stop","index":0,"logprobs":null,"message":{"annotations":[],"content":"Machine Gun Kelly,T-Shirts,kakobuy,kakebuy2026,kekobuysheet,kakobuysheet2026,2026kakobuy,kakobuyspreadsheeet,kakobuylink,kakebuylist,Kakobuy MEGA Spreadsheet,kakobuysheetfind,kakobuysheetfind2026,2026kakobuysheetfind,kakobuysheet2026","refusal":null,"role":"assistant"}}],"created":1776668505,"id":"chatcmpl-DWcvZRIavHEaGz9HHkrvpEOOzuXdO","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81" t="inlineStr">
        <is>
          <t>Machine Gun Kelly,T-Shirts,kakobuy,kakebuy2026,kekobuysheet,kakobuysheet2026,2026kakobuy,kakobuyspreadsheeet,kakobuylink,kakebuylist,Kakobuy MEGA Spreadsheet,kakobuysheetfind,kakobuysheetfind2026,2026kakobuysheetfind,kakobuysheet2026</t>
        </is>
      </c>
      <c r="Q81" t="inlineStr">
        <is>
          <t>Black, Grey, Streetwear, Unisex</t>
        </is>
      </c>
      <c r="R81" t="inlineStr">
        <is>
          <t>recvh6xFVjEmMP</t>
        </is>
      </c>
      <c r="S81" t="inlineStr">
        <is>
          <t>gun-kelly-vintage-rock-graphic-recvh6xfvjemmp</t>
        </is>
      </c>
      <c r="T81"/>
      <c r="U81"/>
      <c r="V81"/>
      <c r="W81" t="inlineStr">
        <is>
          <t>{"choices":[{"finish_reason":"stop","index":0,"logprobs":null,"message":{"annotations":[],"content":"复古黑灰做旧摇滚风短袖T恤，采用柔软纯棉面料，正面电光感照片与金属字母印花设计，个性张扬，彰显街头潮流态度，男女皆宜，日常休闲与音乐节穿搭皆可。","refusal":null,"role":"assistant"}}],"created":1776654910,"id":"chatcmpl-DWZOIdEM8pngxtrFVBizKIDGTjJjZ","model":"gpt-5-chat-latest","object":"chat.completion","service_tier":"default","system_fingerprint":"fp_ad66631dec","usage":{"completion_tokens":70,"completion_tokens_details":{"accepted_prediction_tokens":0,"audio_tokens":0,"reasoning_tokens":0,"rejected_prediction_tokens":0},"prompt_tokens":1317,"prompt_tokens_details":{"audio_tokens":0,"cached_tokens":0},"total_tokens":1387}}</t>
        </is>
      </c>
      <c r="X81" t="inlineStr">
        <is>
          <t>复古黑灰做旧摇滚风短袖T恤，采用柔软纯棉面料，正面电光感照片与金属字母印花设计，个性张扬，彰显街头潮流态度，男女皆宜，日常休闲与音乐节穿搭皆可。</t>
        </is>
      </c>
    </row>
    <row r="82" ht="25.5" customHeight="1">
      <c r="A82">
        <v>1839115443</v>
      </c>
      <c r="B82">
        <v>7617017142</v>
      </c>
      <c r="C82" t="inlineStr">
        <is>
          <t>https://weidian.com/item.html?itemID=7617017142</t>
        </is>
      </c>
      <c r="D82"/>
      <c r="E82" s="2" t="str">
        <f>=HYPERLINK("https://si.geilicdn.com/open1839115443-252808396-41d80000019aaf7982fe0a8115c2_1000_1000.jpg?w=750&amp;h=750&amp;cp=1", "https://si.geilicdn.com/open1839115443-252808396-41d80000019aaf7982fe0a8115c2_1000_1000.jpg?w=750&amp;h=750&amp;cp=1")</f>
        <v>https://si.geilicdn.com/open1839115443-252808396-41d80000019aaf7982fe0a8115c2_1000_1000.jpg?w=750&amp;h=750&amp;cp=1</v>
      </c>
      <c r="F82" t="inlineStr">
        <is>
          <t>Hoodies</t>
        </is>
      </c>
      <c r="G82" t="inlineStr">
        <is>
          <t>Other</t>
        </is>
      </c>
      <c r="H82" t="inlineStr">
        <is>
          <t>120.00</t>
        </is>
      </c>
      <c r="I82">
        <v>17.39</v>
      </c>
      <c r="J82" t="inlineStr">
        <is>
          <t>{"choices":[{"finish_reason":"stop","index":0,"logprobs":null,"message":{"annotations":[],"content":"BC Street Wear Utah Jazz Vintage Black Hoodie","refusal":null,"role":"assistant"}}],"created":1776666518,"id":"chatcmpl-DWcPW8syaO7M8bpHax0XvdOuRhj4W","model":"gpt-5-chat-latest","object":"chat.completion","service_tier":"default","system_fingerprint":"fp_ad66631dec","usage":{"completion_tokens":9,"completion_tokens_details":{"accepted_prediction_tokens":0,"audio_tokens":0,"reasoning_tokens":0,"rejected_prediction_tokens":0},"prompt_tokens":878,"prompt_tokens_details":{"audio_tokens":0,"cached_tokens":0},"total_tokens":887}}</t>
        </is>
      </c>
      <c r="K82" t="inlineStr">
        <is>
          <t>BC Street Wear Utah Jazz Vintage Black Hoodie</t>
        </is>
      </c>
      <c r="L82" t="inlineStr">
        <is>
          <t>{"id":"chatcmpl-DWaFrlzEZfTm6vURN5A21BpH3ISYK","object":"chat.completion","created":1776658231,"model":"gpt-5-chat-latest","choices":[{"index":0,"message":{"role":"assistant","content":"BC Street Wear Heavy Washed Black Hoodie, soft breathable cotton with retro “Utah Jazz” graphic, loose unisex fit for casual street style, showing unique personality and sporty energy.","refusal":null,"annotations":[]},"logprobs":null,"finish_reason":"stop"}],"usage":{"prompt_tokens":926,"completion_tokens":38,"total_tokens":964,"prompt_tokens_details":{"cached_tokens":0,"audio_tokens":0},"completion_tokens_details":{"reasoning_tokens":0,"audio_tokens":0,"accepted_prediction_tokens":0,"rejected_prediction_tokens":0}},"service_tier":"default","system_fingerprint":"fp_ad66631dec"}</t>
        </is>
      </c>
      <c r="M8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ma=2592000","apim-request-id":"7c513244-83d0-4721-9a0a-9cbbe96af23a","azureml-model-session":"d20260402074105-51db401e","cache-control":"no-cache, no-store, must-revalidate","connection":"close","content-length":"992","content-security-policy":"frame-ancestors 'self'","content-type":"application/json","date":"Mon, 20 Apr 2026 04:10:32 GMT","server":"Caddy","skip-error-remapping":"true","strict-transport-security":"max-age=31536000; includeSubDomains; preload","via":"1.1 Caddy","x-api-request-id":"20260420121029586945712iLYkclkh","x-content-type-options":"nosniff","x-frame-options":"SAMEORIGIN","x-ms-is-spilled-over":"false","x-ms-rai-invoked":"false","x-ms-region":"East US 2","x-new-api-version":"0.4.39","x-oneapi-request-id":"202604200410294770770328268d9d6H0AgkpyO","x-ratelimit-abusepenalty-active":"False","x-ratelimit-limit-requests":"4994","x-ratelimit-limit-tokens":"4994000","x-ratelimit-remaining-requests":"4993","x-ratelimit-remaining-tokens":"4992312","x-ratelimit-renewalperiod-requests":"60","x-ratelimit-renewalperiod-tokens":"60","x-ratelimit-reset-requests":"12","x-ratelimit-reset-tokens":"20","x-request-id":"913c7485-6216-4305-a559-51594df0910b"}</t>
        </is>
      </c>
      <c r="N82" t="inlineStr">
        <is>
          <t>BC Street Wear Heavy Washed Black Hoodie, soft breathable cotton with retro “Utah Jazz” graphic, loose unisex fit for casual street style, showing unique personality and sporty energy.</t>
        </is>
      </c>
      <c r="O82" t="inlineStr">
        <is>
          <t>{"id":"chatcmpl-DWcfemulPruwIg9h5Z2LhnRTkX9qL","object":"chat.completion","created":1776667518,"model":"gpt-5-chat-latest","choices":[{"index":0,"message":{"role":"assistant","content":"BC,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82" t="inlineStr">
        <is>
          <t>BC,Hoodies,kakobuy,kakebuy2026,kekobuysheet,kakobuysheet2026,2026kakobuy,kakobuyspreadsheeet,kakobuylink,kakebuylist,Kakobuy MEGA Spreadsheet,kakobuysheetfind,kakobuysheetfind2026,2026kakobuysheetfind,kakobuysheet2026</t>
        </is>
      </c>
      <c r="Q82" t="inlineStr">
        <is>
          <t>Black, Retro, Streetwear, Unisex</t>
        </is>
      </c>
      <c r="R82" t="inlineStr">
        <is>
          <t>recvh6xFVjmdRd</t>
        </is>
      </c>
      <c r="S82" t="inlineStr">
        <is>
          <t>bc-street-wear-utah-jazz-vintage-black-hoodie-recvh6xfvjmdrd</t>
        </is>
      </c>
      <c r="T82"/>
      <c r="U82"/>
      <c r="V82"/>
      <c r="W82" t="inlineStr">
        <is>
          <t>{"id":"chatcmpl-DWZTswL0FQGjEwVKl63CxYA2Or6Hn","object":"chat.completion","created":1776655256,"model":"gpt-5-chat-latest","choices":[{"index":0,"message":{"role":"assistant","content":"重磅水洗做旧黑色连帽卫衣，纯棉材质柔软透气，正面印有篮球巨星与“Utah Jazz”复古图腾，呈现街头复古美式潮流风格，宽松版型男女皆宜，适合日常休闲穿搭，展现独特个性与运动活力。","refusal":null,"annotations":[]},"logprobs":null,"finish_reason":"stop"}],"usage":{"prompt_tokens":1326,"completion_tokens":84,"total_tokens":1410,"prompt_tokens_details":{"cached_tokens":0,"audio_tokens":0},"completion_tokens_details":{"reasoning_tokens":0,"audio_tokens":0,"accepted_prediction_tokens":0,"rejected_prediction_tokens":0}},"service_tier":"default","system_fingerprint":"fp_ad66631dec"}</t>
        </is>
      </c>
      <c r="X82" t="inlineStr">
        <is>
          <t>重磅水洗做旧黑色连帽卫衣，纯棉材质柔软透气，正面印有篮球巨星与“Utah Jazz”复古图腾，呈现街头复古美式潮流风格，宽松版型男女皆宜，适合日常休闲穿搭，展现独特个性与运动活力。</t>
        </is>
      </c>
    </row>
    <row r="83" ht="25.5" customHeight="1">
      <c r="A83">
        <v>1839115443</v>
      </c>
      <c r="B83">
        <v>7601196026</v>
      </c>
      <c r="C83" t="inlineStr">
        <is>
          <t>https://weidian.com/item.html?itemID=7601196026</t>
        </is>
      </c>
      <c r="D83"/>
      <c r="E83" s="2" t="str">
        <f>=HYPERLINK("https://si.geilicdn.com/open1832946205-252808396-177f000001988967e3f70a8133b0_790_1444.jpg?w=640&amp;h=640", "https://si.geilicdn.com/open1832946205-252808396-177f000001988967e3f70a8133b0_790_1444.jpg?w=640&amp;h=640")</f>
        <v>https://si.geilicdn.com/open1832946205-252808396-177f000001988967e3f70a8133b0_790_1444.jpg?w=640&amp;h=640</v>
      </c>
      <c r="F83" t="inlineStr">
        <is>
          <t>Hoodies</t>
        </is>
      </c>
      <c r="G83" t="inlineStr">
        <is>
          <t>Other</t>
        </is>
      </c>
      <c r="H83" t="inlineStr">
        <is>
          <t>397.00</t>
        </is>
      </c>
      <c r="I83">
        <v>57.54</v>
      </c>
      <c r="J83" t="inlineStr">
        <is>
          <t>{"choices":[{"finish_reason":"stop","index":0,"logprobs":null,"message":{"annotations":[],"content":"HoodiesOther Army Green Thermal Cotton Hooded Jacket","refusal":null,"role":"assistant"}}],"created":1776666520,"id":"chatcmpl-DWcPYLsWPlaephhltSSzlz6nmr5Gp","model":"gpt-5-chat-latest","object":"chat.completion","service_tier":"default","system_fingerprint":"fp_ad66631dec","usage":{"completion_tokens":12,"completion_tokens_details":{"accepted_prediction_tokens":0,"audio_tokens":0,"reasoning_tokens":0,"rejected_prediction_tokens":0},"prompt_tokens":1164,"prompt_tokens_details":{"audio_tokens":0,"cached_tokens":0},"total_tokens":1176}}</t>
        </is>
      </c>
      <c r="K83" t="inlineStr">
        <is>
          <t>HoodiesOther Army Green Thermal Cotton Hooded Jacket</t>
        </is>
      </c>
      <c r="L83" t="inlineStr">
        <is>
          <t>{"choices":[{"finish_reason":"stop","index":0,"logprobs":null,"message":{"annotations":[],"content":"HoodiesOther Army Green Thermal Long Cotton Hooded Jacket, windproof and warm fabric, full temperature-lock design, loose fit with 3D side pockets, unisex urban outdoor functional style.","refusal":null,"role":"assistant"}}],"created":1776658459,"id":"chatcmpl-DWaJXBiHG7s7QpJuXgBWd82NyNIhh","model":"gpt-5-chat-latest","object":"chat.completion","service_tier":"default","system_fingerprint":"fp_ad66631dec","usage":{"completion_tokens":41,"completion_tokens_details":{"accepted_prediction_tokens":0,"audio_tokens":0,"reasoning_tokens":0,"rejected_prediction_tokens":0},"prompt_tokens":1183,"prompt_tokens_details":{"audio_tokens":0,"cached_tokens":1152},"total_tokens":1224}}</t>
        </is>
      </c>
      <c r="M83" t="inlineStr">
        <is>
          <t>{"alt-svc":"h3=\":443\"; ma=2592000","apim-request-id":"7ed90213-d567-4ee9-a1de-0f73924d0740","azureml-model-session":"d20260402074105-51db401e","cache-control":"no-cache","connection":"close","content-length":"779","content-security-policy":"frame-ancestors 'self'","content-type":"application/json","date":"Mon, 20 Apr 2026 04:14:20 GMT","server":"Caddy","skip-error-remapping":"true","strict-transport-security":"max-age=31536000; includeSubDomains; preload","via":"1.1 Caddy","x-api-request-id":"20260420121418516231946YdkWizAR","x-content-type-options":"nosniff","x-frame-options":"SAMEORIGIN","x-ms-client-request-id":"Not-Set","x-ms-is-spilled-over":"false","x-ms-rai-invoked":"true","x-ms-region":"East US 2","x-new-api-version":"0.4.39","x-oneapi-request-id":"202604200414184495078098268d9d6uAbhiYwt","x-ratelimit-abusepenalty-active":"False","x-ratelimit-limit-requests":"3850","x-ratelimit-limit-tokens":"3850000","x-ratelimit-remaining-requests":"3849","x-ratelimit-remaining-tokens":"3848054","x-ratelimit-renewalperiod-requests":"60","x-ratelimit-renewalperiod-tokens":"60","x-ratelimit-reset-requests":"15","x-ratelimit-reset-tokens":"30","x-request-id":"93e00455-4d77-46dc-a2b8-af374e322df0"}</t>
        </is>
      </c>
      <c r="N83" t="inlineStr">
        <is>
          <t>HoodiesOther Army Green Thermal Long Cotton Hooded Jacket, windproof and warm fabric, full temperature-lock design, loose fit with 3D side pockets, unisex urban outdoor functional style.</t>
        </is>
      </c>
      <c r="O83" t="inlineStr">
        <is>
          <t>{"choices":[{"finish_reason":"stop","index":0,"logprobs":null,"message":{"annotations":[],"content":"Yaloo,HoodiesOther,kakobuy,kakebuy2026,kekobuysheet,kakobuysheet2026,2026kakobuy,kakobuyspreadsheeet,kakobuylink,kakebuylist,Kakobuy MEGA Spreadsheet,kakobuysheetfind,kakobuysheetfind2026,2026kakobuysheetfind,kakobuysheet2026","refusal":null,"role":"assistant"}}],"created":1776668107,"id":"chatcmpl-DWcp91jRXhUvR4Grubbd5IylC3WNH","model":"gpt-5-chat-latest","object":"chat.completion","service_tier":"default","system_fingerprint":"fp_ad66631dec","usage":{"completion_tokens":90,"completion_tokens_details":{"accepted_prediction_tokens":0,"audio_tokens":0,"reasoning_tokens":0,"rejected_prediction_tokens":0},"prompt_tokens":1063,"prompt_tokens_details":{"audio_tokens":0,"cached_tokens":1024},"total_tokens":1153}}</t>
        </is>
      </c>
      <c r="P83" t="inlineStr">
        <is>
          <t>Yaloo,HoodiesOther,kakobuy,kakebuy2026,kekobuysheet,kakobuysheet2026,2026kakobuy,kakobuyspreadsheeet,kakobuylink,kakebuylist,Kakobuy MEGA Spreadsheet,kakobuysheetfind,kakobuysheetfind2026,2026kakobuysheetfind,kakobuysheet2026</t>
        </is>
      </c>
      <c r="Q83" t="inlineStr">
        <is>
          <t>Windproof, Unisex, Outdoor, Autumn And Winter</t>
        </is>
      </c>
      <c r="R83" t="inlineStr">
        <is>
          <t>recvh6xFVjjETA</t>
        </is>
      </c>
      <c r="S83" t="inlineStr">
        <is>
          <t>hoodiesother-army-green-thermal-cotton-hooded-jacket-recvh6xfvjjeta</t>
        </is>
      </c>
      <c r="T83"/>
      <c r="U83"/>
      <c r="V83"/>
      <c r="W83" t="inlineStr">
        <is>
          <t>{"choices":[{"finish_reason":"stop","index":0,"logprobs":null,"message":{"annotations":[],"content":"军绿防寒系列长绒棉连帽外套，选用保暖防风面料，全方位锁温设计，宽松剪裁搭配双侧立体口袋，兼具实用与时尚感，男女通用，展现都市户外机能风格。","refusal":null,"role":"assistant"}}],"created":1776655963,"id":"chatcmpl-DWZfHnc2sJWRkBZSvinPjRZD3mXCa","model":"gpt-5-chat-latest","object":"chat.completion","service_tier":"default","system_fingerprint":"fp_ad66631dec","usage":{"completion_tokens":67,"completion_tokens_details":{"accepted_prediction_tokens":0,"audio_tokens":0,"reasoning_tokens":0,"rejected_prediction_tokens":0},"prompt_tokens":1594,"prompt_tokens_details":{"audio_tokens":0,"cached_tokens":0},"total_tokens":1661}}</t>
        </is>
      </c>
      <c r="X83" t="inlineStr">
        <is>
          <t>军绿防寒系列长绒棉连帽外套，选用保暖防风面料，全方位锁温设计，宽松剪裁搭配双侧立体口袋，兼具实用与时尚感，男女通用，展现都市户外机能风格。</t>
        </is>
      </c>
    </row>
    <row r="84" ht="25.5" customHeight="1">
      <c r="A84">
        <v>1839115443</v>
      </c>
      <c r="B84">
        <v>7601255744</v>
      </c>
      <c r="C84" t="inlineStr">
        <is>
          <t>https://weidian.com/item.html?itemID=7601255744</t>
        </is>
      </c>
      <c r="D84"/>
      <c r="E84" s="2" t="str">
        <f>=HYPERLINK("https://si.geilicdn.com/open1839115443-252808396-0a7e0000019a681f11c40a23b4de_1080_1080.jpg?w=750&amp;h=750&amp;cp=1", "https://si.geilicdn.com/open1839115443-252808396-0a7e0000019a681f11c40a23b4de_1080_1080.jpg?w=750&amp;h=750&amp;cp=1")</f>
        <v>https://si.geilicdn.com/open1839115443-252808396-0a7e0000019a681f11c40a23b4de_1080_1080.jpg?w=750&amp;h=750&amp;cp=1</v>
      </c>
      <c r="F84" t="inlineStr">
        <is>
          <t>Jackets</t>
        </is>
      </c>
      <c r="G84" t="inlineStr">
        <is>
          <t>Moncler</t>
        </is>
      </c>
      <c r="H84" t="inlineStr">
        <is>
          <t>650.00</t>
        </is>
      </c>
      <c r="I84">
        <v>94.2</v>
      </c>
      <c r="J84" t="inlineStr">
        <is>
          <t>{"id":"chatcmpl-DWcBfvXI89GLW5LPHJ8uj1ecy0CzR","object":"chat.completion","created":1776665659,"model":"gpt-5-chat-latest","choices":[{"index":0,"message":{"role":"assistant","content":"Moncler Black Down Jacket Winter Coat","refusal":null,"annotations":[]},"logprobs":null,"finish_reason":"stop"}],"usage":{"prompt_tokens":886,"completion_tokens":8,"total_tokens":894,"prompt_tokens_details":{"cached_tokens":0,"audio_tokens":0},"completion_tokens_details":{"reasoning_tokens":0,"audio_tokens":0,"accepted_prediction_tokens":0,"rejected_prediction_tokens":0}},"service_tier":"default","system_fingerprint":"fp_ad66631dec"}</t>
        </is>
      </c>
      <c r="K84" t="inlineStr">
        <is>
          <t>Moncler Black Down Jacket Winter Coat</t>
        </is>
      </c>
      <c r="L84" t="inlineStr">
        <is>
          <t>{"id":"chatcmpl-DWaS0MLM3qzi2VSLoiKN6tr1Kev5Z","object":"chat.completion","created":1776658984,"model":"gpt-5-chat-latest","choices":[{"index":0,"message":{"role":"assistant","content":"Moncler Classic Black Down Jacket – crafted from high-density windproof nylon with premium goose down filling, lightweight yet warm. Sleek stand collar, zip closure, unisex design for modern urban winter style.","refusal":null,"annotations":[]},"logprobs":null,"finish_reason":"stop"}],"usage":{"prompt_tokens":947,"completion_tokens":42,"total_tokens":989,"prompt_tokens_details":{"cached_tokens":0,"audio_tokens":0},"completion_tokens_details":{"reasoning_tokens":0,"audio_tokens":0,"accepted_prediction_tokens":0,"rejected_prediction_tokens":0}},"service_tier":"default","system_fingerprint":"fp_ad66631dec"}</t>
        </is>
      </c>
      <c r="M8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ma=2592000","apim-request-id":"ab9caa47-4fa9-42a9-bb02-67f9a649864a","azureml-model-session":"d20260405234249-f9874baf","cache-control":"no-cache, no-store, must-revalidate","connection":"close","content-length":"1016","content-security-policy":"frame-ancestors 'self'","content-type":"application/json","date":"Mon, 20 Apr 2026 04:23:07 GMT","server":"nginx","skip-error-remapping":"true","strict-transport-security":"max-age=31536000; includeSubDomains; preload","via":"1.1 Caddy, 1.1 Caddy","x-api-request-id":"20260420122303411990726wcDPKEUe","x-content-type-options":"nosniff","x-frame-options":"SAMEORIGIN","x-ms-is-spilled-over":"false","x-ms-rai-invoked":"false","x-ms-region":"Sweden Central","x-new-api-version":"0.4.39","x-oneapi-request-id":"202604200423033439443668268d9d6DXvSrCE5","x-ratelimit-abusepenalty-active":"False","x-ratelimit-limit-requests":"4993","x-ratelimit-limit-tokens":"4993000","x-ratelimit-remaining-requests":"4992","x-ratelimit-remaining-tokens":"4991291","x-ratelimit-renewalperiod-requests":"60","x-ratelimit-renewalperiod-tokens":"60","x-ratelimit-reset-requests":"12","x-ratelimit-reset-tokens":"20","x-request-id":"2e71520a-ca6b-4d2c-90c6-dd6c8a4278c3"}</t>
        </is>
      </c>
      <c r="N84" t="inlineStr">
        <is>
          <t>Moncler Classic Black Down Jacket – crafted from high-density windproof nylon with premium goose down filling, lightweight yet warm. Sleek stand collar, zip closure, unisex design for modern urban winter style.</t>
        </is>
      </c>
      <c r="O84"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1776668654,"id":"chatcmpl-DWcxygYsQRgagp3704pjjjXPkxqU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84" t="inlineStr">
        <is>
          <t>Moncler, Jacket, kakobuy, kakebuy2026, kekobuysheet, kakobuysheet2026, 2026kakobuy, kakobuyspreadsheeet, kakobuylink, kakebuylist, Kakobuy MEGA Spreadsheet, kakobuysheetfind, kakobuysheetfind2026, 2026kakobuysheetfind, kakobuysheet2026</t>
        </is>
      </c>
      <c r="Q84" t="inlineStr">
        <is>
          <t>Black, Winter, Unisex, Windproof, Lightweight, Nylon</t>
        </is>
      </c>
      <c r="R84" t="inlineStr">
        <is>
          <t>recvh6xFVjPrBq</t>
        </is>
      </c>
      <c r="S84" t="inlineStr">
        <is>
          <t>moncler-black-down-jacket-winter-recvh6xFVjPrBq</t>
        </is>
      </c>
      <c r="T84"/>
      <c r="U84"/>
      <c r="V84"/>
      <c r="W84" t="inlineStr">
        <is>
          <t>{"choices":[{"finish_reason":"stop","index":0,"logprobs":null,"message":{"annotations":[],"content":"Moncler：经典黑色羽绒夹克，选用高密防风尼龙面料与优质鹅绒填充，轻盈保暖。立领拉链设计简约利落，缝线立体彰显工艺质感，整体廓形饱满有型。中性款式适合男女穿着，展现现代都市休闲风格，冬季出行与街头搭配皆显高级格调。","refusal":null,"role":"assistant"}}],"created":1776655792,"id":"chatcmpl-DWZcWG7cVk0a33i0JiQqycRazyLkd","model":"gpt-5-chat-latest","object":"chat.completion","service_tier":"default","system_fingerprint":"fp_ad66631dec","usage":{"completion_tokens":103,"completion_tokens_details":{"accepted_prediction_tokens":0,"audio_tokens":0,"reasoning_tokens":0,"rejected_prediction_tokens":0},"prompt_tokens":1332,"prompt_tokens_details":{"audio_tokens":0,"cached_tokens":0},"total_tokens":1435}}</t>
        </is>
      </c>
      <c r="X84" t="inlineStr">
        <is>
          <t>Moncler：经典黑色羽绒夹克，选用高密防风尼龙面料与优质鹅绒填充，轻盈保暖。立领拉链设计简约利落，缝线立体彰显工艺质感，整体廓形饱满有型。中性款式适合男女穿着，展现现代都市休闲风格，冬季出行与街头搭配皆显高级格调。</t>
        </is>
      </c>
    </row>
    <row r="85" ht="25.5" customHeight="1">
      <c r="A85">
        <v>1839115443</v>
      </c>
      <c r="B85">
        <v>7601165400</v>
      </c>
      <c r="C85" t="inlineStr">
        <is>
          <t>https://weidian.com/item.html?itemID=7601165400</t>
        </is>
      </c>
      <c r="D85"/>
      <c r="E85" s="2" t="str">
        <f>=HYPERLINK("https://si.geilicdn.com/open1839115443-252808396-21520000019a681f3d060aa081c2_1395_1287.jpg?w=640&amp;h=640", "https://si.geilicdn.com/open1839115443-252808396-21520000019a681f3d060aa081c2_1395_1287.jpg?w=640&amp;h=640")</f>
        <v>https://si.geilicdn.com/open1839115443-252808396-21520000019a681f3d060aa081c2_1395_1287.jpg?w=640&amp;h=640</v>
      </c>
      <c r="F85" t="inlineStr">
        <is>
          <t>Jackets</t>
        </is>
      </c>
      <c r="G85" t="inlineStr">
        <is>
          <t>Moose Knuckles</t>
        </is>
      </c>
      <c r="H85" t="inlineStr">
        <is>
          <t>890.00</t>
        </is>
      </c>
      <c r="I85">
        <v>128.99</v>
      </c>
      <c r="J85" t="inlineStr">
        <is>
          <t>{"id":"chatcmpl-DWcHTNSTGumZALK4X2sYeOVrXPPwc","object":"chat.completion","created":1776666019,"model":"gpt-5-chat-latest","choices":[{"index":0,"message":{"role":"assistant","content":"Moose Knuckles Classic Navy Fur Collar Down Jacket","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is>
      </c>
      <c r="K85" t="inlineStr">
        <is>
          <t>Moose Knuckles Classic Navy Fur Collar Down Jacket</t>
        </is>
      </c>
      <c r="L85" t="inlineStr">
        <is>
          <t>{"choices":[{"finish_reason":"stop","index":0,"logprobs":null,"message":{"annotations":[],"content":"Moose Knuckles Classic Navy Down Jacket – Windproof, waterproof high-density fabric with luxurious white fur collar, metal zippers and studs, unisex design, warm and stylish for urban winter.","refusal":null,"role":"assistant"}}],"created":1776658670,"id":"chatcmpl-DWaMwffRDPaY2wmslR1rURAqqMOIA","model":"gpt-5-chat-latest","object":"chat.completion","service_tier":"default","system_fingerprint":"fp_ad66631dec","usage":{"completion_tokens":40,"completion_tokens_details":{"accepted_prediction_tokens":0,"audio_tokens":0,"reasoning_tokens":0,"rejected_prediction_tokens":0},"prompt_tokens":919,"prompt_tokens_details":{"audio_tokens":0,"cached_tokens":0},"total_tokens":959}}</t>
        </is>
      </c>
      <c r="M85" t="inlineStr">
        <is>
          <t>{"alt-svc":"h3=\":443\"; ma=2592000","apim-request-id":"a60d5ca8-1947-426d-a59a-a48c827b079e","azureml-model-session":"d20260405234249-f9874baf","cache-control":"no-cache","connection":"close","content-length":"781","content-security-policy":"frame-ancestors 'self'","content-type":"application/json","date":"Mon, 20 Apr 2026 04:17:51 GMT","server":"Caddy","skip-error-remapping":"true","strict-transport-security":"max-age=31536000; includeSubDomains; preload","via":"1.1 Caddy","x-api-request-id":"2026042012175046691127xSkKEIjb","x-content-type-options":"nosniff","x-frame-options":"SAMEORIGIN","x-ms-client-request-id":"Not-Set","x-ms-is-spilled-over":"false","x-ms-rai-invoked":"true","x-ms-region":"East US 2","x-new-api-version":"0.4.39","x-oneapi-request-id":"202604200417499809104458268d9d6C940Awpm","x-ratelimit-abusepenalty-active":"False","x-ratelimit-limit-requests":"3850","x-ratelimit-limit-tokens":"3850000","x-ratelimit-remaining-requests":"3849","x-ratelimit-remaining-tokens":"3848319","x-ratelimit-renewalperiod-requests":"60","x-ratelimit-renewalperiod-tokens":"60","x-ratelimit-reset-requests":"15","x-ratelimit-reset-tokens":"26","x-request-id":"f4a0ae75-a84a-4c03-8aba-487e3a714f7d"}</t>
        </is>
      </c>
      <c r="N85" t="inlineStr">
        <is>
          <t>Moose Knuckles Classic Navy Down Jacket – Windproof, waterproof high-density fabric with luxurious white fur collar, metal zippers and studs, unisex design, warm and stylish for urban winter.</t>
        </is>
      </c>
      <c r="O85" t="inlineStr">
        <is>
          <t>{"choices":[{"finish_reason":"stop","index":0,"logprobs":null,"message":{"annotations":[],"content":"Moose Knuckles, Jackets, kakobuy, kakebuy2026, kekobuysheet, kakobuysheet2026, 2026kakobuy, kakobuyspreadsheeet, kakobuylink, kakebuylist, Kakobuy MEGA Spreadsheet, kakobuysheetfind, kakobuysheetfind2026, 2026kakobuysheetfind, kakobuysheet2026","refusal":null,"role":"assistant"}}],"created":1776667656,"id":"chatcmpl-DWchsFXdrJJqRmnPUS6qZO6QHC2oI","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85" t="inlineStr">
        <is>
          <t>Moose Knuckles, Jackets, kakobuy, kakebuy2026, kekobuysheet, kakobuysheet2026, 2026kakobuy, kakobuyspreadsheeet, kakobuylink, kakebuylist, Kakobuy MEGA Spreadsheet, kakobuysheetfind, kakobuysheetfind2026, 2026kakobuysheetfind, kakobuysheet2026</t>
        </is>
      </c>
      <c r="Q85" t="inlineStr">
        <is>
          <t>Windproof, Waterproof, Winter, Unisex, Navy, Fur</t>
        </is>
      </c>
      <c r="R85" t="inlineStr">
        <is>
          <t>recvh6xFVjejsS</t>
        </is>
      </c>
      <c r="S85" t="inlineStr">
        <is>
          <t>moose-knuckles-classic-navy-fur-collar-down-jacket-recvh6xFVjejsS</t>
        </is>
      </c>
      <c r="T85"/>
      <c r="U85"/>
      <c r="V85"/>
      <c r="W85" t="inlineStr">
        <is>
          <t>{"id":"chatcmpl-DWZVqha7x1eYzRgQnIiq7A4w3I0oN","object":"chat.completion","created":1776655378,"model":"gpt-5-chat-latest","choices":[{"index":0,"message":{"role":"assistant","content":"Moose Knuckles：经典海军蓝羽绒夹克，采用防风防水高密面料与奢华白色真毛领设计，金属拉链与铆钉点缀彰显硬朗街头风格，男女通用款，兼具保暖与时尚，冬季都市休闲必备精品外套。","refusal":null,"annotations":[]},"logprobs":null,"finish_reason":"stop"}],"usage":{"prompt_tokens":1322,"completion_tokens":81,"total_tokens":1403,"prompt_tokens_details":{"cached_tokens":0,"audio_tokens":0},"completion_tokens_details":{"reasoning_tokens":0,"audio_tokens":0,"accepted_prediction_tokens":0,"rejected_prediction_tokens":0}},"service_tier":"default","system_fingerprint":"fp_ad66631dec"}</t>
        </is>
      </c>
      <c r="X85" t="inlineStr">
        <is>
          <t>Moose Knuckles：经典海军蓝羽绒夹克，采用防风防水高密面料与奢华白色真毛领设计，金属拉链与铆钉点缀彰显硬朗街头风格，男女通用款，兼具保暖与时尚，冬季都市休闲必备精品外套。</t>
        </is>
      </c>
    </row>
    <row r="86" ht="25.5" customHeight="1">
      <c r="A86">
        <v>1839115443</v>
      </c>
      <c r="B86">
        <v>7599347709</v>
      </c>
      <c r="C86" t="inlineStr">
        <is>
          <t>https://weidian.com/item.html?itemID=7599347709</t>
        </is>
      </c>
      <c r="D86"/>
      <c r="E86" s="2" t="str">
        <f>=HYPERLINK("https://si.geilicdn.com/open1839115443-252808396-23cf0000019a681f420b0aa086a7_1080_1080.jpg?w=640&amp;h=640", "https://si.geilicdn.com/open1839115443-252808396-23cf0000019a681f420b0aa086a7_1080_1080.jpg?w=640&amp;h=640")</f>
        <v>https://si.geilicdn.com/open1839115443-252808396-23cf0000019a681f420b0aa086a7_1080_1080.jpg?w=640&amp;h=640</v>
      </c>
      <c r="F86" t="inlineStr">
        <is>
          <t>Jackets</t>
        </is>
      </c>
      <c r="G86" t="inlineStr">
        <is>
          <t>Moncler</t>
        </is>
      </c>
      <c r="H86" t="inlineStr">
        <is>
          <t>550.00</t>
        </is>
      </c>
      <c r="I86">
        <v>79.71</v>
      </c>
      <c r="J86" t="inlineStr">
        <is>
          <t>{"choices":[{"finish_reason":"stop","index":0,"logprobs":null,"message":{"annotations":[],"content":"Moncler Lago Black Hooded Down Vest Jacket","refusal":null,"role":"assistant"}}],"created":1776666210,"id":"chatcmpl-DWcKYDvMb5qh3OovEVA7BsFkpFubG","model":"gpt-5-chat-latest","object":"chat.completion","service_tier":"default","system_fingerprint":"fp_ad66631dec","usage":{"completion_tokens":10,"completion_tokens_details":{"accepted_prediction_tokens":0,"audio_tokens":0,"reasoning_tokens":0,"rejected_prediction_tokens":0},"prompt_tokens":866,"prompt_tokens_details":{"audio_tokens":0,"cached_tokens":0},"total_tokens":876}}</t>
        </is>
      </c>
      <c r="K86" t="inlineStr">
        <is>
          <t>Moncler Lago Black Hooded Down Vest Jacket</t>
        </is>
      </c>
      <c r="L86" t="inlineStr">
        <is>
          <t>{"choices":[{"finish_reason":"stop","index":0,"logprobs":null,"message":{"annotations":[],"content":"Moncler Lago Black Down Vest – glossy nylon windproof fabric, hooded stand collar, lightweight and warm unisex urban style ideal for winter casual outings.","refusal":null,"role":"assistant"}}],"created":1776658730,"id":"chatcmpl-DWaNuAL3s98YvvPFJiV7rB5s6bvPY","model":"gpt-5-chat-latest","object":"chat.completion","service_tier":"default","system_fingerprint":"fp_ad66631dec","usage":{"completion_tokens":32,"completion_tokens_details":{"accepted_prediction_tokens":0,"audio_tokens":0,"reasoning_tokens":0,"rejected_prediction_tokens":0},"prompt_tokens":893,"prompt_tokens_details":{"audio_tokens":0,"cached_tokens":0},"total_tokens":925}}</t>
        </is>
      </c>
      <c r="M86" t="inlineStr">
        <is>
          <t>{"alt-svc":"h3=\":443\"; ma=2592000","apim-request-id":"ec794f93-29ae-4118-ac9d-408ef17d693f","azureml-model-session":"d20260405234249-f9874baf","cache-control":"no-cache","connection":"close","content-length":"745","content-security-policy":"frame-ancestors 'self'","content-type":"application/json","date":"Mon, 20 Apr 2026 04:18:51 GMT","server":"nginx","skip-error-remapping":"true","strict-transport-security":"max-age=31536000; includeSubDomains; preload","via":"1.1 Caddy, 1.1 Caddy","x-api-request-id":"20260420121849181321030ZrKCPidG","x-content-type-options":"nosniff","x-frame-options":"SAMEORIGIN","x-ms-client-request-id":"Not-Set","x-ms-is-spilled-over":"false","x-ms-rai-invoked":"true","x-ms-region":"East US 2","x-new-api-version":"0.4.39","x-oneapi-request-id":"202604200418491138579198268d9d6wHUm7z7J","x-ratelimit-abusepenalty-active":"False","x-ratelimit-limit-requests":"3850","x-ratelimit-limit-tokens":"3850000","x-ratelimit-remaining-requests":"3849","x-ratelimit-remaining-tokens":"3848345","x-ratelimit-renewalperiod-requests":"60","x-ratelimit-renewalperiod-tokens":"60","x-ratelimit-reset-requests":"15","x-ratelimit-reset-tokens":"25","x-request-id":"3c729e87-ac32-4c00-90fa-0a9add541ff9"}</t>
        </is>
      </c>
      <c r="N86" t="inlineStr">
        <is>
          <t>Moncler Lago Black Down Vest – glossy nylon windproof fabric, hooded stand collar, lightweight and warm unisex urban style ideal for winter casual outings.</t>
        </is>
      </c>
      <c r="O86"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1776667174,"id":"chatcmpl-DWca6P4qUYNI07iiOTfA8ilbVjTDc","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86" t="inlineStr">
        <is>
          <t>Moncler, Jacket, kakobuy, kakebuy2026, kekobuysheet, kakobuysheet2026, 2026kakobuy, kakobuyspreadsheeet, kakobuylink, kakebuylist, Kakobuy MEGA Spreadsheet, kakobuysheetfind, kakobuysheetfind2026, 2026kakobuysheetfind, kakobuysheet2026</t>
        </is>
      </c>
      <c r="Q86" t="inlineStr">
        <is>
          <t>Winter, Unisex, Nylon, Windproof, Lightweight</t>
        </is>
      </c>
      <c r="R86" t="inlineStr">
        <is>
          <t>recvh6xFVjkSJT</t>
        </is>
      </c>
      <c r="S86" t="inlineStr">
        <is>
          <t>moncler-lago-hooded-down-vest-recvh6xfvjksjt</t>
        </is>
      </c>
      <c r="T86"/>
      <c r="U86"/>
      <c r="V86"/>
      <c r="W86" t="inlineStr">
        <is>
          <t>{"choices":[{"finish_reason":"stop","index":0,"logprobs":null,"message":{"annotations":[],"content":"Moncler：Lago系列黑色羽绒马甲，高光尼龙面料防风保暖，立领连帽设计彰显都市机能风格，男女皆宜，轻盈有型，适合冬季休闲出行。","refusal":null,"role":"assistant"}}],"created":1776655893,"id":"chatcmpl-DWZe9XAjg90ULNckaWRKN9uALOmAF","model":"gpt-5-chat-latest","object":"chat.completion","service_tier":"default","system_fingerprint":"fp_ad66631dec","usage":{"completion_tokens":57,"completion_tokens_details":{"accepted_prediction_tokens":0,"audio_tokens":0,"reasoning_tokens":0,"rejected_prediction_tokens":0},"prompt_tokens":1318,"prompt_tokens_details":{"audio_tokens":0,"cached_tokens":0},"total_tokens":1375}}</t>
        </is>
      </c>
      <c r="X86" t="inlineStr">
        <is>
          <t>Moncler：Lago系列黑色羽绒马甲，高光尼龙面料防风保暖，立领连帽设计彰显都市机能风格，男女皆宜，轻盈有型，适合冬季休闲出行。</t>
        </is>
      </c>
    </row>
    <row r="87" ht="25.5" customHeight="1">
      <c r="A87">
        <v>1839115443</v>
      </c>
      <c r="B87">
        <v>7599337815</v>
      </c>
      <c r="C87" t="inlineStr">
        <is>
          <t>https://weidian.com/item.html?itemID=7599337815</t>
        </is>
      </c>
      <c r="D87"/>
      <c r="E87" s="2" t="str">
        <f>=HYPERLINK("https://si.geilicdn.com/open1839115443-252808396-245d0000019a681f6d610aa086a7_1080_1080.jpg?w=750&amp;h=750&amp;cp=1", "https://si.geilicdn.com/open1839115443-252808396-245d0000019a681f6d610aa086a7_1080_1080.jpg?w=750&amp;h=750&amp;cp=1")</f>
        <v>https://si.geilicdn.com/open1839115443-252808396-245d0000019a681f6d610aa086a7_1080_1080.jpg?w=750&amp;h=750&amp;cp=1</v>
      </c>
      <c r="F87" t="inlineStr">
        <is>
          <t>Jackets</t>
        </is>
      </c>
      <c r="G87" t="inlineStr">
        <is>
          <t>Thom Browne</t>
        </is>
      </c>
      <c r="H87" t="inlineStr">
        <is>
          <t>630.00</t>
        </is>
      </c>
      <c r="I87">
        <v>91.3</v>
      </c>
      <c r="J87" t="inlineStr">
        <is>
          <t>{"id":"chatcmpl-DWcK0GHBWfx8VPRLjWQSrD5lEGd6I","object":"chat.completion","created":1776666176,"model":"gpt-5-chat-latest","choices":[{"index":0,"message":{"role":"assistant","content":"Thom Browne Black Nylon Wool Knit Sleeve Jacket","refusal":null,"annotations":[]},"logprobs":null,"finish_reason":"stop"}],"usage":{"prompt_tokens":892,"completion_tokens":11,"total_tokens":903,"prompt_tokens_details":{"cached_tokens":0,"audio_tokens":0},"completion_tokens_details":{"reasoning_tokens":0,"audio_tokens":0,"accepted_prediction_tokens":0,"rejected_prediction_tokens":0}},"service_tier":"default","system_fingerprint":"fp_ad66631dec"}</t>
        </is>
      </c>
      <c r="K87" t="inlineStr">
        <is>
          <t>Thom Browne Black Nylon Wool Knit Sleeve Jacket</t>
        </is>
      </c>
      <c r="L87" t="inlineStr">
        <is>
          <t>{"choices":[{"finish_reason":"stop","index":0,"logprobs":null,"message":{"annotations":[],"content":"Thom Browne Black Padded Jacket with Knit Sleeves, made of lightweight nylon-wool blend. Signature four-bar stripes, zip-up stand collar, unisex design, warm and stylish for urban casual wear.","refusal":null,"role":"assistant"}}],"created":1776658450,"id":"chatcmpl-DWaJOQAAwqg1WYteO2pwGtMNxPQTj","model":"gpt-5-chat-latest","object":"chat.completion","service_tier":"default","system_fingerprint":"fp_ad66631dec","usage":{"completion_tokens":44,"completion_tokens_details":{"accepted_prediction_tokens":0,"audio_tokens":0,"reasoning_tokens":0,"rejected_prediction_tokens":0},"prompt_tokens":929,"prompt_tokens_details":{"audio_tokens":0,"cached_tokens":0},"total_tokens":973}}</t>
        </is>
      </c>
      <c r="M87" t="inlineStr">
        <is>
          <t>{"alt-svc":"h3=\":443\"; ma=2592000","apim-request-id":"43cd8b8d-d7a3-4ef3-93d2-c9a3b71305e9","azureml-model-session":"d20260402083108-57a85543","cache-control":"no-cache","connection":"close","content-length":"780","content-security-policy":"frame-ancestors 'self'","content-type":"application/json","date":"Mon, 20 Apr 2026 04:14:11 GMT","server":"Caddy","skip-error-remapping":"true","strict-transport-security":"max-age=31536000; includeSubDomains; preload","via":"1.1 Caddy","x-api-request-id":"20260420121409481201727ZJ6V4YC5","x-content-type-options":"nosniff","x-frame-options":"SAMEORIGIN","x-ms-client-request-id":"Not-Set","x-ms-is-spilled-over":"false","x-ms-rai-invoked":"true","x-ms-region":"East US 2","x-new-api-version":"0.4.39","x-oneapi-request-id":"202604200414094100010228268d9d69ngRpwuA","x-ratelimit-abusepenalty-active":"False","x-ratelimit-limit-requests":"3850","x-ratelimit-limit-tokens":"3850000","x-ratelimit-remaining-requests":"3849","x-ratelimit-remaining-tokens":"3848309","x-ratelimit-renewalperiod-requests":"60","x-ratelimit-renewalperiod-tokens":"60","x-ratelimit-reset-requests":"15","x-ratelimit-reset-tokens":"26","x-request-id":"df5fbc6a-49a4-429d-90b8-2b03ca3dec15"}</t>
        </is>
      </c>
      <c r="N87" t="inlineStr">
        <is>
          <t>Thom Browne Black Padded Jacket with Knit Sleeves, made of lightweight nylon-wool blend. Signature four-bar stripes, zip-up stand collar, unisex design, warm and stylish for urban casual wear.</t>
        </is>
      </c>
      <c r="O87" t="inlineStr">
        <is>
          <t>{"choices":[{"finish_reason":"stop","index":0,"logprobs":null,"message":{"annotations":[],"content":"Thom Browne, Jackets, kakobuy, kakebuy2026, kekobuysheet, kakobuysheet2026, 2026kakobuy, kakobuyspreadsheeet, kakobuylink, kakebuylist, Kakobuy MEGA Spreadsheet, kakobuysheetfind, kakobuysheetfind2026, 2026kakobuysheetfind, kakobuysheet2026","refusal":null,"role":"assistant"}}],"created":1776667983,"id":"chatcmpl-DWcn9E9oUaF8nuGnxz3XfTzqOY3Aw","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87" t="inlineStr">
        <is>
          <t>Thom Browne, Jackets, kakobuy, kakebuy2026, kekobuysheet, kakobuysheet2026, 2026kakobuy, kakobuyspreadsheeet, kakobuylink, kakebuylist, Kakobuy MEGA Spreadsheet, kakobuysheetfind, kakobuysheetfind2026, 2026kakobuysheetfind, kakobuysheet2026</t>
        </is>
      </c>
      <c r="Q87" t="inlineStr">
        <is>
          <t>Unisex, Lightweight, Nylon, Wool</t>
        </is>
      </c>
      <c r="R87" t="inlineStr">
        <is>
          <t>recvh6xFVjcNT2</t>
        </is>
      </c>
      <c r="S87" t="inlineStr">
        <is>
          <t>thom-browne-black-nylon-wool-knit-sleeve-jacket-recvh6xFVjcNT2</t>
        </is>
      </c>
      <c r="T87"/>
      <c r="U87"/>
      <c r="V87"/>
      <c r="W87" t="inlineStr">
        <is>
          <t>{"choices":[{"finish_reason":"stop","index":0,"logprobs":null,"message":{"annotations":[],"content":"Thom Browne：黑色拼接针织袖羽绒夹克，甄选轻盈尼龙与羊毛混纺材质，搭配标志性四杠条纹设计，彰显品牌经典学院风。立领拉链款式，保暖与时尚兼备，适合男女通穿，都市休闲格调尽显高级质感。","refusal":null,"role":"assistant"}}],"created":1776655898,"id":"chatcmpl-DWZeE4DC6HoAyaVzTy0GWo0Z1y16k","model":"gpt-5-chat-latest","object":"chat.completion","service_tier":"default","system_fingerprint":"fp_ad66631dec","usage":{"completion_tokens":86,"completion_tokens_details":{"accepted_prediction_tokens":0,"audio_tokens":0,"reasoning_tokens":0,"rejected_prediction_tokens":0},"prompt_tokens":1332,"prompt_tokens_details":{"audio_tokens":0,"cached_tokens":1280},"total_tokens":1418}}</t>
        </is>
      </c>
      <c r="X87" t="inlineStr">
        <is>
          <t>Thom Browne：黑色拼接针织袖羽绒夹克，甄选轻盈尼龙与羊毛混纺材质，搭配标志性四杠条纹设计，彰显品牌经典学院风。立领拉链款式，保暖与时尚兼备，适合男女通穿，都市休闲格调尽显高级质感。</t>
        </is>
      </c>
    </row>
    <row r="88" ht="25.5" customHeight="1">
      <c r="A88">
        <v>1839115443</v>
      </c>
      <c r="B88">
        <v>7599276829</v>
      </c>
      <c r="C88" t="inlineStr">
        <is>
          <t>https://weidian.com/item.html?itemID=7599276829</t>
        </is>
      </c>
      <c r="D88"/>
      <c r="E88" s="2" t="str">
        <f>=HYPERLINK("https://si.geilicdn.com/open1839115443-252808396-7fd70000019a681f49b90a8115c2_1080_1080.jpg?w=640&amp;h=640", "https://si.geilicdn.com/open1839115443-252808396-7fd70000019a681f49b90a8115c2_1080_1080.jpg?w=640&amp;h=640")</f>
        <v>https://si.geilicdn.com/open1839115443-252808396-7fd70000019a681f49b90a8115c2_1080_1080.jpg?w=640&amp;h=640</v>
      </c>
      <c r="F88" t="inlineStr">
        <is>
          <t>Jackets</t>
        </is>
      </c>
      <c r="G88" t="inlineStr">
        <is>
          <t>Canada Goose</t>
        </is>
      </c>
      <c r="H88" t="inlineStr">
        <is>
          <t>730.00</t>
        </is>
      </c>
      <c r="I88">
        <v>105.8</v>
      </c>
      <c r="J88" t="inlineStr">
        <is>
          <t>{"choices":[{"finish_reason":"stop","index":0,"logprobs":null,"message":{"annotations":[],"content":"Canada Goose Black Long Down Coat Women Winter Jacket","refusal":null,"role":"assistant"}}],"created":1776666951,"id":"chatcmpl-DWcWVAeVbU9MfaHaK6Dpk1N1YWYp9","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88" t="inlineStr">
        <is>
          <t>Canada Goose Black Long Down Coat Women Winter Jacket</t>
        </is>
      </c>
      <c r="L88" t="inlineStr">
        <is>
          <t>{"choices":[{"finish_reason":"stop","index":0,"logprobs":null,"message":{"annotations":[],"content":"Canada Goose Black Long Down Coat – crafted from windproof high-density fabric with premium goose down and detachable fur hood. Slim fit design offers superior warmth and elegant style for winter travel and city wear.","refusal":null,"role":"assistant"}}],"created":1776659479,"id":"chatcmpl-DWaZzE70slw5oeFvJulYY32L6xzex","model":"gpt-5-chat-latest","object":"chat.completion","service_tier":"default","system_fingerprint":"fp_ad66631dec","usage":{"completion_tokens":40,"completion_tokens_details":{"accepted_prediction_tokens":0,"audio_tokens":0,"reasoning_tokens":0,"rejected_prediction_tokens":0},"prompt_tokens":945,"prompt_tokens_details":{"audio_tokens":0,"cached_tokens":0},"total_tokens":985}}</t>
        </is>
      </c>
      <c r="M88" t="inlineStr">
        <is>
          <t>{"alt-svc":"h3=\":443\"; ma=2592000","apim-request-id":"1ceb392f-34f9-44ee-b1fc-db4f8aedf5f6","azureml-model-session":"d20260405234249-f9874baf","cache-control":"no-cache","connection":"close","content-length":"807","content-security-policy":"frame-ancestors 'self'","content-type":"application/json","date":"Mon, 20 Apr 2026 04:31:20 GMT","server":"Caddy","skip-error-remapping":"true","strict-transport-security":"max-age=31536000; includeSubDomains; preload","via":"1.1 Caddy","x-api-request-id":"20260420123118382632417evzxQCGX","x-content-type-options":"nosniff","x-frame-options":"SAMEORIGIN","x-ms-client-request-id":"Not-Set","x-ms-is-spilled-over":"false","x-ms-rai-invoked":"true","x-ms-region":"East US 2","x-new-api-version":"0.4.39","x-oneapi-request-id":"202604200431183165960558268d9d6eiXKljaM","x-ratelimit-abusepenalty-active":"False","x-ratelimit-limit-requests":"3850","x-ratelimit-limit-tokens":"3850000","x-ratelimit-remaining-requests":"3849","x-ratelimit-remaining-tokens":"3848293","x-ratelimit-renewalperiod-requests":"60","x-ratelimit-renewalperiod-tokens":"60","x-ratelimit-reset-requests":"15","x-ratelimit-reset-tokens":"26","x-request-id":"d6a1ac7a-8617-4baa-ac57-fc0ecefd13fd"}</t>
        </is>
      </c>
      <c r="N88" t="inlineStr">
        <is>
          <t>Canada Goose Black Long Down Coat – crafted from windproof high-density fabric with premium goose down and detachable fur hood. Slim fit design offers superior warmth and elegant style for winter travel and city wear.</t>
        </is>
      </c>
      <c r="O88"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1776668558,"id":"chatcmpl-DWcwQSniCvDxya7cMk8zfaE9KZ9Es","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88" t="inlineStr">
        <is>
          <t>Canada Goose, Jackets, kakobuy, kakebuy2026, kekobuysheet, kakobuysheet2026, 2026kakobuy, kakobuyspreadsheeet, kakobuylink, kakebuylist, Kakobuy MEGA Spreadsheet, kakobuysheetfind, kakobuysheetfind2026, 2026kakobuysheetfind, kakobuysheet2026</t>
        </is>
      </c>
      <c r="Q88" t="inlineStr">
        <is>
          <t>Black, Winter, Windproof, Elegant, Women, Men</t>
        </is>
      </c>
      <c r="R88" t="inlineStr">
        <is>
          <t>recvh6xFVj0Nq0</t>
        </is>
      </c>
      <c r="S88" t="inlineStr">
        <is>
          <t>canada-goose-black-long-down-coat-women-recvh6xFVj0Nq0</t>
        </is>
      </c>
      <c r="T88"/>
      <c r="U88"/>
      <c r="V88"/>
      <c r="W88" t="inlineStr">
        <is>
          <t>{"choices":[{"finish_reason":"stop","index":0,"logprobs":null,"message":{"annotations":[],"content":"Canada Goose：黑色长款羽绒外套，甄选高密防风面料与优质鹅绒填充，搭配可拆卸真毛领设计，保暖防寒性能卓越。修身剪裁塑造优雅廓形，简约纽扣门襟兼具实用与时尚，低调奢华风格适合冬季都市男女日常与旅行穿搭，展现高端加拿大工艺质感。","refusal":null,"role":"assistant"}}],"created":1776655420,"id":"chatcmpl-DWZWWTYFV3bbNGXz9y8TXs93lh0pv","model":"gpt-5-chat-latest","object":"chat.completion","service_tier":"default","system_fingerprint":"fp_ad66631dec","usage":{"completion_tokens":107,"completion_tokens_details":{"accepted_prediction_tokens":0,"audio_tokens":0,"reasoning_tokens":0,"rejected_prediction_tokens":0},"prompt_tokens":1320,"prompt_tokens_details":{"audio_tokens":0,"cached_tokens":1280},"total_tokens":1427}}</t>
        </is>
      </c>
      <c r="X88" t="inlineStr">
        <is>
          <t>Canada Goose：黑色长款羽绒外套，甄选高密防风面料与优质鹅绒填充，搭配可拆卸真毛领设计，保暖防寒性能卓越。修身剪裁塑造优雅廓形，简约纽扣门襟兼具实用与时尚，低调奢华风格适合冬季都市男女日常与旅行穿搭，展现高端加拿大工艺质感。</t>
        </is>
      </c>
    </row>
    <row r="89" ht="25.5" customHeight="1">
      <c r="A89">
        <v>1839115443</v>
      </c>
      <c r="B89">
        <v>7599351709</v>
      </c>
      <c r="C89" t="inlineStr">
        <is>
          <t>https://weidian.com/item.html?itemID=7599351709</t>
        </is>
      </c>
      <c r="D89"/>
      <c r="E89" s="2" t="str">
        <f>=HYPERLINK("https://si.geilicdn.com/open1839115443-252808396-0e180000019a681f31fa0a22d249_1080_1080.jpg?w=640&amp;h=640", "https://si.geilicdn.com/open1839115443-252808396-0e180000019a681f31fa0a22d249_1080_1080.jpg?w=640&amp;h=640")</f>
        <v>https://si.geilicdn.com/open1839115443-252808396-0e180000019a681f31fa0a22d249_1080_1080.jpg?w=640&amp;h=640</v>
      </c>
      <c r="F89" t="inlineStr">
        <is>
          <t>Jackets</t>
        </is>
      </c>
      <c r="G89" t="inlineStr">
        <is>
          <t>Moncler</t>
        </is>
      </c>
      <c r="H89" t="inlineStr">
        <is>
          <t>730.00</t>
        </is>
      </c>
      <c r="I89">
        <v>105.8</v>
      </c>
      <c r="J89" t="inlineStr">
        <is>
          <t>{"id":"chatcmpl-DWcK9qSRugC4BPr66IUh3Ltg02MiG","object":"chat.completion","created":1776666185,"model":"gpt-5-chat-latest","choices":[{"index":0,"message":{"role":"assistant","content":"Moncler Black Glossy Down Jacket Men Women Winter Warm","refusal":null,"annotations":[]},"logprobs":null,"finish_reason":"stop"}],"usage":{"prompt_tokens":884,"completion_tokens":12,"total_tokens":896,"prompt_tokens_details":{"cached_tokens":0,"audio_tokens":0},"completion_tokens_details":{"reasoning_tokens":0,"audio_tokens":0,"accepted_prediction_tokens":0,"rejected_prediction_tokens":0}},"service_tier":"default","system_fingerprint":"fp_ad66631dec"}</t>
        </is>
      </c>
      <c r="K89" t="inlineStr">
        <is>
          <t>Moncler Black Glossy Down Jacket Men Women Winter Warm</t>
        </is>
      </c>
      <c r="L89" t="inlineStr">
        <is>
          <t>{"choices":[{"finish_reason":"stop","index":0,"logprobs":null,"message":{"annotations":[],"content":"Moncler Black Glossy Down Jacket made of high-density nylon, windproof and warm, featuring red-white zip, detachable hood, stylish French design for men and women, perfect for urban winter wear.","refusal":null,"role":"assistant"}}],"created":1776658749,"id":"chatcmpl-DWaODLnLfXqAdFPIF6F6NUm93NahY","model":"gpt-5-chat-latest","object":"chat.completion","service_tier":"default","system_fingerprint":"fp_ad66631dec","usage":{"completion_tokens":41,"completion_tokens_details":{"accepted_prediction_tokens":0,"audio_tokens":0,"reasoning_tokens":0,"rejected_prediction_tokens":0},"prompt_tokens":927,"prompt_tokens_details":{"audio_tokens":0,"cached_tokens":0},"total_tokens":968}}</t>
        </is>
      </c>
      <c r="M89" t="inlineStr">
        <is>
          <t>{"alt-svc":"h3=\":443\"; ma=2592000","apim-request-id":"ed4d27cd-054d-4cfc-a3ef-0e69e083753b","azureml-model-session":"d20260405234249-f9874baf","cache-control":"no-cache","connection":"close","content-length":"782","content-security-policy":"frame-ancestors 'self'","content-type":"application/json","date":"Mon, 20 Apr 2026 04:19:10 GMT","server":"Caddy","skip-error-remapping":"true","strict-transport-security":"max-age=31536000; includeSubDomains; preload","via":"1.1 Caddy","x-api-request-id":"20260420121908201692072fjCQY987","x-content-type-options":"nosniff","x-frame-options":"SAMEORIGIN","x-ms-client-request-id":"Not-Set","x-ms-is-spilled-over":"false","x-ms-rai-invoked":"true","x-ms-region":"East US 2","x-new-api-version":"0.4.39","x-oneapi-request-id":"202604200419081365185098268d9d62P6slyOD","x-ratelimit-abusepenalty-active":"False","x-ratelimit-limit-requests":"3850","x-ratelimit-limit-tokens":"3850000","x-ratelimit-remaining-requests":"3849","x-ratelimit-remaining-tokens":"3848311","x-ratelimit-renewalperiod-requests":"60","x-ratelimit-renewalperiod-tokens":"60","x-ratelimit-reset-requests":"15","x-ratelimit-reset-tokens":"26","x-request-id":"26e253e1-a102-4618-8449-75c2a683b5cb"}</t>
        </is>
      </c>
      <c r="N89" t="inlineStr">
        <is>
          <t>Moncler Black Glossy Down Jacket made of high-density nylon, windproof and warm, featuring red-white zip, detachable hood, stylish French design for men and women, perfect for urban winter wear.</t>
        </is>
      </c>
      <c r="O89" t="inlineStr">
        <is>
          <t>{"choices":[{"finish_reason":"stop","index":0,"logprobs":null,"message":{"annotations":[],"content":"Moncler,Jacket,kakobuy,kakebuy2026,kekobuysheet,kakobuysheet2026,2026kakobuy,kakobuyspreadsheeet,kakobuylink,kakebuylist,Kakobuy MEGA Spreadsheet,kakobuysheetfind,kakobuysheetfind2026,2026kakobuysheetfind,kakobuysheet2026","refusal":null,"role":"assistant"}}],"created":1776668430,"id":"chatcmpl-DWcuMnQL4HMcMqqKZghdsriyset5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89" t="inlineStr">
        <is>
          <t>Moncler,Jacket,kakobuy,kakebuy2026,kekobuysheet,kakobuysheet2026,2026kakobuy,kakobuyspreadsheeet,kakobuylink,kakebuylist,Kakobuy MEGA Spreadsheet,kakobuysheetfind,kakobuysheetfind2026,2026kakobuysheetfind,kakobuysheet2026</t>
        </is>
      </c>
      <c r="Q89" t="inlineStr">
        <is>
          <t>Black, Windproof, Winter, Nylon, Unisex</t>
        </is>
      </c>
      <c r="R89" t="inlineStr">
        <is>
          <t>recvh6xFVjsFgI</t>
        </is>
      </c>
      <c r="S89" t="inlineStr">
        <is>
          <t>moncler-black-glossy-down-jacket-recvh6xFVjsFgI</t>
        </is>
      </c>
      <c r="T89"/>
      <c r="U89"/>
      <c r="V89"/>
      <c r="W89" t="inlineStr">
        <is>
          <t>{"choices":[{"finish_reason":"stop","index":0,"logprobs":null,"message":{"annotations":[],"content":"Moncler：黑色光泽羽绒夹克，精选高密尼龙面料，轻盈防风保暖。正中红白撞色拉链设计展现品牌经典法式格调，立体剪裁配可拆卸帽款，细节精致彰显高端质感。男女皆宜，都市户外风格，冬季出行必备时尚单品。","refusal":null,"role":"assistant"}}],"created":1776655827,"id":"chatcmpl-DWZd5a71OvlHAuS42txu10sJg7Ht4","model":"gpt-5-chat-latest","object":"chat.completion","service_tier":"default","system_fingerprint":"fp_ad66631dec","usage":{"completion_tokens":90,"completion_tokens_details":{"accepted_prediction_tokens":0,"audio_tokens":0,"reasoning_tokens":0,"rejected_prediction_tokens":0},"prompt_tokens":1318,"prompt_tokens_details":{"audio_tokens":0,"cached_tokens":0},"total_tokens":1408}}</t>
        </is>
      </c>
      <c r="X89" t="inlineStr">
        <is>
          <t>Moncler：黑色光泽羽绒夹克，精选高密尼龙面料，轻盈防风保暖。正中红白撞色拉链设计展现品牌经典法式格调，立体剪裁配可拆卸帽款，细节精致彰显高端质感。男女皆宜，都市户外风格，冬季出行必备时尚单品。</t>
        </is>
      </c>
    </row>
    <row r="90" ht="25.5" customHeight="1">
      <c r="A90">
        <v>1839115443</v>
      </c>
      <c r="B90">
        <v>7599320119</v>
      </c>
      <c r="C90" t="inlineStr">
        <is>
          <t>https://weidian.com/item.html?itemID=7599320119</t>
        </is>
      </c>
      <c r="D90"/>
      <c r="E90" s="2" t="str">
        <f>=HYPERLINK("https://si.geilicdn.com/open1839115443-252808396-04900000019a681f53380a8133b0_1080_1080.jpg?w=640&amp;h=640", "https://si.geilicdn.com/open1839115443-252808396-04900000019a681f53380a8133b0_1080_1080.jpg?w=640&amp;h=640")</f>
        <v>https://si.geilicdn.com/open1839115443-252808396-04900000019a681f53380a8133b0_1080_1080.jpg?w=640&amp;h=640</v>
      </c>
      <c r="F90" t="inlineStr">
        <is>
          <t>Jackets</t>
        </is>
      </c>
      <c r="G90" t="inlineStr">
        <is>
          <t>Moncler</t>
        </is>
      </c>
      <c r="H90" t="inlineStr">
        <is>
          <t>730.00</t>
        </is>
      </c>
      <c r="I90">
        <v>105.8</v>
      </c>
      <c r="J90" t="inlineStr">
        <is>
          <t>{"choices":[{"finish_reason":"stop","index":0,"logprobs":null,"message":{"annotations":[],"content":"Moncler Black Glossy Nylon Down Jacket","refusal":null,"role":"assistant"}}],"created":1776666839,"id":"chatcmpl-DWcUhxDFUDnB6TR0ofwkv0nn8M0vm","model":"gpt-5-chat-latest","object":"chat.completion","service_tier":"default","system_fingerprint":"fp_ad66631dec","usage":{"completion_tokens":9,"completion_tokens_details":{"accepted_prediction_tokens":0,"audio_tokens":0,"reasoning_tokens":0,"rejected_prediction_tokens":0},"prompt_tokens":880,"prompt_tokens_details":{"audio_tokens":0,"cached_tokens":0},"total_tokens":889}}</t>
        </is>
      </c>
      <c r="K90" t="inlineStr">
        <is>
          <t>Moncler Black Glossy Nylon Down Jacket</t>
        </is>
      </c>
      <c r="L90" t="inlineStr">
        <is>
          <t>{"id":"chatcmpl-DWaWPHVbX2EE99Wiexu1a2xypVr41","object":"chat.completion","created":1776659257,"model":"gpt-5-chat-latest","choices":[{"index":0,"message":{"role":"assistant","content":"Moncler Black Glossy Down Jacket—crafted from high-density nylon with premium filling, slim fit, detachable hood, zip pockets; lightweight warmth and Italian urban-luxe outdoor style for winter.","refusal":null,"annotations":[]},"logprobs":null,"finish_reason":"stop"}],"usage":{"prompt_tokens":928,"completion_tokens":39,"total_tokens":967,"prompt_tokens_details":{"cached_tokens":0,"audio_tokens":0},"completion_tokens_details":{"reasoning_tokens":0,"audio_tokens":0,"accepted_prediction_tokens":0,"rejected_prediction_tokens":0}},"service_tier":"default","system_fingerprint":"fp_ad66631dec"}</t>
        </is>
      </c>
      <c r="M9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ma=2592000","apim-request-id":"28be0141-f2b2-4241-89dd-43a8ad65b4f4","azureml-model-session":"d20260405234249-f9874baf","cache-control":"no-cache, no-store, must-revalidate","connection":"close","content-length":"1000","content-security-policy":"frame-ancestors 'self'","content-type":"application/json","date":"Mon, 20 Apr 2026 04:27:39 GMT","server":"nginx","skip-error-remapping":"true","strict-transport-security":"max-age=31536000; includeSubDomains; preload","via":"1.1 Caddy, 1.1 Caddy","x-api-request-id":"20260420122735836947570ACvqD52K","x-content-type-options":"nosniff","x-frame-options":"SAMEORIGIN","x-ms-is-spilled-over":"false","x-ms-rai-invoked":"false","x-ms-region":"Sweden Central","x-new-api-version":"0.4.39","x-oneapi-request-id":"202604200427357698963118268d9d64ig1H4Ny","x-ratelimit-abusepenalty-active":"False","x-ratelimit-limit-requests":"4993","x-ratelimit-limit-tokens":"4993000","x-ratelimit-remaining-requests":"4992","x-ratelimit-remaining-tokens":"4991310","x-ratelimit-renewalperiod-requests":"60","x-ratelimit-renewalperiod-tokens":"60","x-ratelimit-reset-requests":"12","x-ratelimit-reset-tokens":"20","x-request-id":"65f7629c-1299-4e36-931a-087a924ba62c"}</t>
        </is>
      </c>
      <c r="N90" t="inlineStr">
        <is>
          <t>Moncler Black Glossy Down Jacket—crafted from high-density nylon with premium filling, slim fit, detachable hood, zip pockets; lightweight warmth and Italian urban-luxe outdoor style for winter.</t>
        </is>
      </c>
      <c r="O90"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1776668650,"id":"chatcmpl-DWcxuBkKlKNhjyYQB6lFko8rZJNc9","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0" t="inlineStr">
        <is>
          <t>Moncler, Jacket, kakobuy, kakebuy2026, kekobuysheet, kakobuysheet2026, 2026kakobuy, kakobuyspreadsheeet, kakobuylink, kakebuylist, Kakobuy MEGA Spreadsheet, kakobuysheetfind, kakobuysheetfind2026, 2026kakobuysheetfind, kakobuysheet2026</t>
        </is>
      </c>
      <c r="Q90"/>
      <c r="R90" t="inlineStr">
        <is>
          <t>recvh6xFVjKWCo</t>
        </is>
      </c>
      <c r="S90" t="inlineStr">
        <is>
          <t>moncler-black-glossy-nylon-down-jacket-recvh6xfvjkwco</t>
        </is>
      </c>
      <c r="T90"/>
      <c r="U90"/>
      <c r="V90"/>
      <c r="W90" t="inlineStr">
        <is>
          <t>{"choices":[{"finish_reason":"stop","index":0,"logprobs":null,"message":{"annotations":[],"content":"Moncler：黑色亮泽羽绒外套，甄选高密尼龙面料与优质羽绒填充，保暖轻盈。立体剪裁修身设计，搭配可拆卸连帽与双侧拉链口袋，兼具都市简约与功能实用。适合男女冬季休闲穿搭，展现意式高奢户外风格。","refusal":null,"role":"assistant"}}],"created":1776655571,"id":"chatcmpl-DWZYxnY7rjV4YpK4FGGQwJTzLxkhu","model":"gpt-5-chat-latest","object":"chat.completion","service_tier":"default","system_fingerprint":"fp_ad66631dec","usage":{"completion_tokens":92,"completion_tokens_details":{"accepted_prediction_tokens":0,"audio_tokens":0,"reasoning_tokens":0,"rejected_prediction_tokens":0},"prompt_tokens":1316,"prompt_tokens_details":{"audio_tokens":0,"cached_tokens":0},"total_tokens":1408}}</t>
        </is>
      </c>
      <c r="X90" t="inlineStr">
        <is>
          <t>Moncler：黑色亮泽羽绒外套，甄选高密尼龙面料与优质羽绒填充，保暖轻盈。立体剪裁修身设计，搭配可拆卸连帽与双侧拉链口袋，兼具都市简约与功能实用。适合男女冬季休闲穿搭，展现意式高奢户外风格。</t>
        </is>
      </c>
    </row>
    <row r="91" ht="25.5" customHeight="1">
      <c r="A91">
        <v>1839115443</v>
      </c>
      <c r="B91">
        <v>7599286579</v>
      </c>
      <c r="C91" t="inlineStr">
        <is>
          <t>https://weidian.com/item.html?itemID=7599286579</t>
        </is>
      </c>
      <c r="D91"/>
      <c r="E91" s="2" t="str">
        <f>=HYPERLINK("https://si.geilicdn.com/open1839115443-252808396-0e0a0000019a681f280c0a22d249_1080_1080.jpg?w=640&amp;h=640", "https://si.geilicdn.com/open1839115443-252808396-0e0a0000019a681f280c0a22d249_1080_1080.jpg?w=640&amp;h=640")</f>
        <v>https://si.geilicdn.com/open1839115443-252808396-0e0a0000019a681f280c0a22d249_1080_1080.jpg?w=640&amp;h=640</v>
      </c>
      <c r="F91" t="inlineStr">
        <is>
          <t>Jackets</t>
        </is>
      </c>
      <c r="G91" t="inlineStr">
        <is>
          <t>Moncler</t>
        </is>
      </c>
      <c r="H91" t="inlineStr">
        <is>
          <t>810.00</t>
        </is>
      </c>
      <c r="I91">
        <v>117.39</v>
      </c>
      <c r="J91" t="inlineStr">
        <is>
          <t>{"choices":[{"finish_reason":"stop","index":0,"logprobs":null,"message":{"annotations":[],"content":"Moncler Gray Purple Goose Down Winter Jacket","refusal":null,"role":"assistant"}}],"created":1776666380,"id":"chatcmpl-DWcNIt9s4YvlrlqyQ2vru6MTC8Ukd","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91" t="inlineStr">
        <is>
          <t>Moncler Gray Purple Goose Down Winter Jacket</t>
        </is>
      </c>
      <c r="L91" t="inlineStr">
        <is>
          <t>{"choices":[{"finish_reason":"stop","index":0,"logprobs":null,"message":{"annotations":[],"content":"Moncler Gray-Purple Down Jacket with Light Blue Lining, Water-Repellent Nylon, High-Loft Goose Down, Windproof, Unisex Winter Urban Style, Italian Luxury Outdoor Design.","refusal":null,"role":"assistant"}}],"created":1776658752,"id":"chatcmpl-DWaOG6Ls3bFcZPeA1XT9zciNeGbDu","model":"gpt-5-chat-latest","object":"chat.completion","service_tier":"default","system_fingerprint":"fp_ad66631dec","usage":{"completion_tokens":40,"completion_tokens_details":{"accepted_prediction_tokens":0,"audio_tokens":0,"reasoning_tokens":0,"rejected_prediction_tokens":0},"prompt_tokens":938,"prompt_tokens_details":{"audio_tokens":0,"cached_tokens":0},"total_tokens":978}}</t>
        </is>
      </c>
      <c r="M91" t="inlineStr">
        <is>
          <t>{"alt-svc":"h3=\":443\"; ma=2592000","apim-request-id":"e5cd82d6-be54-4078-b58a-65640cc452e3","azureml-model-session":"d20260402083108-57a85543","cache-control":"no-cache","connection":"close","content-length":"757","content-security-policy":"frame-ancestors 'self'","content-type":"application/json","date":"Mon, 20 Apr 2026 04:19:15 GMT","server":"nginx","skip-error-remapping":"true","strict-transport-security":"max-age=31536000; includeSubDomains; preload","via":"1.1 Caddy, 1.1 Caddy","x-api-request-id":"2026042012191217802435666isS6NH","x-content-type-options":"nosniff","x-frame-options":"SAMEORIGIN","x-ms-client-request-id":"Not-Set","x-ms-is-spilled-over":"false","x-ms-rai-invoked":"true","x-ms-region":"East US 2","x-new-api-version":"0.4.39","x-oneapi-request-id":"20260420041912681670478268d9d6RmwHZTVC","x-ratelimit-abusepenalty-active":"False","x-ratelimit-limit-requests":"3850","x-ratelimit-limit-tokens":"3850000","x-ratelimit-remaining-requests":"3849","x-ratelimit-remaining-tokens":"3848300","x-ratelimit-renewalperiod-requests":"60","x-ratelimit-renewalperiod-tokens":"60","x-ratelimit-reset-requests":"15","x-ratelimit-reset-tokens":"26","x-request-id":"8996c487-0bb0-4ea4-b520-9583cdb41ab2"}</t>
        </is>
      </c>
      <c r="N91" t="inlineStr">
        <is>
          <t>Moncler Gray-Purple Down Jacket with Light Blue Lining, Water-Repellent Nylon, High-Loft Goose Down, Windproof, Unisex Winter Urban Style, Italian Luxury Outdoor Design.</t>
        </is>
      </c>
      <c r="O91" t="inlineStr">
        <is>
          <t>{"id":"chatcmpl-DWcdsoM8De25JL70J7VCVfdq4tWWC","object":"chat.completion","created":1776667408,"model":"gpt-5-chat-latest","choices":[{"index":0,"message":{"role":"assistant","content":"Moncler, Jackets,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91" t="inlineStr">
        <is>
          <t>Moncler, Jackets, kakobuy, kakebuy2026, kekobuysheet, kakobuysheet2026, 2026kakobuy, kakobuyspreadsheeet, kakobuylink, kakebuylist, Kakobuy MEGA Spreadsheet, kakobuysheetfind, kakobuysheetfind2026, 2026kakobuysheetfind, kakobuysheet2026</t>
        </is>
      </c>
      <c r="Q91" t="inlineStr">
        <is>
          <t>Grey, Purple, Nylon, Waterproof, Windproof, Winter</t>
        </is>
      </c>
      <c r="R91" t="inlineStr">
        <is>
          <t>recvh6xFVjSAvY</t>
        </is>
      </c>
      <c r="S91" t="inlineStr">
        <is>
          <t>moncler-gray-purple-goose-down-winter-jacket-recvh6xFVjSAvY</t>
        </is>
      </c>
      <c r="T91"/>
      <c r="U91"/>
      <c r="V91"/>
      <c r="W91" t="inlineStr">
        <is>
          <t>{"id":"chatcmpl-DWZNQbnmURj74BSW4UQE5C7VgwszL","object":"chat.completion","created":1776654856,"model":"gpt-5-chat-latest","choices":[{"index":0,"message":{"role":"assistant","content":"Moncler：灰紫色羽绒系列连帽外套，采用高蓬松鹅绒填充，内衬淡蓝撞色设计，外壳防泼水尼龙面料，保暖轻盈兼具防风功能。立体剪裁与品牌徽标细节彰显奢华格调，男女皆宜，冬季都市休闲风格，展现意式高端户外美学。","refusal":null,"annotations":[]},"logprobs":null,"finish_reason":"stop"}],"usage":{"prompt_tokens":1322,"completion_tokens":99,"total_tokens":1421,"prompt_tokens_details":{"cached_tokens":0,"audio_tokens":0},"completion_tokens_details":{"reasoning_tokens":0,"audio_tokens":0,"accepted_prediction_tokens":0,"rejected_prediction_tokens":0}},"service_tier":"default","system_fingerprint":"fp_ad66631dec"}</t>
        </is>
      </c>
      <c r="X91" t="inlineStr">
        <is>
          <t>Moncler：灰紫色羽绒系列连帽外套，采用高蓬松鹅绒填充，内衬淡蓝撞色设计，外壳防泼水尼龙面料，保暖轻盈兼具防风功能。立体剪裁与品牌徽标细节彰显奢华格调，男女皆宜，冬季都市休闲风格，展现意式高端户外美学。</t>
        </is>
      </c>
    </row>
    <row r="92" ht="25.5" customHeight="1">
      <c r="A92">
        <v>1839115443</v>
      </c>
      <c r="B92">
        <v>7599239415</v>
      </c>
      <c r="C92" t="inlineStr">
        <is>
          <t>https://weidian.com/item.html?itemID=7599239415</t>
        </is>
      </c>
      <c r="D92"/>
      <c r="E92" s="2" t="str">
        <f>=HYPERLINK("https://si.geilicdn.com/open1839115443-252808396-1ea20000019a681ab7550aa081c2_1384_1080.jpg?w=640&amp;h=640", "https://si.geilicdn.com/open1839115443-252808396-1ea20000019a681ab7550aa081c2_1384_1080.jpg?w=640&amp;h=640")</f>
        <v>https://si.geilicdn.com/open1839115443-252808396-1ea20000019a681ab7550aa081c2_1384_1080.jpg?w=640&amp;h=640</v>
      </c>
      <c r="F92" t="inlineStr">
        <is>
          <t>Jackets</t>
        </is>
      </c>
      <c r="G92" t="inlineStr">
        <is>
          <t>Canada Goose</t>
        </is>
      </c>
      <c r="H92" t="inlineStr">
        <is>
          <t>820.00</t>
        </is>
      </c>
      <c r="I92">
        <v>118.84</v>
      </c>
      <c r="J92" t="inlineStr">
        <is>
          <t>{"id":"chatcmpl-DWcBlGf2Fi7jPDO6u0iOzStaoAuAe","object":"chat.completion","created":1776665665,"model":"gpt-5-chat-latest","choices":[{"index":0,"message":{"role":"assistant","content":"Canada Goose Black Down Parka Winter Jacket","refusal":null,"annotations":[]},"logprobs":null,"finish_reason":"stop"}],"usage":{"prompt_tokens":606,"completion_tokens":9,"total_tokens":615,"prompt_tokens_details":{"cached_tokens":0,"audio_tokens":0},"completion_tokens_details":{"reasoning_tokens":0,"audio_tokens":0,"accepted_prediction_tokens":0,"rejected_prediction_tokens":0}},"service_tier":"default","system_fingerprint":"fp_ad66631dec"}</t>
        </is>
      </c>
      <c r="K92" t="inlineStr">
        <is>
          <t>Canada Goose Black Down Parka Winter Jacket</t>
        </is>
      </c>
      <c r="L92" t="inlineStr">
        <is>
          <t>{"choices":[{"finish_reason":"stop","index":0,"logprobs":null,"message":{"annotations":[],"content":"Canada Goose black long down parka with waterproof, windproof shell, premium duck down fill, and detachable fur-trimmed hood. Minimalist design for men and women, perfect for urban winter warmth.","refusal":null,"role":"assistant"}}],"created":1776659112,"id":"chatcmpl-DWaU4QEIGansbbjkkNvJ6hFm5d2NU","model":"gpt-5-chat-latest","object":"chat.completion","service_tier":"default","system_fingerprint":"fp_ad66631dec","usage":{"completion_tokens":42,"completion_tokens_details":{"accepted_prediction_tokens":0,"audio_tokens":0,"reasoning_tokens":0,"rejected_prediction_tokens":0},"prompt_tokens":645,"prompt_tokens_details":{"audio_tokens":0,"cached_tokens":0},"total_tokens":687}}</t>
        </is>
      </c>
      <c r="M92" t="inlineStr">
        <is>
          <t>{"alt-svc":"h3=\":443\"; ma=2592000","apim-request-id":"27f72f09-51c3-4ce8-a1ff-212be1ce2008","azureml-model-session":"d20260402083108-57a85543","cache-control":"no-cache","connection":"close","content-length":"783","content-security-policy":"frame-ancestors 'self'","content-type":"application/json","date":"Mon, 20 Apr 2026 04:25:14 GMT","server":"Caddy","skip-error-remapping":"true","strict-transport-security":"max-age=31536000; includeSubDomains; preload","via":"1.1 Caddy","x-api-request-id":"20260420122512107569689tAYV6zfd","x-content-type-options":"nosniff","x-frame-options":"SAMEORIGIN","x-ms-client-request-id":"Not-Set","x-ms-is-spilled-over":"false","x-ms-rai-invoked":"true","x-ms-region":"East US 2","x-new-api-version":"0.4.39","x-oneapi-request-id":"20260420042512420568938268d9d6ybNN4hoJ","x-ratelimit-abusepenalty-active":"False","x-ratelimit-limit-requests":"3850","x-ratelimit-limit-tokens":"3850000","x-ratelimit-remaining-requests":"3849","x-ratelimit-remaining-tokens":"3848591","x-ratelimit-renewalperiod-requests":"60","x-ratelimit-renewalperiod-tokens":"60","x-ratelimit-reset-requests":"15","x-ratelimit-reset-tokens":"21","x-request-id":"4ece3aa5-59c2-4f93-a607-f8b7c470f132"}</t>
        </is>
      </c>
      <c r="N92" t="inlineStr">
        <is>
          <t>Canada Goose black long down parka with waterproof, windproof shell, premium duck down fill, and detachable fur-trimmed hood. Minimalist design for men and women, perfect for urban winter warmth.</t>
        </is>
      </c>
      <c r="O92"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1776668627,"id":"chatcmpl-DWcxX05SevhxiTVXKmGTVfPLTjfky","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is>
      </c>
      <c r="P92" t="inlineStr">
        <is>
          <t>Canada Goose, Jackets, kakobuy, kakebuy2026, kekobuysheet, kakobuysheet2026, 2026kakobuy, kakobuyspreadsheeet, kakobuylink, kakebuylist, Kakobuy MEGA Spreadsheet, kakobuysheetfind, kakobuysheetfind2026, 2026kakobuysheetfind, kakobuysheet2026</t>
        </is>
      </c>
      <c r="Q92" t="inlineStr">
        <is>
          <t>Black, Waterproof, Windproof, Minimalist, Winter, Men's And Women's</t>
        </is>
      </c>
      <c r="R92" t="inlineStr">
        <is>
          <t>recvh6xFVjzLZt</t>
        </is>
      </c>
      <c r="S92" t="inlineStr">
        <is>
          <t>canada-goose-black-down-parka-winter-jacket-recvh6xfvjzlzt</t>
        </is>
      </c>
      <c r="T92"/>
      <c r="U92"/>
      <c r="V92"/>
      <c r="W92" t="inlineStr">
        <is>
          <t>{"choices":[{"finish_reason":"stop","index":0,"logprobs":null,"message":{"annotations":[],"content":"Canada Goose：黑色长款羽绒派克外套，采用防风防水面料与高蓬松鸭绒填充，搭配可拆卸真毛领帽设计，保暖性能卓越。简约剪裁结合都市极简风格，适合冬季户外与城市日常穿搭，男女皆宜，彰显加拿大高端御寒美学。","refusal":null,"role":"assistant"}}],"created":1776654912,"id":"chatcmpl-DWZOKpXCybpxXRxHRYRSUT6BpGMMV","model":"gpt-5-chat-latest","object":"chat.completion","service_tier":"default","system_fingerprint":"fp_ad66631dec","usage":{"completion_tokens":89,"completion_tokens_details":{"accepted_prediction_tokens":0,"audio_tokens":0,"reasoning_tokens":0,"rejected_prediction_tokens":0},"prompt_tokens":1036,"prompt_tokens_details":{"audio_tokens":0,"cached_tokens":0},"total_tokens":1125}}</t>
        </is>
      </c>
      <c r="X92" t="inlineStr">
        <is>
          <t>Canada Goose：黑色长款羽绒派克外套，采用防风防水面料与高蓬松鸭绒填充，搭配可拆卸真毛领帽设计，保暖性能卓越。简约剪裁结合都市极简风格，适合冬季户外与城市日常穿搭，男女皆宜，彰显加拿大高端御寒美学。</t>
        </is>
      </c>
    </row>
    <row r="93" ht="25.5" customHeight="1">
      <c r="A93">
        <v>1839115443</v>
      </c>
      <c r="B93">
        <v>7599266973</v>
      </c>
      <c r="C93" t="inlineStr">
        <is>
          <t>https://weidian.com/item.html?itemID=7599266973</t>
        </is>
      </c>
      <c r="D93"/>
      <c r="E93" s="2" t="str">
        <f>=HYPERLINK("https://si.geilicdn.com/open1839115443-252808396-01b20000019a681ac6db0a8133b0_1389_1264.jpg", "https://si.geilicdn.com/open1839115443-252808396-01b20000019a681ac6db0a8133b0_1389_1264.jpg")</f>
        <v>https://si.geilicdn.com/open1839115443-252808396-01b20000019a681ac6db0a8133b0_1389_1264.jpg</v>
      </c>
      <c r="F93" t="inlineStr">
        <is>
          <t>Jackets</t>
        </is>
      </c>
      <c r="G93" t="inlineStr">
        <is>
          <t>Moose Knuckles</t>
        </is>
      </c>
      <c r="H93" t="inlineStr">
        <is>
          <t>720.00</t>
        </is>
      </c>
      <c r="I93">
        <v>104.35</v>
      </c>
      <c r="J93" t="inlineStr">
        <is>
          <t>{"id":"chatcmpl-DWcMnpSiWmV8cj1Z469oO1gpxYueC","object":"chat.completion","created":1776666349,"model":"gpt-5-chat-latest","choices":[{"index":0,"message":{"role":"assistant","content":"Moose Knuckles Red Fur Hood Down Jacket","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93" t="inlineStr">
        <is>
          <t>Moose Knuckles Red Fur Hood Down Jacket</t>
        </is>
      </c>
      <c r="L93" t="inlineStr">
        <is>
          <t>{"choices":[{"content_filter_result":{"error":{"code":"content_filter_error","message":"The contents are not filtered"}},"finish_reason":"stop","index":0,"logprobs":null,"message":{"annotations":[],"content":"Moose Knuckles Red Down Jacket features windproof waterproof fabric, detachable black mink fur hood, metal zipper, sleek unisex fit, exceptional warmth, perfect for modern winter street style.","refusal":null,"role":"assistant"}}],"created":1776659220,"id":"chatcmpl-DWaVoPCKQCbEdNGhlDd3rLJcgZqEy","model":"gpt-5-chat-latest","object":"chat.completion","service_tier":"default","system_fingerprint":"fp_ad66631dec","usage":{"completion_tokens":38,"completion_tokens_details":{"accepted_prediction_tokens":0,"audio_tokens":0,"reasoning_tokens":0,"rejected_prediction_tokens":0},"prompt_tokens":905,"prompt_tokens_details":{"audio_tokens":0,"cached_tokens":0},"total_tokens":943}}</t>
        </is>
      </c>
      <c r="M93" t="inlineStr">
        <is>
          <t>{"alt-svc":"h3=\":443\"; ma=2592000","apim-request-id":"eb353368-60d2-4511-a7b5-ad0037173360","azureml-model-session":"d20260402083108-57a85543","cache-control":"no-cache","connection":"close","content-length":"888","content-security-policy":"frame-ancestors 'self'","content-type":"application/json","date":"Mon, 20 Apr 2026 04:27:02 GMT","server":"Caddy","skip-error-remapping":"true","strict-transport-security":"max-age=31536000; includeSubDomains; preload","via":"1.1 Caddy","x-api-request-id":"20260420122659521612771zV6QqIPg","x-content-type-options":"nosniff","x-frame-options":"SAMEORIGIN","x-ms-client-request-id":"Not-Set","x-ms-is-spilled-over":"false","x-ms-rai-invoked":"true","x-ms-region":"East US 2","x-new-api-version":"0.4.39","x-oneapi-request-id":"202604200426593679607928268d9d64QHMcVuB","x-ratelimit-abusepenalty-active":"False","x-ratelimit-limit-requests":"3850","x-ratelimit-limit-tokens":"3850000","x-ratelimit-remaining-requests":"3849","x-ratelimit-remaining-tokens":"3848333","x-ratelimit-renewalperiod-requests":"60","x-ratelimit-renewalperiod-tokens":"60","x-ratelimit-reset-requests":"15","x-ratelimit-reset-tokens":"25","x-request-id":"ecce6989-bc52-493c-be6b-6ec96d93ad40"}</t>
        </is>
      </c>
      <c r="N93" t="inlineStr">
        <is>
          <t>Moose Knuckles Red Down Jacket features windproof waterproof fabric, detachable black mink fur hood, metal zipper, sleek unisex fit, exceptional warmth, perfect for modern winter street style.</t>
        </is>
      </c>
      <c r="O93" t="inlineStr">
        <is>
          <t>{"choices":[{"finish_reason":"stop","index":0,"logprobs":null,"message":{"annotations":[],"content":"Moose Knuckles, Jackets, kakobuy, kakebuy2026, kekobuysheet, kakobuysheet2026, 2026kakobuy, kakobuyspreadsheeet, kakobuylink, kakebuylist, Kakobuy MEGA Spreadsheet, kakobuysheetfind, kakobuysheetfind2026, 2026kakobuysheetfind, kakobuysheet2026","refusal":null,"role":"assistant"}}],"created":1776667954,"id":"chatcmpl-DWcmg7TE1LdJrwW3WzGCVoLRXUIwr","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93" t="inlineStr">
        <is>
          <t>Moose Knuckles, Jackets, kakobuy, kakebuy2026, kekobuysheet, kakobuysheet2026, 2026kakobuy, kakobuyspreadsheeet, kakobuylink, kakebuylist, Kakobuy MEGA Spreadsheet, kakobuysheetfind, kakobuysheetfind2026, 2026kakobuysheetfind, kakobuysheet2026</t>
        </is>
      </c>
      <c r="Q93" t="inlineStr">
        <is>
          <t>Winter, Windproof, Waterproof, Unisex, Streetwear, Red</t>
        </is>
      </c>
      <c r="R93" t="inlineStr">
        <is>
          <t>recvh6xFVjiE5q</t>
        </is>
      </c>
      <c r="S93" t="inlineStr">
        <is>
          <t>moose-knuckles-red-fur-hood-down-jacket-recvh6xFVjiE5q</t>
        </is>
      </c>
      <c r="T93"/>
      <c r="U93"/>
      <c r="V93"/>
      <c r="W93" t="inlineStr">
        <is>
          <t>{"choices":[{"finish_reason":"stop","index":0,"logprobs":null,"message":{"annotations":[],"content":"Moose Knuckles红色羽绒夹克，选用防风防水面料，配可拆卸黑色貂毛帽领与金属拉链，廓形利落展现现代都市风格，男女皆宜，保暖性能出众，冬季街头潮流必备单品。","refusal":null,"role":"assistant"}}],"created":1776655607,"id":"chatcmpl-DWZZXWRo7IC5DxPKz3TtseuF4sCPD","model":"gpt-5-chat-latest","object":"chat.completion","service_tier":"default","system_fingerprint":"fp_ad66631dec","usage":{"completion_tokens":72,"completion_tokens_details":{"accepted_prediction_tokens":0,"audio_tokens":0,"reasoning_tokens":0,"rejected_prediction_tokens":0},"prompt_tokens":1312,"prompt_tokens_details":{"audio_tokens":0,"cached_tokens":0},"total_tokens":1384}}</t>
        </is>
      </c>
      <c r="X93" t="inlineStr">
        <is>
          <t>Moose Knuckles红色羽绒夹克，选用防风防水面料，配可拆卸黑色貂毛帽领与金属拉链，廓形利落展现现代都市风格，男女皆宜，保暖性能出众，冬季街头潮流必备单品。</t>
        </is>
      </c>
    </row>
    <row r="94" ht="25.5" customHeight="1">
      <c r="A94">
        <v>1839115443</v>
      </c>
      <c r="B94">
        <v>7599311641</v>
      </c>
      <c r="C94" t="inlineStr">
        <is>
          <t>https://weidian.com/item.html?itemID=7599311641</t>
        </is>
      </c>
      <c r="D94"/>
      <c r="E94" s="2" t="str">
        <f>=HYPERLINK("https://si.geilicdn.com/open1832946205-252808396-34b700000198890ed6810a23b491_800_800.jpg?w=640&amp;h=640", "https://si.geilicdn.com/open1832946205-252808396-34b700000198890ed6810a23b491_800_800.jpg?w=640&amp;h=640")</f>
        <v>https://si.geilicdn.com/open1832946205-252808396-34b700000198890ed6810a23b491_800_800.jpg?w=640&amp;h=640</v>
      </c>
      <c r="F94" t="inlineStr">
        <is>
          <t>Hoodies</t>
        </is>
      </c>
      <c r="G94" t="inlineStr">
        <is>
          <t>Enfants Riches Deprimes</t>
        </is>
      </c>
      <c r="H94" t="inlineStr">
        <is>
          <t>230.00</t>
        </is>
      </c>
      <c r="I94">
        <v>33.33</v>
      </c>
      <c r="J94" t="inlineStr">
        <is>
          <t>{"id":"chatcmpl-DWcCmSnWValVpLDnYBonza5MIXmk5","object":"chat.completion","created":1776665728,"model":"gpt-5-chat-latest","choices":[{"index":0,"message":{"role":"assistant","content":"Enfants Riches Déprimés Black Cross Zip Hoodie","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94" t="inlineStr">
        <is>
          <t>Enfants Riches Déprimés Black Cross Zip Hoodie</t>
        </is>
      </c>
      <c r="L94" t="inlineStr">
        <is>
          <t>{"id":"chatcmpl-DWaRyizttA61pFelwjyUjM4JwfYHo","object":"chat.completion","created":1776658982,"model":"gpt-5-chat-latest","choices":[{"index":0,"message":{"role":"assistant","content":"Enfants Riches Déprimés black cotton zip hoodie with white cross embroidery, minimalist dark aesthetic, unisex streetwear style, soft premium fabric, rebellious avant-garde fashion.","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9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ma=2592000","apim-request-id":"d9d870da-b482-4d31-bedd-bf289d071d73","azureml-model-session":"d20260405234249-f9874baf","cache-control":"no-cache, no-store, must-revalidate","connection":"close","content-length":"987","content-security-policy":"frame-ancestors 'self'","content-type":"application/json","date":"Mon, 20 Apr 2026 04:23:04 GMT","server":"nginx","skip-error-remapping":"true","strict-transport-security":"max-age=31536000; includeSubDomains; preload","via":"1.1 Caddy, 1.1 Caddy","x-api-request-id":"20260420122301232218548eY7TdPnG","x-content-type-options":"nosniff","x-frame-options":"SAMEORIGIN","x-ms-is-spilled-over":"false","x-ms-rai-invoked":"false","x-ms-region":"Sweden Central","x-new-api-version":"0.4.39","x-oneapi-request-id":"202604200423011656123198268d9d66KpOFp9y","x-ratelimit-abusepenalty-active":"False","x-ratelimit-limit-requests":"4993","x-ratelimit-limit-tokens":"4993000","x-ratelimit-remaining-requests":"4992","x-ratelimit-remaining-tokens":"4991337","x-ratelimit-renewalperiod-requests":"60","x-ratelimit-renewalperiod-tokens":"60","x-ratelimit-reset-requests":"12","x-ratelimit-reset-tokens":"19","x-request-id":"98f244b7-33a7-4757-aff5-edac9b961120"}</t>
        </is>
      </c>
      <c r="N94" t="inlineStr">
        <is>
          <t>Enfants Riches Déprimés black cotton zip hoodie with white cross embroidery, minimalist dark aesthetic, unisex streetwear style, soft premium fabric, rebellious avant-garde fashion.</t>
        </is>
      </c>
      <c r="O94" t="inlineStr">
        <is>
          <t>{"choices":[{"finish_reason":"stop","index":0,"logprobs":null,"message":{"annotations":[],"content":"Enfants Riches Deprimes,Hoodies,kakobuy,kakebuy2026,kekobuysheet,kakobuysheet2026,2026kakobuy,kakobuyspreadsheeet,kakobuylink,kakebuylist,Kakobuy MEGA Spreadsheet,kakobuysheetfind,kakobuysheetfind2026,2026kakobuysheetfind,kakobuysheet2026","refusal":null,"role":"assistant"}}],"created":1776667076,"id":"chatcmpl-DWcYWpEafHEez705YZDLyhA5NOaC6","model":"gpt-5-chat-latest","object":"chat.completion","service_tier":"default","system_fingerprint":"fp_ad66631dec","usage":{"completion_tokens":93,"completion_tokens_details":{"accepted_prediction_tokens":0,"audio_tokens":0,"reasoning_tokens":0,"rejected_prediction_tokens":0},"prompt_tokens":789,"prompt_tokens_details":{"audio_tokens":0,"cached_tokens":0},"total_tokens":882}}</t>
        </is>
      </c>
      <c r="P94" t="inlineStr">
        <is>
          <t>Enfants Riches Deprimes,Hoodies,kakobuy,kakebuy2026,kekobuysheet,kakobuysheet2026,2026kakobuy,kakobuyspreadsheeet,kakobuylink,kakebuylist,Kakobuy MEGA Spreadsheet,kakobuysheetfind,kakobuysheetfind2026,2026kakobuysheetfind,kakobuysheet2026</t>
        </is>
      </c>
      <c r="Q94" t="inlineStr">
        <is>
          <t>Black, Minimalist, Streetwear, Unisex</t>
        </is>
      </c>
      <c r="R94" t="inlineStr">
        <is>
          <t>recvh6xFVj0zUZ</t>
        </is>
      </c>
      <c r="S94" t="inlineStr">
        <is>
          <t>enfants-riches-deprimes-black-cross-zip-hoodie-recvh6xFVj0zUZ</t>
        </is>
      </c>
      <c r="T94"/>
      <c r="U94"/>
      <c r="V94"/>
      <c r="W94" t="inlineStr">
        <is>
          <t>{"id":"chatcmpl-DWZNTBbYfGQ6yF54W0Pdoo88ANcM8","object":"chat.completion","created":1776654859,"model":"gpt-5-chat-latest","choices":[{"index":0,"message":{"role":"assistant","content":"Enfants Riches Déprimés：黑色拉链连帽卫衣，柔软纯棉材质，胸前白色十字刺绣图腾，极简暗黑设计风格，男女通用休闲款，展现先锋叛逆美学。","refusal":null,"annotations":[]},"logprobs":null,"finish_reason":"stop"}],"usage":{"prompt_tokens":1326,"completion_tokens":62,"total_tokens":1388,"prompt_tokens_details":{"cached_tokens":1280,"audio_tokens":0},"completion_tokens_details":{"reasoning_tokens":0,"audio_tokens":0,"accepted_prediction_tokens":0,"rejected_prediction_tokens":0}},"service_tier":"default","system_fingerprint":"fp_ad66631dec"}</t>
        </is>
      </c>
      <c r="X94" t="inlineStr">
        <is>
          <t>Enfants Riches Déprimés：黑色拉链连帽卫衣，柔软纯棉材质，胸前白色十字刺绣图腾，极简暗黑设计风格，男女通用休闲款，展现先锋叛逆美学。</t>
        </is>
      </c>
    </row>
    <row r="95" ht="25.5" customHeight="1">
      <c r="A95">
        <v>1839115443</v>
      </c>
      <c r="B95">
        <v>7601220360</v>
      </c>
      <c r="C95" t="inlineStr">
        <is>
          <t>https://weidian.com/item.html?itemID=7601220360</t>
        </is>
      </c>
      <c r="D95"/>
      <c r="E95" s="2" t="str">
        <f>=HYPERLINK("https://si.geilicdn.com/open1839115443-252808396-0fda0000019a6822baf90a231226_1080_1080.jpg?w=750&amp;h=750&amp;cp=1", "https://si.geilicdn.com/open1839115443-252808396-0fda0000019a6822baf90a231226_1080_1080.jpg?w=750&amp;h=750&amp;cp=1")</f>
        <v>https://si.geilicdn.com/open1839115443-252808396-0fda0000019a6822baf90a231226_1080_1080.jpg?w=750&amp;h=750&amp;cp=1</v>
      </c>
      <c r="F95" t="inlineStr">
        <is>
          <t>Jackets</t>
        </is>
      </c>
      <c r="G95" t="inlineStr">
        <is>
          <t>Canada Goose</t>
        </is>
      </c>
      <c r="H95" t="inlineStr">
        <is>
          <t>270.00</t>
        </is>
      </c>
      <c r="I95">
        <v>39.13</v>
      </c>
      <c r="J95" t="inlineStr">
        <is>
          <t>{"choices":[{"finish_reason":"stop","index":0,"logprobs":null,"message":{"annotations":[],"content":"Canada Goose Off-White Classic Down Vest","refusal":null,"role":"assistant"}}],"created":1776666872,"id":"chatcmpl-DWcVEplUeY7RvdxrWLMl8R7fWlVUZ","model":"gpt-5-chat-latest","object":"chat.completion","service_tier":"default","system_fingerprint":"fp_ad66631dec","usage":{"completion_tokens":9,"completion_tokens_details":{"accepted_prediction_tokens":0,"audio_tokens":0,"reasoning_tokens":0,"rejected_prediction_tokens":0},"prompt_tokens":886,"prompt_tokens_details":{"audio_tokens":0,"cached_tokens":0},"total_tokens":895}}</t>
        </is>
      </c>
      <c r="K95" t="inlineStr">
        <is>
          <t>Canada Goose Off-White Classic Down Vest</t>
        </is>
      </c>
      <c r="L95" t="inlineStr">
        <is>
          <t>{"choices":[{"finish_reason":"stop","index":0,"logprobs":null,"message":{"annotations":[],"content":"Canada Goose Classic Off-White Down Vest, windproof and waterproof nylon, filled with high-loft down, stand collar for warmth, sleek metal buttons, unisex outdoor luxury style for urban casual wear.","refusal":null,"role":"assistant"}}],"created":1776658322,"id":"chatcmpl-DWaHKXt9a0jatEnmkDm4HrfCmlgXt","model":"gpt-5-chat-latest","object":"chat.completion","service_tier":"default","system_fingerprint":"fp_ad66631dec","usage":{"completion_tokens":42,"completion_tokens_details":{"accepted_prediction_tokens":0,"audio_tokens":0,"reasoning_tokens":0,"rejected_prediction_tokens":0},"prompt_tokens":925,"prompt_tokens_details":{"audio_tokens":0,"cached_tokens":0},"total_tokens":967}}</t>
        </is>
      </c>
      <c r="M95" t="inlineStr">
        <is>
          <t>{"alt-svc":"h3=\":443\"; ma=2592000","apim-request-id":"f9a534b2-7990-4085-a8cf-491291303c80","azureml-model-session":"d20260402083108-57a85543","cache-control":"no-cache","connection":"close","content-length":"786","content-security-policy":"frame-ancestors 'self'","content-type":"application/json","date":"Mon, 20 Apr 2026 04:12:04 GMT","server":"Caddy","skip-error-remapping":"true","strict-transport-security":"max-age=31536000; includeSubDomains; preload","via":"1.1 Caddy","x-api-request-id":"20260420121201545837267uTyQp1Hu","x-content-type-options":"nosniff","x-frame-options":"SAMEORIGIN","x-ms-client-request-id":"Not-Set","x-ms-is-spilled-over":"false","x-ms-rai-invoked":"true","x-ms-region":"East US 2","x-new-api-version":"0.4.39","x-oneapi-request-id":"202604200412014209531738268d9d6vfQnc7la","x-ratelimit-abusepenalty-active":"False","x-ratelimit-limit-requests":"3850","x-ratelimit-limit-tokens":"3850000","x-ratelimit-remaining-requests":"3849","x-ratelimit-remaining-tokens":"3848313","x-ratelimit-renewalperiod-requests":"60","x-ratelimit-renewalperiod-tokens":"60","x-ratelimit-reset-requests":"15","x-ratelimit-reset-tokens":"26","x-request-id":"1cdacc06-e71f-43f1-b124-e371468d87c9"}</t>
        </is>
      </c>
      <c r="N95" t="inlineStr">
        <is>
          <t>Canada Goose Classic Off-White Down Vest, windproof and waterproof nylon, filled with high-loft down, stand collar for warmth, sleek metal buttons, unisex outdoor luxury style for urban casual wear.</t>
        </is>
      </c>
      <c r="O95"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1776668095,"id":"chatcmpl-DWcoxMvfhxQFxynqoe23PEaKocCp8","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5" t="inlineStr">
        <is>
          <t>Canada Goose, Jackets, kakobuy, kakebuy2026, kekobuysheet, kakobuysheet2026, 2026kakobuy, kakobuyspreadsheeet, kakobuylink, kakebuylist, Kakobuy MEGA Spreadsheet, kakobuysheetfind, kakobuysheetfind2026, 2026kakobuysheetfind, kakobuysheet2026</t>
        </is>
      </c>
      <c r="Q95" t="inlineStr">
        <is>
          <t>Unisex, Outdoor, Nylon, Waterproof, Windproof, Sleek</t>
        </is>
      </c>
      <c r="R95" t="inlineStr">
        <is>
          <t>recvh6xFVjfFAN</t>
        </is>
      </c>
      <c r="S95" t="inlineStr">
        <is>
          <t>canada-goose-off-white-classic-down-vest-recvh6xfvjffan</t>
        </is>
      </c>
      <c r="T95"/>
      <c r="U95"/>
      <c r="V95"/>
      <c r="W95" t="inlineStr">
        <is>
          <t>{"choices":[{"finish_reason":"stop","index":0,"logprobs":null,"message":{"annotations":[],"content":"Canada Goose：经典米白色羽绒马甲，采用防风防水尼龙材质与高蓬松羽绒填充，立领设计保暖舒适。简约剪裁搭配金属扣门襟，彰显极致北国风尚。适合男女户外休闲穿搭，展现现代都市轻奢格调。","refusal":null,"role":"assistant"}}],"created":1776656219,"id":"chatcmpl-DWZjPAAdhy87LHzgrgdqwtIvyN8oN","model":"gpt-5-chat-latest","object":"chat.completion","service_tier":"default","system_fingerprint":"fp_ad66631dec","usage":{"completion_tokens":84,"completion_tokens_details":{"accepted_prediction_tokens":0,"audio_tokens":0,"reasoning_tokens":0,"rejected_prediction_tokens":0},"prompt_tokens":1326,"prompt_tokens_details":{"audio_tokens":0,"cached_tokens":0},"total_tokens":1410}}</t>
        </is>
      </c>
      <c r="X95" t="inlineStr">
        <is>
          <t>Canada Goose：经典米白色羽绒马甲，采用防风防水尼龙材质与高蓬松羽绒填充，立领设计保暖舒适。简约剪裁搭配金属扣门襟，彰显极致北国风尚。适合男女户外休闲穿搭，展现现代都市轻奢格调。</t>
        </is>
      </c>
    </row>
    <row r="96" ht="25.5" customHeight="1">
      <c r="A96">
        <v>1839115443</v>
      </c>
      <c r="B96">
        <v>7601244094</v>
      </c>
      <c r="C96" t="inlineStr">
        <is>
          <t>https://weidian.com/item.html?itemID=7601244094</t>
        </is>
      </c>
      <c r="D96"/>
      <c r="E96" s="2" t="str">
        <f>=HYPERLINK("https://si.geilicdn.com/open1839115443-252808396-26470000019a6822d4250aa086a7_1080_1080.jpg?w=640&amp;h=640", "https://si.geilicdn.com/open1839115443-252808396-26470000019a6822d4250aa086a7_1080_1080.jpg?w=640&amp;h=640")</f>
        <v>https://si.geilicdn.com/open1839115443-252808396-26470000019a6822d4250aa086a7_1080_1080.jpg?w=640&amp;h=640</v>
      </c>
      <c r="F96" t="inlineStr">
        <is>
          <t>Jackets</t>
        </is>
      </c>
      <c r="G96" t="inlineStr">
        <is>
          <t>Canada Goose</t>
        </is>
      </c>
      <c r="H96" t="inlineStr">
        <is>
          <t>290.00</t>
        </is>
      </c>
      <c r="I96">
        <v>42.03</v>
      </c>
      <c r="J96" t="inlineStr">
        <is>
          <t>{"choices":[{"finish_reason":"stop","index":0,"logprobs":null,"message":{"annotations":[],"content":"Canada Goose Black Down Vest Waterproof Warm","refusal":null,"role":"assistant"}}],"created":1776666840,"id":"chatcmpl-DWcUiIZxgd7cXbhX0KkHacDj9ssqp","model":"gpt-5-chat-latest","object":"chat.completion","service_tier":"default","system_fingerprint":"fp_ad66631dec","usage":{"completion_tokens":8,"completion_tokens_details":{"accepted_prediction_tokens":0,"audio_tokens":0,"reasoning_tokens":0,"rejected_prediction_tokens":0},"prompt_tokens":880,"prompt_tokens_details":{"audio_tokens":0,"cached_tokens":0},"total_tokens":888}}</t>
        </is>
      </c>
      <c r="K96" t="inlineStr">
        <is>
          <t>Canada Goose Black Down Vest Waterproof Warm</t>
        </is>
      </c>
      <c r="L96" t="inlineStr">
        <is>
          <t>{"choices":[{"finish_reason":"stop","index":0,"logprobs":null,"message":{"annotations":[],"content":"Canada Goose black down vest made from high-density waterproof fabric and premium duck down. Lightweight, warm, windproof stand collar, snap closure, side pockets. Unisex urban winter outerwear.","refusal":null,"role":"assistant"}}],"created":1776659051,"id":"chatcmpl-DWaT5Wm20Ej2233OHukxwE0MBPPNk","model":"gpt-5-chat-latest","object":"chat.completion","service_tier":"default","system_fingerprint":"fp_ad66631dec","usage":{"completion_tokens":39,"completion_tokens_details":{"accepted_prediction_tokens":0,"audio_tokens":0,"reasoning_tokens":0,"rejected_prediction_tokens":0},"prompt_tokens":932,"prompt_tokens_details":{"audio_tokens":0,"cached_tokens":0},"total_tokens":971}}</t>
        </is>
      </c>
      <c r="M96" t="inlineStr">
        <is>
          <t>{"alt-svc":"h3=\":443\"; ma=2592000","apim-request-id":"4ec91fb1-dbf1-4e58-9c82-29641ce65a51","azureml-model-session":"d20260402083108-57a85543","cache-control":"no-cache","connection":"close","content-length":"782","content-security-policy":"frame-ancestors 'self'","content-type":"application/json","date":"Mon, 20 Apr 2026 04:24:12 GMT","server":"nginx","skip-error-remapping":"true","strict-transport-security":"max-age=31536000; includeSubDomains; preload","via":"1.1 Caddy, 1.1 Caddy","x-api-request-id":"202604201224107817414963Zh5SbKM","x-content-type-options":"nosniff","x-frame-options":"SAMEORIGIN","x-ms-client-request-id":"Not-Set","x-ms-is-spilled-over":"false","x-ms-rai-invoked":"true","x-ms-region":"East US 2","x-new-api-version":"0.4.39","x-oneapi-request-id":"202604200424107149935478268d9d6JtgkCMdp","x-ratelimit-abusepenalty-active":"False","x-ratelimit-limit-requests":"3850","x-ratelimit-limit-tokens":"3850000","x-ratelimit-remaining-requests":"3849","x-ratelimit-remaining-tokens":"3848306","x-ratelimit-renewalperiod-requests":"60","x-ratelimit-renewalperiod-tokens":"60","x-ratelimit-reset-requests":"15","x-ratelimit-reset-tokens":"26","x-request-id":"db82a9cb-cc2c-43fd-99aa-50b0af705ef3"}</t>
        </is>
      </c>
      <c r="N96" t="inlineStr">
        <is>
          <t>Canada Goose black down vest made from high-density waterproof fabric and premium duck down. Lightweight, warm, windproof stand collar, snap closure, side pockets. Unisex urban winter outerwear.</t>
        </is>
      </c>
      <c r="O96"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1776668192,"id":"chatcmpl-DWcqWsGRzIc6ME837sHqpzOzN9Mv1","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6" t="inlineStr">
        <is>
          <t>Canada Goose, Jackets, kakobuy, kakebuy2026, kekobuysheet, kakobuysheet2026, 2026kakobuy, kakobuyspreadsheeet, kakobuylink, kakebuylist, Kakobuy MEGA Spreadsheet, kakobuysheetfind, kakobuysheetfind2026, 2026kakobuysheetfind, kakobuysheet2026</t>
        </is>
      </c>
      <c r="Q96" t="inlineStr">
        <is>
          <t>Black, Winter, Unisex, Waterproof, Windproof, Lightweight</t>
        </is>
      </c>
      <c r="R96" t="inlineStr">
        <is>
          <t>recvh6xFVjM95i</t>
        </is>
      </c>
      <c r="S96" t="inlineStr">
        <is>
          <t>canada-goose-black-down-vest-recvh6xfvjm95i</t>
        </is>
      </c>
      <c r="T96"/>
      <c r="U96"/>
      <c r="V96"/>
      <c r="W96" t="inlineStr">
        <is>
          <t>{"choices":[{"finish_reason":"stop","index":0,"logprobs":null,"message":{"annotations":[],"content":"Canada Goose：黑色羽绒马甲，甄选高密防水面料与优质鸭绒填充，轻盈保暖。立领防风设计，前襟金属按扣闭合，双侧插袋兼具实用与美观。简约街头风格，男女通穿，适合秋冬都市出行与户外活动，彰显经典加拿大高端功能美学。","refusal":null,"role":"assistant"}}],"created":1776655214,"id":"chatcmpl-DWZTCOxdmI8tkoczZasNMCuJefwWm","model":"gpt-5-chat-latest","object":"chat.completion","service_tier":"default","system_fingerprint":"fp_ad66631dec","usage":{"completion_tokens":96,"completion_tokens_details":{"accepted_prediction_tokens":0,"audio_tokens":0,"reasoning_tokens":0,"rejected_prediction_tokens":0},"prompt_tokens":1316,"prompt_tokens_details":{"audio_tokens":0,"cached_tokens":0},"total_tokens":1412}}</t>
        </is>
      </c>
      <c r="X96" t="inlineStr">
        <is>
          <t>Canada Goose：黑色羽绒马甲，甄选高密防水面料与优质鸭绒填充，轻盈保暖。立领防风设计，前襟金属按扣闭合，双侧插袋兼具实用与美观。简约街头风格，男女通穿，适合秋冬都市出行与户外活动，彰显经典加拿大高端功能美学。</t>
        </is>
      </c>
    </row>
    <row r="97" ht="25.5" customHeight="1">
      <c r="A97">
        <v>1839115443</v>
      </c>
      <c r="B97">
        <v>7601208564</v>
      </c>
      <c r="C97" t="inlineStr">
        <is>
          <t>https://weidian.com/item.html?itemID=7601208564</t>
        </is>
      </c>
      <c r="D97"/>
      <c r="E97" s="2" t="str">
        <f>=HYPERLINK("https://si.geilicdn.com/open1839115443-252808396-06c40000019a6822cf790a23b491_1080_1080.jpg?w=640&amp;h=640", "https://si.geilicdn.com/open1839115443-252808396-06c40000019a6822cf790a23b491_1080_1080.jpg?w=640&amp;h=640")</f>
        <v>https://si.geilicdn.com/open1839115443-252808396-06c40000019a6822cf790a23b491_1080_1080.jpg?w=640&amp;h=640</v>
      </c>
      <c r="F97" t="inlineStr">
        <is>
          <t>Jackets</t>
        </is>
      </c>
      <c r="G97" t="inlineStr">
        <is>
          <t>Canada Goose</t>
        </is>
      </c>
      <c r="H97" t="inlineStr">
        <is>
          <t>690.00</t>
        </is>
      </c>
      <c r="I97">
        <v>100</v>
      </c>
      <c r="J97" t="inlineStr">
        <is>
          <t>{"id":"chatcmpl-DWcTjyRSSU61Gpnus2NvzlOOn1DOe","object":"chat.completion","created":1776666779,"model":"gpt-5-chat-latest","choices":[{"index":0,"message":{"role":"assistant","content":"Canada Goose Beige Down Jacket Fur Hood Unisex","refusal":null,"annotations":[]},"logprobs":null,"finish_reason":"stop"}],"usage":{"prompt_tokens":884,"completion_tokens":10,"total_tokens":894,"prompt_tokens_details":{"cached_tokens":0,"audio_tokens":0},"completion_tokens_details":{"reasoning_tokens":0,"audio_tokens":0,"accepted_prediction_tokens":0,"rejected_prediction_tokens":0}},"service_tier":"default","system_fingerprint":"fp_ad66631dec"}</t>
        </is>
      </c>
      <c r="K97" t="inlineStr">
        <is>
          <t>Canada Goose Beige Down Jacket Fur Hood Unisex</t>
        </is>
      </c>
      <c r="L97" t="inlineStr">
        <is>
          <t>{"choices":[{"finish_reason":"stop","index":0,"logprobs":null,"message":{"annotations":[],"content":"Canada Goose beige down jacket with real fur hood, high-fill goose down, windproof and water-resistant fabric, ribbed cuffs, unisex urban outdoor style, perfect for winter city wear or adventure.","refusal":null,"role":"assistant"}}],"created":1776659253,"id":"chatcmpl-DWaWLvjfEUINuddjQyMk0wH1E1AxW","model":"gpt-5-chat-latest","object":"chat.completion","service_tier":"default","system_fingerprint":"fp_ad66631dec","usage":{"completion_tokens":41,"completion_tokens_details":{"accepted_prediction_tokens":0,"audio_tokens":0,"reasoning_tokens":0,"rejected_prediction_tokens":0},"prompt_tokens":913,"prompt_tokens_details":{"audio_tokens":0,"cached_tokens":0},"total_tokens":954}}</t>
        </is>
      </c>
      <c r="M97" t="inlineStr">
        <is>
          <t>{"alt-svc":"h3=\":443\"; ma=2592000","apim-request-id":"316119df-3192-4e40-9e41-b461bb87914e","azureml-model-session":"d20260402075109-1fc5a0ec","cache-control":"no-cache","connection":"close","content-length":"783","content-security-policy":"frame-ancestors 'self'","content-type":"application/json","date":"Mon, 20 Apr 2026 04:27:34 GMT","server":"Caddy","skip-error-remapping":"true","strict-transport-security":"max-age=31536000; includeSubDomains; preload","via":"1.1 Caddy","x-api-request-id":"20260420122732716517986cCzfKx22","x-content-type-options":"nosniff","x-frame-options":"SAMEORIGIN","x-ms-client-request-id":"Not-Set","x-ms-is-spilled-over":"false","x-ms-rai-invoked":"true","x-ms-region":"East US 2","x-new-api-version":"0.4.39","x-oneapi-request-id":"202604200427326370697098268d9d63Hw1uyTl","x-ratelimit-abusepenalty-active":"False","x-ratelimit-limit-requests":"3850","x-ratelimit-limit-tokens":"3850000","x-ratelimit-remaining-requests":"3849","x-ratelimit-remaining-tokens":"3848325","x-ratelimit-renewalperiod-requests":"60","x-ratelimit-renewalperiod-tokens":"60","x-ratelimit-reset-requests":"15","x-ratelimit-reset-tokens":"26","x-request-id":"08461e6e-b36b-4b38-842a-9d3e73c6afc3"}</t>
        </is>
      </c>
      <c r="N97" t="inlineStr">
        <is>
          <t>Canada Goose beige down jacket with real fur hood, high-fill goose down, windproof and water-resistant fabric, ribbed cuffs, unisex urban outdoor style, perfect for winter city wear or adventure.</t>
        </is>
      </c>
      <c r="O97"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1776668182,"id":"chatcmpl-DWcqMxi5Fhpejw6HE7aTvq8VfxBV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7" t="inlineStr">
        <is>
          <t>Canada Goose, Jackets, kakobuy, kakebuy2026, kekobuysheet, kakobuysheet2026, 2026kakobuy, kakobuyspreadsheeet, kakobuylink, kakebuylist, Kakobuy MEGA Spreadsheet, kakobuysheetfind, kakobuysheetfind2026, 2026kakobuysheetfind, kakobuysheet2026</t>
        </is>
      </c>
      <c r="Q97" t="inlineStr">
        <is>
          <t>Beige, Fur, Windproof, Waterproof, Unisex, Winter</t>
        </is>
      </c>
      <c r="R97" t="inlineStr">
        <is>
          <t>recvh6xFVjq46y</t>
        </is>
      </c>
      <c r="S97" t="inlineStr">
        <is>
          <t>canada-goose-beige-down-jacket-fur-hood-unisex-recvh6xfvjq46y</t>
        </is>
      </c>
      <c r="T97"/>
      <c r="U97"/>
      <c r="V97"/>
      <c r="W97" t="inlineStr">
        <is>
          <t>{"choices":[{"finish_reason":"stop","index":0,"logprobs":null,"message":{"annotations":[],"content":"Canada Goose：经典米色羽绒外套，真毛领连帽设计，高蓬松鹅绒填充，保暖防风。采用防泼水面料与罗纹袖口，细节精致，都市户外风格，男女皆宜，冬季出街与探险皆兼备时尚与功能。","refusal":null,"role":"assistant"}}],"created":1776656158,"id":"chatcmpl-DWZiQ2Aesr5K73rQc3TC2KP48B9Yd","model":"gpt-5-chat-latest","object":"chat.completion","service_tier":"default","system_fingerprint":"fp_ad66631dec","usage":{"completion_tokens":78,"completion_tokens_details":{"accepted_prediction_tokens":0,"audio_tokens":0,"reasoning_tokens":0,"rejected_prediction_tokens":0},"prompt_tokens":1316,"prompt_tokens_details":{"audio_tokens":0,"cached_tokens":0},"total_tokens":1394}}</t>
        </is>
      </c>
      <c r="X97" t="inlineStr">
        <is>
          <t>Canada Goose：经典米色羽绒外套，真毛领连帽设计，高蓬松鹅绒填充，保暖防风。采用防泼水面料与罗纹袖口，细节精致，都市户外风格，男女皆宜，冬季出街与探险皆兼备时尚与功能。</t>
        </is>
      </c>
    </row>
    <row r="98" ht="25.5" customHeight="1">
      <c r="A98">
        <v>1839115443</v>
      </c>
      <c r="B98">
        <v>7601196788</v>
      </c>
      <c r="C98" t="inlineStr">
        <is>
          <t>https://weidian.com/item.html?itemID=7601196788</t>
        </is>
      </c>
      <c r="D98"/>
      <c r="E98" s="2" t="str">
        <f>=HYPERLINK("https://si.geilicdn.com/open1839115443-252808396-0ffa0000019a6822d46a0a231226_1003_1003.jpg?w=640&amp;h=640", "https://si.geilicdn.com/open1839115443-252808396-0ffa0000019a6822d46a0a231226_1003_1003.jpg?w=640&amp;h=640")</f>
        <v>https://si.geilicdn.com/open1839115443-252808396-0ffa0000019a6822d46a0a231226_1003_1003.jpg?w=640&amp;h=640</v>
      </c>
      <c r="F98" t="inlineStr">
        <is>
          <t>Jackets</t>
        </is>
      </c>
      <c r="G98" t="inlineStr">
        <is>
          <t>Canada Goose</t>
        </is>
      </c>
      <c r="H98" t="inlineStr">
        <is>
          <t>550.00</t>
        </is>
      </c>
      <c r="I98">
        <v>79.71</v>
      </c>
      <c r="J98" t="inlineStr">
        <is>
          <t>{"id":"chatcmpl-DWcPhd2te1viTdGBeRTpXRFlDVLWr","object":"chat.completion","created":1776666529,"model":"gpt-5-chat-latest","choices":[{"index":0,"message":{"role":"assistant","content":"Canada Goose Urban Black Down Jacket Men","refusal":null,"annotations":[]},"logprobs":null,"finish_reason":"stop"}],"usage":{"prompt_tokens":872,"completion_tokens":8,"total_tokens":880,"prompt_tokens_details":{"cached_tokens":0,"audio_tokens":0},"completion_tokens_details":{"reasoning_tokens":0,"audio_tokens":0,"accepted_prediction_tokens":0,"rejected_prediction_tokens":0}},"service_tier":"default","system_fingerprint":"fp_ad66631dec"}</t>
        </is>
      </c>
      <c r="K98" t="inlineStr">
        <is>
          <t>Canada Goose Urban Black Down Jacket Men</t>
        </is>
      </c>
      <c r="L98" t="inlineStr">
        <is>
          <t>{"choices":[{"finish_reason":"stop","index":0,"logprobs":null,"message":{"annotations":[],"content":"Canada Goose Urban Black Down Jacket – windproof, waterproof shell with premium goose down fill, adjustable hood, lightweight warmth and sleek minimalist design for city commuting or outdoor wear.","refusal":null,"role":"assistant"}}],"created":1776659044,"id":"chatcmpl-DWaSyig7aGyHEs9mmxsnUo87OR19l","model":"gpt-5-chat-latest","object":"chat.completion","service_tier":"default","system_fingerprint":"fp_ad66631dec","usage":{"completion_tokens":35,"completion_tokens_details":{"accepted_prediction_tokens":0,"audio_tokens":0,"reasoning_tokens":0,"rejected_prediction_tokens":0},"prompt_tokens":922,"prompt_tokens_details":{"audio_tokens":0,"cached_tokens":0},"total_tokens":957}}</t>
        </is>
      </c>
      <c r="M98" t="inlineStr">
        <is>
          <t>{"alt-svc":"h3=\":443\"; ma=2592000","apim-request-id":"1a0da9c1-ac52-4e60-a8db-ef64c680617c","azureml-model-session":"d20260405234249-f9874baf","cache-control":"no-cache","connection":"close","content-length":"786","content-security-policy":"frame-ancestors 'self'","content-type":"application/json","date":"Mon, 20 Apr 2026 04:24:05 GMT","server":"Caddy","skip-error-remapping":"true","strict-transport-security":"max-age=31536000; includeSubDomains; preload","via":"1.1 Caddy","x-api-request-id":"20260420122403728331042zrDxOeei","x-content-type-options":"nosniff","x-frame-options":"SAMEORIGIN","x-ms-client-request-id":"Not-Set","x-ms-is-spilled-over":"false","x-ms-rai-invoked":"true","x-ms-region":"East US 2","x-new-api-version":"0.4.39","x-oneapi-request-id":"202604200424036610373728268d9d6ryBnDE7o","x-ratelimit-abusepenalty-active":"False","x-ratelimit-limit-requests":"3850","x-ratelimit-limit-tokens":"3850000","x-ratelimit-remaining-requests":"3849","x-ratelimit-remaining-tokens":"3834250","x-ratelimit-renewalperiod-requests":"60","x-ratelimit-renewalperiod-tokens":"60","x-ratelimit-reset-requests":"15","x-ratelimit-reset-tokens":"245","x-request-id":"5c34068e-e7b7-4614-9269-c51bdef4892a"}</t>
        </is>
      </c>
      <c r="N98" t="inlineStr">
        <is>
          <t>Canada Goose Urban Black Down Jacket – windproof, waterproof shell with premium goose down fill, adjustable hood, lightweight warmth and sleek minimalist design for city commuting or outdoor wear.</t>
        </is>
      </c>
      <c r="O98"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1776668545,"id":"chatcmpl-DWcwDEvi10tNh89yxxiBNPgZNC00v","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8" t="inlineStr">
        <is>
          <t>Canada Goose, Jackets, kakobuy, kakebuy2026, kekobuysheet, kakobuysheet2026, 2026kakobuy, kakobuyspreadsheeet, kakobuylink, kakebuylist, Kakobuy MEGA Spreadsheet, kakobuysheetfind, kakobuysheetfind2026, 2026kakobuysheetfind, kakobuysheet2026</t>
        </is>
      </c>
      <c r="Q98"/>
      <c r="R98" t="inlineStr">
        <is>
          <t>recvh6xFVjEaK4</t>
        </is>
      </c>
      <c r="S98" t="inlineStr">
        <is>
          <t>canada-goose-urban-black-down-jacket-men-recvh6xFVjEaK4</t>
        </is>
      </c>
      <c r="T98"/>
      <c r="U98"/>
      <c r="V98"/>
      <c r="W98" t="inlineStr">
        <is>
          <t>{"id":"chatcmpl-DWZYh0pChatYwhvF36KHJNhMzpysD","object":"chat.completion","created":1776655555,"model":"gpt-5-chat-latest","choices":[{"index":0,"message":{"role":"assistant","content":"Canada Goose：黑色都市系列羽绒夹克，采用防风防水面料与高蓬松鹅绒填充，简约立体剪裁搭配可调节连帽设计，温暖舒适兼具轻盈保暖性能。适合男女通勤与户外穿搭，彰显现代极简风格与品牌高端保暖科技。","refusal":null,"annotations":[]},"logprobs":null,"finish_reason":"stop"}],"usage":{"prompt_tokens":1318,"completion_tokens":85,"total_tokens":1403,"prompt_tokens_details":{"cached_tokens":0,"audio_tokens":0},"completion_tokens_details":{"reasoning_tokens":0,"audio_tokens":0,"accepted_prediction_tokens":0,"rejected_prediction_tokens":0}},"service_tier":"default","system_fingerprint":"fp_ad66631dec"}</t>
        </is>
      </c>
      <c r="X98" t="inlineStr">
        <is>
          <t>Canada Goose：黑色都市系列羽绒夹克，采用防风防水面料与高蓬松鹅绒填充，简约立体剪裁搭配可调节连帽设计，温暖舒适兼具轻盈保暖性能。适合男女通勤与户外穿搭，彰显现代极简风格与品牌高端保暖科技。</t>
        </is>
      </c>
    </row>
    <row r="99" ht="25.5" customHeight="1">
      <c r="A99">
        <v>1839115443</v>
      </c>
      <c r="B99">
        <v>7599233513</v>
      </c>
      <c r="C99" t="inlineStr">
        <is>
          <t>https://weidian.com/item.html?itemID=7599233513</t>
        </is>
      </c>
      <c r="D99"/>
      <c r="E99" s="2" t="str">
        <f>=HYPERLINK("https://si.geilicdn.com/open1839115443-252808396-10aa0000019a6822d32d0a22d249_1440_1920.jpg?w=640&amp;h=640", "https://si.geilicdn.com/open1839115443-252808396-10aa0000019a6822d32d0a22d249_1440_1920.jpg?w=640&amp;h=640")</f>
        <v>https://si.geilicdn.com/open1839115443-252808396-10aa0000019a6822d32d0a22d249_1440_1920.jpg?w=640&amp;h=640</v>
      </c>
      <c r="F99" t="inlineStr">
        <is>
          <t>Jackets</t>
        </is>
      </c>
      <c r="G99" t="inlineStr">
        <is>
          <t>Canada Goose</t>
        </is>
      </c>
      <c r="H99" t="inlineStr">
        <is>
          <t>650.00</t>
        </is>
      </c>
      <c r="I99">
        <v>94.2</v>
      </c>
      <c r="J99" t="inlineStr">
        <is>
          <t>{"choices":[{"finish_reason":"stop","index":0,"logprobs":null,"message":{"annotations":[],"content":"Canada Goose Black Down Hooded Parka Jacket","refusal":null,"role":"assistant"}}],"created":1776665804,"id":"chatcmpl-DWcE0lYCXtsTUX0jLb44HjGgJTO6p","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99" t="inlineStr">
        <is>
          <t>Canada Goose Black Down Hooded Parka Jacket</t>
        </is>
      </c>
      <c r="L99" t="inlineStr">
        <is>
          <t>{"id":"chatcmpl-DWaGKFEvuxn6SDptY5AB2tZd3TwQj","object":"chat.completion","created":1776658260,"model":"gpt-5-chat-latest","choices":[{"index":0,"message":{"role":"assistant","content":"Canada Goose black down hooded parka made from waterproof, windproof fabric with premium duck down fill. Features four-pocket design, iconic sleeve badge, minimalist cut for urban or outdoor winter wear.","refusal":null,"annotations":[]},"logprobs":null,"finish_reason":"stop"}],"usage":{"prompt_tokens":931,"completion_tokens":40,"total_tokens":971,"prompt_tokens_details":{"cached_tokens":0,"audio_tokens":0},"completion_tokens_details":{"reasoning_tokens":0,"audio_tokens":0,"accepted_prediction_tokens":0,"rejected_prediction_tokens":0}},"service_tier":"default","system_fingerprint":"fp_ad66631dec"}</t>
        </is>
      </c>
      <c r="M9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ma=2592000","apim-request-id":"fc17339e-2dc2-404e-945e-be5db881f0e3","azureml-model-session":"d20260402083108-57a85543","cache-control":"no-cache, no-store, must-revalidate","connection":"close","content-length":"1007","content-security-policy":"frame-ancestors 'self'","content-type":"application/json","date":"Mon, 20 Apr 2026 04:11:02 GMT","server":"nginx","skip-error-remapping":"true","strict-transport-security":"max-age=31536000; includeSubDomains; preload","via":"1.1 Caddy, 1.1 Caddy","x-api-request-id":"20260420121059546080364So1zVa2G","x-content-type-options":"nosniff","x-frame-options":"SAMEORIGIN","x-ms-is-spilled-over":"false","x-ms-rai-invoked":"false","x-ms-region":"East US 2","x-new-api-version":"0.4.39","x-oneapi-request-id":"202604200410594137100538268d9d6oiRPrnWm","x-ratelimit-abusepenalty-active":"False","x-ratelimit-limit-requests":"4994","x-ratelimit-limit-tokens":"4994000","x-ratelimit-remaining-requests":"4993","x-ratelimit-remaining-tokens":"4992307","x-ratelimit-renewalperiod-requests":"60","x-ratelimit-renewalperiod-tokens":"60","x-ratelimit-reset-requests":"12","x-ratelimit-reset-tokens":"20","x-request-id":"87e5a943-a275-4384-9976-779fdc4c95ba"}</t>
        </is>
      </c>
      <c r="N99" t="inlineStr">
        <is>
          <t>Canada Goose black down hooded parka made from waterproof, windproof fabric with premium duck down fill. Features four-pocket design, iconic sleeve badge, minimalist cut for urban or outdoor winter wear.</t>
        </is>
      </c>
      <c r="O99"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1776668810,"id":"chatcmpl-DWd0UGmwX8ibF1TCNVmT392K2RK3Z","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9" t="inlineStr">
        <is>
          <t>Canada Goose, Jackets, kakobuy, kakebuy2026, kekobuysheet, kakobuysheet2026, 2026kakobuy, kakobuyspreadsheeet, kakobuylink, kakebuylist, Kakobuy MEGA Spreadsheet, kakobuysheetfind, kakobuysheetfind2026, 2026kakobuysheetfind, kakobuysheet2026</t>
        </is>
      </c>
      <c r="Q99"/>
      <c r="R99" t="inlineStr">
        <is>
          <t>recvh6xFVj3iwp</t>
        </is>
      </c>
      <c r="S99" t="inlineStr">
        <is>
          <t>canada-goose-black-down-hooded-parka-recvh6xFVj3iwp</t>
        </is>
      </c>
      <c r="T99"/>
      <c r="U99"/>
      <c r="V99"/>
      <c r="W99" t="inlineStr">
        <is>
          <t>{"id":"chatcmpl-DWZabU4R53Ueyy75tpDOobi6vhG67","object":"chat.completion","created":1776655673,"model":"gpt-5-chat-latest","choices":[{"index":0,"message":{"role":"assistant","content":"Canada Goose：黑色羽绒连帽派克服，甄选防风防水高密度面料，内填优质鸭绒保暖卓越。简约立体剪裁，四袋设计兼顾实用与美观。袖侧标志徽章彰显品牌辨识度，适合男女冬季户外及城市休闲穿搭，尽显现代极简风格。","refusal":null,"annotations":[]},"logprobs":null,"finish_reason":"stop"}],"usage":{"prompt_tokens":1320,"completion_tokens":93,"total_tokens":1413,"prompt_tokens_details":{"cached_tokens":0,"audio_tokens":0},"completion_tokens_details":{"reasoning_tokens":0,"audio_tokens":0,"accepted_prediction_tokens":0,"rejected_prediction_tokens":0}},"service_tier":"default","system_fingerprint":"fp_ad66631dec"}</t>
        </is>
      </c>
      <c r="X99" t="inlineStr">
        <is>
          <t>Canada Goose：黑色羽绒连帽派克服，甄选防风防水高密度面料，内填优质鸭绒保暖卓越。简约立体剪裁，四袋设计兼顾实用与美观。袖侧标志徽章彰显品牌辨识度，适合男女冬季户外及城市休闲穿搭，尽显现代极简风格。</t>
        </is>
      </c>
    </row>
    <row r="100" ht="25.5" customHeight="1">
      <c r="A100">
        <v>1839115443</v>
      </c>
      <c r="B100">
        <v>7601196786</v>
      </c>
      <c r="C100" t="inlineStr">
        <is>
          <t>https://weidian.com/item.html?itemID=7601196786</t>
        </is>
      </c>
      <c r="D100"/>
      <c r="E100" s="2" t="str">
        <f>=HYPERLINK("https://si.geilicdn.com/open1839115443-252808396-10ac0000019a6822d3350a22d249_1587_1594.jpg?w=640&amp;h=640", "https://si.geilicdn.com/open1839115443-252808396-10ac0000019a6822d3350a22d249_1587_1594.jpg?w=640&amp;h=640")</f>
        <v>https://si.geilicdn.com/open1839115443-252808396-10ac0000019a6822d3350a22d249_1587_1594.jpg?w=640&amp;h=640</v>
      </c>
      <c r="F100" t="inlineStr">
        <is>
          <t>Jackets</t>
        </is>
      </c>
      <c r="G100" t="inlineStr">
        <is>
          <t>Canada Goose</t>
        </is>
      </c>
      <c r="H100" t="inlineStr">
        <is>
          <t>850.00</t>
        </is>
      </c>
      <c r="I100">
        <v>123.19</v>
      </c>
      <c r="J100" t="inlineStr">
        <is>
          <t>{"choices":[{"finish_reason":"stop","index":0,"logprobs":null,"message":{"annotations":[],"content":"Canada Goose 2239L Black Hooded Down Jacket","refusal":null,"role":"assistant"}}],"created":1776666045,"id":"chatcmpl-DWcHtFFQHdAtKi5A534rJOuTqSWG6","model":"gpt-5-chat-latest","object":"chat.completion","service_tier":"default","system_fingerprint":"fp_ad66631dec","usage":{"completion_tokens":12,"completion_tokens_details":{"accepted_prediction_tokens":0,"audio_tokens":0,"reasoning_tokens":0,"rejected_prediction_tokens":0},"prompt_tokens":892,"prompt_tokens_details":{"audio_tokens":0,"cached_tokens":0},"total_tokens":904}}</t>
        </is>
      </c>
      <c r="K100" t="inlineStr">
        <is>
          <t>Canada Goose 2239L Black Hooded Down Jacket</t>
        </is>
      </c>
      <c r="L100" t="inlineStr">
        <is>
          <t>{"choices":[{"finish_reason":"stop","index":0,"logprobs":null,"message":{"annotations":[],"content":"Canada Goose 2239L Black Hooded Down Jacket, windproof shell with premium goose down, lightweight warmth, 3D cut high-neck design, zipper closure, drawstring hem, unisex urban winter style.","refusal":null,"role":"assistant"}}],"created":1776659149,"id":"chatcmpl-DWaUfncODzxvMoVOLf9EtQjokz3Je","model":"gpt-5-chat-latest","object":"chat.completion","service_tier":"default","system_fingerprint":"fp_ad66631dec","usage":{"completion_tokens":45,"completion_tokens_details":{"accepted_prediction_tokens":0,"audio_tokens":0,"reasoning_tokens":0,"rejected_prediction_tokens":0},"prompt_tokens":935,"prompt_tokens_details":{"audio_tokens":0,"cached_tokens":0},"total_tokens":980}}</t>
        </is>
      </c>
      <c r="M100" t="inlineStr">
        <is>
          <t>{"alt-svc":"h3=\":443\"; ma=2592000","apim-request-id":"6a7f2e77-91dc-4c78-8a61-7ebff245b551","azureml-model-session":"d20260405225800-40f19e54","cache-control":"no-cache","connection":"close","content-length":"777","content-security-policy":"frame-ancestors 'self'","content-type":"application/json","date":"Mon, 20 Apr 2026 04:25:51 GMT","server":"Caddy","skip-error-remapping":"true","strict-transport-security":"max-age=31536000; includeSubDomains; preload","via":"1.1 Caddy","x-api-request-id":"20260420122549463747478aaF2IZ5","x-content-type-options":"nosniff","x-frame-options":"SAMEORIGIN","x-ms-client-request-id":"Not-Set","x-ms-is-spilled-over":"false","x-ms-rai-invoked":"true","x-ms-region":"East US 2","x-new-api-version":"0.4.39","x-oneapi-request-id":"202604200425489556677218268d9d6h1HLaplb","x-ratelimit-abusepenalty-active":"False","x-ratelimit-limit-requests":"3850","x-ratelimit-limit-tokens":"3850000","x-ratelimit-remaining-requests":"3849","x-ratelimit-remaining-tokens":"3848303","x-ratelimit-renewalperiod-requests":"60","x-ratelimit-renewalperiod-tokens":"60","x-ratelimit-reset-requests":"15","x-ratelimit-reset-tokens":"26","x-request-id":"af69a6ee-13e4-4b77-8431-3b25b58be47e"}</t>
        </is>
      </c>
      <c r="N100" t="inlineStr">
        <is>
          <t>Canada Goose 2239L Black Hooded Down Jacket, windproof shell with premium goose down, lightweight warmth, 3D cut high-neck design, zipper closure, drawstring hem, unisex urban winter style.</t>
        </is>
      </c>
      <c r="O100"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1776667927,"id":"chatcmpl-DWcmFU9PYtOMPjQdxt5IVP2XrV688","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0" t="inlineStr">
        <is>
          <t>Canada Goose, Jackets, kakobuy, kakebuy2026, kekobuysheet, kakobuysheet2026, 2026kakobuy, kakobuyspreadsheeet, kakobuylink, kakebuylist, Kakobuy MEGA Spreadsheet, kakobuysheetfind, kakobuysheetfind2026, 2026kakobuysheetfind, kakobuysheet2026</t>
        </is>
      </c>
      <c r="Q100" t="inlineStr">
        <is>
          <t>Unisex, Windproof, Black, Winter Boots</t>
        </is>
      </c>
      <c r="R100" t="inlineStr">
        <is>
          <t>recvh6xFVjX9nF</t>
        </is>
      </c>
      <c r="S100" t="inlineStr">
        <is>
          <t>canada-goose-hooded-down-jacket-recvh6xfvjx9nf</t>
        </is>
      </c>
      <c r="T100"/>
      <c r="U100"/>
      <c r="V100"/>
      <c r="W100" t="inlineStr">
        <is>
          <t>{"choices":[{"finish_reason":"stop","index":0,"logprobs":null,"message":{"annotations":[],"content":"Canada Goose：2239L系列黑色连帽羽绒服，高密防风面料搭配优质鹅绒填充，保暖轻盈。立体剪裁设计展现立领防寒结构，简约拉链与抽绳下摆提升实穿性。中性款式适合都市户外与冬季出行，兼具时尚感与功能性，打造现代寒冬御寒风尚。","refusal":null,"role":"assistant"}}],"created":1776655871,"id":"chatcmpl-DWZdnhyztffKI5E0c7Sc2pD9Chdie","model":"gpt-5-chat-latest","object":"chat.completion","service_tier":"default","system_fingerprint":"fp_ad66631dec","usage":{"completion_tokens":98,"completion_tokens_details":{"accepted_prediction_tokens":0,"audio_tokens":0,"reasoning_tokens":0,"rejected_prediction_tokens":0},"prompt_tokens":1318,"prompt_tokens_details":{"audio_tokens":0,"cached_tokens":0},"total_tokens":1416}}</t>
        </is>
      </c>
      <c r="X100" t="inlineStr">
        <is>
          <t>Canada Goose：2239L系列黑色连帽羽绒服，高密防风面料搭配优质鹅绒填充，保暖轻盈。立体剪裁设计展现立领防寒结构，简约拉链与抽绳下摆提升实穿性。中性款式适合都市户外与冬季出行，兼具时尚感与功能性，打造现代寒冬御寒风尚。</t>
        </is>
      </c>
    </row>
    <row r="101" ht="25.5" customHeight="1">
      <c r="A101">
        <v>1839115443</v>
      </c>
      <c r="B101">
        <v>7599347891</v>
      </c>
      <c r="C101" t="inlineStr">
        <is>
          <t>https://weidian.com/item.html?itemID=7599347891</t>
        </is>
      </c>
      <c r="D101"/>
      <c r="E101" s="2" t="str">
        <f>=HYPERLINK("https://si.geilicdn.com/open1839115443-252808396-23d00000019a6822d47d0aa081c2_721_1085.jpg?w=640&amp;h=640", "https://si.geilicdn.com/open1839115443-252808396-23d00000019a6822d47d0aa081c2_721_1085.jpg?w=640&amp;h=640")</f>
        <v>https://si.geilicdn.com/open1839115443-252808396-23d00000019a6822d47d0aa081c2_721_1085.jpg?w=640&amp;h=640</v>
      </c>
      <c r="F101" t="inlineStr">
        <is>
          <t>Jackets</t>
        </is>
      </c>
      <c r="G101" t="inlineStr">
        <is>
          <t>Canada Goose</t>
        </is>
      </c>
      <c r="H101" t="inlineStr">
        <is>
          <t>970.00</t>
        </is>
      </c>
      <c r="I101">
        <v>140.58</v>
      </c>
      <c r="J101" t="inlineStr">
        <is>
          <t>{"choices":[{"finish_reason":"stop","index":0,"logprobs":null,"message":{"annotations":[],"content":"Canada Goose Black Down Jacket Waterproof Winter Coat","refusal":null,"role":"assistant"}}],"created":1776666061,"id":"chatcmpl-DWcI95ycGbAwlZYxVFITdowiAFkQP","model":"gpt-5-chat-latest","object":"chat.completion","service_tier":"default","system_fingerprint":"fp_ad66631dec","usage":{"completion_tokens":9,"completion_tokens_details":{"accepted_prediction_tokens":0,"audio_tokens":0,"reasoning_tokens":0,"rejected_prediction_tokens":0},"prompt_tokens":876,"prompt_tokens_details":{"audio_tokens":0,"cached_tokens":0},"total_tokens":885}}</t>
        </is>
      </c>
      <c r="K101" t="inlineStr">
        <is>
          <t>Canada Goose Black Down Jacket Waterproof Winter Coat</t>
        </is>
      </c>
      <c r="L101" t="inlineStr">
        <is>
          <t>{"choices":[{"finish_reason":"stop","index":0,"logprobs":null,"message":{"annotations":[],"content":"Canada Goose black down jacket with high-fill goose down for lightweight warmth, windproof and waterproof fabric, modern hooded design, unisex urban style for winter outdoor and city wear.","refusal":null,"role":"assistant"}}],"created":1776659165,"id":"chatcmpl-DWaUvjTpKLs01NZH3SXtJj1h1mJoP","model":"gpt-5-chat-latest","object":"chat.completion","service_tier":"default","system_fingerprint":"fp_ad66631dec","usage":{"completion_tokens":37,"completion_tokens_details":{"accepted_prediction_tokens":0,"audio_tokens":0,"reasoning_tokens":0,"rejected_prediction_tokens":0},"prompt_tokens":913,"prompt_tokens_details":{"audio_tokens":0,"cached_tokens":0},"total_tokens":950}}</t>
        </is>
      </c>
      <c r="M101" t="inlineStr">
        <is>
          <t>{"alt-svc":"h3=\":443\"; ma=2592000","apim-request-id":"55e97f28-fbe7-4fda-bd3f-20d7e6056da3","azureml-model-session":"d20260402083108-57a85543","cache-control":"no-cache","connection":"close","content-length":"776","content-security-policy":"frame-ancestors 'self'","content-type":"application/json","date":"Mon, 20 Apr 2026 04:26:06 GMT","server":"Caddy","skip-error-remapping":"true","strict-transport-security":"max-age=31536000; includeSubDomains; preload","via":"1.1 Caddy","x-api-request-id":"2026042012260515129213QnfsOd3V","x-content-type-options":"nosniff","x-frame-options":"SAMEORIGIN","x-ms-client-request-id":"Not-Set","x-ms-is-spilled-over":"false","x-ms-rai-invoked":"true","x-ms-region":"East US 2","x-new-api-version":"0.4.39","x-oneapi-request-id":"202604200426049469038938268d9d6VkyxKeDj","x-ratelimit-abusepenalty-active":"False","x-ratelimit-limit-requests":"3850","x-ratelimit-limit-tokens":"3850000","x-ratelimit-remaining-requests":"3849","x-ratelimit-remaining-tokens":"3848325","x-ratelimit-renewalperiod-requests":"60","x-ratelimit-renewalperiod-tokens":"60","x-ratelimit-reset-requests":"15","x-ratelimit-reset-tokens":"26","x-request-id":"eaf87047-1aa1-4c51-ad90-b9d1f0d3d4c1"}</t>
        </is>
      </c>
      <c r="N101" t="inlineStr">
        <is>
          <t>Canada Goose black down jacket with high-fill goose down for lightweight warmth, windproof and waterproof fabric, modern hooded design, unisex urban style for winter outdoor and city wear.</t>
        </is>
      </c>
      <c r="O101" t="inlineStr">
        <is>
          <t>{"choices":[{"finish_reason":"stop","index":0,"logprobs":null,"message":{"annotations":[],"content":"Canada Goose,Jackets,kakobuy,kakebuy2026,kekobuysheet,kakobuysheet2026,2026kakobuy,kakobuyspreadsheeet,kakobuylink,kakebuylist,Kakobuy MEGA Spreadsheet,kakobuysheetfind,kakobuysheetfind2026,2026kakobuysheetfind,kakobuysheet2026","refusal":null,"role":"assistant"}}],"created":1776667947,"id":"chatcmpl-DWcmZKECemldS4LtFcno1O9niJHk6","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01" t="inlineStr">
        <is>
          <t>Canada Goose,Jackets,kakobuy,kakebuy2026,kekobuysheet,kakobuysheet2026,2026kakobuy,kakobuyspreadsheeet,kakobuylink,kakebuylist,Kakobuy MEGA Spreadsheet,kakobuysheetfind,kakobuysheetfind2026,2026kakobuysheetfind,kakobuysheet2026</t>
        </is>
      </c>
      <c r="Q101"/>
      <c r="R101" t="inlineStr">
        <is>
          <t>recvh6xFVj8OIt</t>
        </is>
      </c>
      <c r="S101" t="inlineStr">
        <is>
          <t>canada-goose-black-down-jacket-recvh6xFVj8OIt</t>
        </is>
      </c>
      <c r="T101"/>
      <c r="U101"/>
      <c r="V101"/>
      <c r="W101" t="inlineStr">
        <is>
          <t>{"choices":[{"finish_reason":"stop","index":0,"logprobs":null,"message":{"annotations":[],"content":"Canada Goose 黑色羽绒夹克，采用高蓬松度鹅绒填充，保暖轻盈，防风防水面料设计，立领连帽款式彰显现代都市感，简约硬朗剪裁适合男女通用，冬季户外与都市通勤均可轻松驾驭。","refusal":null,"role":"assistant"}}],"created":1776654965,"id":"chatcmpl-DWZPBmtGnzVDAvelnP2C3b6RkcFQj","model":"gpt-5-chat-latest","object":"chat.completion","service_tier":"default","system_fingerprint":"fp_ad66631dec","usage":{"completion_tokens":76,"completion_tokens_details":{"accepted_prediction_tokens":0,"audio_tokens":0,"reasoning_tokens":0,"rejected_prediction_tokens":0},"prompt_tokens":1318,"prompt_tokens_details":{"audio_tokens":0,"cached_tokens":0},"total_tokens":1394}}</t>
        </is>
      </c>
      <c r="X101" t="inlineStr">
        <is>
          <t>Canada Goose 黑色羽绒夹克，采用高蓬松度鹅绒填充，保暖轻盈，防风防水面料设计，立领连帽款式彰显现代都市感，简约硬朗剪裁适合男女通用，冬季户外与都市通勤均可轻松驾驭。</t>
        </is>
      </c>
    </row>
    <row r="102" ht="25.5" customHeight="1">
      <c r="A102">
        <v>1839115443</v>
      </c>
      <c r="B102">
        <v>7599316293</v>
      </c>
      <c r="C102" t="inlineStr">
        <is>
          <t>https://weidian.com/item.html?itemID=7599316293</t>
        </is>
      </c>
      <c r="D102"/>
      <c r="E102" s="2" t="str">
        <f>=HYPERLINK("https://si.geilicdn.com/open1839115443-252808396-10040000019a6822dba60a231226_1440_1920.jpg?w=640&amp;h=640", "https://si.geilicdn.com/open1839115443-252808396-10040000019a6822dba60a231226_1440_1920.jpg?w=640&amp;h=640")</f>
        <v>https://si.geilicdn.com/open1839115443-252808396-10040000019a6822dba60a231226_1440_1920.jpg?w=640&amp;h=640</v>
      </c>
      <c r="F102" t="inlineStr">
        <is>
          <t>Jackets</t>
        </is>
      </c>
      <c r="G102" t="inlineStr">
        <is>
          <t>Canada Goose</t>
        </is>
      </c>
      <c r="H102" t="inlineStr">
        <is>
          <t>590.00</t>
        </is>
      </c>
      <c r="I102">
        <v>85.51</v>
      </c>
      <c r="J102" t="inlineStr">
        <is>
          <t>{"id":"chatcmpl-DWcVNkbTZinMhtfnH5wywSPcGfPbt","object":"chat.completion","created":1776666881,"model":"gpt-5-chat-latest","choices":[{"index":0,"message":{"role":"assistant","content":"Canada Goose Black Down Vest Winter Outerwear","refusal":null,"annotations":[]},"logprobs":null,"finish_reason":"stop"}],"usage":{"prompt_tokens":884,"completion_tokens":9,"total_tokens":893,"prompt_tokens_details":{"cached_tokens":0,"audio_tokens":0},"completion_tokens_details":{"reasoning_tokens":0,"audio_tokens":0,"accepted_prediction_tokens":0,"rejected_prediction_tokens":0}},"service_tier":"default","system_fingerprint":"fp_ad66631dec"}</t>
        </is>
      </c>
      <c r="K102" t="inlineStr">
        <is>
          <t>Canada Goose Black Down Vest Winter Outerwear</t>
        </is>
      </c>
      <c r="L102" t="inlineStr">
        <is>
          <t>{"id":"chatcmpl-DWaVCEnscJHcUmIsDHXWhQ72PcVLp","object":"chat.completion","created":1776659182,"model":"gpt-5-chat-latest","choices":[{"index":0,"message":{"role":"assistant","content":"Canada Goose Black Classic Down Vest, crafted from high-density windproof nylon and filled with premium goose down. Lightweight warmth with a sleek stand collar, unisex urban style for fall and winter outdoor wear.","refusal":null,"annotations":[]},"logprobs":null,"finish_reason":"stop"}],"usage":{"prompt_tokens":910,"completion_tokens":41,"total_tokens":951,"prompt_tokens_details":{"cached_tokens":0,"audio_tokens":0},"completion_tokens_details":{"reasoning_tokens":0,"audio_tokens":0,"accepted_prediction_tokens":0,"rejected_prediction_tokens":0}},"service_tier":"default","system_fingerprint":"fp_ad66631dec"}</t>
        </is>
      </c>
      <c r="M10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ma=2592000","apim-request-id":"87633bab-b478-4a17-a436-ccf48c4ea110","azureml-model-session":"d20260405225800-40f19e54","cache-control":"no-cache, no-store, must-revalidate","connection":"close","content-length":"1018","content-security-policy":"frame-ancestors 'self'","content-type":"application/json","date":"Mon, 20 Apr 2026 04:26:23 GMT","server":"Caddy","skip-error-remapping":"true","strict-transport-security":"max-age=31536000; includeSubDomains; preload","via":"1.1 Caddy","x-api-request-id":"20260420122621595091347DS7hF4Zz","x-content-type-options":"nosniff","x-frame-options":"SAMEORIGIN","x-ms-is-spilled-over":"false","x-ms-rai-invoked":"false","x-ms-region":"East US 2","x-new-api-version":"0.4.39","x-oneapi-request-id":"202604200426215277830858268d9d6FfwKEWHn","x-ratelimit-abusepenalty-active":"False","x-ratelimit-limit-requests":"4994","x-ratelimit-limit-tokens":"4994000","x-ratelimit-remaining-requests":"4993","x-ratelimit-remaining-tokens":"4992328","x-ratelimit-renewalperiod-requests":"60","x-ratelimit-renewalperiod-tokens":"60","x-ratelimit-reset-requests":"12","x-ratelimit-reset-tokens":"20","x-request-id":"99ae6c8e-16bd-4336-a4e4-e4f95d943020"}</t>
        </is>
      </c>
      <c r="N102" t="inlineStr">
        <is>
          <t>Canada Goose Black Classic Down Vest, crafted from high-density windproof nylon and filled with premium goose down. Lightweight warmth with a sleek stand collar, unisex urban style for fall and winter outdoor wear.</t>
        </is>
      </c>
      <c r="O102" t="inlineStr">
        <is>
          <t>{"choices":[{"finish_reason":"stop","index":0,"logprobs":null,"message":{"annotations":[],"content":"Canada Goose, Jacket, kakobuy, kakebuy2026, kekobuysheet, kakobuysheet2026, 2026kakobuy, kakobuyspreadsheeet, kakobuylink, kakebuylist, Kakobuy MEGA Spreadsheet, kakobuysheetfind, kakobuysheetfind2026, 2026kakobuysheetfind, kakobuysheet2026","refusal":null,"role":"assistant"}}],"created":1776667918,"id":"chatcmpl-DWcm6P8awxWkGQS5MNeBfwQRaV71o","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2" t="inlineStr">
        <is>
          <t>Canada Goose, Jacket, kakobuy, kakebuy2026, kekobuysheet, kakobuysheet2026, 2026kakobuy, kakobuyspreadsheeet, kakobuylink, kakebuylist, Kakobuy MEGA Spreadsheet, kakobuysheetfind, kakobuysheetfind2026, 2026kakobuysheetfind, kakobuysheet2026</t>
        </is>
      </c>
      <c r="Q102" t="inlineStr">
        <is>
          <t>Black, Unisex, Autumn And Winter, Nylon, Outdoor, Sleek</t>
        </is>
      </c>
      <c r="R102" t="inlineStr">
        <is>
          <t>recvh6xFVjwkyU</t>
        </is>
      </c>
      <c r="S102" t="inlineStr">
        <is>
          <t>canada-goose-black-down-vest-recvh6xfvjwkyu</t>
        </is>
      </c>
      <c r="T102"/>
      <c r="U102"/>
      <c r="V102"/>
      <c r="W102" t="inlineStr">
        <is>
          <t>{"id":"chatcmpl-DWZZe6o3VLP1KkZ5QDFCnDlH3M7rU","object":"chat.completion","created":1776655614,"model":"gpt-5-chat-latest","choices":[{"index":0,"message":{"role":"assistant","content":"Canada Goose：黑色经典羽绒马甲，采用高密防风尼龙面料与优质鹅绒填充，保暖轻盈。立领设计凸显简约都市风格，男女皆宜，适合秋冬户外与日常穿搭，彰显加拿大北境极寒防护美学。","refusal":null,"annotations":[]},"logprobs":null,"finish_reason":"stop"}],"usage":{"prompt_tokens":1314,"completion_tokens":75,"total_tokens":1389,"prompt_tokens_details":{"cached_tokens":0,"audio_tokens":0},"completion_tokens_details":{"reasoning_tokens":0,"audio_tokens":0,"accepted_prediction_tokens":0,"rejected_prediction_tokens":0}},"service_tier":"default","system_fingerprint":"fp_ad66631dec"}</t>
        </is>
      </c>
      <c r="X102" t="inlineStr">
        <is>
          <t>Canada Goose：黑色经典羽绒马甲，采用高密防风尼龙面料与优质鹅绒填充，保暖轻盈。立领设计凸显简约都市风格，男女皆宜，适合秋冬户外与日常穿搭，彰显加拿大北境极寒防护美学。</t>
        </is>
      </c>
    </row>
    <row r="103" ht="25.5" customHeight="1">
      <c r="A103">
        <v>1839115443</v>
      </c>
      <c r="B103">
        <v>7601177350</v>
      </c>
      <c r="C103" t="inlineStr">
        <is>
          <t>https://weidian.com/item.html?itemID=7601177350</t>
        </is>
      </c>
      <c r="D103"/>
      <c r="E103" s="2" t="str">
        <f>=HYPERLINK("https://si.geilicdn.com/open1839115443-252808396-0fea0000019a6822c7870a231226_979_979.jpg?w=640&amp;h=640", "https://si.geilicdn.com/open1839115443-252808396-0fea0000019a6822c7870a231226_979_979.jpg?w=640&amp;h=640")</f>
        <v>https://si.geilicdn.com/open1839115443-252808396-0fea0000019a6822c7870a231226_979_979.jpg?w=640&amp;h=640</v>
      </c>
      <c r="F103" t="inlineStr">
        <is>
          <t>Jackets</t>
        </is>
      </c>
      <c r="G103" t="inlineStr">
        <is>
          <t>Moncler</t>
        </is>
      </c>
      <c r="H103" t="inlineStr">
        <is>
          <t>630.00</t>
        </is>
      </c>
      <c r="I103">
        <v>91.3</v>
      </c>
      <c r="J103" t="inlineStr">
        <is>
          <t>{"id":"chatcmpl-DWcC950I3LkDvdk8ePNu1mjzBLAwG","object":"chat.completion","created":1776665689,"model":"gpt-5-chat-latest","choices":[{"index":0,"message":{"role":"assistant","content":"Moncler Classic Black Goose Down Hooded Vest","refusal":null,"annotations":[]},"logprobs":null,"finish_reason":"stop"}],"usage":{"prompt_tokens":882,"completion_tokens":10,"total_tokens":892,"prompt_tokens_details":{"cached_tokens":0,"audio_tokens":0},"completion_tokens_details":{"reasoning_tokens":0,"audio_tokens":0,"accepted_prediction_tokens":0,"rejected_prediction_tokens":0}},"service_tier":"default","system_fingerprint":"fp_ad66631dec"}</t>
        </is>
      </c>
      <c r="K103" t="inlineStr">
        <is>
          <t>Moncler Classic Black Goose Down Hooded Vest</t>
        </is>
      </c>
      <c r="L103" t="inlineStr">
        <is>
          <t>{"id":"chatcmpl-DWaMqk6fM8lScXyEarZhZvgwUv6ZG","object":"chat.completion","created":1776658664,"model":"gpt-5-chat-latest","choices":[{"index":0,"message":{"role":"assistant","content":"Moncler Classic Black Down Vest: High-density nylon, premium goose down fill, lightweight, windproof, hooded stand collar, dual zip pockets, French luxury style for urban and outdoor wear.","refusal":null,"annotations":[]},"logprobs":null,"finish_reason":"stop"}],"usage":{"prompt_tokens":926,"completion_tokens":40,"total_tokens":966,"prompt_tokens_details":{"cached_tokens":0,"audio_tokens":0},"completion_tokens_details":{"reasoning_tokens":0,"audio_tokens":0,"accepted_prediction_tokens":0,"rejected_prediction_tokens":0}},"service_tier":"default","system_fingerprint":"fp_ad66631dec"}</t>
        </is>
      </c>
      <c r="M10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ma=2592000","apim-request-id":"d3cdb0bb-4e5d-4e44-b054-4d6c72162bd3","azureml-model-session":"d20260405234249-f9874baf","cache-control":"no-cache, no-store, must-revalidate","connection":"close","content-length":"992","content-security-policy":"frame-ancestors 'self'","content-type":"application/json","date":"Mon, 20 Apr 2026 04:17:47 GMT","server":"nginx","skip-error-remapping":"true","strict-transport-security":"max-age=31536000; includeSubDomains; preload","via":"1.1 Caddy, 1.1 Caddy","x-api-request-id":"20260420121743171308920F3bF5uBq","x-content-type-options":"nosniff","x-frame-options":"SAMEORIGIN","x-ms-is-spilled-over":"false","x-ms-rai-invoked":"false","x-ms-region":"Sweden Central","x-new-api-version":"0.4.39","x-oneapi-request-id":"202604200417431052835618268d9d6gGf3P7xB","x-ratelimit-abusepenalty-active":"False","x-ratelimit-limit-requests":"4993","x-ratelimit-limit-tokens":"4993000","x-ratelimit-remaining-requests":"4992","x-ratelimit-remaining-tokens":"4991312","x-ratelimit-renewalperiod-requests":"60","x-ratelimit-renewalperiod-tokens":"60","x-ratelimit-reset-requests":"12","x-ratelimit-reset-tokens":"20","x-request-id":"1ea9345a-1f84-41e7-994d-c800b255e197"}</t>
        </is>
      </c>
      <c r="N103" t="inlineStr">
        <is>
          <t>Moncler Classic Black Down Vest: High-density nylon, premium goose down fill, lightweight, windproof, hooded stand collar, dual zip pockets, French luxury style for urban and outdoor wear.</t>
        </is>
      </c>
      <c r="O103" t="inlineStr">
        <is>
          <t>{"choices":[{"finish_reason":"stop","index":0,"logprobs":null,"message":{"annotations":[],"content":"Moncler,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1776668528,"id":"chatcmpl-DWcvw8ezzUfTI7kb7bAMCol0bpGGy","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3" t="inlineStr">
        <is>
          <t>Moncler, Jackets, kakobuy, kakebuy2026, kekobuysheet, kakobuysheet2026, 2026kakobuy, kakobuyspreadsheeet, kakobuylink, kakebuylist, Kakobuy MEGA Spreadsheet, kakobuysheetfind, kakobuysheetfind2026, 2026kakobuysheetfind, kakobuysheet2026</t>
        </is>
      </c>
      <c r="Q103" t="inlineStr">
        <is>
          <t>Black, Lightweight, Windproof, Outdoor, Winter</t>
        </is>
      </c>
      <c r="R103" t="inlineStr">
        <is>
          <t>recvh6xFVjozp5</t>
        </is>
      </c>
      <c r="S103" t="inlineStr">
        <is>
          <t>moncler-classic-black-goose-down-hooded-vest-recvh6xFVjozp5</t>
        </is>
      </c>
      <c r="T103"/>
      <c r="U103"/>
      <c r="V103"/>
      <c r="W103" t="inlineStr">
        <is>
          <t>{"choices":[{"finish_reason":"stop","index":0,"logprobs":null,"message":{"annotations":[],"content":"Moncler：经典黑色羽绒马甲，采用高密尼龙面料与优质鹅绒填充，轻盈保暖兼具防风功能。立领连帽设计增添层次感，前双拉链口袋实用便捷，简约轮廓彰显品牌法式奢华美学，男女皆宜，适合都市休闲与户外穿搭。","refusal":null,"role":"assistant"}}],"created":1776655822,"id":"chatcmpl-DWZd0tG8weKuRLHqqOMEs90o3WV1H","model":"gpt-5-chat-latest","object":"chat.completion","service_tier":"default","system_fingerprint":"fp_ad66631dec","usage":{"completion_tokens":92,"completion_tokens_details":{"accepted_prediction_tokens":0,"audio_tokens":0,"reasoning_tokens":0,"rejected_prediction_tokens":0},"prompt_tokens":1312,"prompt_tokens_details":{"audio_tokens":0,"cached_tokens":0},"total_tokens":1404}}</t>
        </is>
      </c>
      <c r="X103" t="inlineStr">
        <is>
          <t>Moncler：经典黑色羽绒马甲，采用高密尼龙面料与优质鹅绒填充，轻盈保暖兼具防风功能。立领连帽设计增添层次感，前双拉链口袋实用便捷，简约轮廓彰显品牌法式奢华美学，男女皆宜，适合都市休闲与户外穿搭。</t>
        </is>
      </c>
    </row>
    <row r="104" ht="25.5" customHeight="1">
      <c r="A104">
        <v>1839115443</v>
      </c>
      <c r="B104">
        <v>7599341941</v>
      </c>
      <c r="C104" t="inlineStr">
        <is>
          <t>https://weidian.com/item.html?itemID=7599341941</t>
        </is>
      </c>
      <c r="D104"/>
      <c r="E104" s="2" t="str">
        <f>=HYPERLINK("https://si.geilicdn.com/open1839115443-252808396-109a0000019a6822ca600a22d249_1440_1920.jpg?w=640&amp;h=640", "https://si.geilicdn.com/open1839115443-252808396-109a0000019a6822ca600a22d249_1440_1920.jpg?w=640&amp;h=640")</f>
        <v>https://si.geilicdn.com/open1839115443-252808396-109a0000019a6822ca600a22d249_1440_1920.jpg?w=640&amp;h=640</v>
      </c>
      <c r="F104" t="inlineStr">
        <is>
          <t>Jackets</t>
        </is>
      </c>
      <c r="G104" t="inlineStr">
        <is>
          <t xml:space="preserve"> Moncler</t>
        </is>
      </c>
      <c r="H104" t="inlineStr">
        <is>
          <t>750.00</t>
        </is>
      </c>
      <c r="I104">
        <v>108.695652173913</v>
      </c>
      <c r="J104" t="inlineStr">
        <is>
          <t>{"id":"chatcmpl-DWcBkiZ4pHOkSs7yIXHmfW5eRLPa1","object":"chat.completion","created":1776665664,"model":"gpt-5-chat-latest","choices":[{"index":0,"message":{"role":"assistant","content":"Moncler Lago Dark Gray Waterproof Hooded Down Jacket","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104" t="inlineStr">
        <is>
          <t>Moncler Lago Dark Gray Waterproof Hooded Down Jacket</t>
        </is>
      </c>
      <c r="L104" t="inlineStr">
        <is>
          <t>{"choices":[{"finish_reason":"stop","index":0,"logprobs":null,"message":{"annotations":[],"content":"Moncler Lago Down Jacket in dark gray, made from high-density waterproof nylon. Features hooded stand collar, windproof warmth, sleek unisex design for urban winter style and premium craftsmanship.","refusal":null,"role":"assistant"}}],"created":1776658784,"id":"chatcmpl-DWaOmFiLC6VOkdlElzxF9SrslEt4U","model":"gpt-5-chat-latest","object":"chat.completion","service_tier":"default","system_fingerprint":"fp_ad66631dec","usage":{"completion_tokens":39,"completion_tokens_details":{"accepted_prediction_tokens":0,"audio_tokens":0,"reasoning_tokens":0,"rejected_prediction_tokens":0},"prompt_tokens":907,"prompt_tokens_details":{"audio_tokens":0,"cached_tokens":0},"total_tokens":946}}</t>
        </is>
      </c>
      <c r="M104" t="inlineStr">
        <is>
          <t>{"alt-svc":"h3=\":443\"; ma=2592000","apim-request-id":"c417ac09-347a-4d36-99ab-202e0508c3df","azureml-model-session":"d20260402083108-57a85543","cache-control":"no-cache","connection":"close","content-length":"785","content-security-policy":"frame-ancestors 'self'","content-type":"application/json","date":"Mon, 20 Apr 2026 04:19:46 GMT","server":"nginx","skip-error-remapping":"true","strict-transport-security":"max-age=31536000; includeSubDomains; preload","via":"1.1 Caddy, 1.1 Caddy","x-api-request-id":"20260420121944106690989ldy2DaoU","x-content-type-options":"nosniff","x-frame-options":"SAMEORIGIN","x-ms-client-request-id":"Not-Set","x-ms-is-spilled-over":"false","x-ms-rai-invoked":"true","x-ms-region":"East US 2","x-new-api-version":"0.4.39","x-oneapi-request-id":"20260420041944414907048268d9d6opoj2U4X","x-ratelimit-abusepenalty-active":"False","x-ratelimit-limit-requests":"3850","x-ratelimit-limit-tokens":"3850000","x-ratelimit-remaining-requests":"3849","x-ratelimit-remaining-tokens":"3848331","x-ratelimit-renewalperiod-requests":"60","x-ratelimit-renewalperiod-tokens":"60","x-ratelimit-reset-requests":"15","x-ratelimit-reset-tokens":"26","x-request-id":"1b9e89d4-483a-4262-8b43-a7e10062d9da"}</t>
        </is>
      </c>
      <c r="N104" t="inlineStr">
        <is>
          <t>Moncler Lago Down Jacket in dark gray, made from high-density waterproof nylon. Features hooded stand collar, windproof warmth, sleek unisex design for urban winter style and premium craftsmanship.</t>
        </is>
      </c>
      <c r="O104" t="inlineStr">
        <is>
          <t>{"choices":[{"finish_reason":"stop","index":0,"logprobs":null,"message":{"annotations":[],"content":"Moncler,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1776668828,"id":"chatcmpl-DWd0mCmUPgdmimgYLg3mwhmiL3E3z","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4" t="inlineStr">
        <is>
          <t>Moncler, Jackets, kakobuy, kakebuy2026, kekobuysheet, kakobuysheet2026, 2026kakobuy, kakobuyspreadsheeet, kakobuylink, kakebuylist, Kakobuy MEGA Spreadsheet, kakobuysheetfind, kakobuysheetfind2026, 2026kakobuysheetfind, kakobuysheet2026</t>
        </is>
      </c>
      <c r="Q104" t="inlineStr">
        <is>
          <t>Dark Grey, Waterproof, Windproof, Winter, Unisex, Nylon</t>
        </is>
      </c>
      <c r="R104" t="inlineStr">
        <is>
          <t>recvh6xFVj5QeI</t>
        </is>
      </c>
      <c r="S104" t="inlineStr">
        <is>
          <t>moncler-lago-dark-gray-waterproof-hooded-down-jacket-recvh6xFVj5QeI</t>
        </is>
      </c>
      <c r="T104"/>
      <c r="U104"/>
      <c r="V104"/>
      <c r="W104" t="inlineStr">
        <is>
          <t>{"choices":[{"content_filter_result":{"error":{"code":"content_filter_error","message":"The contents are not filtered"}},"finish_reason":"stop","index":0,"logprobs":null,"message":{"annotations":[],"content":"Moncler：Lago系列深灰色羽绒夹克，高密度尼龙面料防风防水，立领连帽设计保暖加倍，简约廓形融合现代都市风格，适合男女通用冬季出行，展现品牌精致工艺与时尚格调。","refusal":null,"role":"assistant"}}],"created":1776655800,"id":"chatcmpl-DWZcetEicfq2kvT878vXQyV2Coh4R","model":"gpt-5-chat-latest","object":"chat.completion","service_tier":"default","system_fingerprint":"fp_ad66631dec","usage":{"completion_tokens":72,"completion_tokens_details":{"accepted_prediction_tokens":0,"audio_tokens":0,"reasoning_tokens":0,"rejected_prediction_tokens":0},"prompt_tokens":1316,"prompt_tokens_details":{"audio_tokens":0,"cached_tokens":0},"total_tokens":1388}}</t>
        </is>
      </c>
      <c r="X104" t="inlineStr">
        <is>
          <t>Moncler：Lago系列深灰色羽绒夹克，高密度尼龙面料防风防水，立领连帽设计保暖加倍，简约廓形融合现代都市风格，适合男女通用冬季出行，展现品牌精致工艺与时尚格调。</t>
        </is>
      </c>
    </row>
    <row r="105" ht="25.5" customHeight="1">
      <c r="A105">
        <v>1839115443</v>
      </c>
      <c r="B105">
        <v>7601179148</v>
      </c>
      <c r="C105" t="inlineStr">
        <is>
          <t>https://weidian.com/item.html?itemID=7601179148</t>
        </is>
      </c>
      <c r="D105"/>
      <c r="E105" s="2" t="str">
        <f>=HYPERLINK("https://si.geilicdn.com/open1839115443-252808396-21320000019a681f23d10aa081c2_1080_1080.jpg?w=640&amp;h=640", "https://si.geilicdn.com/open1839115443-252808396-21320000019a681f23d10aa081c2_1080_1080.jpg?w=640&amp;h=640")</f>
        <v>https://si.geilicdn.com/open1839115443-252808396-21320000019a681f23d10aa081c2_1080_1080.jpg?w=640&amp;h=640</v>
      </c>
      <c r="F105" t="inlineStr">
        <is>
          <t>Jackets</t>
        </is>
      </c>
      <c r="G105" t="inlineStr">
        <is>
          <t>Moncler</t>
        </is>
      </c>
      <c r="H105" t="inlineStr">
        <is>
          <t>990.00</t>
        </is>
      </c>
      <c r="I105">
        <v>143.48</v>
      </c>
      <c r="J105" t="inlineStr">
        <is>
          <t>{"id":"chatcmpl-DWcSKcqxYRUXmAaZE3qjWQyeVB5rW","object":"chat.completion","created":1776666692,"model":"gpt-5-chat-latest","choices":[{"index":0,"message":{"role":"assistant","content":"Moncler Lago Black Waterproof Down Jacket","refusal":null,"annotations":[]},"logprobs":null,"finish_reason":"stop"}],"usage":{"prompt_tokens":874,"completion_tokens":8,"total_tokens":882,"prompt_tokens_details":{"cached_tokens":0,"audio_tokens":0},"completion_tokens_details":{"reasoning_tokens":0,"audio_tokens":0,"accepted_prediction_tokens":0,"rejected_prediction_tokens":0}},"service_tier":"default","system_fingerprint":"fp_ad66631dec"}</t>
        </is>
      </c>
      <c r="K105" t="inlineStr">
        <is>
          <t>Moncler Lago Black Waterproof Down Jacket</t>
        </is>
      </c>
      <c r="L105" t="inlineStr">
        <is>
          <t>{"id":"chatcmpl-DWabA3ZpsfoybrJff2S2zpKCLLshy","object":"chat.completion","created":1776659552,"model":"gpt-5-chat-latest","choices":[{"index":0,"message":{"role":"assistant","content":"Moncler Lago Black Down Jacket with high-fill goose down, waterproof nylon, detachable hood, hidden zipper, and modern geometric cut. Unisex urban luxury for stylish winter warmth.","refusal":null,"annotations":[]},"logprobs":null,"finish_reason":"stop"}],"usage":{"prompt_tokens":929,"completion_tokens":36,"total_tokens":965,"prompt_tokens_details":{"cached_tokens":0,"audio_tokens":0},"completion_tokens_details":{"reasoning_tokens":0,"audio_tokens":0,"accepted_prediction_tokens":0,"rejected_prediction_tokens":0}},"service_tier":"default","system_fingerprint":"fp_ad66631dec"}</t>
        </is>
      </c>
      <c r="M10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ma=2592000","apim-request-id":"3d5e6499-1700-40bd-98d9-60ddc5f425f6","azureml-model-session":"d20260402075109-1fc5a0ec","cache-control":"no-cache, no-store, must-revalidate","connection":"close","content-length":"984","content-security-policy":"frame-ancestors 'self'","content-type":"application/json","date":"Mon, 20 Apr 2026 04:32:35 GMT","server":"Caddy","skip-error-remapping":"true","strict-transport-security":"max-age=31536000; includeSubDomains; preload","via":"1.1 Caddy","x-api-request-id":"20260420123231787826086JfKdKMxW","x-content-type-options":"nosniff","x-frame-options":"SAMEORIGIN","x-ms-is-spilled-over":"false","x-ms-rai-invoked":"false","x-ms-region":"Sweden Central","x-new-api-version":"0.4.39","x-oneapi-request-id":"202604200432317198642818268d9d6fNCFiFpt","x-ratelimit-abusepenalty-active":"False","x-ratelimit-limit-requests":"4993","x-ratelimit-limit-tokens":"4993000","x-ratelimit-remaining-requests":"4992","x-ratelimit-remaining-tokens":"4991309","x-ratelimit-renewalperiod-requests":"60","x-ratelimit-renewalperiod-tokens":"60","x-ratelimit-reset-requests":"12","x-ratelimit-reset-tokens":"20","x-request-id":"cf905990-4b13-494c-a9c2-25c9b5b2e35f"}</t>
        </is>
      </c>
      <c r="N105" t="inlineStr">
        <is>
          <t>Moncler Lago Black Down Jacket with high-fill goose down, waterproof nylon, detachable hood, hidden zipper, and modern geometric cut. Unisex urban luxury for stylish winter warmth.</t>
        </is>
      </c>
      <c r="O105" t="inlineStr">
        <is>
          <t>{"id":"chatcmpl-DWcaG50YZsPK07potrk1msU0tF77Y","object":"chat.completion","created":1776667184,"model":"gpt-5-chat-latest","choices":[{"index":0,"message":{"role":"assistant","content":"Moncler, Jacket,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05" t="inlineStr">
        <is>
          <t>Moncler, Jacket, kakobuy, kakebuy2026, kekobuysheet, kakobuysheet2026, 2026kakobuy, kakobuyspreadsheeet, kakobuylink, kakebuylist, Kakobuy MEGA Spreadsheet, kakobuysheetfind, kakobuysheetfind2026, 2026kakobuysheetfind, kakobuysheet2026</t>
        </is>
      </c>
      <c r="Q105" t="inlineStr">
        <is>
          <t>Winter, Waterproof, Nylon, Unisex, High End, Modern</t>
        </is>
      </c>
      <c r="R105" t="inlineStr">
        <is>
          <t>recvh6xFVjJ1Ks</t>
        </is>
      </c>
      <c r="S105" t="inlineStr">
        <is>
          <t>moncler-lago-black-down-jacket-recvh6xfvj</t>
        </is>
      </c>
      <c r="T105"/>
      <c r="U105"/>
      <c r="V105"/>
      <c r="W105" t="inlineStr">
        <is>
          <t>{"choices":[{"finish_reason":"stop","index":0,"logprobs":null,"message":{"annotations":[],"content":"Moncler：黑色Lago系列羽绒外套，采用高蓬松鹅绒填充与防水尼龙面料，轻盈保暖。立体剪裁融合简约几何线条，前胸隐形拉链与可拆卸连帽设计展现实用功能美学。男女皆宜的都市奢华风格，冬季出行兼具时尚与舒适。","refusal":null,"role":"assistant"}}],"created":1776655446,"id":"chatcmpl-DWZWwbQ3HhOYnyH08tk0sYnesQd7E","model":"gpt-5-chat-latest","object":"chat.completion","service_tier":"default","system_fingerprint":"fp_ad66631dec","usage":{"completion_tokens":94,"completion_tokens_details":{"accepted_prediction_tokens":0,"audio_tokens":0,"reasoning_tokens":0,"rejected_prediction_tokens":0},"prompt_tokens":1316,"prompt_tokens_details":{"audio_tokens":0,"cached_tokens":0},"total_tokens":1410}}</t>
        </is>
      </c>
      <c r="X105" t="inlineStr">
        <is>
          <t>Moncler：黑色Lago系列羽绒外套，采用高蓬松鹅绒填充与防水尼龙面料，轻盈保暖。立体剪裁融合简约几何线条，前胸隐形拉链与可拆卸连帽设计展现实用功能美学。男女皆宜的都市奢华风格，冬季出行兼具时尚与舒适。</t>
        </is>
      </c>
    </row>
    <row r="106" ht="25.5" customHeight="1">
      <c r="A106">
        <v>1839115443</v>
      </c>
      <c r="B106">
        <v>7599361651</v>
      </c>
      <c r="C106" t="inlineStr">
        <is>
          <t>https://weidian.com/item.html?itemID=7599361651</t>
        </is>
      </c>
      <c r="D106"/>
      <c r="E106" s="2" t="str">
        <f>=HYPERLINK("https://si.geilicdn.com/open1839115443-252808396-04140000019a681f14170a23b491_1280_1280.jpg?w=750&amp;h=750&amp;cp=1", "https://si.geilicdn.com/open1839115443-252808396-04140000019a681f14170a23b491_1280_1280.jpg?w=750&amp;h=750&amp;cp=1")</f>
        <v>https://si.geilicdn.com/open1839115443-252808396-04140000019a681f14170a23b491_1280_1280.jpg?w=750&amp;h=750&amp;cp=1</v>
      </c>
      <c r="F106" t="inlineStr">
        <is>
          <t>Jackets</t>
        </is>
      </c>
      <c r="G106" t="inlineStr">
        <is>
          <t>Canada Goose</t>
        </is>
      </c>
      <c r="H106" t="inlineStr">
        <is>
          <t>710.00</t>
        </is>
      </c>
      <c r="I106">
        <v>102.9</v>
      </c>
      <c r="J106" t="inlineStr">
        <is>
          <t>{"id":"chatcmpl-DWcGCybOAyR7QDHyhAiGur8A4tAAC","object":"chat.completion","created":1776665940,"model":"gpt-5-chat-latest","choices":[{"index":0,"message":{"role":"assistant","content":"Canada Goose White Long Down Parka Jacket","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is>
      </c>
      <c r="K106" t="inlineStr">
        <is>
          <t>Canada Goose White Long Down Parka Jacket</t>
        </is>
      </c>
      <c r="L106" t="inlineStr">
        <is>
          <t>{"id":"chatcmpl-DWaI6ybSr3gixst4oVRbjHmiKyXNi","object":"chat.completion","created":1776658370,"model":"gpt-5-chat-latest","choices":[{"index":0,"message":{"role":"assistant","content":"Canada Goose white long down parka with premium goose down fill, detachable fur hood, classic Arctic badge, windproof warmth, unisex straight fit for luxury urban outdoor winter style.","refusal":null,"annotations":[]},"logprobs":null,"finish_reason":"stop"}],"usage":{"prompt_tokens":941,"completion_tokens":37,"total_tokens":978,"prompt_tokens_details":{"cached_tokens":0,"audio_tokens":0},"completion_tokens_details":{"reasoning_tokens":0,"audio_tokens":0,"accepted_prediction_tokens":0,"rejected_prediction_tokens":0}},"service_tier":"default","system_fingerprint":"fp_ad66631dec"}</t>
        </is>
      </c>
      <c r="M10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ma=2592000","apim-request-id":"b97d1af8-777b-4f64-adde-0bc784ac0277","azureml-model-session":"d20260402075109-1fc5a0ec","cache-control":"no-cache, no-store, must-revalidate","connection":"close","content-length":"988","content-security-policy":"frame-ancestors 'self'","content-type":"application/json","date":"Mon, 20 Apr 2026 04:12:51 GMT","server":"Caddy","skip-error-remapping":"true","strict-transport-security":"max-age=31536000; includeSubDomains; preload","via":"1.1 Caddy","x-api-request-id":"202604201212484637478108xxBHbTE","x-content-type-options":"nosniff","x-frame-options":"SAMEORIGIN","x-ms-is-spilled-over":"false","x-ms-rai-invoked":"false","x-ms-region":"Sweden Central","x-new-api-version":"0.4.39","x-oneapi-request-id":"202604200412483911658458268d9d6KAYPDKTe","x-ratelimit-abusepenalty-active":"False","x-ratelimit-limit-requests":"4993","x-ratelimit-limit-tokens":"4993000","x-ratelimit-remaining-requests":"4992","x-ratelimit-remaining-tokens":"4991297","x-ratelimit-renewalperiod-requests":"60","x-ratelimit-renewalperiod-tokens":"60","x-ratelimit-reset-requests":"12","x-ratelimit-reset-tokens":"20","x-request-id":"9e10c432-a423-447f-8ff6-1fa99bedc785"}</t>
        </is>
      </c>
      <c r="N106" t="inlineStr">
        <is>
          <t>Canada Goose white long down parka with premium goose down fill, detachable fur hood, classic Arctic badge, windproof warmth, unisex straight fit for luxury urban outdoor winter style.</t>
        </is>
      </c>
      <c r="O106" t="inlineStr">
        <is>
          <t>{"choices":[{"finish_reason":"stop","index":0,"logprobs":null,"message":{"annotations":[],"content":"Canada Goose,Jackets,kakobuy,kakebuy2026,kekobuysheet,kakobuysheet2026,2026kakobuy,kakobuyspreadsheeet,kakobuylink,kakebuylist,Kakobuy MEGA Spreadsheet,kakobuysheetfind,kakobuysheetfind2026,2026kakobuysheetfind,kakobuysheet2026","refusal":null,"role":"assistant"}}],"created":1776667294,"id":"chatcmpl-DWcc2rCe5O33BcqzLFqIYVgWv1pL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06" t="inlineStr">
        <is>
          <t>Canada Goose,Jackets,kakobuy,kakebuy2026,kekobuysheet,kakobuysheet2026,2026kakobuy,kakobuyspreadsheeet,kakobuylink,kakebuylist,Kakobuy MEGA Spreadsheet,kakobuysheetfind,kakobuysheetfind2026,2026kakobuysheetfind,kakobuysheet2026</t>
        </is>
      </c>
      <c r="Q106" t="inlineStr">
        <is>
          <t>White, Windproof, Winter, Unisex, Fur</t>
        </is>
      </c>
      <c r="R106" t="inlineStr">
        <is>
          <t>recvh6xFVjND2j</t>
        </is>
      </c>
      <c r="S106" t="inlineStr">
        <is>
          <t>canada-goose-white-long-down-parka-recvh6xFVjND2j</t>
        </is>
      </c>
      <c r="T106"/>
      <c r="U106"/>
      <c r="V106"/>
      <c r="W106" t="inlineStr">
        <is>
          <t>{"choices":[{"finish_reason":"stop","index":0,"logprobs":null,"message":{"annotations":[],"content":"Canada Goose：白色长款羽绒大衣，高蓬松鹅绒填充，轻盈保暖。经典北极标志臂章设计搭配可拆真毛领连帽，防风防寒性能卓越。简约直筒剪裁勾勒利落廓形，适合男女通用，彰显都市户外奢华风范，冬季出行首选高端羽绒外套。","refusal":null,"role":"assistant"}}],"created":1776655736,"id":"chatcmpl-DWZbcP2qGm0xIJkUOObiM1LcCNy3G","model":"gpt-5-chat-latest","object":"chat.completion","service_tier":"default","system_fingerprint":"fp_ad66631dec","usage":{"completion_tokens":103,"completion_tokens_details":{"accepted_prediction_tokens":0,"audio_tokens":0,"reasoning_tokens":0,"rejected_prediction_tokens":0},"prompt_tokens":1322,"prompt_tokens_details":{"audio_tokens":0,"cached_tokens":1280},"total_tokens":1425}}</t>
        </is>
      </c>
      <c r="X106" t="inlineStr">
        <is>
          <t>Canada Goose：白色长款羽绒大衣，高蓬松鹅绒填充，轻盈保暖。经典北极标志臂章设计搭配可拆真毛领连帽，防风防寒性能卓越。简约直筒剪裁勾勒利落廓形，适合男女通用，彰显都市户外奢华风范，冬季出行首选高端羽绒外套。</t>
        </is>
      </c>
    </row>
    <row r="107" ht="25.5" customHeight="1">
      <c r="A107">
        <v>1839115443</v>
      </c>
      <c r="B107">
        <v>7599347729</v>
      </c>
      <c r="C107" t="inlineStr">
        <is>
          <t>https://weidian.com/item.html?itemID=7599347729</t>
        </is>
      </c>
      <c r="D107"/>
      <c r="E107" s="2" t="str">
        <f>=HYPERLINK("https://si.geilicdn.com/open1839115443-252808396-043a0000019a681f38a80a23b491_1080_1080.jpg?w=750&amp;h=750&amp;cp=1", "https://si.geilicdn.com/open1839115443-252808396-043a0000019a681f38a80a23b491_1080_1080.jpg?w=750&amp;h=750&amp;cp=1")</f>
        <v>https://si.geilicdn.com/open1839115443-252808396-043a0000019a681f38a80a23b491_1080_1080.jpg?w=750&amp;h=750&amp;cp=1</v>
      </c>
      <c r="F107" t="inlineStr">
        <is>
          <t>Jackets</t>
        </is>
      </c>
      <c r="G107" t="inlineStr">
        <is>
          <t>Canada Goose</t>
        </is>
      </c>
      <c r="H107" t="inlineStr">
        <is>
          <t>410.00</t>
        </is>
      </c>
      <c r="I107">
        <v>59.42</v>
      </c>
      <c r="J107" t="inlineStr">
        <is>
          <t>{"choices":[{"finish_reason":"stop","index":0,"logprobs":null,"message":{"annotations":[],"content":"Canada Goose White High Neck Down Vest","refusal":null,"role":"assistant"}}],"created":1776666151,"id":"chatcmpl-DWcJbGAIcvGijDlXToFNVgMlfOvfJ","model":"gpt-5-chat-latest","object":"chat.completion","service_tier":"default","system_fingerprint":"fp_ad66631dec","usage":{"completion_tokens":8,"completion_tokens_details":{"accepted_prediction_tokens":0,"audio_tokens":0,"reasoning_tokens":0,"rejected_prediction_tokens":0},"prompt_tokens":886,"prompt_tokens_details":{"audio_tokens":0,"cached_tokens":0},"total_tokens":894}}</t>
        </is>
      </c>
      <c r="K107" t="inlineStr">
        <is>
          <t>Canada Goose White High Neck Down Vest</t>
        </is>
      </c>
      <c r="L107" t="inlineStr">
        <is>
          <t>{"choices":[{"finish_reason":"stop","index":0,"logprobs":null,"message":{"annotations":[],"content":"Canada Goose White High-Neck Down Vest—lightweight, windproof, waterproof fabric with premium goose down fill. Minimalist Nordic design, zip stand collar, stylish and warm for urban or outdoor wear.","refusal":null,"role":"assistant"}}],"created":1776659270,"id":"chatcmpl-DWaWcK2FlP2Z6Zbs24NtLi6cna9yJ","model":"gpt-5-chat-latest","object":"chat.completion","service_tier":"default","system_fingerprint":"fp_ad66631dec","usage":{"completion_tokens":42,"completion_tokens_details":{"accepted_prediction_tokens":0,"audio_tokens":0,"reasoning_tokens":0,"rejected_prediction_tokens":0},"prompt_tokens":941,"prompt_tokens_details":{"audio_tokens":0,"cached_tokens":0},"total_tokens":983}}</t>
        </is>
      </c>
      <c r="M107" t="inlineStr">
        <is>
          <t>{"alt-svc":"h3=\":443\"; ma=2592000","apim-request-id":"3794da25-d7fa-4abe-b70d-08022d082bf0","azureml-model-session":"d20260402074105-51db401e","cache-control":"no-cache","connection":"close","content-length":"788","content-security-policy":"frame-ancestors 'self'","content-type":"application/json","date":"Mon, 20 Apr 2026 04:27:51 GMT","server":"nginx","skip-error-remapping":"true","strict-transport-security":"max-age=31536000; includeSubDomains; preload","via":"1.1 Caddy, 1.1 Caddy","x-api-request-id":"20260420122749207123776rotrc278","x-content-type-options":"nosniff","x-frame-options":"SAMEORIGIN","x-ms-client-request-id":"Not-Set","x-ms-is-spilled-over":"false","x-ms-rai-invoked":"true","x-ms-region":"East US 2","x-new-api-version":"0.4.39","x-oneapi-request-id":"202604200427491012599758268d9d6BrnileJZ","x-ratelimit-abusepenalty-active":"False","x-ratelimit-limit-requests":"3850","x-ratelimit-limit-tokens":"3850000","x-ratelimit-remaining-requests":"3849","x-ratelimit-remaining-tokens":"3848297","x-ratelimit-renewalperiod-requests":"60","x-ratelimit-renewalperiod-tokens":"60","x-ratelimit-reset-requests":"15","x-ratelimit-reset-tokens":"26","x-request-id":"0b216b86-fd30-4279-a0bb-8884287a7485"}</t>
        </is>
      </c>
      <c r="N107" t="inlineStr">
        <is>
          <t>Canada Goose White High-Neck Down Vest—lightweight, windproof, waterproof fabric with premium goose down fill. Minimalist Nordic design, zip stand collar, stylish and warm for urban or outdoor wear.</t>
        </is>
      </c>
      <c r="O107"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1776668771,"id":"chatcmpl-DWczrV8kk0R7KpBg85iRHMby8rTCb","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7" t="inlineStr">
        <is>
          <t>Canada Goose, Jackets, kakobuy, kakebuy2026, kekobuysheet, kakobuysheet2026, 2026kakobuy, kakobuyspreadsheeet, kakobuylink, kakebuylist, Kakobuy MEGA Spreadsheet, kakobuysheetfind, kakobuysheetfind2026, 2026kakobuysheetfind, kakobuysheet2026</t>
        </is>
      </c>
      <c r="Q107" t="inlineStr">
        <is>
          <t>White, Minimalist, Windproof, Waterproof, Lightweight, Winter</t>
        </is>
      </c>
      <c r="R107" t="inlineStr">
        <is>
          <t>recvh6xFVjdyZA</t>
        </is>
      </c>
      <c r="S107" t="inlineStr">
        <is>
          <t>canada-goose-white-high-neck-vest-recvh6xfvjdyza</t>
        </is>
      </c>
      <c r="T107"/>
      <c r="U107"/>
      <c r="V107"/>
      <c r="W107" t="inlineStr">
        <is>
          <t>{"choices":[{"finish_reason":"stop","index":0,"logprobs":null,"message":{"annotations":[],"content":"Canada Goose：白色高领羽绒马甲，选用轻盈防风防水面料与高蓬松鹅绒填充，保暖性能卓越。简约拼接设计展现北欧极简风格，立领拉链款式兼具功能与时尚，适合男女日常出行与户外休闲穿搭，轻盈不臃肿，彰显现代都市实用美学。","refusal":null,"role":"assistant"}}],"created":1776656171,"id":"chatcmpl-DWZid7SizZyBY14TNLkSMFOMWlijj","model":"gpt-5-chat-latest","object":"chat.completion","service_tier":"default","system_fingerprint":"fp_ad66631dec","usage":{"completion_tokens":100,"completion_tokens_details":{"accepted_prediction_tokens":0,"audio_tokens":0,"reasoning_tokens":0,"rejected_prediction_tokens":0},"prompt_tokens":1326,"prompt_tokens_details":{"audio_tokens":0,"cached_tokens":1280},"total_tokens":1426}}</t>
        </is>
      </c>
      <c r="X107" t="inlineStr">
        <is>
          <t>Canada Goose：白色高领羽绒马甲，选用轻盈防风防水面料与高蓬松鹅绒填充，保暖性能卓越。简约拼接设计展现北欧极简风格，立领拉链款式兼具功能与时尚，适合男女日常出行与户外休闲穿搭，轻盈不臃肿，彰显现代都市实用美学。</t>
        </is>
      </c>
    </row>
    <row r="108" ht="25.5" customHeight="1">
      <c r="A108">
        <v>1839115443</v>
      </c>
      <c r="B108">
        <v>7599300267</v>
      </c>
      <c r="C108" t="inlineStr">
        <is>
          <t>https://weidian.com/item.html?itemID=7599300267</t>
        </is>
      </c>
      <c r="D108"/>
      <c r="E108" s="2" t="str">
        <f>=HYPERLINK("https://si.geilicdn.com/open1839115443-252808396-0d920000019a681f45580a231226_1080_1080.jpg?w=640&amp;h=640", "https://si.geilicdn.com/open1839115443-252808396-0d920000019a681f45580a231226_1080_1080.jpg?w=640&amp;h=640")</f>
        <v>https://si.geilicdn.com/open1839115443-252808396-0d920000019a681f45580a231226_1080_1080.jpg?w=640&amp;h=640</v>
      </c>
      <c r="F108" t="inlineStr">
        <is>
          <t>Jackets</t>
        </is>
      </c>
      <c r="G108" t="inlineStr">
        <is>
          <t>Moncler</t>
        </is>
      </c>
      <c r="H108" t="inlineStr">
        <is>
          <t>570.00</t>
        </is>
      </c>
      <c r="I108">
        <v>82.61</v>
      </c>
      <c r="J108" t="inlineStr">
        <is>
          <t>{"choices":[{"finish_reason":"stop","index":0,"logprobs":null,"message":{"annotations":[],"content":"Moncler Black Down Knit Jacket Unisex","refusal":null,"role":"assistant"}}],"created":1776666652,"id":"chatcmpl-DWcRgU5POIXmjv6ufvbj0QpLAuKMq","model":"gpt-5-chat-latest","object":"chat.completion","service_tier":"default","system_fingerprint":"fp_ad66631dec","usage":{"completion_tokens":9,"completion_tokens_details":{"accepted_prediction_tokens":0,"audio_tokens":0,"reasoning_tokens":0,"rejected_prediction_tokens":0},"prompt_tokens":880,"prompt_tokens_details":{"audio_tokens":0,"cached_tokens":0},"total_tokens":889}}</t>
        </is>
      </c>
      <c r="K108" t="inlineStr">
        <is>
          <t>Moncler Black Down Knit Jacket Unisex</t>
        </is>
      </c>
      <c r="L108" t="inlineStr">
        <is>
          <t>{"choices":[{"finish_reason":"stop","index":0,"logprobs":null,"message":{"annotations":[],"content":"Moncler Black Lightweight Down Knit Jacket, nylon and wool mix with stand collar, slim fit, windproof and warm, unisex urban style ideal for fall and winter travel and casual wear.","refusal":null,"role":"assistant"}}],"created":1776659188,"id":"chatcmpl-DWaVIy8XBYtwkAR0PhsLQNKDQJsD5","model":"gpt-5-chat-latest","object":"chat.completion","service_tier":"default","system_fingerprint":"fp_ad66631dec","usage":{"completion_tokens":39,"completion_tokens_details":{"accepted_prediction_tokens":0,"audio_tokens":0,"reasoning_tokens":0,"rejected_prediction_tokens":0},"prompt_tokens":901,"prompt_tokens_details":{"audio_tokens":0,"cached_tokens":0},"total_tokens":940}}</t>
        </is>
      </c>
      <c r="M108" t="inlineStr">
        <is>
          <t>{"alt-svc":"h3=\":443\"; ma=2592000","apim-request-id":"1cdd1bdf-f64f-4c6a-98e9-638af2bc4549","azureml-model-session":"d20260402083108-57a85543","cache-control":"no-cache","connection":"close","content-length":"768","content-security-policy":"frame-ancestors 'self'","content-type":"application/json","date":"Mon, 20 Apr 2026 04:26:29 GMT","server":"Caddy","skip-error-remapping":"true","strict-transport-security":"max-age=31536000; includeSubDomains; preload","via":"1.1 Caddy","x-api-request-id":"20260420122627547969789XA5LmBQN","x-content-type-options":"nosniff","x-frame-options":"SAMEORIGIN","x-ms-client-request-id":"Not-Set","x-ms-is-spilled-over":"false","x-ms-rai-invoked":"true","x-ms-region":"East US 2","x-new-api-version":"0.4.39","x-oneapi-request-id":"202604200426274640907688268d9d6wd0nseQw","x-ratelimit-abusepenalty-active":"False","x-ratelimit-limit-requests":"3850","x-ratelimit-limit-tokens":"3850000","x-ratelimit-remaining-requests":"3849","x-ratelimit-remaining-tokens":"3848337","x-ratelimit-renewalperiod-requests":"60","x-ratelimit-renewalperiod-tokens":"60","x-ratelimit-reset-requests":"15","x-ratelimit-reset-tokens":"25","x-request-id":"0578aa32-776d-49b9-8989-ae940a2b073e"}</t>
        </is>
      </c>
      <c r="N108" t="inlineStr">
        <is>
          <t>Moncler Black Lightweight Down Knit Jacket, nylon and wool mix with stand collar, slim fit, windproof and warm, unisex urban style ideal for fall and winter travel and casual wear.</t>
        </is>
      </c>
      <c r="O108"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1776667406,"id":"chatcmpl-DWcdqFckilJxGuDQKWa4krKh2c6KU","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8" t="inlineStr">
        <is>
          <t>Moncler, Jacket, kakobuy, kakebuy2026, kekobuysheet, kakobuysheet2026, 2026kakobuy, kakobuyspreadsheeet, kakobuylink, kakebuylist, Kakobuy MEGA Spreadsheet, kakobuysheetfind, kakobuysheetfind2026, 2026kakobuysheetfind, kakobuysheet2026</t>
        </is>
      </c>
      <c r="Q108" t="inlineStr">
        <is>
          <t>Black, Lightweight, Windproof, Unisex, Autumn And Winter</t>
        </is>
      </c>
      <c r="R108" t="inlineStr">
        <is>
          <t>recvh6xFVjrG8E</t>
        </is>
      </c>
      <c r="S108" t="inlineStr">
        <is>
          <t>moncler-black-down-knit-jacket-unisex-recvh6xfvjrG8E</t>
        </is>
      </c>
      <c r="T108"/>
      <c r="U108"/>
      <c r="V108"/>
      <c r="W108" t="inlineStr">
        <is>
          <t>{"id":"chatcmpl-DWZdfYnxINZvR8eCtrBXxLn0kMEDQ","object":"chat.completion","created":1776655863,"model":"gpt-5-chat-latest","choices":[{"index":0,"message":{"role":"assistant","content":"Moncler：黑色轻盈羽绒针织夹克，尼龙拼接羊毛设计，立领防风剪裁，修身版型展现简约都市风，男女皆宜，兼具保暖与时尚感，适合秋冬休闲与旅行穿搭。","refusal":null,"annotations":[]},"logprobs":null,"finish_reason":"stop"}],"usage":{"prompt_tokens":1314,"completion_tokens":67,"total_tokens":1381,"prompt_tokens_details":{"cached_tokens":0,"audio_tokens":0},"completion_tokens_details":{"reasoning_tokens":0,"audio_tokens":0,"accepted_prediction_tokens":0,"rejected_prediction_tokens":0}},"service_tier":"default","system_fingerprint":"fp_ad66631dec"}</t>
        </is>
      </c>
      <c r="X108" t="inlineStr">
        <is>
          <t>Moncler：黑色轻盈羽绒针织夹克，尼龙拼接羊毛设计，立领防风剪裁，修身版型展现简约都市风，男女皆宜，兼具保暖与时尚感，适合秋冬休闲与旅行穿搭。</t>
        </is>
      </c>
    </row>
    <row r="109" ht="25.5" customHeight="1">
      <c r="A109">
        <v>1839115443</v>
      </c>
      <c r="B109">
        <v>7601236000</v>
      </c>
      <c r="C109" t="inlineStr">
        <is>
          <t>https://weidian.com/item.html?itemID=7601236000</t>
        </is>
      </c>
      <c r="D109"/>
      <c r="E109" s="2" t="str">
        <f>=HYPERLINK("https://si.geilicdn.com/open1839115443-252808396-04640000019a681f4cbe0a23b491_1080_1080.jpg?w=640&amp;h=640", "https://si.geilicdn.com/open1839115443-252808396-04640000019a681f4cbe0a23b491_1080_1080.jpg?w=640&amp;h=640")</f>
        <v>https://si.geilicdn.com/open1839115443-252808396-04640000019a681f4cbe0a23b491_1080_1080.jpg?w=640&amp;h=640</v>
      </c>
      <c r="F109" t="inlineStr">
        <is>
          <t>Jackets</t>
        </is>
      </c>
      <c r="G109" t="inlineStr">
        <is>
          <t>Moncler</t>
        </is>
      </c>
      <c r="H109" t="inlineStr">
        <is>
          <t>490.00</t>
        </is>
      </c>
      <c r="I109">
        <v>71.01</v>
      </c>
      <c r="J109" t="inlineStr">
        <is>
          <t>{"choices":[{"finish_reason":"stop","index":0,"logprobs":null,"message":{"annotations":[],"content":"Moncler Lago White Down Vest Lightweight Jacket","refusal":null,"role":"assistant"}}],"created":1776666257,"id":"chatcmpl-DWcLJUkFSDwOtLQpGt22xrqxBmDWT","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109" t="inlineStr">
        <is>
          <t>Moncler Lago White Down Vest Lightweight Jacket</t>
        </is>
      </c>
      <c r="L109" t="inlineStr">
        <is>
          <t>{"id":"chatcmpl-DWaaso6X0GiG1IYcChxSBIn8nZQHA","object":"chat.completion","created":1776659534,"model":"gpt-5-chat-latest","choices":[{"index":0,"message":{"role":"assistant","content":"Moncler Lago White Lightweight Down Vest – crafted from high-density nylon and premium down with a windproof stand collar; sleek urban style for men and women, perfect for winter outdoor and casual wear.","refusal":null,"annotations":[]},"logprobs":null,"finish_reason":"stop"}],"usage":{"prompt_tokens":906,"completion_tokens":40,"total_tokens":946,"prompt_tokens_details":{"cached_tokens":0,"audio_tokens":0},"completion_tokens_details":{"reasoning_tokens":0,"audio_tokens":0,"accepted_prediction_tokens":0,"rejected_prediction_tokens":0}},"service_tier":"default","system_fingerprint":"fp_ad66631dec"}</t>
        </is>
      </c>
      <c r="M10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ma=2592000","apim-request-id":"746556cc-530b-45ef-a48e-522b7139e539","azureml-model-session":"d20260405234249-f9874baf","cache-control":"no-cache, no-store, must-revalidate","connection":"close","content-length":"1009","content-security-policy":"frame-ancestors 'self'","content-type":"application/json","date":"Mon, 20 Apr 2026 04:32:17 GMT","server":"Caddy","skip-error-remapping":"true","strict-transport-security":"max-age=31536000; includeSubDomains; preload","via":"1.1 Caddy","x-api-request-id":"20260420123213690046603OEArbd2h","x-content-type-options":"nosniff","x-frame-options":"SAMEORIGIN","x-ms-is-spilled-over":"false","x-ms-rai-invoked":"false","x-ms-region":"Sweden Central","x-new-api-version":"0.4.39","x-oneapi-request-id":"202604200432136230265778268d9d6yXYU2362","x-ratelimit-abusepenalty-active":"False","x-ratelimit-limit-requests":"4993","x-ratelimit-limit-tokens":"4993000","x-ratelimit-remaining-requests":"4992","x-ratelimit-remaining-tokens":"4991332","x-ratelimit-renewalperiod-requests":"60","x-ratelimit-renewalperiod-tokens":"60","x-ratelimit-reset-requests":"12","x-ratelimit-reset-tokens":"20","x-request-id":"ad59b8f2-a42c-4700-a62a-2baac01b9711"}</t>
        </is>
      </c>
      <c r="N109" t="inlineStr">
        <is>
          <t>Moncler Lago White Lightweight Down Vest – crafted from high-density nylon and premium down with a windproof stand collar; sleek urban style for men and women, perfect for winter outdoor and casual wear.</t>
        </is>
      </c>
      <c r="O109" t="inlineStr">
        <is>
          <t>{"choices":[{"finish_reason":"stop","index":0,"logprobs":null,"message":{"annotations":[],"content":"Moncler,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1776668144,"id":"chatcmpl-DWcpkWF4XCiCVjPO0jwcj2SbTgakY","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9" t="inlineStr">
        <is>
          <t>Moncler, Jackets, kakobuy, kakebuy2026, kekobuysheet, kakobuysheet2026, 2026kakobuy, kakobuyspreadsheeet, kakobuylink, kakebuylist, Kakobuy MEGA Spreadsheet, kakobuysheetfind, kakobuysheetfind2026, 2026kakobuysheetfind, kakobuysheet2026</t>
        </is>
      </c>
      <c r="Q109" t="inlineStr">
        <is>
          <t>Men's And Women's, Winter, Nylon, Windproof, Lightweight</t>
        </is>
      </c>
      <c r="R109" t="inlineStr">
        <is>
          <t>recvh6xFVj7UAK</t>
        </is>
      </c>
      <c r="S109" t="inlineStr">
        <is>
          <t>moncler-lago-white-down-vest-recvh6xFVj7UAK</t>
        </is>
      </c>
      <c r="T109"/>
      <c r="U109"/>
      <c r="V109"/>
      <c r="W109" t="inlineStr">
        <is>
          <t>{"choices":[{"finish_reason":"stop","index":0,"logprobs":null,"message":{"annotations":[],"content":"Moncler：Lago系列白色轻盈羽绒马甲，采用高密尼龙与优质羽绒填充，立领防风设计，简约剪裁凸显都市轻奢格调，男女皆宜，展现现代冬季户外与休闲完美平衡。","refusal":null,"role":"assistant"}}],"created":1776656205,"id":"chatcmpl-DWZjBcnZWeLoknnGAADwfZVbR2kHs","model":"gpt-5-chat-latest","object":"chat.completion","service_tier":"default","system_fingerprint":"fp_ad66631dec","usage":{"completion_tokens":69,"completion_tokens_details":{"accepted_prediction_tokens":0,"audio_tokens":0,"reasoning_tokens":0,"rejected_prediction_tokens":0},"prompt_tokens":1318,"prompt_tokens_details":{"audio_tokens":0,"cached_tokens":0},"total_tokens":1387}}</t>
        </is>
      </c>
      <c r="X109" t="inlineStr">
        <is>
          <t>Moncler：Lago系列白色轻盈羽绒马甲，采用高密尼龙与优质羽绒填充，立领防风设计，简约剪裁凸显都市轻奢格调，男女皆宜，展现现代冬季户外与休闲完美平衡。</t>
        </is>
      </c>
    </row>
    <row r="110" ht="25.5" customHeight="1">
      <c r="A110">
        <v>1839115443</v>
      </c>
      <c r="B110">
        <v>7601127434</v>
      </c>
      <c r="C110" t="inlineStr">
        <is>
          <t>https://weidian.com/item.html?itemID=7601127434</t>
        </is>
      </c>
      <c r="D110"/>
      <c r="E110" s="2" t="str">
        <f>=HYPERLINK("https://si.geilicdn.com/open1839115443-252808396-0db80000019a681f543c0a231226_1080_1080.jpg?w=640&amp;h=640", "https://si.geilicdn.com/open1839115443-252808396-0db80000019a681f543c0a231226_1080_1080.jpg?w=640&amp;h=640")</f>
        <v>https://si.geilicdn.com/open1839115443-252808396-0db80000019a681f543c0a231226_1080_1080.jpg?w=640&amp;h=640</v>
      </c>
      <c r="F110" t="inlineStr">
        <is>
          <t>Jackets</t>
        </is>
      </c>
      <c r="G110" t="inlineStr">
        <is>
          <t xml:space="preserve"> Moncler</t>
        </is>
      </c>
      <c r="H110" t="inlineStr">
        <is>
          <t>770.00</t>
        </is>
      </c>
      <c r="I110">
        <v>111.59</v>
      </c>
      <c r="J110" t="inlineStr">
        <is>
          <t>{"choices":[{"finish_reason":"stop","index":0,"logprobs":null,"message":{"annotations":[],"content":"Moncler Classic Black Goose Down Jacket","refusal":null,"role":"assistant"}}],"created":1776666378,"id":"chatcmpl-DWcNG3dIIkPXJzHm50A66NyLXIrTs","model":"gpt-5-chat-latest","object":"chat.completion","service_tier":"default","system_fingerprint":"fp_ad66631dec","usage":{"completion_tokens":8,"completion_tokens_details":{"accepted_prediction_tokens":0,"audio_tokens":0,"reasoning_tokens":0,"rejected_prediction_tokens":0},"prompt_tokens":878,"prompt_tokens_details":{"audio_tokens":0,"cached_tokens":0},"total_tokens":886}}</t>
        </is>
      </c>
      <c r="K110" t="inlineStr">
        <is>
          <t>Moncler Classic Black Goose Down Jacket</t>
        </is>
      </c>
      <c r="L110" t="inlineStr">
        <is>
          <t>{"choices":[{"finish_reason":"stop","index":0,"logprobs":null,"message":{"annotations":[],"content":"Moncler Classic Black Down Jacket – premium goose down filling, lightweight warmth, windproof matte nylon, hooded stand collar, signature quilted design, unisex urban outdoor winter essential.","refusal":null,"role":"assistant"}}],"created":1776658791,"id":"chatcmpl-DWaOtX4o1ShZVXygd6SyJi14KbYql","model":"gpt-5-chat-latest","object":"chat.completion","service_tier":"default","system_fingerprint":"fp_ad66631dec","usage":{"completion_tokens":38,"completion_tokens_details":{"accepted_prediction_tokens":0,"audio_tokens":0,"reasoning_tokens":0,"rejected_prediction_tokens":0},"prompt_tokens":942,"prompt_tokens_details":{"audio_tokens":0,"cached_tokens":0},"total_tokens":980}}</t>
        </is>
      </c>
      <c r="M110" t="inlineStr">
        <is>
          <t>{"alt-svc":"h3=\":443\"; ma=2592000","apim-request-id":"2ffe931d-a99c-4a04-9ba8-803ecd4045f0","azureml-model-session":"d20260405234249-f9874baf","cache-control":"no-cache","connection":"close","content-length":"782","content-security-policy":"frame-ancestors 'self'","content-type":"application/json","date":"Mon, 20 Apr 2026 04:19:52 GMT","server":"Caddy","skip-error-remapping":"true","strict-transport-security":"max-age=31536000; includeSubDomains; preload","via":"1.1 Caddy","x-api-request-id":"2026042012195150127321m09rEUGq","x-content-type-options":"nosniff","x-frame-options":"SAMEORIGIN","x-ms-client-request-id":"Not-Set","x-ms-is-spilled-over":"false","x-ms-rai-invoked":"true","x-ms-region":"East US 2","x-new-api-version":"0.4.39","x-oneapi-request-id":"202604200419509839100768268d9d6G5lNAc9E","x-ratelimit-abusepenalty-active":"False","x-ratelimit-limit-requests":"3850","x-ratelimit-limit-tokens":"3850000","x-ratelimit-remaining-requests":"3849","x-ratelimit-remaining-tokens":"3848296","x-ratelimit-renewalperiod-requests":"60","x-ratelimit-renewalperiod-tokens":"60","x-ratelimit-reset-requests":"15","x-ratelimit-reset-tokens":"26","x-request-id":"7fea9cd1-7e25-4f87-8702-08e49c43481f"}</t>
        </is>
      </c>
      <c r="N110" t="inlineStr">
        <is>
          <t>Moncler Classic Black Down Jacket – premium goose down filling, lightweight warmth, windproof matte nylon, hooded stand collar, signature quilted design, unisex urban outdoor winter essential.</t>
        </is>
      </c>
      <c r="O110" t="inlineStr">
        <is>
          <t>{"choices":[{"finish_reason":"stop","index":0,"logprobs":null,"message":{"annotations":[],"content":"Moncler,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1776668584,"id":"chatcmpl-DWcwqYUkO4YtznKeZ0P89bSEGTRFL","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10" t="inlineStr">
        <is>
          <t>Moncler, Jackets, kakobuy, kakebuy2026, kekobuysheet, kakobuysheet2026, 2026kakobuy, kakobuyspreadsheeet, kakobuylink, kakebuylist, Kakobuy MEGA Spreadsheet, kakobuysheetfind, kakobuysheetfind2026, 2026kakobuysheetfind, kakobuysheet2026</t>
        </is>
      </c>
      <c r="Q110" t="inlineStr">
        <is>
          <t>Black, Winter, Unisex, Windproof, Lightweight, Nylon</t>
        </is>
      </c>
      <c r="R110" t="inlineStr">
        <is>
          <t>recvh6xFVjy0n9</t>
        </is>
      </c>
      <c r="S110" t="inlineStr">
        <is>
          <t>moncler-classic-black-goose-down-jacket-recvh6xFVjy0n9</t>
        </is>
      </c>
      <c r="T110"/>
      <c r="U110"/>
      <c r="V110"/>
      <c r="W110" t="inlineStr">
        <is>
          <t>{"choices":[{"finish_reason":"stop","index":0,"logprobs":null,"message":{"annotations":[],"content":"Moncler：黑色经典短款羽绒夹克，甄选高蓬松优质鹅绒填充，轻盈保暖。采用防风尼龙面料，哑光质感低调奢华。立领连帽设计结合立体分格缝线，展现品牌标志性工艺。男女皆宜款，都市户外混搭风格，兼具功能与时尚气场，冬季防寒首选。","refusal":null,"role":"assistant"}}],"created":1776655110,"id":"chatcmpl-DWZRW0K8Pl8nKYm76uHivPhsXWcPp","model":"gpt-5-chat-latest","object":"chat.completion","service_tier":"default","system_fingerprint":"fp_ad66631dec","usage":{"completion_tokens":106,"completion_tokens_details":{"accepted_prediction_tokens":0,"audio_tokens":0,"reasoning_tokens":0,"rejected_prediction_tokens":0},"prompt_tokens":1316,"prompt_tokens_details":{"audio_tokens":0,"cached_tokens":1280},"total_tokens":1422}}</t>
        </is>
      </c>
      <c r="X110" t="inlineStr">
        <is>
          <t>Moncler：黑色经典短款羽绒夹克，甄选高蓬松优质鹅绒填充，轻盈保暖。采用防风尼龙面料，哑光质感低调奢华。立领连帽设计结合立体分格缝线，展现品牌标志性工艺。男女皆宜款，都市户外混搭风格，兼具功能与时尚气场，冬季防寒首选。</t>
        </is>
      </c>
    </row>
    <row r="111" ht="25.5" customHeight="1">
      <c r="A111">
        <v>1839115443</v>
      </c>
      <c r="B111">
        <v>7614114677</v>
      </c>
      <c r="C111" t="inlineStr">
        <is>
          <t>https://weidian.com/item.html?itemID=7614114677</t>
        </is>
      </c>
      <c r="D111"/>
      <c r="E111" s="2" t="str">
        <f>=HYPERLINK("https://si.geilicdn.com/open1839115443-252808396-42260000019aaf799b480a8115c2_800_1200.jpg?w=640&amp;h=640", "https://si.geilicdn.com/open1839115443-252808396-42260000019aaf799b480a8115c2_800_1200.jpg?w=640&amp;h=640")</f>
        <v>https://si.geilicdn.com/open1839115443-252808396-42260000019aaf799b480a8115c2_800_1200.jpg?w=640&amp;h=640</v>
      </c>
      <c r="F111" t="inlineStr">
        <is>
          <t>Hoodies</t>
        </is>
      </c>
      <c r="G111" t="inlineStr">
        <is>
          <t>Other</t>
        </is>
      </c>
      <c r="H111" t="inlineStr">
        <is>
          <t>120.00</t>
        </is>
      </c>
      <c r="I111">
        <v>17.39</v>
      </c>
      <c r="J111" t="inlineStr">
        <is>
          <t>{"id":"chatcmpl-DWcM5yKAsZ1DKSseYlp8eA0Elhn1B","object":"chat.completion","created":1776666305,"model":"gpt-5-chat-latest","choices":[{"index":0,"message":{"role":"assistant","content":"HoodiesOther Street Series Vintage Basketball Black Hoodie","refusal":null,"annotations":[]},"logprobs":null,"finish_reason":"stop"}],"usage":{"prompt_tokens":866,"completion_tokens":11,"total_tokens":877,"prompt_tokens_details":{"cached_tokens":0,"audio_tokens":0},"completion_tokens_details":{"reasoning_tokens":0,"audio_tokens":0,"accepted_prediction_tokens":0,"rejected_prediction_tokens":0}},"service_tier":"default","system_fingerprint":"fp_ad66631dec"}</t>
        </is>
      </c>
      <c r="K111" t="inlineStr">
        <is>
          <t>HoodiesOther Street Series Vintage Basketball Black Hoodie</t>
        </is>
      </c>
      <c r="L111" t="inlineStr">
        <is>
          <t>{"choices":[{"finish_reason":"stop","index":0,"logprobs":null,"message":{"annotations":[],"content":"HoodiesOther Street Series Black Cotton Hoodie, soft fabric with basketball graphic, loose unisex fit, vintage American style for daily wear and sports outfits.","refusal":null,"role":"assistant"}}],"created":1776658797,"id":"chatcmpl-DWaOz236wg2jLoUGklSeP6dTV9GjJ","model":"gpt-5-chat-latest","object":"chat.completion","service_tier":"default","system_fingerprint":"fp_ad66631dec","usage":{"completion_tokens":32,"completion_tokens_details":{"accepted_prediction_tokens":0,"audio_tokens":0,"reasoning_tokens":0,"rejected_prediction_tokens":0},"prompt_tokens":896,"prompt_tokens_details":{"audio_tokens":0,"cached_tokens":0},"total_tokens":928}}</t>
        </is>
      </c>
      <c r="M111" t="inlineStr">
        <is>
          <t>{"alt-svc":"h3=\":443\"; ma=2592000","apim-request-id":"71a6c9a6-9ef7-4575-a5c4-0671429cde0b","azureml-model-session":"d20260405234249-f9874baf","cache-control":"no-cache","connection":"close","content-length":"748","content-security-policy":"frame-ancestors 'self'","content-type":"application/json","date":"Mon, 20 Apr 2026 04:19:58 GMT","server":"Caddy","skip-error-remapping":"true","strict-transport-security":"max-age=31536000; includeSubDomains; preload","via":"1.1 Caddy","x-api-request-id":"202604201219569974071777lu58Bh9","x-content-type-options":"nosniff","x-frame-options":"SAMEORIGIN","x-ms-client-request-id":"Not-Set","x-ms-is-spilled-over":"false","x-ms-rai-invoked":"true","x-ms-region":"East US 2","x-new-api-version":"0.4.39","x-oneapi-request-id":"202604200419569325508048268d9d6mZHaxE24","x-ratelimit-abusepenalty-active":"False","x-ratelimit-limit-requests":"3850","x-ratelimit-limit-tokens":"3850000","x-ratelimit-remaining-requests":"3849","x-ratelimit-remaining-tokens":"3848342","x-ratelimit-renewalperiod-requests":"60","x-ratelimit-renewalperiod-tokens":"60","x-ratelimit-reset-requests":"15","x-ratelimit-reset-tokens":"25","x-request-id":"79ed1387-f759-4699-a80d-7fae3275677a"}</t>
        </is>
      </c>
      <c r="N111" t="inlineStr">
        <is>
          <t>HoodiesOther Street Series Black Cotton Hoodie, soft fabric with basketball graphic, loose unisex fit, vintage American style for daily wear and sports outfits.</t>
        </is>
      </c>
      <c r="O111" t="inlineStr">
        <is>
          <t>{"choices":[{"finish_reason":"stop","index":0,"logprobs":null,"message":{"annotations":[],"content":"YANGHANSEN,Hoodies,kakobuy,kakebuy2026,kekobuysheet,kakobuysheet2026,2026kakobuy,kakobuyspreadsheeet,kakobuylink,kakebuylist,Kakobuy MEGA Spreadsheet,kakobuysheetfind,kakobuysheetfind2026,2026kakobuysheetfind,kakobuysheet2026","refusal":null,"role":"assistant"}}],"created":1776668328,"id":"chatcmpl-DWcsiofyxjLdDn5OX2BEDRwPsaznC","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11" t="inlineStr">
        <is>
          <t>YANGHANSEN,Hoodies,kakobuy,kakebuy2026,kekobuysheet,kakobuysheet2026,2026kakobuy,kakobuyspreadsheeet,kakobuylink,kakebuylist,Kakobuy MEGA Spreadsheet,kakobuysheetfind,kakobuysheetfind2026,2026kakobuysheetfind,kakobuysheet2026</t>
        </is>
      </c>
      <c r="Q111" t="inlineStr">
        <is>
          <t>Black, Vintage, Unisex, Streetwear</t>
        </is>
      </c>
      <c r="R111" t="inlineStr">
        <is>
          <t>recvh6xFVjxJdH</t>
        </is>
      </c>
      <c r="S111" t="inlineStr">
        <is>
          <t>hoodiesother-street-vintage-basketball-black-recvh6xfvjxjdh</t>
        </is>
      </c>
      <c r="T111"/>
      <c r="U111"/>
      <c r="V111"/>
      <c r="W111" t="inlineStr">
        <is>
          <t>{"choices":[{"finish_reason":"stop","index":0,"logprobs":null,"message":{"annotations":[],"content":"街头系列黑色运动连帽卫衣，纯棉柔软面料，前幅篮球主题印花设计，宽松休闲版型，男女通用，展现复古美式潮流风格，适合日常出街与运动穿搭。","refusal":null,"role":"assistant"}}],"created":1776656071,"id":"chatcmpl-DWZh1VwDioqbxJWhaD2Ti5CY94F9N","model":"gpt-5-chat-latest","object":"chat.completion","service_tier":"default","system_fingerprint":"fp_ad66631dec","usage":{"completion_tokens":61,"completion_tokens_details":{"accepted_prediction_tokens":0,"audio_tokens":0,"reasoning_tokens":0,"rejected_prediction_tokens":0},"prompt_tokens":1312,"prompt_tokens_details":{"audio_tokens":0,"cached_tokens":0},"total_tokens":1373}}</t>
        </is>
      </c>
      <c r="X111" t="inlineStr">
        <is>
          <t>街头系列黑色运动连帽卫衣，纯棉柔软面料，前幅篮球主题印花设计，宽松休闲版型，男女通用，展现复古美式潮流风格，适合日常出街与运动穿搭。</t>
        </is>
      </c>
    </row>
    <row r="112" ht="25.5" customHeight="1">
      <c r="A112">
        <v>1839115443</v>
      </c>
      <c r="B112">
        <v>7614082799</v>
      </c>
      <c r="C112" t="inlineStr">
        <is>
          <t>https://weidian.com/item.html?itemID=7614082799</t>
        </is>
      </c>
      <c r="D112"/>
      <c r="E112" s="2" t="str">
        <f>=HYPERLINK("https://si.geilicdn.com/open1839115443-252808396-48c50000019aaf798c9f0a23b491_800_1063.jpg?w=640&amp;h=640", "https://si.geilicdn.com/open1839115443-252808396-48c50000019aaf798c9f0a23b491_800_1063.jpg?w=640&amp;h=640")</f>
        <v>https://si.geilicdn.com/open1839115443-252808396-48c50000019aaf798c9f0a23b491_800_1063.jpg?w=640&amp;h=640</v>
      </c>
      <c r="F112" t="inlineStr">
        <is>
          <t>T-Shirts</t>
        </is>
      </c>
      <c r="G112" t="inlineStr">
        <is>
          <t>Other</t>
        </is>
      </c>
      <c r="H112" t="inlineStr">
        <is>
          <t>120.00</t>
        </is>
      </c>
      <c r="I112">
        <v>17.39</v>
      </c>
      <c r="J112" t="inlineStr">
        <is>
          <t>{"choices":[{"finish_reason":"stop","index":0,"logprobs":null,"message":{"annotations":[],"content":"Eminem Vintage Black Cotton Graphic T-Shirt","refusal":null,"role":"assistant"}}],"created":1776665713,"id":"chatcmpl-DWcCXqfNQJVkPvgopE1AnyF7B7O8C","model":"gpt-5-chat-latest","object":"chat.completion","service_tier":"default","system_fingerprint":"fp_ad66631dec","usage":{"completion_tokens":10,"completion_tokens_details":{"accepted_prediction_tokens":0,"audio_tokens":0,"reasoning_tokens":0,"rejected_prediction_tokens":0},"prompt_tokens":887,"prompt_tokens_details":{"audio_tokens":0,"cached_tokens":0},"total_tokens":897}}</t>
        </is>
      </c>
      <c r="K112" t="inlineStr">
        <is>
          <t>Eminem Vintage Black Cotton Graphic T-Shirt</t>
        </is>
      </c>
      <c r="L112" t="inlineStr">
        <is>
          <t>{"choices":[{"finish_reason":"stop","index":0,"logprobs":null,"message":{"annotations":[],"content":"Eminem Vintage Black Graphic T-Shirt, crafted from soft cotton with bold portrait and metallic lettering, exudes street rock vibes. Loose fit, breathable, perfect for men and women in casual or stage style.","refusal":null,"role":"assistant"}}],"created":1776658297,"id":"chatcmpl-DWaGvjAoBGgZqqNhsfhDCReFb25Kz","model":"gpt-5-chat-latest","object":"chat.completion","service_tier":"default","system_fingerprint":"fp_ad66631dec","usage":{"completion_tokens":43,"completion_tokens_details":{"accepted_prediction_tokens":0,"audio_tokens":0,"reasoning_tokens":0,"rejected_prediction_tokens":0},"prompt_tokens":929,"prompt_tokens_details":{"audio_tokens":0,"cached_tokens":0},"total_tokens":972}}</t>
        </is>
      </c>
      <c r="M112" t="inlineStr">
        <is>
          <t>{"alt-svc":"h3=\":443\"; ma=2592000","apim-request-id":"b4e2d465-7736-4db2-9b02-e393e5dd366a","azureml-model-session":"d20260402083108-57a85543","cache-control":"no-cache","connection":"close","content-length":"794","content-security-policy":"frame-ancestors 'self'","content-type":"application/json","date":"Mon, 20 Apr 2026 04:11:38 GMT","server":"Caddy","skip-error-remapping":"true","strict-transport-security":"max-age=31536000; includeSubDomains; preload","via":"1.1 Caddy","x-api-request-id":"20260420121136188771367FNeJtShd","x-content-type-options":"nosniff","x-frame-options":"SAMEORIGIN","x-ms-client-request-id":"Not-Set","x-ms-is-spilled-over":"false","x-ms-rai-invoked":"true","x-ms-region":"East US 2","x-new-api-version":"0.4.39","x-oneapi-request-id":"202604200411361155817258268d9d6yowkZvjr","x-ratelimit-abusepenalty-active":"False","x-ratelimit-limit-requests":"3850","x-ratelimit-limit-tokens":"3850000","x-ratelimit-remaining-requests":"3849","x-ratelimit-remaining-tokens":"3848309","x-ratelimit-renewalperiod-requests":"60","x-ratelimit-renewalperiod-tokens":"60","x-ratelimit-reset-requests":"15","x-ratelimit-reset-tokens":"26","x-request-id":"fb27fb0a-b5d5-4b0f-aef3-e52d2a6af8e8"}</t>
        </is>
      </c>
      <c r="N112" t="inlineStr">
        <is>
          <t>Eminem Vintage Black Graphic T-Shirt, crafted from soft cotton with bold portrait and metallic lettering, exudes street rock vibes. Loose fit, breathable, perfect for men and women in casual or stage style.</t>
        </is>
      </c>
      <c r="O112" t="inlineStr">
        <is>
          <t>{"choices":[{"finish_reason":"stop","index":0,"logprobs":null,"message":{"annotations":[],"content":"Eminem, T-Shirts, kakobuy, kakebuy2026, kekobuysheet, kakobuysheet2026, 2026kakobuy, kakobuyspreadsheeet, kakobuylink, kakebuylist, Kakobuy MEGA Spreadsheet, kakobuysheetfind, kakobuysheetfind2026, 2026kakobuysheetfind, kakobuysheet2026","refusal":null,"role":"assistant"}}],"created":1776668173,"id":"chatcmpl-DWcqDrtGCWxsOc95jPIt8BNKjlCa5","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12" t="inlineStr">
        <is>
          <t>Eminem, T-Shirts, kakobuy, kakebuy2026, kekobuysheet, kakobuysheet2026, 2026kakobuy, kakobuyspreadsheeet, kakobuylink, kakebuylist, Kakobuy MEGA Spreadsheet, kakobuysheetfind, kakobuysheetfind2026, 2026kakobuysheetfind, kakobuysheet2026</t>
        </is>
      </c>
      <c r="Q112" t="inlineStr">
        <is>
          <t>Black, Streetwear, Unisex, Breathable</t>
        </is>
      </c>
      <c r="R112" t="inlineStr">
        <is>
          <t>recvh6xFVjktNF</t>
        </is>
      </c>
      <c r="S112" t="inlineStr">
        <is>
          <t>eminem-vintage-black-cotton-graphic-tshirt-recvh6xfvjktnf</t>
        </is>
      </c>
      <c r="T112"/>
      <c r="U112"/>
      <c r="V112"/>
      <c r="W112" t="inlineStr">
        <is>
          <t>{"choices":[{"finish_reason":"stop","index":0,"logprobs":null,"message":{"annotations":[],"content":"复古黑色印花短袖T恤，选用柔软纯棉面料，胸前醒目人像与金属质感字母图腾设计，呈现浓厚街头摇滚风格。宽松版型剪裁舒适透气，搭配牛仔裤或皮夹克皆展现个性态度，男女皆宜，适合休闲与舞台穿搭。","refusal":null,"role":"assistant"}}],"created":1776655678,"id":"chatcmpl-DWZagcM1Bj7FwDHne4Jvsu6eIMUgU","model":"gpt-5-chat-latest","object":"chat.completion","service_tier":"default","system_fingerprint":"fp_ad66631dec","usage":{"completion_tokens":93,"completion_tokens_details":{"accepted_prediction_tokens":0,"audio_tokens":0,"reasoning_tokens":0,"rejected_prediction_tokens":0},"prompt_tokens":1315,"prompt_tokens_details":{"audio_tokens":0,"cached_tokens":1280},"total_tokens":1408}}</t>
        </is>
      </c>
      <c r="X112" t="inlineStr">
        <is>
          <t>复古黑色印花短袖T恤，选用柔软纯棉面料，胸前醒目人像与金属质感字母图腾设计，呈现浓厚街头摇滚风格。宽松版型剪裁舒适透气，搭配牛仔裤或皮夹克皆展现个性态度，男女皆宜，适合休闲与舞台穿搭。</t>
        </is>
      </c>
    </row>
    <row r="113" ht="25.5" customHeight="1">
      <c r="A113">
        <v>1839115443</v>
      </c>
      <c r="B113">
        <v>7617064808</v>
      </c>
      <c r="C113" t="inlineStr">
        <is>
          <t>https://weidian.com/item.html?itemID=7617064808</t>
        </is>
      </c>
      <c r="D113"/>
      <c r="E113" s="2" t="str">
        <f>=HYPERLINK("https://si.geilicdn.com/open1839115443-252808396-460c0000019aaf79871e0a8133b0_800_989.jpg?w=640&amp;h=640", "https://si.geilicdn.com/open1839115443-252808396-460c0000019aaf79871e0a8133b0_800_989.jpg?w=640&amp;h=640")</f>
        <v>https://si.geilicdn.com/open1839115443-252808396-460c0000019aaf79871e0a8133b0_800_989.jpg?w=640&amp;h=640</v>
      </c>
      <c r="F113" t="inlineStr">
        <is>
          <t>T-Shirts</t>
        </is>
      </c>
      <c r="G113" t="inlineStr">
        <is>
          <t>Other</t>
        </is>
      </c>
      <c r="H113" t="inlineStr">
        <is>
          <t>120.00</t>
        </is>
      </c>
      <c r="I113">
        <v>17.39</v>
      </c>
      <c r="J113" t="inlineStr">
        <is>
          <t>{"choices":[{"finish_reason":"stop","index":0,"logprobs":null,"message":{"annotations":[],"content":"RECOVER Vintage Black Rock Totem Graphic Tee","refusal":null,"role":"assistant"}}],"created":1776665962,"id":"chatcmpl-DWcGYJmobxV4hs58Jm3lWUtLb1pPt","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113" t="inlineStr">
        <is>
          <t>RECOVER Vintage Black Rock Totem Graphic Tee</t>
        </is>
      </c>
      <c r="L113" t="inlineStr">
        <is>
          <t>{"choices":[{"finish_reason":"stop","index":0,"logprobs":null,"message":{"annotations":[],"content":"RECOVER Vintage Black Rock Graphic Tee – Washed cotton with electric totem and retro poster print, loose unisex fit, breathable comfort, perfect for music lovers and street style fashion.","refusal":null,"role":"assistant"}}],"created":1776658232,"id":"chatcmpl-DWaFsfKltcSkwEJGjhBOVdcOrPBGF","model":"gpt-5-chat-latest","object":"chat.completion","service_tier":"default","system_fingerprint":"fp_ad66631dec","usage":{"completion_tokens":38,"completion_tokens_details":{"accepted_prediction_tokens":0,"audio_tokens":0,"reasoning_tokens":0,"rejected_prediction_tokens":0},"prompt_tokens":922,"prompt_tokens_details":{"audio_tokens":0,"cached_tokens":0},"total_tokens":960}}</t>
        </is>
      </c>
      <c r="M113" t="inlineStr">
        <is>
          <t>{"alt-svc":"h3=\":443\"; ma=2592000","apim-request-id":"35670261-1fe5-4582-b428-c7e3ccf1b36b","azureml-model-session":"d20260405234249-f9874baf","cache-control":"no-cache","connection":"close","content-length":"777","content-security-policy":"frame-ancestors 'self'","content-type":"application/json","date":"Mon, 20 Apr 2026 04:10:34 GMT","server":"nginx","skip-error-remapping":"true","strict-transport-security":"max-age=31536000; includeSubDomains; preload","via":"1.1 Caddy, 1.1 Caddy","x-api-request-id":"20260420121031896018569J2wI3wCp","x-content-type-options":"nosniff","x-frame-options":"SAMEORIGIN","x-ms-client-request-id":"Not-Set","x-ms-is-spilled-over":"false","x-ms-rai-invoked":"true","x-ms-region":"East US 2","x-new-api-version":"0.4.39","x-oneapi-request-id":"202604200410312764834488268d9d6p78ScXdH","x-ratelimit-abusepenalty-active":"False","x-ratelimit-limit-requests":"3850","x-ratelimit-limit-tokens":"3850000","x-ratelimit-remaining-requests":"3849","x-ratelimit-remaining-tokens":"3848316","x-ratelimit-renewalperiod-requests":"60","x-ratelimit-renewalperiod-tokens":"60","x-ratelimit-reset-requests":"15","x-ratelimit-reset-tokens":"26","x-request-id":"8d8f2cdd-f8d4-4787-b47a-2c20ca8d7678"}</t>
        </is>
      </c>
      <c r="N113" t="inlineStr">
        <is>
          <t>RECOVER Vintage Black Rock Graphic Tee – Washed cotton with electric totem and retro poster print, loose unisex fit, breathable comfort, perfect for music lovers and street style fashion.</t>
        </is>
      </c>
      <c r="O113" t="inlineStr">
        <is>
          <t>{"choices":[{"finish_reason":"stop","index":0,"logprobs":null,"message":{"annotations":[],"content":"Eminem,T-Shirts,kakobuy,kakebuy2026,kekobuysheet,kakobuysheet2026,2026kakobuy,kakobuyspreadsheeet,kakobuylink,kakebuylist,Kakobuy MEGA Spreadsheet,kakobuysheetfind,kakobuysheetfind2026,2026kakobuysheetfind,kakobuysheet2026","refusal":null,"role":"assistant"}}],"created":1776667612,"id":"chatcmpl-DWchAxDqh6LZKRNuZhQrW3tuio6KF","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13" t="inlineStr">
        <is>
          <t>Eminem,T-Shirts,kakobuy,kakebuy2026,kekobuysheet,kakobuysheet2026,2026kakobuy,kakobuyspreadsheeet,kakobuylink,kakebuylist,Kakobuy MEGA Spreadsheet,kakobuysheetfind,kakobuysheetfind2026,2026kakobuysheetfind,kakobuysheet2026</t>
        </is>
      </c>
      <c r="Q113" t="inlineStr">
        <is>
          <t>Vintage, Black, Streetwear, Unisex</t>
        </is>
      </c>
      <c r="R113" t="inlineStr">
        <is>
          <t>recvh6xFVjxQHn</t>
        </is>
      </c>
      <c r="S113" t="inlineStr">
        <is>
          <t>recover-vintage-black-rock-totem-graphic-tee-recvh6xFVjxQHn</t>
        </is>
      </c>
      <c r="T113"/>
      <c r="U113"/>
      <c r="V113"/>
      <c r="W113" t="inlineStr">
        <is>
          <t>{"choices":[{"finish_reason":"stop","index":0,"logprobs":null,"message":{"annotations":[],"content":"复古黑色摇滚印花短袖T恤，以做旧质感棉质面料打造，正面个性电闪图腾与复古人物海报设计，彰显街头潮流风格。宽松版型适合男女穿搭，舒适透气兼具时尚态度，适合音乐文化爱好者的日常休闲造型。","refusal":null,"role":"assistant"}}],"created":1776655084,"id":"chatcmpl-DWZR6qlMFpU9LXWnxG8oklMEpjKv2","model":"gpt-5-chat-latest","object":"chat.completion","service_tier":"default","system_fingerprint":"fp_ad66631dec","usage":{"completion_tokens":87,"completion_tokens_details":{"accepted_prediction_tokens":0,"audio_tokens":0,"reasoning_tokens":0,"rejected_prediction_tokens":0},"prompt_tokens":1313,"prompt_tokens_details":{"audio_tokens":0,"cached_tokens":0},"total_tokens":1400}}</t>
        </is>
      </c>
      <c r="X113" t="inlineStr">
        <is>
          <t>复古黑色摇滚印花短袖T恤，以做旧质感棉质面料打造，正面个性电闪图腾与复古人物海报设计，彰显街头潮流风格。宽松版型适合男女穿搭，舒适透气兼具时尚态度，适合音乐文化爱好者的日常休闲造型。</t>
        </is>
      </c>
    </row>
    <row r="114" ht="25.5" customHeight="1">
      <c r="A114">
        <v>1839115443</v>
      </c>
      <c r="B114">
        <v>7614116357</v>
      </c>
      <c r="C114" t="inlineStr">
        <is>
          <t>https://weidian.com/item.html?itemID=7614116357</t>
        </is>
      </c>
      <c r="D114"/>
      <c r="E114" s="2" t="str">
        <f>=HYPERLINK("https://si.geilicdn.com/open1839115443-252808396-51e90000019aaf7985e60a231226_800_1200.jpg?w=640&amp;h=640", "https://si.geilicdn.com/open1839115443-252808396-51e90000019aaf7985e60a231226_800_1200.jpg?w=640&amp;h=640")</f>
        <v>https://si.geilicdn.com/open1839115443-252808396-51e90000019aaf7985e60a231226_800_1200.jpg?w=640&amp;h=640</v>
      </c>
      <c r="F114" t="inlineStr">
        <is>
          <t>Hoodies</t>
        </is>
      </c>
      <c r="G114" t="inlineStr">
        <is>
          <t>Other</t>
        </is>
      </c>
      <c r="H114" t="inlineStr">
        <is>
          <t>120.00</t>
        </is>
      </c>
      <c r="I114">
        <v>17.39</v>
      </c>
      <c r="J114" t="inlineStr">
        <is>
          <t>{"choices":[{"finish_reason":"stop","index":0,"logprobs":null,"message":{"annotations":[],"content":"HoodiesOther Iceman Black Graphic Streetwear Hoodie","refusal":null,"role":"assistant"}}],"created":1776666883,"id":"chatcmpl-DWcVPhBz7T09PSLFjNdRlsNWltXSE","model":"gpt-5-chat-latest","object":"chat.completion","service_tier":"default","system_fingerprint":"fp_ad66631dec","usage":{"completion_tokens":13,"completion_tokens_details":{"accepted_prediction_tokens":0,"audio_tokens":0,"reasoning_tokens":0,"rejected_prediction_tokens":0},"prompt_tokens":896,"prompt_tokens_details":{"audio_tokens":0,"cached_tokens":0},"total_tokens":909}}</t>
        </is>
      </c>
      <c r="K114" t="inlineStr">
        <is>
          <t>HoodiesOther Iceman Black Graphic Streetwear Hoodie</t>
        </is>
      </c>
      <c r="L114" t="inlineStr">
        <is>
          <t>{"choices":[{"finish_reason":"stop","index":0,"logprobs":null,"message":{"annotations":[],"content":"HoodiesOther Black “ICEMAN” Printed Hoodie, soft cotton fabric, street-style graphic, relaxed fit with drawstring hood and kangaroo pocket, unisex retro design, cozy and warm for autumn and winter wear.","refusal":null,"role":"assistant"}}],"created":1776659199,"id":"chatcmpl-DWaVTv4z2NnQP9gLGRSgqxwQUbCIc","model":"gpt-5-chat-latest","object":"chat.completion","service_tier":"default","system_fingerprint":"fp_ad66631dec","usage":{"completion_tokens":47,"completion_tokens_details":{"accepted_prediction_tokens":0,"audio_tokens":0,"reasoning_tokens":0,"rejected_prediction_tokens":0},"prompt_tokens":921,"prompt_tokens_details":{"audio_tokens":0,"cached_tokens":0},"total_tokens":968}}</t>
        </is>
      </c>
      <c r="M114" t="inlineStr">
        <is>
          <t>{"alt-svc":"h3=\":443\"; ma=2592000","apim-request-id":"4f0ce026-6cc0-4f90-9c18-b3db9fabaf5d","azureml-model-session":"d20260405234249-f9874baf","cache-control":"no-cache","connection":"close","content-length":"794","content-security-policy":"frame-ancestors 'self'","content-type":"application/json","date":"Mon, 20 Apr 2026 04:26:40 GMT","server":"Caddy","skip-error-remapping":"true","strict-transport-security":"max-age=31536000; includeSubDomains; preload","via":"1.1 Caddy","x-api-request-id":"20260420122638474564848ialb6QKY","x-content-type-options":"nosniff","x-frame-options":"SAMEORIGIN","x-ms-client-request-id":"Not-Set","x-ms-is-spilled-over":"false","x-ms-rai-invoked":"true","x-ms-region":"East US 2","x-new-api-version":"0.4.39","x-oneapi-request-id":"202604200426384061977158268d9d6A544WfQJ","x-ratelimit-abusepenalty-active":"False","x-ratelimit-limit-requests":"3850","x-ratelimit-limit-tokens":"3850000","x-ratelimit-remaining-requests":"3849","x-ratelimit-remaining-tokens":"3848317","x-ratelimit-renewalperiod-requests":"60","x-ratelimit-renewalperiod-tokens":"60","x-ratelimit-reset-requests":"15","x-ratelimit-reset-tokens":"26","x-request-id":"36010e77-120c-47a3-8e75-31ee06e20148"}</t>
        </is>
      </c>
      <c r="N114" t="inlineStr">
        <is>
          <t>HoodiesOther Black “ICEMAN” Printed Hoodie, soft cotton fabric, street-style graphic, relaxed fit with drawstring hood and kangaroo pocket, unisex retro design, cozy and warm for autumn and winter wear.</t>
        </is>
      </c>
      <c r="O114" t="inlineStr">
        <is>
          <t>{"choices":[{"finish_reason":"stop","index":0,"logprobs":null,"message":{"annotations":[],"content":"Iceman,Hoodies,kakobuy,kakebuy2026,kekobuysheet,kakobuysheet2026,2026kakobuy,kakobuyspreadsheeet,kakobuylink,kakebuylist,Kakobuy MEGA Spreadsheet,kakobuysheetfind,kakobuysheetfind2026,2026kakobuysheetfind,kakobuysheet2026","refusal":null,"role":"assistant"}}],"created":1776667973,"id":"chatcmpl-DWcmzd7KloIRQzFuE0AKgWSzjAyfd","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14" t="inlineStr">
        <is>
          <t>Iceman,Hoodies,kakobuy,kakebuy2026,kekobuysheet,kakobuysheet2026,2026kakobuy,kakobuyspreadsheeet,kakobuylink,kakebuylist,Kakobuy MEGA Spreadsheet,kakobuysheetfind,kakobuysheetfind2026,2026kakobuysheetfind,kakobuysheet2026</t>
        </is>
      </c>
      <c r="Q114" t="inlineStr">
        <is>
          <t>Black, Street, Retro, Autumn And Winter, Unisex</t>
        </is>
      </c>
      <c r="R114" t="inlineStr">
        <is>
          <t>recvh6xFVjOP3m</t>
        </is>
      </c>
      <c r="S114" t="inlineStr">
        <is>
          <t>iceman-black-graphic-hoodie-recvh6xFVjOP3m</t>
        </is>
      </c>
      <c r="T114"/>
      <c r="U114"/>
      <c r="V114"/>
      <c r="W114" t="inlineStr">
        <is>
          <t>{"choices":[{"finish_reason":"stop","index":0,"logprobs":null,"message":{"annotations":[],"content":"黑色印花连帽卫衣，采用柔软纯棉面料，胸前蓝色“ICEMAN”字样与图腾设计彰显街头个性，宽松版型休闲随性，配抽绳帽与袋鼠兜，男女皆宜，潮流复古风格，舒适保暖，适合秋冬日常穿搭。","refusal":null,"role":"assistant"}}],"created":1776655712,"id":"chatcmpl-DWZbEqowZOxkPa9fptHxRZc27SiI7","model":"gpt-5-chat-latest","object":"chat.completion","service_tier":"default","system_fingerprint":"fp_ad66631dec","usage":{"completion_tokens":86,"completion_tokens_details":{"accepted_prediction_tokens":0,"audio_tokens":0,"reasoning_tokens":0,"rejected_prediction_tokens":0},"prompt_tokens":1312,"prompt_tokens_details":{"audio_tokens":0,"cached_tokens":0},"total_tokens":1398}}</t>
        </is>
      </c>
      <c r="X114" t="inlineStr">
        <is>
          <t>黑色印花连帽卫衣，采用柔软纯棉面料，胸前蓝色“ICEMAN”字样与图腾设计彰显街头个性，宽松版型休闲随性，配抽绳帽与袋鼠兜，男女皆宜，潮流复古风格，舒适保暖，适合秋冬日常穿搭。</t>
        </is>
      </c>
    </row>
    <row r="115" ht="25.5" customHeight="1">
      <c r="A115">
        <v>1839115443</v>
      </c>
      <c r="B115">
        <v>7614106725</v>
      </c>
      <c r="C115" t="inlineStr">
        <is>
          <t>https://weidian.com/item.html?itemID=7614106725</t>
        </is>
      </c>
      <c r="D115"/>
      <c r="E115" s="2" t="str">
        <f>=HYPERLINK("https://si.geilicdn.com/open1839115443-252808396-41fa0000019aaf798bac0a8115c2_800_1200.jpg?w=640&amp;h=640", "https://si.geilicdn.com/open1839115443-252808396-41fa0000019aaf798bac0a8115c2_800_1200.jpg?w=640&amp;h=640")</f>
        <v>https://si.geilicdn.com/open1839115443-252808396-41fa0000019aaf798bac0a8115c2_800_1200.jpg?w=640&amp;h=640</v>
      </c>
      <c r="F115" t="inlineStr">
        <is>
          <t>Hoodies</t>
        </is>
      </c>
      <c r="G115" t="inlineStr">
        <is>
          <t>Other</t>
        </is>
      </c>
      <c r="H115" t="inlineStr">
        <is>
          <t>216.00</t>
        </is>
      </c>
      <c r="I115">
        <v>31.3</v>
      </c>
      <c r="J115" t="inlineStr">
        <is>
          <t>{"id":"chatcmpl-DWcLpqFSIJ2AUmP1A5MSolxa69il4","object":"chat.completion","created":1776666289,"model":"gpt-5-chat-latest","choices":[{"index":0,"message":{"role":"assistant","content":"RichRarity Vintage Black Basketball Print Hoodie","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15" t="inlineStr">
        <is>
          <t>RichRarity Vintage Black Basketball Print Hoodie</t>
        </is>
      </c>
      <c r="L115" t="inlineStr">
        <is>
          <t>{"choices":[{"finish_reason":"stop","index":0,"logprobs":null,"message":{"annotations":[],"content":"RichRarity Vintage Series Black Washed Hoodie, soft cotton fabric with loose fit, classic basketball print design, unisex streetwear style, perfect for casual and trendy looks.","refusal":null,"role":"assistant"}}],"created":1776659118,"id":"chatcmpl-DWaUACtZ8Xz3KPe11ovUjFpGRz9Qm","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is>
      </c>
      <c r="M115" t="inlineStr">
        <is>
          <t>{"alt-svc":"h3=\":443\"; ma=2592000","apim-request-id":"ab14161a-38c2-4232-b9ab-db8831eaa3bc","azureml-model-session":"d20260405234249-f9874baf","cache-control":"no-cache","connection":"close","content-length":"764","content-security-policy":"frame-ancestors 'self'","content-type":"application/json","date":"Mon, 20 Apr 2026 04:25:19 GMT","server":"nginx","skip-error-remapping":"true","strict-transport-security":"max-age=31536000; includeSubDomains; preload","via":"1.1 Caddy, 1.1 Caddy","x-api-request-id":"20260420122517675653248pzLDshjX","x-content-type-options":"nosniff","x-frame-options":"SAMEORIGIN","x-ms-client-request-id":"Not-Set","x-ms-is-spilled-over":"false","x-ms-rai-invoked":"true","x-ms-region":"East US 2","x-new-api-version":"0.4.39","x-oneapi-request-id":"202604200425176087426498268d9d6Mbe4L0BJ","x-ratelimit-abusepenalty-active":"False","x-ratelimit-limit-requests":"3850","x-ratelimit-limit-tokens":"3850000","x-ratelimit-remaining-requests":"3849","x-ratelimit-remaining-tokens":"3848332","x-ratelimit-renewalperiod-requests":"60","x-ratelimit-renewalperiod-tokens":"60","x-ratelimit-reset-requests":"15","x-ratelimit-reset-tokens":"25","x-request-id":"949563c5-aaed-4237-8a6b-635c58720bc1"}</t>
        </is>
      </c>
      <c r="N115" t="inlineStr">
        <is>
          <t>RichRarity Vintage Series Black Washed Hoodie, soft cotton fabric with loose fit, classic basketball print design, unisex streetwear style, perfect for casual and trendy looks.</t>
        </is>
      </c>
      <c r="O115" t="inlineStr">
        <is>
          <t>{"choices":[{"finish_reason":"stop","index":0,"logprobs":null,"message":{"annotations":[],"content":"Richrarity,Hoodies,kakobuy,kakebuy2026,kekobuysheet,kakobuysheet2026,2026kakobuy,kakobuyspreadsheeet,kakobuylink,kakebuylist,Kakobuy MEGA Spreadsheet,kakobuysheetfind,kakobuysheetfind2026,2026kakobuysheetfind,kakobuysheet2026","refusal":null,"role":"assistant"}}],"created":1776668384,"id":"chatcmpl-DWctcnDOjxTEBvTEK5EicObsfl9MH","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15" t="inlineStr">
        <is>
          <t>Richrarity,Hoodies,kakobuy,kakebuy2026,kekobuysheet,kakobuysheet2026,2026kakobuy,kakobuyspreadsheeet,kakobuylink,kakebuylist,Kakobuy MEGA Spreadsheet,kakobuysheetfind,kakobuysheetfind2026,2026kakobuysheetfind,kakobuysheet2026</t>
        </is>
      </c>
      <c r="Q115" t="inlineStr">
        <is>
          <t>Unisex, Streetwear, Black, Vintage</t>
        </is>
      </c>
      <c r="R115" t="inlineStr">
        <is>
          <t>recvh6xFVjnFFi</t>
        </is>
      </c>
      <c r="S115" t="inlineStr">
        <is>
          <t>richrarity-vintage-black-basketball-print-hoodie-recvh6xFVjnFFi</t>
        </is>
      </c>
      <c r="T115"/>
      <c r="U115"/>
      <c r="V115"/>
      <c r="W115" t="inlineStr">
        <is>
          <t>{"id":"chatcmpl-DWZgPXCqml0eTLRdGiB23X5Pi5uWF","object":"chat.completion","created":1776656033,"model":"gpt-5-chat-latest","choices":[{"index":0,"message":{"role":"assistant","content":"复古系列黑色水洗连帽卫衣，柔软棉质面料结合宽松剪裁，正面经典篮球主题印花设计，街头复古风格浓郁，男女同款，适合日常休闲与潮流搭配，展现随性个性态度。","refusal":null,"annotations":[]},"logprobs":null,"finish_reason":"stop"}],"usage":{"prompt_tokens":1314,"completion_tokens":70,"total_tokens":1384,"prompt_tokens_details":{"cached_tokens":0,"audio_tokens":0},"completion_tokens_details":{"reasoning_tokens":0,"audio_tokens":0,"accepted_prediction_tokens":0,"rejected_prediction_tokens":0}},"service_tier":"default","system_fingerprint":"fp_ad66631dec"}</t>
        </is>
      </c>
      <c r="X115" t="inlineStr">
        <is>
          <t>复古系列黑色水洗连帽卫衣，柔软棉质面料结合宽松剪裁，正面经典篮球主题印花设计，街头复古风格浓郁，男女同款，适合日常休闲与潮流搭配，展现随性个性态度。</t>
        </is>
      </c>
    </row>
    <row r="116" ht="25.5" customHeight="1">
      <c r="A116">
        <v>1839115443</v>
      </c>
      <c r="B116">
        <v>7617094358</v>
      </c>
      <c r="C116" t="inlineStr">
        <is>
          <t>https://weidian.com/item.html?itemID=7617094358</t>
        </is>
      </c>
      <c r="D116"/>
      <c r="E116" s="2" t="str">
        <f>=HYPERLINK("https://si.geilicdn.com/open1839115443-252808396-648b0000019aaf798d7a0aa081c2_790_934.jpg?w=640&amp;h=640", "https://si.geilicdn.com/open1839115443-252808396-648b0000019aaf798d7a0aa081c2_790_934.jpg?w=640&amp;h=640")</f>
        <v>https://si.geilicdn.com/open1839115443-252808396-648b0000019aaf798d7a0aa081c2_790_934.jpg?w=640&amp;h=640</v>
      </c>
      <c r="F116" t="inlineStr">
        <is>
          <t>Hoodies</t>
        </is>
      </c>
      <c r="G116" t="inlineStr">
        <is>
          <t>Other</t>
        </is>
      </c>
      <c r="H116" t="inlineStr">
        <is>
          <t>236.00</t>
        </is>
      </c>
      <c r="I116">
        <v>34.2</v>
      </c>
      <c r="J116" t="inlineStr">
        <is>
          <t>{"choices":[{"finish_reason":"stop","index":0,"logprobs":null,"message":{"annotations":[],"content":"RECOVER Vintage Black Rock Distressed Unisex Hoodie","refusal":null,"role":"assistant"}}],"created":1776666330,"id":"chatcmpl-DWcMUgWOk0KHrQ4RV8TTEB5rWv220","model":"gpt-5-chat-latest","object":"chat.completion","service_tier":"default","system_fingerprint":"fp_ad66631dec","usage":{"completion_tokens":11,"completion_tokens_details":{"accepted_prediction_tokens":0,"audio_tokens":0,"reasoning_tokens":0,"rejected_prediction_tokens":0},"prompt_tokens":890,"prompt_tokens_details":{"audio_tokens":0,"cached_tokens":0},"total_tokens":901}}</t>
        </is>
      </c>
      <c r="K116" t="inlineStr">
        <is>
          <t>RECOVER Vintage Black Rock Distressed Unisex Hoodie</t>
        </is>
      </c>
      <c r="L116" t="inlineStr">
        <is>
          <t>{"id":"chatcmpl-DWaPFQuxokR4s7t1x88KHDtNTMMpe","object":"chat.completion","created":1776658813,"model":"gpt-5-chat-latest","choices":[{"index":0,"message":{"role":"assistant","content":"RECOVER HoodiesOther Vintage Black Rock Hoodie—Loose fit with washed distressed design, front cool music totem and 3D lettering, soft breathable cotton, kangaroo pocket, unisex retro American street style.","refusal":null,"annotations":[]},"logprobs":null,"finish_reason":"stop"}],"usage":{"prompt_tokens":926,"completion_tokens":44,"total_tokens":970,"prompt_tokens_details":{"cached_tokens":0,"audio_tokens":0},"completion_tokens_details":{"reasoning_tokens":0,"audio_tokens":0,"accepted_prediction_tokens":0,"rejected_prediction_tokens":0}},"service_tier":"default","system_fingerprint":"fp_ad66631dec"}</t>
        </is>
      </c>
      <c r="M11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ma=2592000","apim-request-id":"49625002-546d-4850-8908-c787dec16dd2","azureml-model-session":"d20260405212659-a9daa006","cache-control":"no-cache, no-store, must-revalidate","connection":"close","content-length":"1011","content-security-policy":"frame-ancestors 'self'","content-type":"application/json","date":"Mon, 20 Apr 2026 04:20:14 GMT","server":"nginx","skip-error-remapping":"true","strict-transport-security":"max-age=31536000; includeSubDomains; preload","via":"1.1 Caddy, 1.1 Caddy","x-api-request-id":"2026042012201260095631jQhaB7tr","x-content-type-options":"nosniff","x-frame-options":"SAMEORIGIN","x-ms-is-spilled-over":"false","x-ms-rai-invoked":"false","x-ms-region":"East US 2","x-new-api-version":"0.4.39","x-oneapi-request-id":"202604200420119867782808268d9d6cC7xNMhY","x-ratelimit-abusepenalty-active":"False","x-ratelimit-limit-requests":"4994","x-ratelimit-limit-tokens":"4994000","x-ratelimit-remaining-requests":"4993","x-ratelimit-remaining-tokens":"4992312","x-ratelimit-renewalperiod-requests":"60","x-ratelimit-renewalperiod-tokens":"60","x-ratelimit-reset-requests":"12","x-ratelimit-reset-tokens":"20","x-request-id":"daa3da93-027b-4fb1-833d-b925615e5e35"}</t>
        </is>
      </c>
      <c r="N116" t="inlineStr">
        <is>
          <t>RECOVER HoodiesOther Vintage Black Rock Hoodie—Loose fit with washed distressed design, front cool music totem and 3D lettering, soft breathable cotton, kangaroo pocket, unisex retro American street style.</t>
        </is>
      </c>
      <c r="O116" t="inlineStr">
        <is>
          <t>{"choices":[{"finish_reason":"stop","index":0,"logprobs":null,"message":{"annotations":[],"content":"Juice WRLD,Hoodies,kakobuy,kakebuy2026,kekobuysheet,kakobuysheet2026,2026kakobuy,kakobuyspreadsheeet,kakobuylink,kakebuylist,Kakobuy MEGA Spreadsheet,kakobuysheetfind,kakobuysheetfind2026,2026kakobuysheetfind,kakobuysheet2026","refusal":null,"role":"assistant"}}],"created":1776667573,"id":"chatcmpl-DWcgXqiqoQuTu3nZiYujet1zoShAC","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16" t="inlineStr">
        <is>
          <t>Juice WRLD,Hoodies,kakobuy,kakebuy2026,kekobuysheet,kakobuysheet2026,2026kakobuy,kakobuyspreadsheeet,kakobuylink,kakebuylist,Kakobuy MEGA Spreadsheet,kakobuysheetfind,kakobuysheetfind2026,2026kakobuysheetfind,kakobuysheet2026</t>
        </is>
      </c>
      <c r="Q116" t="inlineStr">
        <is>
          <t>Unisex, Retro, Streetwear, Black</t>
        </is>
      </c>
      <c r="R116" t="inlineStr">
        <is>
          <t>recvh6xFVjhGg7</t>
        </is>
      </c>
      <c r="S116" t="inlineStr">
        <is>
          <t>recover-vintage-black-rock-distressed-hoodie-recvh6xFVjhGg7</t>
        </is>
      </c>
      <c r="T116"/>
      <c r="U116"/>
      <c r="V116"/>
      <c r="W116" t="inlineStr">
        <is>
          <t>{"choices":[{"finish_reason":"stop","index":0,"logprobs":null,"message":{"annotations":[],"content":"复古黑色摇滚风连帽卫衣，宽松廓形搭配做旧洗水工艺，正面印有潮酷音乐图腾与立体字母设计，彰显街头个性态度。柔软棉质面料舒适透气，前袋鼠兜实用便捷，男女皆宜，轻松打造美式复古街头造型。","refusal":null,"role":"assistant"}}],"created":1776655161,"id":"chatcmpl-DWZSLIFQO3W0igPXJ00fw1b8HzqXk","model":"gpt-5-chat-latest","object":"chat.completion","service_tier":"default","system_fingerprint":"fp_ad66631dec","usage":{"completion_tokens":90,"completion_tokens_details":{"accepted_prediction_tokens":0,"audio_tokens":0,"reasoning_tokens":0,"rejected_prediction_tokens":0},"prompt_tokens":1314,"prompt_tokens_details":{"audio_tokens":0,"cached_tokens":0},"total_tokens":1404}}</t>
        </is>
      </c>
      <c r="X116" t="inlineStr">
        <is>
          <t>复古黑色摇滚风连帽卫衣，宽松廓形搭配做旧洗水工艺，正面印有潮酷音乐图腾与立体字母设计，彰显街头个性态度。柔软棉质面料舒适透气，前袋鼠兜实用便捷，男女皆宜，轻松打造美式复古街头造型。</t>
        </is>
      </c>
    </row>
    <row r="117" ht="25.5" customHeight="1">
      <c r="A117">
        <v>1839115443</v>
      </c>
      <c r="B117">
        <v>7617108534</v>
      </c>
      <c r="C117" t="inlineStr">
        <is>
          <t>https://weidian.com/item.html?itemID=7617108534</t>
        </is>
      </c>
      <c r="D117"/>
      <c r="E117" s="2" t="str">
        <f>=HYPERLINK("https://si.geilicdn.com/open1839115443-252808396-69d70000019aaf7981cf0aa086a7_800_994.jpg?w=640&amp;h=640", "https://si.geilicdn.com/open1839115443-252808396-69d70000019aaf7981cf0aa086a7_800_994.jpg?w=640&amp;h=640")</f>
        <v>https://si.geilicdn.com/open1839115443-252808396-69d70000019aaf7981cf0aa086a7_800_994.jpg?w=640&amp;h=640</v>
      </c>
      <c r="F117" t="inlineStr">
        <is>
          <t>T-Shirts</t>
        </is>
      </c>
      <c r="G117" t="inlineStr">
        <is>
          <t>Other</t>
        </is>
      </c>
      <c r="H117" t="inlineStr">
        <is>
          <t>120.00</t>
        </is>
      </c>
      <c r="I117">
        <v>17.39</v>
      </c>
      <c r="J117" t="inlineStr">
        <is>
          <t>{"choices":[{"finish_reason":"stop","index":0,"logprobs":null,"message":{"annotations":[],"content":"BLONDED Vintage Gray Cactus Flame Unisex T-Shirt","refusal":null,"role":"assistant"}}],"created":1776665769,"id":"chatcmpl-DWcDRE4SiWK8VexSUkJpfCrZXtLhU","model":"gpt-5-chat-latest","object":"chat.completion","service_tier":"default","system_fingerprint":"fp_ad66631dec","usage":{"completion_tokens":13,"completion_tokens_details":{"accepted_prediction_tokens":0,"audio_tokens":0,"reasoning_tokens":0,"rejected_prediction_tokens":0},"prompt_tokens":883,"prompt_tokens_details":{"audio_tokens":0,"cached_tokens":0},"total_tokens":896}}</t>
        </is>
      </c>
      <c r="K117" t="inlineStr">
        <is>
          <t>BLONDED Vintage Gray Cactus Flame Unisex T-Shirt</t>
        </is>
      </c>
      <c r="L117" t="inlineStr">
        <is>
          <t>{"choices":[{"finish_reason":"stop","index":0,"logprobs":null,"message":{"annotations":[],"content":"BLONDED Vintage Gray T-Shirt made from soft washed cotton, featuring a green flame cactus and totem print. Unisex loose fit, breathable, blending streetwear art and retro American casual style.","refusal":null,"role":"assistant"}}],"created":1776658942,"id":"chatcmpl-DWaRKfLw1NipH3Jw4wpYPkcQNclhj","model":"gpt-5-chat-latest","object":"chat.completion","service_tier":"default","system_fingerprint":"fp_ad66631dec","usage":{"completion_tokens":41,"completion_tokens_details":{"accepted_prediction_tokens":0,"audio_tokens":0,"reasoning_tokens":0,"rejected_prediction_tokens":0},"prompt_tokens":935,"prompt_tokens_details":{"audio_tokens":0,"cached_tokens":0},"total_tokens":976}}</t>
        </is>
      </c>
      <c r="M117" t="inlineStr">
        <is>
          <t>{"alt-svc":"h3=\":443\"; ma=2592000","apim-request-id":"03a4d854-7cfd-4da2-b09f-e83565758b4a","azureml-model-session":"d20260402075109-1fc5a0ec","cache-control":"no-cache","connection":"close","content-length":"781","content-security-policy":"frame-ancestors 'self'","content-type":"application/json","date":"Mon, 20 Apr 2026 04:22:23 GMT","server":"nginx","skip-error-remapping":"true","strict-transport-security":"max-age=31536000; includeSubDomains; preload","via":"1.1 Caddy, 1.1 Caddy","x-api-request-id":"20260420122221384551328lFSAM7Ux","x-content-type-options":"nosniff","x-frame-options":"SAMEORIGIN","x-ms-client-request-id":"Not-Set","x-ms-is-spilled-over":"false","x-ms-rai-invoked":"true","x-ms-region":"East US 2","x-new-api-version":"0.4.39","x-oneapi-request-id":"202604200422213103763518268d9d6rJrPWYWW","x-ratelimit-abusepenalty-active":"False","x-ratelimit-limit-requests":"3850","x-ratelimit-limit-tokens":"3850000","x-ratelimit-remaining-requests":"3849","x-ratelimit-remaining-tokens":"3848213","x-ratelimit-renewalperiod-requests":"60","x-ratelimit-renewalperiod-tokens":"60","x-ratelimit-reset-requests":"15","x-ratelimit-reset-tokens":"27","x-request-id":"47090276-5022-4e54-8ffc-f975756669b3"}</t>
        </is>
      </c>
      <c r="N117" t="inlineStr">
        <is>
          <t>BLONDED Vintage Gray T-Shirt made from soft washed cotton, featuring a green flame cactus and totem print. Unisex loose fit, breathable, blending streetwear art and retro American casual style.</t>
        </is>
      </c>
      <c r="O117" t="inlineStr">
        <is>
          <t>{"choices":[{"finish_reason":"stop","index":0,"logprobs":null,"message":{"annotations":[],"content":"Blonded,T-Shirts,kakobuy,kakebuy2026,kekobuysheet,kakobuysheet2026,2026kakobuy,kakobuyspreadsheeet,kakobuylink,kakebuylist,Kakobuy MEGA Spreadsheet,kakobuysheetfind,kakobuysheetfind2026,2026kakobuysheetfind,kakobuysheet2026","refusal":null,"role":"assistant"}}],"created":1776667296,"id":"chatcmpl-DWcc47tfzP92HXMIwWj6LLp7cgHYz","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17" t="inlineStr">
        <is>
          <t>Blonded,T-Shirts,kakobuy,kakebuy2026,kekobuysheet,kakobuysheet2026,2026kakobuy,kakobuyspreadsheeet,kakobuylink,kakebuylist,Kakobuy MEGA Spreadsheet,kakobuysheetfind,kakobuysheetfind2026,2026kakobuysheetfind,kakobuysheet2026</t>
        </is>
      </c>
      <c r="Q117" t="inlineStr">
        <is>
          <t>Gray, Unisex, Streetwear, Retro, Breathable</t>
        </is>
      </c>
      <c r="R117" t="inlineStr">
        <is>
          <t>recvh6xFVjoHLd</t>
        </is>
      </c>
      <c r="S117" t="inlineStr">
        <is>
          <t>blonded-vintage-gray-cactus-flame-recvh6xfvjohld</t>
        </is>
      </c>
      <c r="T117"/>
      <c r="U117"/>
      <c r="V117"/>
      <c r="W117" t="inlineStr">
        <is>
          <t>{"id":"chatcmpl-DWZPDrAVXDoFb9GipjwM8TKilJnN2","object":"chat.completion","created":1776654967,"model":"gpt-5-chat-latest","choices":[{"index":0,"message":{"role":"assistant","content":"复古灰系列短袖T恤，采用纯棉水洗面料打造，质感柔软透气，正面印有绿色火焰仙人掌与人物图腾，搭配醒目“BLONDED”字样，展现街头潮流艺术感。宽松版型设计，男女皆可穿着，轻松演绎复古美式街头风，休闲百搭焕发年轻态度。","refusal":null,"annotations":[]},"logprobs":null,"finish_reason":"stop"}],"usage":{"prompt_tokens":1311,"completion_tokens":101,"total_tokens":1412,"prompt_tokens_details":{"cached_tokens":1280,"audio_tokens":0},"completion_tokens_details":{"reasoning_tokens":0,"audio_tokens":0,"accepted_prediction_tokens":0,"rejected_prediction_tokens":0}},"service_tier":"default","system_fingerprint":"fp_ad66631dec"}</t>
        </is>
      </c>
      <c r="X117" t="inlineStr">
        <is>
          <t>复古灰系列短袖T恤，采用纯棉水洗面料打造，质感柔软透气，正面印有绿色火焰仙人掌与人物图腾，搭配醒目“BLONDED”字样，展现街头潮流艺术感。宽松版型设计，男女皆可穿着，轻松演绎复古美式街头风，休闲百搭焕发年轻态度。</t>
        </is>
      </c>
    </row>
    <row r="118" ht="25.5" customHeight="1">
      <c r="A118">
        <v>1839115443</v>
      </c>
      <c r="B118">
        <v>7599365787</v>
      </c>
      <c r="C118" t="inlineStr">
        <is>
          <t>https://weidian.com/item.html?itemID=7599365787</t>
        </is>
      </c>
      <c r="D118"/>
      <c r="E118" s="2" t="str">
        <f>=HYPERLINK("https://si.geilicdn.com/open1839115443-252808396-103a0000019a68236b670a231226_1080_1080.jpg?w=640&amp;h=640", "https://si.geilicdn.com/open1839115443-252808396-103a0000019a68236b670a231226_1080_1080.jpg?w=640&amp;h=640")</f>
        <v>https://si.geilicdn.com/open1839115443-252808396-103a0000019a68236b670a231226_1080_1080.jpg?w=640&amp;h=640</v>
      </c>
      <c r="F118" t="inlineStr">
        <is>
          <t>Jackets</t>
        </is>
      </c>
      <c r="G118" t="inlineStr">
        <is>
          <t xml:space="preserve">Canada Goose </t>
        </is>
      </c>
      <c r="H118" t="inlineStr">
        <is>
          <t>690.00</t>
        </is>
      </c>
      <c r="I118">
        <v>100</v>
      </c>
      <c r="J118" t="inlineStr">
        <is>
          <t>{"choices":[{"finish_reason":"stop","index":0,"logprobs":null,"message":{"annotations":[],"content":"Canada Goose White Down Fur Hood Jacket","refusal":null,"role":"assistant"}}],"created":1776666777,"id":"chatcmpl-DWcThtPaku4bioeuxMJSZaDIGqEUj","model":"gpt-5-chat-latest","object":"chat.completion","service_tier":"default","system_fingerprint":"fp_ad66631dec","usage":{"completion_tokens":8,"completion_tokens_details":{"accepted_prediction_tokens":0,"audio_tokens":0,"reasoning_tokens":0,"rejected_prediction_tokens":0},"prompt_tokens":872,"prompt_tokens_details":{"audio_tokens":0,"cached_tokens":0},"total_tokens":880}}</t>
        </is>
      </c>
      <c r="K118" t="inlineStr">
        <is>
          <t>Canada Goose White Down Fur Hood Jacket</t>
        </is>
      </c>
      <c r="L118" t="inlineStr">
        <is>
          <t>{"id":"chatcmpl-DWaHjzpuF6atXJ8WzGLT3wVdOE5pO","object":"chat.completion","created":1776658347,"model":"gpt-5-chat-latest","choices":[{"index":0,"message":{"role":"assistant","content":"Canada Goose white down jacket, made from high-density waterproof fabric with natural fur hood. Unisex short design for winter warmth, blending urban style and Arctic-ready cold protection.","refusal":null,"annotations":[]},"logprobs":null,"finish_reason":"stop"}],"usage":{"prompt_tokens":912,"completion_tokens":35,"total_tokens":947,"prompt_tokens_details":{"cached_tokens":0,"audio_tokens":0},"completion_tokens_details":{"reasoning_tokens":0,"audio_tokens":0,"accepted_prediction_tokens":0,"rejected_prediction_tokens":0}},"service_tier":"default","system_fingerprint":"fp_ad66631dec"}</t>
        </is>
      </c>
      <c r="M11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ma=2592000","apim-request-id":"dc07f350-1613-4b3d-aed3-51c5e18861e2","azureml-model-session":"d20260402074105-51db401e","cache-control":"no-cache, no-store, must-revalidate","connection":"close","content-length":"993","content-security-policy":"frame-ancestors 'self'","content-type":"application/json","date":"Mon, 20 Apr 2026 04:12:29 GMT","server":"Caddy","skip-error-remapping":"true","strict-transport-security":"max-age=31536000; includeSubDomains; preload","via":"1.1 Caddy","x-api-request-id":"20260420121225643945967HQtFS41d","x-content-type-options":"nosniff","x-frame-options":"SAMEORIGIN","x-ms-is-spilled-over":"false","x-ms-rai-invoked":"false","x-ms-region":"Sweden Central","x-new-api-version":"0.4.39","x-oneapi-request-id":"202604200412255802818408268d9d6Vd7hppuY","x-ratelimit-abusepenalty-active":"False","x-ratelimit-limit-requests":"4993","x-ratelimit-limit-tokens":"4993000","x-ratelimit-remaining-requests":"4992","x-ratelimit-remaining-tokens":"4991326","x-ratelimit-renewalperiod-requests":"60","x-ratelimit-renewalperiod-tokens":"60","x-ratelimit-reset-requests":"12","x-ratelimit-reset-tokens":"20","x-request-id":"8edc60d1-dd4a-473b-a961-9cc0c5e25642"}</t>
        </is>
      </c>
      <c r="N118" t="inlineStr">
        <is>
          <t>Canada Goose white down jacket, made from high-density waterproof fabric with natural fur hood. Unisex short design for winter warmth, blending urban style and Arctic-ready cold protection.</t>
        </is>
      </c>
      <c r="O118"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1776667570,"id":"chatcmpl-DWcgUsCf3voFOlymwJAT4xjlBL2fo","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18" t="inlineStr">
        <is>
          <t>Canada Goose, Jackets, kakobuy, kakebuy2026, kekobuysheet, kakobuysheet2026, 2026kakobuy, kakobuyspreadsheeet, kakobuylink, kakebuylist, Kakobuy MEGA Spreadsheet, kakobuysheetfind, kakobuysheetfind2026, 2026kakobuysheetfind, kakobuysheet2026</t>
        </is>
      </c>
      <c r="Q118" t="inlineStr">
        <is>
          <t>Winter, Waterproof, Fur, Unisex</t>
        </is>
      </c>
      <c r="R118" t="inlineStr">
        <is>
          <t>recvh6xFVjUOpP</t>
        </is>
      </c>
      <c r="S118" t="inlineStr">
        <is>
          <t>canada-goose-white-down-fur-hood-jacket-recvh6xfvjuopp</t>
        </is>
      </c>
      <c r="T118"/>
      <c r="U118"/>
      <c r="V118"/>
      <c r="W118" t="inlineStr">
        <is>
          <t>{"choices":[{"finish_reason":"stop","index":0,"logprobs":null,"message":{"annotations":[],"content":"Canada Goose：白色羽绒夹克，甄选防寒防水高密度面料，搭配天然毛领连帽设计，中短款剪裁挺括利落。男女通用冬季保暖款，融合现代都市简约风格与北极探险功能，轻盈御寒兼具时尚质感。","refusal":null,"role":"assistant"}}],"created":1776655647,"id":"chatcmpl-DWZaBYI6Mo3pXpCYE8OnNt7ogcMBf","model":"gpt-5-chat-latest","object":"chat.completion","service_tier":"default","system_fingerprint":"fp_ad66631dec","usage":{"completion_tokens":77,"completion_tokens_details":{"accepted_prediction_tokens":0,"audio_tokens":0,"reasoning_tokens":0,"rejected_prediction_tokens":0},"prompt_tokens":1314,"prompt_tokens_details":{"audio_tokens":0,"cached_tokens":0},"total_tokens":1391}}</t>
        </is>
      </c>
      <c r="X118" t="inlineStr">
        <is>
          <t>Canada Goose：白色羽绒夹克，甄选防寒防水高密度面料，搭配天然毛领连帽设计，中短款剪裁挺括利落。男女通用冬季保暖款，融合现代都市简约风格与北极探险功能，轻盈御寒兼具时尚质感。</t>
        </is>
      </c>
    </row>
    <row r="119" ht="25.5" customHeight="1">
      <c r="A119">
        <v>1839115443</v>
      </c>
      <c r="B119">
        <v>7599347901</v>
      </c>
      <c r="C119" t="inlineStr">
        <is>
          <t>https://weidian.com/item.html?itemID=7599347901</t>
        </is>
      </c>
      <c r="D119"/>
      <c r="E119" s="2" t="str">
        <f>=HYPERLINK("https://si.geilicdn.com/open1839115443-252808396-0d500000019a6822fc1e0a23b4de_1051_1051.jpg?w=640&amp;h=640", "https://si.geilicdn.com/open1839115443-252808396-0d500000019a6822fc1e0a23b4de_1051_1051.jpg?w=640&amp;h=640")</f>
        <v>https://si.geilicdn.com/open1839115443-252808396-0d500000019a6822fc1e0a23b4de_1051_1051.jpg?w=640&amp;h=640</v>
      </c>
      <c r="F119" t="inlineStr">
        <is>
          <t>Jackets</t>
        </is>
      </c>
      <c r="G119" t="inlineStr">
        <is>
          <t xml:space="preserve">Canada Goose </t>
        </is>
      </c>
      <c r="H119" t="inlineStr">
        <is>
          <t>730.00</t>
        </is>
      </c>
      <c r="I119">
        <v>105.8</v>
      </c>
      <c r="J119" t="inlineStr">
        <is>
          <t>{"choices":[{"finish_reason":"stop","index":0,"logprobs":null,"message":{"annotations":[],"content":"Canada Goose Black Down Parka Waterproof Fur Hood Jacket","refusal":null,"role":"assistant"}}],"created":1776665902,"id":"chatcmpl-DWcFaZN4cgIwk8DD1oO2bvY2WRa3N","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119" t="inlineStr">
        <is>
          <t>Canada Goose Black Down Parka Waterproof Fur Hood Jacket</t>
        </is>
      </c>
      <c r="L119" t="inlineStr">
        <is>
          <t>{"choices":[{"finish_reason":"stop","index":0,"logprobs":null,"message":{"annotations":[],"content":"Canada Goose Black Long Down Parka – Waterproof windproof nylon, premium down insulation, detachable real fur hood. Urban unisex winter essential combining warmth, function and luxury style.","refusal":null,"role":"assistant"}}],"created":1776658391,"id":"chatcmpl-DWaIR3wrQMxmjpLxLnrAGV2AspjM2","model":"gpt-5-chat-latest","object":"chat.completion","service_tier":"default","system_fingerprint":"fp_ad66631dec","usage":{"completion_tokens":36,"completion_tokens_details":{"accepted_prediction_tokens":0,"audio_tokens":0,"reasoning_tokens":0,"rejected_prediction_tokens":0},"prompt_tokens":917,"prompt_tokens_details":{"audio_tokens":0,"cached_tokens":0},"total_tokens":953}}</t>
        </is>
      </c>
      <c r="M119" t="inlineStr">
        <is>
          <t>{"alt-svc":"h3=\":443\"; ma=2592000","apim-request-id":"995acd66-cfae-42b2-81ed-ff9a701cbbe2","azureml-model-session":"d20260405234249-f9874baf","cache-control":"no-cache","connection":"close","content-length":"780","content-security-policy":"frame-ancestors 'self'","content-type":"application/json","date":"Mon, 20 Apr 2026 04:13:12 GMT","server":"nginx","skip-error-remapping":"true","strict-transport-security":"max-age=31536000; includeSubDomains; preload","via":"1.1 Caddy, 1.1 Caddy","x-api-request-id":"20260420121310630104847Ykls32Vl","x-content-type-options":"nosniff","x-frame-options":"SAMEORIGIN","x-ms-client-request-id":"Not-Set","x-ms-is-spilled-over":"false","x-ms-rai-invoked":"true","x-ms-region":"East US 2","x-new-api-version":"0.4.39","x-oneapi-request-id":"202604200413105261398718268d9d62MGu4DlK","x-ratelimit-abusepenalty-active":"False","x-ratelimit-limit-requests":"3850","x-ratelimit-limit-tokens":"3850000","x-ratelimit-remaining-requests":"3849","x-ratelimit-remaining-tokens":"3848321","x-ratelimit-renewalperiod-requests":"60","x-ratelimit-renewalperiod-tokens":"60","x-ratelimit-reset-requests":"15","x-ratelimit-reset-tokens":"26","x-request-id":"9f1df49a-b9d5-4c42-a877-84c6cf7c195b"}</t>
        </is>
      </c>
      <c r="N119" t="inlineStr">
        <is>
          <t>Canada Goose Black Long Down Parka – Waterproof windproof nylon, premium down insulation, detachable real fur hood. Urban unisex winter essential combining warmth, function and luxury style.</t>
        </is>
      </c>
      <c r="O119"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1776667607,"id":"chatcmpl-DWch5mC6d6mHgR37xnIAgfkwrz1bJ","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19" t="inlineStr">
        <is>
          <t>Canada Goose, Jackets, kakobuy, kakebuy2026, kekobuysheet, kakobuysheet2026, 2026kakobuy, kakobuyspreadsheeet, kakobuylink, kakebuylist, Kakobuy MEGA Spreadsheet, kakobuysheetfind, kakobuysheetfind2026, 2026kakobuysheetfind, kakobuysheet2026</t>
        </is>
      </c>
      <c r="Q119" t="inlineStr">
        <is>
          <t>Waterproof, Windproof, Nylon, Fur, Winter, Unisex</t>
        </is>
      </c>
      <c r="R119" t="inlineStr">
        <is>
          <t>recvh6xFVjU6od</t>
        </is>
      </c>
      <c r="S119" t="inlineStr">
        <is>
          <t>canada-goose-black-down-parka-fur-hood-recvh6xfvju6od</t>
        </is>
      </c>
      <c r="T119"/>
      <c r="U119"/>
      <c r="V119"/>
      <c r="W119" t="inlineStr">
        <is>
          <t>{"choices":[{"finish_reason":"stop","index":0,"logprobs":null,"message":{"annotations":[],"content":"Canada Goose：黑色长款羽绒派克外套，采用防水防风尼龙面料与优质羽绒填充，搭配可拆卸真毛领设计，保暖出众。简约都市风格，男女通穿，冬季高端户外必备款，兼具功能性与时尚感。","refusal":null,"role":"assistant"}}],"created":1776655463,"id":"chatcmpl-DWZXDhAEebX1RgduRVAdZvYdbS1Om","model":"gpt-5-chat-latest","object":"chat.completion","service_tier":"default","system_fingerprint":"fp_ad66631dec","usage":{"completion_tokens":78,"completion_tokens_details":{"accepted_prediction_tokens":0,"audio_tokens":0,"reasoning_tokens":0,"rejected_prediction_tokens":0},"prompt_tokens":1322,"prompt_tokens_details":{"audio_tokens":0,"cached_tokens":0},"total_tokens":1400}}</t>
        </is>
      </c>
      <c r="X119" t="inlineStr">
        <is>
          <t>Canada Goose：黑色长款羽绒派克外套，采用防水防风尼龙面料与优质羽绒填充，搭配可拆卸真毛领设计，保暖出众。简约都市风格，男女通穿，冬季高端户外必备款，兼具功能性与时尚感。</t>
        </is>
      </c>
    </row>
    <row r="120" ht="25.5" customHeight="1">
      <c r="A120">
        <v>1839115443</v>
      </c>
      <c r="B120">
        <v>7599353871</v>
      </c>
      <c r="C120" t="inlineStr">
        <is>
          <t>https://weidian.com/item.html?itemID=7599353871</t>
        </is>
      </c>
      <c r="D120"/>
      <c r="E120" s="2" t="str">
        <f>=HYPERLINK("https://si.geilicdn.com/open1839115443-252808396-0ffe0000019a6822d81d0a231226_900_1200.jpg?w=640&amp;h=640", "https://si.geilicdn.com/open1839115443-252808396-0ffe0000019a6822d81d0a231226_900_1200.jpg?w=640&amp;h=640")</f>
        <v>https://si.geilicdn.com/open1839115443-252808396-0ffe0000019a6822d81d0a231226_900_1200.jpg?w=640&amp;h=640</v>
      </c>
      <c r="F120" t="inlineStr">
        <is>
          <t>Jackets</t>
        </is>
      </c>
      <c r="G120" t="inlineStr">
        <is>
          <t>Moncler</t>
        </is>
      </c>
      <c r="H120" t="inlineStr">
        <is>
          <t>750.00</t>
        </is>
      </c>
      <c r="I120">
        <v>108.7</v>
      </c>
      <c r="J120" t="inlineStr">
        <is>
          <t>{"id":"chatcmpl-DWcImH9554RTlGcrUld1dbiFhRn7e","object":"chat.completion","created":1776666100,"model":"gpt-5-chat-latest","choices":[{"index":0,"message":{"role":"assistant","content":"Moncler Lago Unisex Purple Shiny Down Winter Jacket","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120" t="inlineStr">
        <is>
          <t>Moncler Lago Unisex Purple Shiny Down Winter Jacket</t>
        </is>
      </c>
      <c r="L120" t="inlineStr">
        <is>
          <t>{"id":"chatcmpl-DWaW3voCI2FkNdFOoGMuEnrrWZ2iK","object":"chat.completion","created":1776659235,"model":"gpt-5-chat-latest","choices":[{"index":0,"message":{"role":"assistant","content":"Moncler Lago Unisex Shiny Down Jacket in Deep Purple, crafted from premium lightweight nylon, features a 3D cut with adjustable hood, offering warm, stylish comfort for winter urban and outdoor wear.","refusal":null,"annotations":[]},"logprobs":null,"finish_reason":"stop"}],"usage":{"prompt_tokens":902,"completion_tokens":42,"total_tokens":944,"prompt_tokens_details":{"cached_tokens":0,"audio_tokens":0},"completion_tokens_details":{"reasoning_tokens":0,"audio_tokens":0,"accepted_prediction_tokens":0,"rejected_prediction_tokens":0}},"service_tier":"default","system_fingerprint":"fp_ad66631dec"}</t>
        </is>
      </c>
      <c r="M12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ma=2592000","apim-request-id":"af253bbb-1d76-41fb-acf0-3e755260e7c0","azureml-model-session":"d20260402075109-1fc5a0ec","cache-control":"no-cache, no-store, must-revalidate","connection":"close","content-length":"1003","content-security-policy":"frame-ancestors 'self'","content-type":"application/json","date":"Mon, 20 Apr 2026 04:27:17 GMT","server":"Caddy","skip-error-remapping":"true","strict-transport-security":"max-age=31536000; includeSubDomains; preload","via":"1.1 Caddy","x-api-request-id":"202604201227146161034950m9UaNCO","x-content-type-options":"nosniff","x-frame-options":"SAMEORIGIN","x-ms-is-spilled-over":"false","x-ms-rai-invoked":"false","x-ms-region":"East US 2","x-new-api-version":"0.4.39","x-oneapi-request-id":"202604200427145494191488268d9d6i3fkzOoF","x-ratelimit-abusepenalty-active":"False","x-ratelimit-limit-requests":"4994","x-ratelimit-limit-tokens":"4994000","x-ratelimit-remaining-requests":"4993","x-ratelimit-remaining-tokens":"4992336","x-ratelimit-renewalperiod-requests":"60","x-ratelimit-renewalperiod-tokens":"60","x-ratelimit-reset-requests":"12","x-ratelimit-reset-tokens":"19","x-request-id":"9b4affef-3579-41a1-865a-02f2e8800e8c"}</t>
        </is>
      </c>
      <c r="N120" t="inlineStr">
        <is>
          <t>Moncler Lago Unisex Shiny Down Jacket in Deep Purple, crafted from premium lightweight nylon, features a 3D cut with adjustable hood, offering warm, stylish comfort for winter urban and outdoor wear.</t>
        </is>
      </c>
      <c r="O120"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1776668044,"id":"chatcmpl-DWco8WVFNpsYCH6BSKn9MIwfM8pXb","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20" t="inlineStr">
        <is>
          <t>Moncler, Jacket, kakobuy, kakebuy2026, kekobuysheet, kakobuysheet2026, 2026kakobuy, kakobuyspreadsheeet, kakobuylink, kakebuylist, Kakobuy MEGA Spreadsheet, kakobuysheetfind, kakobuysheetfind2026, 2026kakobuysheetfind, kakobuysheet2026</t>
        </is>
      </c>
      <c r="Q120" t="inlineStr">
        <is>
          <t>Unisex, Winter, Nylon, Purple</t>
        </is>
      </c>
      <c r="R120" t="inlineStr">
        <is>
          <t>recvh6xFVjRag5</t>
        </is>
      </c>
      <c r="S120" t="inlineStr">
        <is>
          <t>moncler-lago-purple-shiny-down-jacket-recvh6xfvjrag5</t>
        </is>
      </c>
      <c r="T120"/>
      <c r="U120"/>
      <c r="V120"/>
      <c r="W120" t="inlineStr">
        <is>
          <t>{"choices":[{"finish_reason":"stop","index":0,"logprobs":null,"message":{"annotations":[],"content":"Moncler：Lago系列深紫色男女同款亮面羽绒夹克，高品质尼龙面料轻盈保暖，立体剪裁配可调节连帽设计，呈现简约奢华都市风格，冬季户外与街头穿搭皆宜。","refusal":null,"role":"assistant"}}],"created":1776655031,"id":"chatcmpl-DWZQFsLHyag3ByoIkeoXfWWVtdje3","model":"gpt-5-chat-latest","object":"chat.completion","service_tier":"default","system_fingerprint":"fp_ad66631dec","usage":{"completion_tokens":67,"completion_tokens_details":{"accepted_prediction_tokens":0,"audio_tokens":0,"reasoning_tokens":0,"rejected_prediction_tokens":0},"prompt_tokens":1316,"prompt_tokens_details":{"audio_tokens":0,"cached_tokens":1280},"total_tokens":1383}}</t>
        </is>
      </c>
      <c r="X120" t="inlineStr">
        <is>
          <t>Moncler：Lago系列深紫色男女同款亮面羽绒夹克，高品质尼龙面料轻盈保暖，立体剪裁配可调节连帽设计，呈现简约奢华都市风格，冬季户外与街头穿搭皆宜。</t>
        </is>
      </c>
    </row>
    <row r="121" ht="25.5" customHeight="1">
      <c r="A121">
        <v>1839115443</v>
      </c>
      <c r="B121">
        <v>7601281726</v>
      </c>
      <c r="C121" t="inlineStr">
        <is>
          <t>https://weidian.com/item.html?itemID=7601281726</t>
        </is>
      </c>
      <c r="D121"/>
      <c r="E121" s="2" t="str">
        <f>=HYPERLINK("https://si.geilicdn.com/open1839115443-252808396-02360000019a6822cce70a8115c2_1440_1920.jpg?w=640&amp;h=640", "https://si.geilicdn.com/open1839115443-252808396-02360000019a6822cce70a8115c2_1440_1920.jpg?w=640&amp;h=640")</f>
        <v>https://si.geilicdn.com/open1839115443-252808396-02360000019a6822cce70a8115c2_1440_1920.jpg?w=640&amp;h=640</v>
      </c>
      <c r="F121" t="inlineStr">
        <is>
          <t>Jackets</t>
        </is>
      </c>
      <c r="G121" t="inlineStr">
        <is>
          <t>Canada Goose</t>
        </is>
      </c>
      <c r="H121" t="inlineStr">
        <is>
          <t>670.00</t>
        </is>
      </c>
      <c r="I121">
        <v>97.1</v>
      </c>
      <c r="J121" t="inlineStr">
        <is>
          <t>{"id":"chatcmpl-DWcJsEE5gMI8yG8wtVoHhdKYBmmQN","object":"chat.completion","created":1776666168,"model":"gpt-5-chat-latest","choices":[{"index":0,"message":{"role":"assistant","content":"Canada Goose Classic Beige Fur Hood Down Jacket","refusal":null,"annotations":[]},"logprobs":null,"finish_reason":"stop"}],"usage":{"prompt_tokens":880,"completion_tokens":9,"total_tokens":889,"prompt_tokens_details":{"cached_tokens":0,"audio_tokens":0},"completion_tokens_details":{"reasoning_tokens":0,"audio_tokens":0,"accepted_prediction_tokens":0,"rejected_prediction_tokens":0}},"service_tier":"default","system_fingerprint":"fp_ad66631dec"}</t>
        </is>
      </c>
      <c r="K121" t="inlineStr">
        <is>
          <t>Canada Goose Classic Beige Fur Hood Down Jacket</t>
        </is>
      </c>
      <c r="L121" t="inlineStr">
        <is>
          <t>{"choices":[{"finish_reason":"stop","index":0,"logprobs":null,"message":{"annotations":[],"content":"Canada Goose Classic Beige Down Jacket features waterproof, windproof fabric and a real fur hood. Designed for men and women, offering supreme warmth and sleek Nordic style for winter outdoor or urban wear.","refusal":null,"role":"assistant"}}],"created":1776659064,"id":"chatcmpl-DWaTIq7UwrZUsEgAE7R2uhuFjeGBz","model":"gpt-5-chat-latest","object":"chat.completion","service_tier":"default","system_fingerprint":"fp_ad66631dec","usage":{"completion_tokens":39,"completion_tokens_details":{"accepted_prediction_tokens":0,"audio_tokens":0,"reasoning_tokens":0,"rejected_prediction_tokens":0},"prompt_tokens":910,"prompt_tokens_details":{"audio_tokens":0,"cached_tokens":0},"total_tokens":949}}</t>
        </is>
      </c>
      <c r="M121" t="inlineStr">
        <is>
          <t>{"alt-svc":"h3=\":443\"; ma=2592000","apim-request-id":"cd5cbcd3-c6b2-4d8e-9d84-7526f4921e4e","azureml-model-session":"d20260402084046-4209e968","cache-control":"no-cache","connection":"close","content-length":"794","content-security-policy":"frame-ancestors 'self'","content-type":"application/json","date":"Mon, 20 Apr 2026 04:24:26 GMT","server":"nginx","skip-error-remapping":"true","strict-transport-security":"max-age=31536000; includeSubDomains; preload","via":"1.1 Caddy, 1.1 Caddy","x-api-request-id":"2026042012242467292051i7YZqwOb","x-content-type-options":"nosniff","x-frame-options":"SAMEORIGIN","x-ms-client-request-id":"Not-Set","x-ms-is-spilled-over":"false","x-ms-rai-invoked":"true","x-ms-region":"East US 2","x-new-api-version":"0.4.39","x-oneapi-request-id":"202604200424245219528268d9d6HsXxT97C","x-ratelimit-abusepenalty-active":"False","x-ratelimit-limit-requests":"3850","x-ratelimit-limit-tokens":"3850000","x-ratelimit-remaining-requests":"3849","x-ratelimit-remaining-tokens":"3848328","x-ratelimit-renewalperiod-requests":"60","x-ratelimit-renewalperiod-tokens":"60","x-ratelimit-reset-requests":"15","x-ratelimit-reset-tokens":"26","x-request-id":"80c0b724-bca6-4477-bc12-1f5eeff428d2"}</t>
        </is>
      </c>
      <c r="N121" t="inlineStr">
        <is>
          <t>Canada Goose Classic Beige Down Jacket features waterproof, windproof fabric and a real fur hood. Designed for men and women, offering supreme warmth and sleek Nordic style for winter outdoor or urban wear.</t>
        </is>
      </c>
      <c r="O121"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1776667898,"id":"chatcmpl-DWclmlnwH9rqQgeq5CHUho7LsIHFD","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21" t="inlineStr">
        <is>
          <t>Canada Goose, Jackets, kakobuy, kakebuy2026, kekobuysheet, kakobuysheet2026, 2026kakobuy, kakobuyspreadsheeet, kakobuylink, kakebuylist, Kakobuy MEGA Spreadsheet, kakobuysheetfind, kakobuysheetfind2026, 2026kakobuysheetfind, kakobuysheet2026</t>
        </is>
      </c>
      <c r="Q121" t="inlineStr">
        <is>
          <t>Beige, Waterproof, Windproof, Winter, Fur, Men's And Women's</t>
        </is>
      </c>
      <c r="R121" t="inlineStr">
        <is>
          <t>recvh6xFVjD0S4</t>
        </is>
      </c>
      <c r="S121" t="inlineStr">
        <is>
          <t>canada-goose-classic-beige-fur-hood-down-jacket-recvh6xFVjD0S4</t>
        </is>
      </c>
      <c r="T121"/>
      <c r="U121"/>
      <c r="V121"/>
      <c r="W121" t="inlineStr">
        <is>
          <t>{"choices":[{"finish_reason":"stop","index":0,"logprobs":null,"message":{"annotations":[],"content":"Canada Goose：经典米色羽绒夹克，选用防水防风面料，配真毛领连帽设计，保暖性能卓越。简约北欧极地风格，适合男女通用，冬季户外及都市休闲皆宜，彰显高端品质与时尚格调。","refusal":null,"role":"assistant"}}],"created":1776655819,"id":"chatcmpl-DWZcxP7qNPEcBh5YKgI5Z3j4VM67Q","model":"gpt-5-chat-latest","object":"chat.completion","service_tier":"default","system_fingerprint":"fp_ad66631dec","usage":{"completion_tokens":73,"completion_tokens_details":{"accepted_prediction_tokens":0,"audio_tokens":0,"reasoning_tokens":0,"rejected_prediction_tokens":0},"prompt_tokens":1318,"prompt_tokens_details":{"audio_tokens":0,"cached_tokens":1280},"total_tokens":1391}}</t>
        </is>
      </c>
      <c r="X121" t="inlineStr">
        <is>
          <t>Canada Goose：经典米色羽绒夹克，选用防水防风面料，配真毛领连帽设计，保暖性能卓越。简约北欧极地风格，适合男女通用，冬季户外及都市休闲皆宜，彰显高端品质与时尚格调。</t>
        </is>
      </c>
    </row>
    <row r="122" ht="25.5" customHeight="1">
      <c r="A122">
        <v>1839115443</v>
      </c>
      <c r="B122">
        <v>7599347717</v>
      </c>
      <c r="C122" t="inlineStr">
        <is>
          <t>https://weidian.com/item.html?itemID=7599347717</t>
        </is>
      </c>
      <c r="D122"/>
      <c r="E122" s="2" t="str">
        <f>=HYPERLINK("https://si.geilicdn.com/open1839115443-252808396-04320000019a681f25420a8133b0_1080_1080.jpg?w=640&amp;h=640", "https://si.geilicdn.com/open1839115443-252808396-04320000019a681f25420a8133b0_1080_1080.jpg?w=640&amp;h=640")</f>
        <v>https://si.geilicdn.com/open1839115443-252808396-04320000019a681f25420a8133b0_1080_1080.jpg?w=640&amp;h=640</v>
      </c>
      <c r="F122" t="inlineStr">
        <is>
          <t>Jackets</t>
        </is>
      </c>
      <c r="G122" t="inlineStr">
        <is>
          <t>Moncler</t>
        </is>
      </c>
      <c r="H122" t="inlineStr">
        <is>
          <t>550.00</t>
        </is>
      </c>
      <c r="I122">
        <v>79.71</v>
      </c>
      <c r="J122" t="inlineStr">
        <is>
          <t>{"choices":[{"finish_reason":"stop","index":0,"logprobs":null,"message":{"annotations":[],"content":"Moncler Black Lightweight Waterproof Down Jacket","refusal":null,"role":"assistant"}}],"created":1776666594,"id":"chatcmpl-DWcQkdygU0uHbj9etfJsvvSuu6sud","model":"gpt-5-chat-latest","object":"chat.completion","service_tier":"default","system_fingerprint":"fp_ad66631dec","usage":{"completion_tokens":8,"completion_tokens_details":{"accepted_prediction_tokens":0,"audio_tokens":0,"reasoning_tokens":0,"rejected_prediction_tokens":0},"prompt_tokens":890,"prompt_tokens_details":{"audio_tokens":0,"cached_tokens":0},"total_tokens":898}}</t>
        </is>
      </c>
      <c r="K122" t="inlineStr">
        <is>
          <t>Moncler Black Lightweight Waterproof Down Jacket</t>
        </is>
      </c>
      <c r="L122" t="inlineStr">
        <is>
          <t>{"choices":[{"finish_reason":"stop","index":0,"logprobs":null,"message":{"annotations":[],"content":"Moncler Black Lightweight Down Jacket – crafted from high-density waterproof nylon with a sleek stand collar, glossy finish, zip pockets, ultra-warm yet light design for men and women, perfect for travel and winter style.","refusal":null,"role":"assistant"}}],"created":1776659247,"id":"chatcmpl-DWaWFRUMMkWhbUWvHHdj93W7urzpI","model":"gpt-5-chat-latest","object":"chat.completion","service_tier":"default","system_fingerprint":"fp_ad66631dec","usage":{"completion_tokens":44,"completion_tokens_details":{"accepted_prediction_tokens":0,"audio_tokens":0,"reasoning_tokens":0,"rejected_prediction_tokens":0},"prompt_tokens":924,"prompt_tokens_details":{"audio_tokens":0,"cached_tokens":0},"total_tokens":968}}</t>
        </is>
      </c>
      <c r="M122" t="inlineStr">
        <is>
          <t>{"alt-svc":"h3=\":443\"; ma=2592000","apim-request-id":"72c295b5-7f89-42ea-a1b3-7f97e9d06b04","azureml-model-session":"d20260402084046-4209e968","cache-control":"no-cache","connection":"close","content-length":"811","content-security-policy":"frame-ancestors 'self'","content-type":"application/json","date":"Mon, 20 Apr 2026 04:27:28 GMT","server":"Caddy","skip-error-remapping":"true","strict-transport-security":"max-age=31536000; includeSubDomains; preload","via":"1.1 Caddy","x-api-request-id":"20260420122726452881239hxVOpISh","x-content-type-options":"nosniff","x-frame-options":"SAMEORIGIN","x-ms-client-request-id":"Not-Set","x-ms-is-spilled-over":"false","x-ms-rai-invoked":"true","x-ms-region":"East US 2","x-new-api-version":"0.4.39","x-oneapi-request-id":"202604200427263844091698268d9d6zNNPQezr","x-ratelimit-abusepenalty-active":"False","x-ratelimit-limit-requests":"3850","x-ratelimit-limit-tokens":"3850000","x-ratelimit-remaining-requests":"3849","x-ratelimit-remaining-tokens":"3848314","x-ratelimit-renewalperiod-requests":"60","x-ratelimit-renewalperiod-tokens":"60","x-ratelimit-reset-requests":"15","x-ratelimit-reset-tokens":"26","x-request-id":"ebdfaacd-f04b-42f7-8c76-61ef22f5fb61"}</t>
        </is>
      </c>
      <c r="N122" t="inlineStr">
        <is>
          <t>Moncler Black Lightweight Down Jacket – crafted from high-density waterproof nylon with a sleek stand collar, glossy finish, zip pockets, ultra-warm yet light design for men and women, perfect for travel and winter style.</t>
        </is>
      </c>
      <c r="O122" t="inlineStr">
        <is>
          <t>{"choices":[{"finish_reason":"stop","index":0,"logprobs":null,"message":{"annotations":[],"content":"Moncler,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1776668602,"id":"chatcmpl-DWcx8FZR6beFeJVFpKTOQyC7dekqh","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22" t="inlineStr">
        <is>
          <t>Moncler, Jackets, kakobuy, kakebuy2026, kekobuysheet, kakobuysheet2026, 2026kakobuy, kakobuyspreadsheeet, kakobuylink, kakebuylist, Kakobuy MEGA Spreadsheet, kakobuysheetfind, kakobuysheetfind2026, 2026kakobuysheetfind, kakobuysheet2026</t>
        </is>
      </c>
      <c r="Q122" t="inlineStr">
        <is>
          <t>Black, Lightweight, Waterproof, Winter, Unisex, Sleek</t>
        </is>
      </c>
      <c r="R122" t="inlineStr">
        <is>
          <t>recvh6xFVjmSob</t>
        </is>
      </c>
      <c r="S122" t="inlineStr">
        <is>
          <t>moncler-black-lightweight-waterproof-down-jacket-recvh6xFVjmSob</t>
        </is>
      </c>
      <c r="T122"/>
      <c r="U122"/>
      <c r="V122"/>
      <c r="W122" t="inlineStr">
        <is>
          <t>{"id":"chatcmpl-DWZNSYYvMGejGW1d8FCVT2wDvmXug","object":"chat.completion","created":1776654858,"model":"gpt-5-chat-latest","choices":[{"index":0,"message":{"role":"assistant","content":"Moncler：黑色轻盈羽绒夹克，采用高密尼龙防水面料，立领设计简约利落，亮面工艺呈现都市奢华质感，两侧拉链口袋兼具实用与美观，保暖轻便，适合男女通用冬季日常与旅行穿搭，展现意式高端时尚魅力。","refusal":null,"annotations":[]},"logprobs":null,"finish_reason":"stop"}],"usage":{"prompt_tokens":1316,"completion_tokens":89,"total_tokens":1405,"prompt_tokens_details":{"cached_tokens":0,"audio_tokens":0},"completion_tokens_details":{"reasoning_tokens":0,"audio_tokens":0,"accepted_prediction_tokens":0,"rejected_prediction_tokens":0}},"service_tier":"default","system_fingerprint":"fp_ad66631dec"}</t>
        </is>
      </c>
      <c r="X122" t="inlineStr">
        <is>
          <t>Moncler：黑色轻盈羽绒夹克，采用高密尼龙防水面料，立领设计简约利落，亮面工艺呈现都市奢华质感，两侧拉链口袋兼具实用与美观，保暖轻便，适合男女通用冬季日常与旅行穿搭，展现意式高端时尚魅力。</t>
        </is>
      </c>
    </row>
    <row r="123" ht="25.5" customHeight="1">
      <c r="A123">
        <v>1839115443</v>
      </c>
      <c r="B123">
        <v>7617021010</v>
      </c>
      <c r="C123" t="inlineStr">
        <is>
          <t>https://weidian.com/item.html?itemID=7617021010</t>
        </is>
      </c>
      <c r="D123"/>
      <c r="E123" s="2" t="str">
        <f>=HYPERLINK("https://si.geilicdn.com/open1839115443-252808396-53b60000019aaf7989370a22d249_800_1200.jpg?w=640&amp;h=640", "https://si.geilicdn.com/open1839115443-252808396-53b60000019aaf7989370a22d249_800_1200.jpg?w=640&amp;h=640")</f>
        <v>https://si.geilicdn.com/open1839115443-252808396-53b60000019aaf7989370a22d249_800_1200.jpg?w=640&amp;h=640</v>
      </c>
      <c r="F123" t="inlineStr">
        <is>
          <t>Hoodies</t>
        </is>
      </c>
      <c r="G123" t="inlineStr">
        <is>
          <t>Other</t>
        </is>
      </c>
      <c r="H123" t="inlineStr">
        <is>
          <t>120.00</t>
        </is>
      </c>
      <c r="I123">
        <v>17.39</v>
      </c>
      <c r="J123" t="inlineStr">
        <is>
          <t>{"choices":[{"finish_reason":"stop","index":0,"logprobs":null,"message":{"annotations":[],"content":"Vintage Mamba Basketball Graphic Black Hoodie Unisex","refusal":null,"role":"assistant"}}],"created":1776665689,"id":"chatcmpl-DWcC9zAWS6gUgoJDAVuoWMNXe5Ega","model":"gpt-5-chat-latest","object":"chat.completion","service_tier":"default","system_fingerprint":"fp_ad66631dec","usage":{"completion_tokens":10,"completion_tokens_details":{"accepted_prediction_tokens":0,"audio_tokens":0,"reasoning_tokens":0,"rejected_prediction_tokens":0},"prompt_tokens":888,"prompt_tokens_details":{"audio_tokens":0,"cached_tokens":0},"total_tokens":898}}</t>
        </is>
      </c>
      <c r="K123" t="inlineStr">
        <is>
          <t>Vintage Mamba Basketball Graphic Black Hoodie Unisex</t>
        </is>
      </c>
      <c r="L123" t="inlineStr">
        <is>
          <t>{"choices":[{"finish_reason":"stop","index":0,"logprobs":null,"message":{"annotations":[],"content":"HoodiesOther Vintage Black Printed Hoodie, soft cotton fabric featuring bold basketball-themed “MAMBA” graphic, relaxed fit for men and women, perfect for streetwear, sports, and daily casual style.","refusal":null,"role":"assistant"}}],"created":1776659209,"id":"chatcmpl-DWaVdsWm4FWxx6lIL6tCCwU3pwt5b","model":"gpt-5-chat-latest","object":"chat.completion","service_tier":"default","system_fingerprint":"fp_ad66631dec","usage":{"completion_tokens":43,"completion_tokens_details":{"accepted_prediction_tokens":0,"audio_tokens":0,"reasoning_tokens":0,"rejected_prediction_tokens":0},"prompt_tokens":912,"prompt_tokens_details":{"audio_tokens":0,"cached_tokens":0},"total_tokens":955}}</t>
        </is>
      </c>
      <c r="M123" t="inlineStr">
        <is>
          <t>{"alt-svc":"h3=\":443\"; ma=2592000","apim-request-id":"4c09d373-ef2d-41c9-9493-da131317205f","azureml-model-session":"d20260402084046-4209e968","cache-control":"no-cache","connection":"close","content-length":"790","content-security-policy":"frame-ancestors 'self'","content-type":"application/json","date":"Mon, 20 Apr 2026 04:26:50 GMT","server":"Caddy","skip-error-remapping":"true","strict-transport-security":"max-age=31536000; includeSubDomains; preload","via":"1.1 Caddy","x-api-request-id":"20260420122648156727219OWLKxYs4","x-content-type-options":"nosniff","x-frame-options":"SAMEORIGIN","x-ms-client-request-id":"Not-Set","x-ms-is-spilled-over":"false","x-ms-rai-invoked":"true","x-ms-region":"East US 2","x-new-api-version":"0.4.39","x-oneapi-request-id":"20260420042648907207228268d9d6iOO3tIJG","x-ratelimit-abusepenalty-active":"False","x-ratelimit-limit-requests":"50","x-ratelimit-limit-tokens":"50000","x-ratelimit-remaining-requests":"49","x-ratelimit-remaining-tokens":"48326","x-ratelimit-renewalperiod-requests":"60","x-ratelimit-renewalperiod-tokens":"60","x-ratelimit-reset-requests":"1200","x-ratelimit-reset-tokens":"2008","x-request-id":"28d4b71a-7443-492d-9b0b-5a7d69b3ad6f"}</t>
        </is>
      </c>
      <c r="N123" t="inlineStr">
        <is>
          <t>HoodiesOther Vintage Black Printed Hoodie, soft cotton fabric featuring bold basketball-themed “MAMBA” graphic, relaxed fit for men and women, perfect for streetwear, sports, and daily casual style.</t>
        </is>
      </c>
      <c r="O123" t="inlineStr">
        <is>
          <t>{"choices":[{"finish_reason":"stop","index":0,"logprobs":null,"message":{"annotations":[],"content":"Kakobuy, Hoodies, kakobuy, kakebuy2026, kekobuysheet, kakobuysheet2026, 2026kakobuy, kakobuyspreadsheeet, kakobuylink, kakebuylist, Kakobuy MEGA Spreadsheet, kakobuysheetfind, kakobuysheetfind2026, 2026kakobuysheetfind, kakobuysheet2026","refusal":null,"role":"assistant"}}],"created":1776668209,"id":"chatcmpl-DWcqnNOiYeIrH1hQaKSWP7UG4zbE6","model":"gpt-5-chat-latest","object":"chat.completion","service_tier":"default","system_fingerprint":"fp_ad66631dec","usage":{"completion_tokens":94,"completion_tokens_details":{"accepted_prediction_tokens":0,"audio_tokens":0,"reasoning_tokens":0,"rejected_prediction_tokens":0},"prompt_tokens":783,"prompt_tokens_details":{"audio_tokens":0,"cached_tokens":0},"total_tokens":877}}</t>
        </is>
      </c>
      <c r="P123" t="inlineStr">
        <is>
          <t>Kakobuy, Hoodies, kakobuy, kakebuy2026, kekobuysheet, kakobuysheet2026, 2026kakobuy, kakobuyspreadsheeet, kakobuylink, kakebuylist, Kakobuy MEGA Spreadsheet, kakobuysheetfind, kakobuysheetfind2026, 2026kakobuysheetfind, kakobuysheet2026</t>
        </is>
      </c>
      <c r="Q123" t="inlineStr">
        <is>
          <t>Black, Streetwear, Unisex</t>
        </is>
      </c>
      <c r="R123" t="inlineStr">
        <is>
          <t>recvh6xFVj7aGm</t>
        </is>
      </c>
      <c r="S123" t="inlineStr">
        <is>
          <t>vintage-mamba-basketball-graphic-black-hoodie-recvh6xfvj7agm</t>
        </is>
      </c>
      <c r="T123"/>
      <c r="U123"/>
      <c r="V123"/>
      <c r="W123" t="inlineStr">
        <is>
          <t>{"choices":[{"finish_reason":"stop","index":0,"logprobs":null,"message":{"annotations":[],"content":"复古黑色印花连帽卫衣，柔软纯棉材质打造，正面篮球巨星图腾与“MAMBA”字样组合设计，呈现美式街头潮流风格，宽松版型兼具休闲与时尚感，男女皆宜，适合日常出街与运动穿搭。","refusal":null,"role":"assistant"}}],"created":1776656002,"id":"chatcmpl-DWZfuIfvGl8XzZMHigqgTwkzdrlCa","model":"gpt-5-chat-latest","object":"chat.completion","service_tier":"default","system_fingerprint":"fp_ad66631dec","usage":{"completion_tokens":77,"completion_tokens_details":{"accepted_prediction_tokens":0,"audio_tokens":0,"reasoning_tokens":0,"rejected_prediction_tokens":0},"prompt_tokens":1312,"prompt_tokens_details":{"audio_tokens":0,"cached_tokens":0},"total_tokens":1389}}</t>
        </is>
      </c>
      <c r="X123" t="inlineStr">
        <is>
          <t>复古黑色印花连帽卫衣，柔软纯棉材质打造，正面篮球巨星图腾与“MAMBA”字样组合设计，呈现美式街头潮流风格，宽松版型兼具休闲与时尚感，男女皆宜，适合日常出街与运动穿搭。</t>
        </is>
      </c>
    </row>
    <row r="124" ht="25.5" customHeight="1">
      <c r="A124">
        <v>1839115443</v>
      </c>
      <c r="B124">
        <v>7617125808</v>
      </c>
      <c r="C124" t="inlineStr">
        <is>
          <t>https://weidian.com/item.html?itemID=7617125808</t>
        </is>
      </c>
      <c r="D124"/>
      <c r="E124" s="2" t="str">
        <f>=HYPERLINK("https://si.geilicdn.com/open1839115443-252808396-42020000019aaf798fcb0a8115c2_800_1200.jpg?w=640&amp;h=640", "https://si.geilicdn.com/open1839115443-252808396-42020000019aaf798fcb0a8115c2_800_1200.jpg?w=640&amp;h=640")</f>
        <v>https://si.geilicdn.com/open1839115443-252808396-42020000019aaf798fcb0a8115c2_800_1200.jpg?w=640&amp;h=640</v>
      </c>
      <c r="F124" t="inlineStr">
        <is>
          <t>Hoodies</t>
        </is>
      </c>
      <c r="G124" t="inlineStr">
        <is>
          <t>Other</t>
        </is>
      </c>
      <c r="H124" t="inlineStr">
        <is>
          <t>216.00</t>
        </is>
      </c>
      <c r="I124">
        <v>31.3</v>
      </c>
      <c r="J124" t="inlineStr">
        <is>
          <t>{"id":"chatcmpl-DWcHo878aQ6WjRSeQ0w6HOnLbnvgB","object":"chat.completion","created":1776666040,"model":"gpt-5-chat-latest","choices":[{"index":0,"message":{"role":"assistant","content":"Other Vintage Washed Black Broken Heart Hoodie","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24" t="inlineStr">
        <is>
          <t>Other Vintage Washed Black Broken Heart Hoodie</t>
        </is>
      </c>
      <c r="L124" t="inlineStr">
        <is>
          <t>{"choices":[{"finish_reason":"stop","index":0,"logprobs":null,"message":{"annotations":[],"content":"HoodiesOther Vintage Washed Black Hoodie, loose fit with distressed cotton fabric and broken heart print, unisex streetwear style for casual daily wear and trendy urban looks.","refusal":null,"role":"assistant"}}],"created":1776658898,"id":"chatcmpl-DWaQcPm2l1S2PwCm2Hx5ShItc5OHW","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is>
      </c>
      <c r="M124" t="inlineStr">
        <is>
          <t>{"alt-svc":"h3=\":443\"; ma=2592000","apim-request-id":"3b564752-88b5-4aee-9a76-fcfc2915fd96","azureml-model-session":"d20260405234249-f9874baf","cache-control":"no-cache","connection":"close","content-length":"763","content-security-policy":"frame-ancestors 'self'","content-type":"application/json","date":"Mon, 20 Apr 2026 04:21:39 GMT","server":"nginx","skip-error-remapping":"true","strict-transport-security":"max-age=31536000; includeSubDomains; preload","via":"1.1 Caddy, 1.1 Caddy","x-api-request-id":"2026042012213892725968ocWwKPSR","x-content-type-options":"nosniff","x-frame-options":"SAMEORIGIN","x-ms-client-request-id":"Not-Set","x-ms-is-spilled-over":"false","x-ms-rai-invoked":"true","x-ms-region":"East US 2","x-new-api-version":"0.4.39","x-oneapi-request-id":"2026042004213840383508268d9d6iBP9Zmjv","x-ratelimit-abusepenalty-active":"False","x-ratelimit-limit-requests":"3850","x-ratelimit-limit-tokens":"3850000","x-ratelimit-remaining-requests":"3849","x-ratelimit-remaining-tokens":"3848332","x-ratelimit-renewalperiod-requests":"60","x-ratelimit-renewalperiod-tokens":"60","x-ratelimit-reset-requests":"15","x-ratelimit-reset-tokens":"25","x-request-id":"9b2485ff-1ba1-44bf-a947-17e2c477299e"}</t>
        </is>
      </c>
      <c r="N124" t="inlineStr">
        <is>
          <t>HoodiesOther Vintage Washed Black Hoodie, loose fit with distressed cotton fabric and broken heart print, unisex streetwear style for casual daily wear and trendy urban looks.</t>
        </is>
      </c>
      <c r="O124" t="inlineStr">
        <is>
          <t>{"choices":[{"finish_reason":"stop","index":0,"logprobs":null,"message":{"annotations":[],"content":"XXXTENTACION,Hoodies,kakobuy,kakebuy2026,kekobuysheet,kakobuysheet2026,2026kakobuy,kakobuyspreadsheeet,kakobuylink,kakebuylist,Kakobuy MEGA Spreadsheet,kakobuysheetfind,kakobuysheetfind2026,2026kakobuysheetfind,kakobuysheet2026","refusal":null,"role":"assistant"}}],"created":1776668697,"id":"chatcmpl-DWcyfXqWwCD0XifhrKaI86BIQVbFw","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24" t="inlineStr">
        <is>
          <t>XXXTENTACION,Hoodies,kakobuy,kakebuy2026,kekobuysheet,kakobuysheet2026,2026kakobuy,kakobuyspreadsheeet,kakobuylink,kakebuylist,Kakobuy MEGA Spreadsheet,kakobuysheetfind,kakobuysheetfind2026,2026kakobuysheetfind,kakobuysheet2026</t>
        </is>
      </c>
      <c r="Q124" t="inlineStr">
        <is>
          <t>Black, Distressed, Unisex, Streetwear</t>
        </is>
      </c>
      <c r="R124" t="inlineStr">
        <is>
          <t>recvh6xFVjYeKy</t>
        </is>
      </c>
      <c r="S124" t="inlineStr">
        <is>
          <t>other-vintage-washed-black-broken-heart-hoodie-recvh6xFVjYeKy</t>
        </is>
      </c>
      <c r="T124"/>
      <c r="U124"/>
      <c r="V124"/>
      <c r="W124" t="inlineStr">
        <is>
          <t>{"id":"chatcmpl-DWZhlt6mOYVqD3y4gm6Qe6qrRWmwL","object":"chat.completion","created":1776656117,"model":"gpt-5-chat-latest","choices":[{"index":0,"message":{"role":"assistant","content":"复古水洗黑色连帽卫衣，宽松剪裁搭配做旧质感棉质面料，胸前破心印花彰显街头艺术风格，男女通用款，休闲潮流与个性设计并存，适合日常穿搭与时尚出行。","refusal":null,"annotations":[]},"logprobs":null,"finish_reason":"stop"}],"usage":{"prompt_tokens":1314,"completion_tokens":70,"total_tokens":1384,"prompt_tokens_details":{"cached_tokens":0,"audio_tokens":0},"completion_tokens_details":{"reasoning_tokens":0,"audio_tokens":0,"accepted_prediction_tokens":0,"rejected_prediction_tokens":0}},"service_tier":"default","system_fingerprint":"fp_ad66631dec"}</t>
        </is>
      </c>
      <c r="X124" t="inlineStr">
        <is>
          <t>复古水洗黑色连帽卫衣，宽松剪裁搭配做旧质感棉质面料，胸前破心印花彰显街头艺术风格，男女通用款，休闲潮流与个性设计并存，适合日常穿搭与时尚出行。</t>
        </is>
      </c>
    </row>
    <row r="125" ht="25.5" customHeight="1">
      <c r="A125">
        <v>1839115443</v>
      </c>
      <c r="B125">
        <v>7614147807</v>
      </c>
      <c r="C125" t="inlineStr">
        <is>
          <t>https://weidian.com/item.html?itemID=7614147807</t>
        </is>
      </c>
      <c r="D125"/>
      <c r="E125" s="2" t="str">
        <f>=HYPERLINK("https://si.geilicdn.com/open1839115443-252808396-46480000019aaf7998600a8133b0_800_1200.jpg?w=640&amp;h=640", "https://si.geilicdn.com/open1839115443-252808396-46480000019aaf7998600a8133b0_800_1200.jpg?w=640&amp;h=640")</f>
        <v>https://si.geilicdn.com/open1839115443-252808396-46480000019aaf7998600a8133b0_800_1200.jpg?w=640&amp;h=640</v>
      </c>
      <c r="F125" t="inlineStr">
        <is>
          <t>Hoodies</t>
        </is>
      </c>
      <c r="G125" t="inlineStr">
        <is>
          <t>Other</t>
        </is>
      </c>
      <c r="H125" t="inlineStr">
        <is>
          <t>120.00</t>
        </is>
      </c>
      <c r="I125">
        <v>17.39</v>
      </c>
      <c r="J125" t="inlineStr">
        <is>
          <t>{"choices":[{"finish_reason":"stop","index":0,"logprobs":null,"message":{"annotations":[],"content":"HoodiesOther Vintage Street Graphic Cotton Hoodie","refusal":null,"role":"assistant"}}],"created":1776666018,"id":"chatcmpl-DWcHShYXywgiOJ9wryqkiRZg0hNdx","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25" t="inlineStr">
        <is>
          <t>HoodiesOther Vintage Street Graphic Cotton Hoodie</t>
        </is>
      </c>
      <c r="L125" t="inlineStr">
        <is>
          <t>{"choices":[{"finish_reason":"stop","index":0,"logprobs":null,"message":{"annotations":[],"content":"HoodiesOther Vintage Street Series Hoodie, made of soft matte cotton, features an artistic graphic with signature detail, loose fit and drawstring hood, unisex style for retro street fashion.","refusal":null,"role":"assistant"}}],"created":1776658525,"id":"chatcmpl-DWaKbh7ahuFRDrjTGqnQHgFOb2F8a","model":"gpt-5-chat-latest","object":"chat.completion","service_tier":"default","system_fingerprint":"fp_ad66631dec","usage":{"completion_tokens":39,"completion_tokens_details":{"accepted_prediction_tokens":0,"audio_tokens":0,"reasoning_tokens":0,"rejected_prediction_tokens":0},"prompt_tokens":913,"prompt_tokens_details":{"audio_tokens":0,"cached_tokens":0},"total_tokens":952}}</t>
        </is>
      </c>
      <c r="M125" t="inlineStr">
        <is>
          <t>{"alt-svc":"h3=\":443\"; ma=2592000","apim-request-id":"4afaa4dd-65af-41db-afda-287c2b543889","azureml-model-session":"d20260402083108-57a85543","cache-control":"no-cache","connection":"close","content-length":"779","content-security-policy":"frame-ancestors 'self'","content-type":"application/json","date":"Mon, 20 Apr 2026 04:15:26 GMT","server":"nginx","skip-error-remapping":"true","strict-transport-security":"max-age=31536000; includeSubDomains; preload","via":"1.1 Caddy, 1.1 Caddy","x-api-request-id":"202604201215243117563964lAFd2IP","x-content-type-options":"nosniff","x-frame-options":"SAMEORIGIN","x-ms-client-request-id":"Not-Set","x-ms-is-spilled-over":"false","x-ms-rai-invoked":"true","x-ms-region":"East US 2","x-new-api-version":"0.4.39","x-oneapi-request-id":"202604200415242342631958268d9d6euppwzn6","x-ratelimit-abusepenalty-active":"False","x-ratelimit-limit-requests":"3850","x-ratelimit-limit-tokens":"3850000","x-ratelimit-remaining-requests":"3849","x-ratelimit-remaining-tokens":"3848325","x-ratelimit-renewalperiod-requests":"60","x-ratelimit-renewalperiod-tokens":"60","x-ratelimit-reset-requests":"15","x-ratelimit-reset-tokens":"26","x-request-id":"a39df999-40c9-4935-9e43-72f3dd330481"}</t>
        </is>
      </c>
      <c r="N125" t="inlineStr">
        <is>
          <t>HoodiesOther Vintage Street Series Hoodie, made of soft matte cotton, features an artistic graphic with signature detail, loose fit and drawstring hood, unisex style for retro street fashion.</t>
        </is>
      </c>
      <c r="O125" t="inlineStr">
        <is>
          <t>{"choices":[{"finish_reason":"stop","index":0,"logprobs":null,"message":{"annotations":[],"content":"MSCHF,Hoodies,kakobuy,kakebuy2026,kekobuysheet,kakobuysheet2026,2026kakobuy,kakobuyspreadsheeet,kakobuylink,kakebuylist,Kakobuy MEGA Spreadsheet,kakobuysheetfind,kakobuysheetfind2026,2026kakobuysheetfind,kakobuysheet2026","refusal":null,"role":"assistant"}}],"created":1776668100,"id":"chatcmpl-DWcp2X3Vmy5Ap2Mo48N0zI9zEXnwd","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25" t="inlineStr">
        <is>
          <t>MSCHF,Hoodies,kakobuy,kakebuy2026,kekobuysheet,kakobuysheet2026,2026kakobuy,kakobuyspreadsheeet,kakobuylink,kakebuylist,Kakobuy MEGA Spreadsheet,kakobuysheetfind,kakobuysheetfind2026,2026kakobuysheetfind,kakobuysheet2026</t>
        </is>
      </c>
      <c r="Q125" t="inlineStr">
        <is>
          <t>Unisex, Retro, Street, Streetwear</t>
        </is>
      </c>
      <c r="R125" t="inlineStr">
        <is>
          <t>recvh6xFVjCxDD</t>
        </is>
      </c>
      <c r="S125" t="inlineStr">
        <is>
          <t>hoodiesother-vintage-street-graphic-cotton-hoodie-recvh6xfvjcxdd</t>
        </is>
      </c>
      <c r="T125"/>
      <c r="U125"/>
      <c r="V125"/>
      <c r="W125" t="inlineStr">
        <is>
          <t>{"choices":[{"finish_reason":"stop","index":0,"logprobs":null,"message":{"annotations":[],"content":"炭黑街头系列连帽卫衣，纯棉磨砂质感面料柔软舒适，正面印有个性人物艺术图腾并点缀签名设计，宽松廓形与抽绳连帽兼具时尚与实穿，男女皆宜，展现复古潮流街头风格。","refusal":null,"role":"assistant"}}],"created":1776655622,"id":"chatcmpl-DWZZmusnIPagGCisDEx2sffNjAEii","model":"gpt-5-chat-latest","object":"chat.completion","service_tier":"default","system_fingerprint":"fp_ad66631dec","usage":{"completion_tokens":78,"completion_tokens_details":{"accepted_prediction_tokens":0,"audio_tokens":0,"reasoning_tokens":0,"rejected_prediction_tokens":0},"prompt_tokens":1312,"prompt_tokens_details":{"audio_tokens":0,"cached_tokens":0},"total_tokens":1390}}</t>
        </is>
      </c>
      <c r="X125" t="inlineStr">
        <is>
          <t>炭黑街头系列连帽卫衣，纯棉磨砂质感面料柔软舒适，正面印有个性人物艺术图腾并点缀签名设计，宽松廓形与抽绳连帽兼具时尚与实穿，男女皆宜，展现复古潮流街头风格。</t>
        </is>
      </c>
    </row>
    <row r="126" ht="25.5" customHeight="1">
      <c r="A126">
        <v>1839115443</v>
      </c>
      <c r="B126">
        <v>7614080761</v>
      </c>
      <c r="C126" t="inlineStr">
        <is>
          <t>https://weidian.com/item.html?itemID=7614080761</t>
        </is>
      </c>
      <c r="D126"/>
      <c r="E126" s="2" t="str">
        <f>=HYPERLINK("https://si.geilicdn.com/open1839115443-252808396-46320000019aaf7991e10a8133b0_800_1190.jpg?w=640&amp;h=640", "https://si.geilicdn.com/open1839115443-252808396-46320000019aaf7991e10a8133b0_800_1190.jpg?w=640&amp;h=640")</f>
        <v>https://si.geilicdn.com/open1839115443-252808396-46320000019aaf7991e10a8133b0_800_1190.jpg?w=640&amp;h=640</v>
      </c>
      <c r="F126" t="inlineStr">
        <is>
          <t>T-Shirts</t>
        </is>
      </c>
      <c r="G126" t="inlineStr">
        <is>
          <t>Other</t>
        </is>
      </c>
      <c r="H126" t="inlineStr">
        <is>
          <t>172.00</t>
        </is>
      </c>
      <c r="I126">
        <v>24.93</v>
      </c>
      <c r="J126" t="inlineStr">
        <is>
          <t>{"choices":[{"finish_reason":"stop","index":0,"logprobs":null,"message":{"annotations":[],"content":"OtherBrand Washed Black Basketball Graphic Sweatshirt Unisex","refusal":null,"role":"assistant"}}],"created":1776666594,"id":"chatcmpl-DWcQkxXzTMI1ydzQNUoNY3o1s7pSy","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126" t="inlineStr">
        <is>
          <t>OtherBrand Washed Black Basketball Graphic Sweatshirt Unisex</t>
        </is>
      </c>
      <c r="L126" t="inlineStr">
        <is>
          <t>{"id":"chatcmpl-DWaGhm3WGO4WVikEDa31877yCvnoO","object":"chat.completion","created":1776658283,"model":"gpt-5-chat-latest","choices":[{"index":0,"message":{"role":"assistant","content":"Brand T-ShirtsOther washed black sweatshirt, soft cotton fabric with basketball-themed graphic and signature print, crew neck, drop shoulders, unisex loose fit, urban sporty casual streetwear style.","refusal":null,"annotations":[]},"logprobs":null,"finish_reason":"stop"}],"usage":{"prompt_tokens":914,"completion_tokens":38,"total_tokens":952,"prompt_tokens_details":{"cached_tokens":0,"audio_tokens":0},"completion_tokens_details":{"reasoning_tokens":0,"audio_tokens":0,"accepted_prediction_tokens":0,"rejected_prediction_tokens":0}},"service_tier":"default","system_fingerprint":"fp_ad66631dec"}</t>
        </is>
      </c>
      <c r="M12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ma=2592000","apim-request-id":"21491929-3dff-4d55-b937-dd3528be8df1","azureml-model-session":"d20260402083108-57a85543","cache-control":"no-cache, no-store, must-revalidate","connection":"close","content-length":"1002","content-security-policy":"frame-ancestors 'self'","content-type":"application/json","date":"Mon, 20 Apr 2026 04:11:25 GMT","server":"Caddy","skip-error-remapping":"true","strict-transport-security":"max-age=31536000; includeSubDomains; preload","via":"1.1 Caddy","x-api-request-id":"20260420121120980429085o7oDxvD8","x-content-type-options":"nosniff","x-frame-options":"SAMEORIGIN","x-ms-is-spilled-over":"false","x-ms-rai-invoked":"false","x-ms-region":"Sweden Central","x-new-api-version":"0.4.39","x-oneapi-request-id":"202604200411208153304118268d9d6wfthpvAS","x-ratelimit-abusepenalty-active":"False","x-ratelimit-limit-requests":"4993","x-ratelimit-limit-tokens":"4993000","x-ratelimit-remaining-requests":"4992","x-ratelimit-remaining-tokens":"4990128","x-ratelimit-renewalperiod-requests":"60","x-ratelimit-renewalperiod-tokens":"60","x-ratelimit-reset-requests":"16","x-ratelimit-reset-tokens":"34","x-request-id":"9bd0c717-31cf-4305-b366-4ceb7f1c1beb"}</t>
        </is>
      </c>
      <c r="N126" t="inlineStr">
        <is>
          <t>Brand T-ShirtsOther washed black sweatshirt, soft cotton fabric with basketball-themed graphic and signature print, crew neck, drop shoulders, unisex loose fit, urban sporty casual streetwear style.</t>
        </is>
      </c>
      <c r="O126" t="inlineStr">
        <is>
          <t>{"choices":[{"finish_reason":"stop","index":0,"logprobs":null,"message":{"annotations":[],"content":"Metanumerics, T-Shirts, kakobuy, kakebuy2026, kekobuysheet, kakobuysheet2026, 2026kakobuy, kakobuyspreadsheeet, kakobuylink, kakebuylist, Kakobuy MEGA Spreadsheet, kakobuysheetfind, kakobuysheetfind2026, 2026kakobuysheetfind, kakobuysheet2026","refusal":null,"role":"assistant"}}],"created":1776668105,"id":"chatcmpl-DWcp7elW3cCgyH06LykIwcud08lyy","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126" t="inlineStr">
        <is>
          <t>Metanumerics, T-Shirts, kakobuy, kakebuy2026, kekobuysheet, kakobuysheet2026, 2026kakobuy, kakobuyspreadsheeet, kakobuylink, kakebuylist, Kakobuy MEGA Spreadsheet, kakobuysheetfind, kakobuysheetfind2026, 2026kakobuysheetfind, kakobuysheet2026</t>
        </is>
      </c>
      <c r="Q126" t="inlineStr">
        <is>
          <t>Black, Unisex, Streetwear, Sporty</t>
        </is>
      </c>
      <c r="R126" t="inlineStr">
        <is>
          <t>recvh6xFVj3hXV</t>
        </is>
      </c>
      <c r="S126" t="inlineStr">
        <is>
          <t>otherbrand-washed-black-basketball-graphic-sweatshirt-recvh6xFVj3hXV</t>
        </is>
      </c>
      <c r="T126"/>
      <c r="U126"/>
      <c r="V126"/>
      <c r="W126" t="inlineStr">
        <is>
          <t>{"choices":[{"finish_reason":"stop","index":0,"logprobs":null,"message":{"annotations":[],"content":"水洗黑色运动系列宽松卫衣，采用舒适棉质面料，前幅印有篮球主题人物图腾与签名设计，展现热血竞技与街头潮流融合美学。圆领剪裁搭配落肩长袖，男女皆宜，凸显休闲与时尚并存的都市运动格调。","refusal":null,"role":"assistant"}}],"created":1776655832,"id":"chatcmpl-DWZdATaXmMSEQmNhSZhKuKOAqzzWw","model":"gpt-5-chat-latest","object":"chat.completion","service_tier":"default","system_fingerprint":"fp_ad66631dec","usage":{"completion_tokens":79,"completion_tokens_details":{"accepted_prediction_tokens":0,"audio_tokens":0,"reasoning_tokens":0,"rejected_prediction_tokens":0},"prompt_tokens":1313,"prompt_tokens_details":{"audio_tokens":0,"cached_tokens":1280},"total_tokens":1392}}</t>
        </is>
      </c>
      <c r="X126" t="inlineStr">
        <is>
          <t>水洗黑色运动系列宽松卫衣，采用舒适棉质面料，前幅印有篮球主题人物图腾与签名设计，展现热血竞技与街头潮流融合美学。圆领剪裁搭配落肩长袖，男女皆宜，凸显休闲与时尚并存的都市运动格调。</t>
        </is>
      </c>
    </row>
    <row r="127" ht="25.5" customHeight="1">
      <c r="A127">
        <v>1839115443</v>
      </c>
      <c r="B127">
        <v>7617080720</v>
      </c>
      <c r="C127" t="inlineStr">
        <is>
          <t>https://weidian.com/item.html?itemID=7617080720</t>
        </is>
      </c>
      <c r="D127"/>
      <c r="E127" s="2" t="str">
        <f>=HYPERLINK("https://si.geilicdn.com/open1839115443-252808396-42240000019aaf799a170a8115c2_800_1310.jpg?w=640&amp;h=640", "https://si.geilicdn.com/open1839115443-252808396-42240000019aaf799a170a8115c2_800_1310.jpg?w=640&amp;h=640")</f>
        <v>https://si.geilicdn.com/open1839115443-252808396-42240000019aaf799a170a8115c2_800_1310.jpg?w=640&amp;h=640</v>
      </c>
      <c r="F127" t="inlineStr">
        <is>
          <t>T-Shirts</t>
        </is>
      </c>
      <c r="G127" t="inlineStr">
        <is>
          <t>Other</t>
        </is>
      </c>
      <c r="H127" t="inlineStr">
        <is>
          <t>172.00</t>
        </is>
      </c>
      <c r="I127">
        <v>24.93</v>
      </c>
      <c r="J127" t="inlineStr">
        <is>
          <t>{"choices":[{"finish_reason":"stop","index":0,"logprobs":null,"message":{"annotations":[],"content":"GTX PROB Vintage Black Totem Street Art Sweatshirt","refusal":null,"role":"assistant"}}],"created":1776666785,"id":"chatcmpl-DWcTp5o9GD6ZXFyBxqgOAzRkzM1SE","model":"gpt-5-chat-latest","object":"chat.completion","service_tier":"default","system_fingerprint":"fp_ad66631dec","usage":{"completion_tokens":13,"completion_tokens_details":{"accepted_prediction_tokens":0,"audio_tokens":0,"reasoning_tokens":0,"rejected_prediction_tokens":0},"prompt_tokens":1165,"prompt_tokens_details":{"audio_tokens":0,"cached_tokens":0},"total_tokens":1178}}</t>
        </is>
      </c>
      <c r="K127" t="inlineStr">
        <is>
          <t>GTX PROB Vintage Black Totem Street Art Sweatshirt</t>
        </is>
      </c>
      <c r="L127" t="inlineStr">
        <is>
          <t>{"choices":[{"finish_reason":"stop","index":0,"logprobs":null,"message":{"annotations":[],"content":"GTX PROB Vintage Wash Black Sweatshirt, high-density cotton, soft breathable fabric. Multicolor graphic totem design shows street art vibe. Unisex loose crewneck fit, retro and trendy style.","refusal":null,"role":"assistant"}}],"created":1776658724,"id":"chatcmpl-DWaNo06dtt1AY9Qc4sRztFsODIuHj","model":"gpt-5-chat-latest","object":"chat.completion","service_tier":"default","system_fingerprint":"fp_ad66631dec","usage":{"completion_tokens":42,"completion_tokens_details":{"accepted_prediction_tokens":0,"audio_tokens":0,"reasoning_tokens":0,"rejected_prediction_tokens":0},"prompt_tokens":1183,"prompt_tokens_details":{"audio_tokens":0,"cached_tokens":0},"total_tokens":1225}}</t>
        </is>
      </c>
      <c r="M127" t="inlineStr">
        <is>
          <t>{"alt-svc":"h3=\":443\"; ma=2592000","apim-request-id":"c3917c67-227c-433e-b013-25814bf376e9","azureml-model-session":"d20260405234249-f9874baf","cache-control":"no-cache","connection":"close","content-length":"780","content-security-policy":"frame-ancestors 'self'","content-type":"application/json","date":"Mon, 20 Apr 2026 04:18:45 GMT","server":"nginx","skip-error-remapping":"true","strict-transport-security":"max-age=31536000; includeSubDomains; preload","via":"1.1 Caddy, 1.1 Caddy","x-api-request-id":"20260420121843170048338EJ0kIIX7","x-content-type-options":"nosniff","x-frame-options":"SAMEORIGIN","x-ms-client-request-id":"Not-Set","x-ms-is-spilled-over":"false","x-ms-rai-invoked":"true","x-ms-region":"East US 2","x-new-api-version":"0.4.39","x-oneapi-request-id":"202604200418431033493798268d9d641PLldnd","x-ratelimit-abusepenalty-active":"False","x-ratelimit-limit-requests":"3850","x-ratelimit-limit-tokens":"3850000","x-ratelimit-remaining-requests":"3849","x-ratelimit-remaining-tokens":"3848054","x-ratelimit-renewalperiod-requests":"60","x-ratelimit-renewalperiod-tokens":"60","x-ratelimit-reset-requests":"15","x-ratelimit-reset-tokens":"30","x-request-id":"581f482f-928a-4810-b271-7c04bc8728fb"}</t>
        </is>
      </c>
      <c r="N127" t="inlineStr">
        <is>
          <t>GTX PROB Vintage Wash Black Sweatshirt, high-density cotton, soft breathable fabric. Multicolor graphic totem design shows street art vibe. Unisex loose crewneck fit, retro and trendy style.</t>
        </is>
      </c>
      <c r="O127" t="inlineStr">
        <is>
          <t>{"choices":[{"finish_reason":"stop","index":0,"logprobs":null,"message":{"annotations":[],"content":"GTX PROB, T-Shirts, kakobuy, kakebuy2026, kekobuysheet, kakobuysheet2026, 2026kakobuy, kakobuyspreadsheeet, kakobuylink, kakebuylist, Kakobuy MEGA Spreadsheet, kakobuysheetfind, kakobuysheetfind2026, 2026kakobuysheetfind, kakobuysheet2026","refusal":null,"role":"assistant"}}],"created":1776667825,"id":"chatcmpl-DWckb6e6v54wEhBci2biZS1VfGp4H","model":"gpt-5-chat-latest","object":"chat.completion","service_tier":"default","system_fingerprint":"fp_ad66631dec","usage":{"completion_tokens":94,"completion_tokens_details":{"accepted_prediction_tokens":0,"audio_tokens":0,"reasoning_tokens":0,"rejected_prediction_tokens":0},"prompt_tokens":1062,"prompt_tokens_details":{"audio_tokens":0,"cached_tokens":0},"total_tokens":1156}}</t>
        </is>
      </c>
      <c r="P127" t="inlineStr">
        <is>
          <t>GTX PROB, T-Shirts, kakobuy, kakebuy2026, kekobuysheet, kakobuysheet2026, 2026kakobuy, kakobuyspreadsheeet, kakobuylink, kakebuylist, Kakobuy MEGA Spreadsheet, kakobuysheetfind, kakobuysheetfind2026, 2026kakobuysheetfind, kakobuysheet2026</t>
        </is>
      </c>
      <c r="Q127" t="inlineStr">
        <is>
          <t>Unisex, Retro, Streetwear, Black</t>
        </is>
      </c>
      <c r="R127" t="inlineStr">
        <is>
          <t>recvh6xFVjTc3w</t>
        </is>
      </c>
      <c r="S127" t="inlineStr">
        <is>
          <t>gtx-prob-vintage-black-totem-street-art-sweatshirt-recvh6xFVjTc3w</t>
        </is>
      </c>
      <c r="T127"/>
      <c r="U127"/>
      <c r="V127"/>
      <c r="W127" t="inlineStr">
        <is>
          <t>{"choices":[{"finish_reason":"stop","index":0,"logprobs":null,"message":{"annotations":[],"content":"复古系列水洗黑印花卫衣，采用高密度纯棉面料，舒适柔软透气。正面多层撞色图腾设计，呈现街头艺术风格，宽松圆领版型适合男女穿搭，彰显潮流个性与年代感。","refusal":null,"role":"assistant"}}],"created":1776655273,"id":"chatcmpl-DWZU9aiux056Nla9lxDPoDGyPmnOI","model":"gpt-5-chat-latest","object":"chat.completion","service_tier":"default","system_fingerprint":"fp_ad66631dec","usage":{"completion_tokens":69,"completion_tokens_details":{"accepted_prediction_tokens":0,"audio_tokens":0,"reasoning_tokens":0,"rejected_prediction_tokens":0},"prompt_tokens":1591,"prompt_tokens_details":{"audio_tokens":0,"cached_tokens":0},"total_tokens":1660}}</t>
        </is>
      </c>
      <c r="X127" t="inlineStr">
        <is>
          <t>复古系列水洗黑印花卫衣，采用高密度纯棉面料，舒适柔软透气。正面多层撞色图腾设计，呈现街头艺术风格，宽松圆领版型适合男女穿搭，彰显潮流个性与年代感。</t>
        </is>
      </c>
    </row>
    <row r="128" ht="25.5" customHeight="1">
      <c r="A128">
        <v>1839115443</v>
      </c>
      <c r="B128">
        <v>7617052928</v>
      </c>
      <c r="C128" t="inlineStr">
        <is>
          <t>https://weidian.com/item.html?itemID=7617052928</t>
        </is>
      </c>
      <c r="D128"/>
      <c r="E128" s="2" t="str">
        <f>=HYPERLINK("https://si.geilicdn.com/open1839115443-252808396-48e10000019aaf7996690a23b491_800_994.jpg?w=640&amp;h=640", "https://si.geilicdn.com/open1839115443-252808396-48e10000019aaf7996690a23b491_800_994.jpg?w=640&amp;h=640")</f>
        <v>https://si.geilicdn.com/open1839115443-252808396-48e10000019aaf7996690a23b491_800_994.jpg?w=640&amp;h=640</v>
      </c>
      <c r="F128" t="inlineStr">
        <is>
          <t>T-Shirts</t>
        </is>
      </c>
      <c r="G128" t="inlineStr">
        <is>
          <t>Other</t>
        </is>
      </c>
      <c r="H128" t="inlineStr">
        <is>
          <t>120.00</t>
        </is>
      </c>
      <c r="I128">
        <v>17.39</v>
      </c>
      <c r="J128" t="inlineStr">
        <is>
          <t>{"choices":[{"finish_reason":"stop","index":0,"logprobs":null,"message":{"annotations":[],"content":"RECOVER Street Retro Black Basketball Graphic T-Shirt","refusal":null,"role":"assistant"}}],"created":1776666103,"id":"chatcmpl-DWcIpDUASQVfFVrIkxhUp6BvMyRsk","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128" t="inlineStr">
        <is>
          <t>RECOVER Street Retro Black Basketball Graphic T-Shirt</t>
        </is>
      </c>
      <c r="L128" t="inlineStr">
        <is>
          <t>{"id":"chatcmpl-DWaUXDVt48uT2z6lJmEacygKHTjHQ","object":"chat.completion","created":1776659141,"model":"gpt-5-chat-latest","choices":[{"index":0,"message":{"role":"assistant","content":"RECOVER Street Retro Series Black T-Shirt, made of washed cotton for soft breathability, features bold blue electric lettering and basketball graphics, oversized unisex fit for sporty casual vintage style.","refusal":null,"annotations":[]},"logprobs":null,"finish_reason":"stop"}],"usage":{"prompt_tokens":927,"completion_tokens":38,"total_tokens":965,"prompt_tokens_details":{"cached_tokens":0,"audio_tokens":0},"completion_tokens_details":{"reasoning_tokens":0,"audio_tokens":0,"accepted_prediction_tokens":0,"rejected_prediction_tokens":0}},"service_tier":"default","system_fingerprint":"fp_ad66631dec"}</t>
        </is>
      </c>
      <c r="M12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ma=2592000","apim-request-id":"55485fad-5242-46e7-bc5b-06fdcdcb25e7","azureml-model-session":"d20260405234249-f9874baf","cache-control":"no-cache, no-store, must-revalidate","connection":"close","content-length":"1009","content-security-policy":"frame-ancestors 'self'","content-type":"application/json","date":"Mon, 20 Apr 2026 04:25:44 GMT","server":"Caddy","skip-error-remapping":"true","strict-transport-security":"max-age=31536000; includeSubDomains; preload","via":"1.1 Caddy","x-api-request-id":"20260420122540624511906sM1oJpqs","x-content-type-options":"nosniff","x-frame-options":"SAMEORIGIN","x-ms-is-spilled-over":"false","x-ms-rai-invoked":"false","x-ms-region":"Sweden Central","x-new-api-version":"0.4.39","x-oneapi-request-id":"202604200425405350911788268d9d6WIbh5jGJ","x-ratelimit-abusepenalty-active":"False","x-ratelimit-limit-requests":"4993","x-ratelimit-limit-tokens":"4993000","x-ratelimit-remaining-requests":"4992","x-ratelimit-remaining-tokens":"4991311","x-ratelimit-renewalperiod-requests":"60","x-ratelimit-renewalperiod-tokens":"60","x-ratelimit-reset-requests":"12","x-ratelimit-reset-tokens":"20","x-request-id":"e09392ee-2853-463b-9c48-51b2865105e1"}</t>
        </is>
      </c>
      <c r="N128" t="inlineStr">
        <is>
          <t>RECOVER Street Retro Series Black T-Shirt, made of washed cotton for soft breathability, features bold blue electric lettering and basketball graphics, oversized unisex fit for sporty casual vintage style.</t>
        </is>
      </c>
      <c r="O128"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1776668745,"id":"chatcmpl-DWczRtZXDQBcoIAsH8BSpeAWNt8xN","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28" t="inlineStr">
        <is>
          <t>Recover, T-Shirts, kakobuy, kakebuy2026, kekobuysheet, kakobuysheet2026, 2026kakobuy, kakobuyspreadsheeet, kakobuylink, kakebuylist, Kakobuy MEGA Spreadsheet, kakobuysheetfind, kakobuysheetfind2026, 2026kakobuysheetfind, kakobuysheet2026</t>
        </is>
      </c>
      <c r="Q128" t="inlineStr">
        <is>
          <t>Black, Sporty, Vintage, Unisex</t>
        </is>
      </c>
      <c r="R128" t="inlineStr">
        <is>
          <t>recvh6xFVjy4zD</t>
        </is>
      </c>
      <c r="S128" t="inlineStr">
        <is>
          <t>recover-street-retro-black-basketball-graphic-tshirt-recvh6xFVjy4zD</t>
        </is>
      </c>
      <c r="T128"/>
      <c r="U128"/>
      <c r="V128"/>
      <c r="W128" t="inlineStr">
        <is>
          <t>{"id":"chatcmpl-DWZQjCiz2G7KF23rjTLA7KnQ9BBUR","object":"chat.completion","created":1776655061,"model":"gpt-5-chat-latest","choices":[{"index":0,"message":{"role":"assistant","content":"街头复古系列黑色短袖T恤，采用水洗棉质面料，质感柔软透气。正面以蓝色电光字母与篮球运动主题图腾打造强烈视觉冲击，凸显美式复古街头风格。宽松剪裁设计，男女皆宜，彰显自由个性与运动潮流态度，适合日常休闲穿搭。","refusal":null,"annotations":[]},"logprobs":null,"finish_reason":"stop"}],"usage":{"prompt_tokens":1309,"completion_tokens":94,"total_tokens":1403,"prompt_tokens_details":{"cached_tokens":0,"audio_tokens":0},"completion_tokens_details":{"reasoning_tokens":0,"audio_tokens":0,"accepted_prediction_tokens":0,"rejected_prediction_tokens":0}},"service_tier":"default","system_fingerprint":"fp_ad66631dec"}</t>
        </is>
      </c>
      <c r="X128" t="inlineStr">
        <is>
          <t>街头复古系列黑色短袖T恤，采用水洗棉质面料，质感柔软透气。正面以蓝色电光字母与篮球运动主题图腾打造强烈视觉冲击，凸显美式复古街头风格。宽松剪裁设计，男女皆宜，彰显自由个性与运动潮流态度，适合日常休闲穿搭。</t>
        </is>
      </c>
    </row>
    <row r="129" ht="25.5" customHeight="1">
      <c r="A129">
        <v>1839115443</v>
      </c>
      <c r="B129">
        <v>7614108711</v>
      </c>
      <c r="C129" t="inlineStr">
        <is>
          <t>https://weidian.com/item.html?itemID=7614108711</t>
        </is>
      </c>
      <c r="D129"/>
      <c r="E129" s="2" t="str">
        <f>=HYPERLINK("https://si.geilicdn.com/open1839115443-252808396-41fc0000019aaf798e2d0a8115c2_790_930.jpg?w=640&amp;h=640", "https://si.geilicdn.com/open1839115443-252808396-41fc0000019aaf798e2d0a8115c2_790_930.jpg?w=640&amp;h=640")</f>
        <v>https://si.geilicdn.com/open1839115443-252808396-41fc0000019aaf798e2d0a8115c2_790_930.jpg?w=640&amp;h=640</v>
      </c>
      <c r="F129" t="inlineStr">
        <is>
          <t>Hoodies</t>
        </is>
      </c>
      <c r="G129" t="inlineStr">
        <is>
          <t>Other</t>
        </is>
      </c>
      <c r="H129" t="inlineStr">
        <is>
          <t>236.00</t>
        </is>
      </c>
      <c r="I129">
        <v>34.2</v>
      </c>
      <c r="J129" t="inlineStr">
        <is>
          <t>{"id":"chatcmpl-DWcH9mGve72t1o3XbGfox8jAHKx5N","object":"chat.completion","created":1776665999,"model":"gpt-5-chat-latest","choices":[{"index":0,"message":{"role":"assistant","content":"Vintage Black Totem Street Print Unisex Loose Hoodie","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129" t="inlineStr">
        <is>
          <t>Vintage Black Totem Street Print Unisex Loose Hoodie</t>
        </is>
      </c>
      <c r="L129" t="inlineStr">
        <is>
          <t>{"choices":[{"finish_reason":"stop","index":0,"logprobs":null,"message":{"annotations":[],"content":"HoodiesOther Vintage Black Street Print Hoodie made from soft washed cotton, featuring artistic totem and orange 3D lettering design. Unisex loose fit for casual, trendy streetwear style.","refusal":null,"role":"assistant"}}],"created":1776658545,"id":"chatcmpl-DWaKvWuliv4o8Mb6u3RlKG9gITQan","model":"gpt-5-chat-latest","object":"chat.completion","service_tier":"default","system_fingerprint":"fp_ad66631dec","usage":{"completion_tokens":40,"completion_tokens_details":{"accepted_prediction_tokens":0,"audio_tokens":0,"reasoning_tokens":0,"rejected_prediction_tokens":0},"prompt_tokens":919,"prompt_tokens_details":{"audio_tokens":0,"cached_tokens":0},"total_tokens":959}}</t>
        </is>
      </c>
      <c r="M129" t="inlineStr">
        <is>
          <t>{"alt-svc":"h3=\":443\"; ma=2592000","apim-request-id":"5e8f6de8-165b-4008-a8c3-d0a6ef74a4ab","azureml-model-session":"d20260402074105-51db401e","cache-control":"no-cache","connection":"close","content-length":"775","content-security-policy":"frame-ancestors 'self'","content-type":"application/json","date":"Mon, 20 Apr 2026 04:15:47 GMT","server":"nginx","skip-error-remapping":"true","strict-transport-security":"max-age=31536000; includeSubDomains; preload","via":"1.1 Caddy, 1.1 Caddy","x-api-request-id":"20260420121545127771055WjteSce2","x-content-type-options":"nosniff","x-frame-options":"SAMEORIGIN","x-ms-client-request-id":"Not-Set","x-ms-is-spilled-over":"false","x-ms-rai-invoked":"true","x-ms-region":"East US 2","x-new-api-version":"0.4.39","x-oneapi-request-id":"20260420041545619218098268d9d6SrD6gA3G","x-ratelimit-abusepenalty-active":"False","x-ratelimit-limit-requests":"3850","x-ratelimit-limit-tokens":"3850000","x-ratelimit-remaining-requests":"3849","x-ratelimit-remaining-tokens":"3848319","x-ratelimit-renewalperiod-requests":"60","x-ratelimit-renewalperiod-tokens":"60","x-ratelimit-reset-requests":"15","x-ratelimit-reset-tokens":"26","x-request-id":"0fcd8cfc-0014-4270-8cd3-3e0ebd4144d0"}</t>
        </is>
      </c>
      <c r="N129" t="inlineStr">
        <is>
          <t>HoodiesOther Vintage Black Street Print Hoodie made from soft washed cotton, featuring artistic totem and orange 3D lettering design. Unisex loose fit for casual, trendy streetwear style.</t>
        </is>
      </c>
      <c r="O129" t="inlineStr">
        <is>
          <t>{"id":"chatcmpl-DWcbJip8wvJSm7MLdJX2i6Nkhom4i","object":"chat.completion","created":1776667249,"model":"gpt-5-chat-latest","choices":[{"index":0,"message":{"role":"assistant","content":"Travis Scott,Hoodies,kakobuy,kakebuy2026,kekobuysheet,kakobuysheet2026,2026kakobuy,kakobuyspreadsheeet,kakobuylink,kakebuylist,Kakobuy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29" t="inlineStr">
        <is>
          <t>Travis Scott,Hoodies,kakobuy,kakebuy2026,kekobuysheet,kakobuysheet2026,2026kakobuy,kakobuyspreadsheeet,kakobuylink,kakebuylist,Kakobuy MEGA Spreadsheet,kakobuysheetfind,kakobuysheetfind2026,2026kakobuysheetfind,kakobuysheet2026</t>
        </is>
      </c>
      <c r="Q129" t="inlineStr">
        <is>
          <t>Black, Streetwear, Unisex, Artistic Style</t>
        </is>
      </c>
      <c r="R129" t="inlineStr">
        <is>
          <t>recvh6xFVjKR17</t>
        </is>
      </c>
      <c r="S129" t="inlineStr">
        <is>
          <t>vintage-black-totem-street-print-loose-hoodie-recvh6xFVjKR17</t>
        </is>
      </c>
      <c r="T129"/>
      <c r="U129"/>
      <c r="V129"/>
      <c r="W129" t="inlineStr">
        <is>
          <t>{"id":"chatcmpl-DWZNrwQQlP18RPzXQvUZelQwOjEml","object":"chat.completion","created":1776654883,"model":"gpt-5-chat-latest","choices":[{"index":0,"message":{"role":"assistant","content":"复古黑色街头印花连帽卫衣，柔软水洗棉质面料打造，前幅图腾印花与橙色立体字母设计相映成趣，展现独特个性与艺术气息。宽松中性版型，适合男女穿着，休闲街头风格凸显潮流态度。","refusal":null,"annotations":[]},"logprobs":null,"finish_reason":"stop"}],"usage":{"prompt_tokens":1316,"completion_tokens":82,"total_tokens":1398,"prompt_tokens_details":{"cached_tokens":0,"audio_tokens":0},"completion_tokens_details":{"reasoning_tokens":0,"audio_tokens":0,"accepted_prediction_tokens":0,"rejected_prediction_tokens":0}},"service_tier":"default","system_fingerprint":"fp_ad66631dec"}</t>
        </is>
      </c>
      <c r="X129" t="inlineStr">
        <is>
          <t>复古黑色街头印花连帽卫衣，柔软水洗棉质面料打造，前幅图腾印花与橙色立体字母设计相映成趣，展现独特个性与艺术气息。宽松中性版型，适合男女穿着，休闲街头风格凸显潮流态度。</t>
        </is>
      </c>
    </row>
    <row r="130" ht="25.5" customHeight="1">
      <c r="A130">
        <v>1839115443</v>
      </c>
      <c r="B130">
        <v>7614053017</v>
      </c>
      <c r="C130" t="inlineStr">
        <is>
          <t>https://weidian.com/item.html?itemID=7614053017</t>
        </is>
      </c>
      <c r="D130"/>
      <c r="E130" s="2" t="str">
        <f>=HYPERLINK("https://si.geilicdn.com/open1839115443-252808396-4f510000019aaf7998e30a23b4de_800_1058.jpg?w=640&amp;h=640", "https://si.geilicdn.com/open1839115443-252808396-4f510000019aaf7998e30a23b4de_800_1058.jpg?w=640&amp;h=640")</f>
        <v>https://si.geilicdn.com/open1839115443-252808396-4f510000019aaf7998e30a23b4de_800_1058.jpg?w=640&amp;h=640</v>
      </c>
      <c r="F130" t="inlineStr">
        <is>
          <t>Hoodies</t>
        </is>
      </c>
      <c r="G130" t="inlineStr">
        <is>
          <t>Other</t>
        </is>
      </c>
      <c r="H130" t="inlineStr">
        <is>
          <t>216.00</t>
        </is>
      </c>
      <c r="I130">
        <v>31.3</v>
      </c>
      <c r="J130" t="inlineStr">
        <is>
          <t>{"id":"chatcmpl-DWcJGiDEMDfQsaevkVkP99Ul7HMz4","object":"chat.completion","created":1776666130,"model":"gpt-5-chat-latest","choices":[{"index":0,"message":{"role":"assistant","content":"Vintage Graphic Streetwear Black Hoodie for Men","refusal":null,"annotations":[]},"logprobs":null,"finish_reason":"stop"}],"usage":{"prompt_tokens":805,"completion_tokens":9,"total_tokens":814,"prompt_tokens_details":{"cached_tokens":0,"audio_tokens":0},"completion_tokens_details":{"reasoning_tokens":0,"audio_tokens":0,"accepted_prediction_tokens":0,"rejected_prediction_tokens":0}},"service_tier":"default","system_fingerprint":"fp_ad66631dec"}</t>
        </is>
      </c>
      <c r="K130" t="inlineStr">
        <is>
          <t>Vintage Graphic Streetwear Black Hoodie for Men</t>
        </is>
      </c>
      <c r="L130"/>
      <c r="M130"/>
      <c r="N130"/>
      <c r="O130" t="inlineStr">
        <is>
          <t>{"choices":[{"finish_reason":"stop","index":0,"logprobs":null,"message":{"annotations":[],"content":"Travis Scott,Hoodies,kakobuy,kakebuy2026,kekobuysheet,kakobuysheet2026,2026kakobuy,kakobuyspreadsheeet,kakobuylink,kakebuylist,Kakobuy MEGA Spreadsheet,kakobuysheetfind,kakobuysheetfind2026,2026kakobuysheetfind,kakobuysheet2026","refusal":null,"role":"assistant"}}],"created":1776667888,"id":"chatcmpl-DWclc0bmDvJoLNuSVvWRtebaMMvw4","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30" t="inlineStr">
        <is>
          <t>Travis Scott,Hoodies,kakobuy,kakebuy2026,kekobuysheet,kakobuysheet2026,2026kakobuy,kakobuyspreadsheeet,kakobuylink,kakebuylist,Kakobuy MEGA Spreadsheet,kakobuysheetfind,kakobuysheetfind2026,2026kakobuysheetfind,kakobuysheet2026</t>
        </is>
      </c>
      <c r="Q130"/>
      <c r="R130" t="inlineStr">
        <is>
          <t>recvh6xFVje9hA</t>
        </is>
      </c>
      <c r="S130" t="inlineStr">
        <is>
          <t>vintage-graphic-streetwear-black-hoodie-men-recvh6xFVje9hA</t>
        </is>
      </c>
      <c r="T130"/>
      <c r="U130"/>
      <c r="V130"/>
      <c r="W130" t="inlineStr">
        <is>
          <t>{"choices":[{"finish_reason":"stop","index":0,"logprobs":null,"message":{"annotations":[],"content":"水洗黑街头系列连帽卫衣，采用厚质纯棉面料，柔软透气。正面多层复古音乐人印花图腾设计，红色手写字体点缀彰显独特个性。宽松休闲版型，男女通用，适合秋冬都市潮流穿搭。","refusal":null,"role":"assistant"}}],"created":1776655798,"id":"chatcmpl-DWZcckacBN7gMKKKzWdnRAyP21t7M","model":"gpt-5-chat-latest","object":"chat.completion","service_tier":"default","system_fingerprint":"fp_ad66631dec","usage":{"completion_tokens":76,"completion_tokens_details":{"accepted_prediction_tokens":0,"audio_tokens":0,"reasoning_tokens":0,"rejected_prediction_tokens":0},"prompt_tokens":1316,"prompt_tokens_details":{"audio_tokens":0,"cached_tokens":0},"total_tokens":1392}}</t>
        </is>
      </c>
      <c r="X130" t="inlineStr">
        <is>
          <t>水洗黑街头系列连帽卫衣，采用厚质纯棉面料，柔软透气。正面多层复古音乐人印花图腾设计，红色手写字体点缀彰显独特个性。宽松休闲版型，男女通用，适合秋冬都市潮流穿搭。</t>
        </is>
      </c>
    </row>
    <row r="131" ht="25.5" customHeight="1">
      <c r="A131">
        <v>1839115443</v>
      </c>
      <c r="B131">
        <v>7614108709</v>
      </c>
      <c r="C131" t="inlineStr">
        <is>
          <t>https://weidian.com/item.html?itemID=7614108709</t>
        </is>
      </c>
      <c r="D131"/>
      <c r="E131" s="2" t="str">
        <f>=HYPERLINK("https://si.geilicdn.com/open1839115443-252808396-4ee10000019aaf796f220a23b4de_1000_1000.jpg?w=750&amp;h=750&amp;cp=1", "https://si.geilicdn.com/open1839115443-252808396-4ee10000019aaf796f220a23b4de_1000_1000.jpg?w=750&amp;h=750&amp;cp=1")</f>
        <v>https://si.geilicdn.com/open1839115443-252808396-4ee10000019aaf796f220a23b4de_1000_1000.jpg?w=750&amp;h=750&amp;cp=1</v>
      </c>
      <c r="F131" t="inlineStr">
        <is>
          <t>T-Shirts</t>
        </is>
      </c>
      <c r="G131" t="inlineStr">
        <is>
          <t>Other</t>
        </is>
      </c>
      <c r="H131" t="inlineStr">
        <is>
          <t>140.00</t>
        </is>
      </c>
      <c r="I131">
        <v>20.29</v>
      </c>
      <c r="J131" t="inlineStr">
        <is>
          <t>{"id":"chatcmpl-DWcPgXCSWLWleA9BmMAtEWpezV9WV","object":"chat.completion","created":1776666528,"model":"gpt-5-chat-latest","choices":[{"index":0,"message":{"role":"assistant","content":"BC Street Wear Heavyweight Black Cotton Crewneck Sweatshirt","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31" t="inlineStr">
        <is>
          <t>BC Street Wear Heavyweight Black Cotton Crewneck Sweatshirt</t>
        </is>
      </c>
      <c r="L131" t="inlineStr">
        <is>
          <t>{"choices":[{"finish_reason":"stop","index":0,"logprobs":null,"message":{"annotations":[],"content":"BC Street Wear Heavyweight Black Crewneck Sweatshirt made of 95% cotton terry, featuring a relaxed dropped shoulder and retro small neck. Unisex minimalist style for casual urban street looks.","refusal":null,"role":"assistant"}}],"created":1776659273,"id":"chatcmpl-DWaWfsGqqD4L4il17Kqgpeu1I5Itz","model":"gpt-5-chat-latest","object":"chat.completion","service_tier":"default","system_fingerprint":"fp_ad66631dec","usage":{"completion_tokens":40,"completion_tokens_details":{"accepted_prediction_tokens":0,"audio_tokens":0,"reasoning_tokens":0,"rejected_prediction_tokens":0},"prompt_tokens":923,"prompt_tokens_details":{"audio_tokens":0,"cached_tokens":0},"total_tokens":963}}</t>
        </is>
      </c>
      <c r="M131" t="inlineStr">
        <is>
          <t>{"alt-svc":"h3=\":443\"; ma=2592000","apim-request-id":"dcfc6b82-7c65-43be-8d40-843ebcc18539","azureml-model-session":"d20260405234249-f9874baf","cache-control":"no-cache","connection":"close","content-length":"780","content-security-policy":"frame-ancestors 'self'","content-type":"application/json","date":"Mon, 20 Apr 2026 04:27:54 GMT","server":"nginx","skip-error-remapping":"true","strict-transport-security":"max-age=31536000; includeSubDomains; preload","via":"1.1 Caddy, 1.1 Caddy","x-api-request-id":"20260420122751881738555OHdx8xce","x-content-type-options":"nosniff","x-frame-options":"SAMEORIGIN","x-ms-client-request-id":"Not-Set","x-ms-is-spilled-over":"false","x-ms-rai-invoked":"true","x-ms-region":"East US 2","x-new-api-version":"0.4.39","x-oneapi-request-id":"202604200427518148090978268d9d6bppPyMlg","x-ratelimit-abusepenalty-active":"False","x-ratelimit-limit-requests":"3850","x-ratelimit-limit-tokens":"3850000","x-ratelimit-remaining-requests":"3849","x-ratelimit-remaining-tokens":"3848315","x-ratelimit-renewalperiod-requests":"60","x-ratelimit-renewalperiod-tokens":"60","x-ratelimit-reset-requests":"15","x-ratelimit-reset-tokens":"26","x-request-id":"fb389e52-e20e-4da1-a84e-8faeb6ec7e3e"}</t>
        </is>
      </c>
      <c r="N131" t="inlineStr">
        <is>
          <t>BC Street Wear Heavyweight Black Crewneck Sweatshirt made of 95% cotton terry, featuring a relaxed dropped shoulder and retro small neck. Unisex minimalist style for casual urban street looks.</t>
        </is>
      </c>
      <c r="O131" t="inlineStr">
        <is>
          <t>{"choices":[{"finish_reason":"stop","index":0,"logprobs":null,"message":{"annotations":[],"content":"BC, Sweatshirt, kakobuy, kakebuy2026, kekobuysheet, kakobuysheet2026, 2026kakobuy, kakobuyspreadsheeet, kakobuylink, kakebuylist, Kakobuy MEGA Spreadsheet, kakobuysheetfind, kakobuysheetfind2026, 2026kakobuysheetfind, kakobuysheet2026","refusal":null,"role":"assistant"}}],"created":1776668594,"id":"chatcmpl-DWcx0on0wiDRGWFY5wv9FS9JrtdmB","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31" t="inlineStr">
        <is>
          <t>BC, Sweatshirt, kakobuy, kakebuy2026, kekobuysheet, kakobuysheet2026, 2026kakobuy, kakobuyspreadsheeet, kakobuylink, kakebuylist, Kakobuy MEGA Spreadsheet, kakobuysheetfind, kakobuysheetfind2026, 2026kakobuysheetfind, kakobuysheet2026</t>
        </is>
      </c>
      <c r="Q131" t="inlineStr">
        <is>
          <t>Black, Retro, Minimalist, Unisex</t>
        </is>
      </c>
      <c r="R131" t="inlineStr">
        <is>
          <t>recvh6xFVjST8y</t>
        </is>
      </c>
      <c r="S131" t="inlineStr">
        <is>
          <t>bc-street-wear-heavyweight-black-cotton-crewneck-sweatshirt-recvh6xFVjST8y</t>
        </is>
      </c>
      <c r="T131"/>
      <c r="U131"/>
      <c r="V131"/>
      <c r="W131" t="inlineStr">
        <is>
          <t>{"choices":[{"finish_reason":"stop","index":0,"logprobs":null,"message":{"annotations":[],"content":"简约重磅系列黑色圆领卫衣，甄选95%纯棉厚实毛圈面料，质感挺括柔软。宽松落肩剪裁结合小领口复古设计，呈现极简街头风格。男女皆宜，适合日常休闲与街拍穿搭，彰显都市潮流态度。","refusal":null,"role":"assistant"}}],"created":1776655065,"id":"chatcmpl-DWZQnDB6ROVINvRvXQiHd5eRYN21k","model":"gpt-5-chat-latest","object":"chat.completion","service_tier":"default","system_fingerprint":"fp_ad66631dec","usage":{"completion_tokens":83,"completion_tokens_details":{"accepted_prediction_tokens":0,"audio_tokens":0,"reasoning_tokens":0,"rejected_prediction_tokens":0},"prompt_tokens":1323,"prompt_tokens_details":{"audio_tokens":0,"cached_tokens":0},"total_tokens":1406}}</t>
        </is>
      </c>
      <c r="X131" t="inlineStr">
        <is>
          <t>简约重磅系列黑色圆领卫衣，甄选95%纯棉厚实毛圈面料，质感挺括柔软。宽松落肩剪裁结合小领口复古设计，呈现极简街头风格。男女皆宜，适合日常休闲与街拍穿搭，彰显都市潮流态度。</t>
        </is>
      </c>
    </row>
    <row r="132" ht="25.5" customHeight="1">
      <c r="A132">
        <v>1839115443</v>
      </c>
      <c r="B132">
        <v>7617102292</v>
      </c>
      <c r="C132" t="inlineStr">
        <is>
          <t>https://weidian.com/item.html?itemID=7617102292</t>
        </is>
      </c>
      <c r="D132"/>
      <c r="E132" s="2" t="str">
        <f>=HYPERLINK("https://si.geilicdn.com/open1839115443-252808396-42140000019aaf70fbfc0a8133b0_800_994.jpg?w=640&amp;h=640", "https://si.geilicdn.com/open1839115443-252808396-42140000019aaf70fbfc0a8133b0_800_994.jpg?w=640&amp;h=640")</f>
        <v>https://si.geilicdn.com/open1839115443-252808396-42140000019aaf70fbfc0a8133b0_800_994.jpg?w=640&amp;h=640</v>
      </c>
      <c r="F132" t="inlineStr">
        <is>
          <t>T-Shirts</t>
        </is>
      </c>
      <c r="G132" t="inlineStr">
        <is>
          <t>Other</t>
        </is>
      </c>
      <c r="H132" t="inlineStr">
        <is>
          <t>128.00</t>
        </is>
      </c>
      <c r="I132">
        <v>18.55</v>
      </c>
      <c r="J132" t="inlineStr">
        <is>
          <t>{"id":"chatcmpl-DWcOhbO07lSzmeX1JqZjv191iqp13","object":"chat.completion","created":1776666467,"model":"gpt-5-chat-latest","choices":[{"index":0,"message":{"role":"assistant","content":"RECOVER Vintage Rock Charcoal Graphic Tee Unisex","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ad66631dec"}</t>
        </is>
      </c>
      <c r="K132" t="inlineStr">
        <is>
          <t>RECOVER Vintage Rock Charcoal Graphic Tee Unisex</t>
        </is>
      </c>
      <c r="L132" t="inlineStr">
        <is>
          <t>{"choices":[{"finish_reason":"stop","index":0,"logprobs":null,"message":{"annotations":[],"content":"RECOVER Vintage Rock Graphic Tee in Charcoal, made from premium cotton for a soft, breathable feel. Features a bold artistic print and 3D lettering design. Unisex relaxed fit for street-style lovers.","refusal":null,"role":"assistant"}}],"created":1776659180,"id":"chatcmpl-DWaVA7TX1YNidcVKTDKDM2fkCJG6y","model":"gpt-5-chat-latest","object":"chat.completion","service_tier":"default","system_fingerprint":"fp_ad66631dec","usage":{"completion_tokens":43,"completion_tokens_details":{"accepted_prediction_tokens":0,"audio_tokens":0,"reasoning_tokens":0,"rejected_prediction_tokens":0},"prompt_tokens":947,"prompt_tokens_details":{"audio_tokens":0,"cached_tokens":0},"total_tokens":990}}</t>
        </is>
      </c>
      <c r="M132" t="inlineStr">
        <is>
          <t>{"alt-svc":"h3=\":443\"; ma=2592000","apim-request-id":"0a502b77-1c54-4f72-9d87-1f069acf17ca","azureml-model-session":"d20260405234249-f9874baf","cache-control":"no-cache","connection":"close","content-length":"787","content-security-policy":"frame-ancestors 'self'","content-type":"application/json","date":"Mon, 20 Apr 2026 04:26:21 GMT","server":"nginx","skip-error-remapping":"true","strict-transport-security":"max-age=31536000; includeSubDomains; preload","via":"1.1 Caddy, 1.1 Caddy","x-api-request-id":"20260420122619411643959zVp2GVJA","x-content-type-options":"nosniff","x-frame-options":"SAMEORIGIN","x-ms-client-request-id":"Not-Set","x-ms-is-spilled-over":"false","x-ms-rai-invoked":"true","x-ms-region":"East US 2","x-new-api-version":"0.4.39","x-oneapi-request-id":"202604200426193447947958268d9d6xbkfXSUu","x-ratelimit-abusepenalty-active":"False","x-ratelimit-limit-requests":"3850","x-ratelimit-limit-tokens":"3850000","x-ratelimit-remaining-requests":"3849","x-ratelimit-remaining-tokens":"3848291","x-ratelimit-renewalperiod-requests":"60","x-ratelimit-renewalperiod-tokens":"60","x-ratelimit-reset-requests":"15","x-ratelimit-reset-tokens":"26","x-request-id":"f1b78b32-3db9-4bdd-ae5c-e68295c9c5e5"}</t>
        </is>
      </c>
      <c r="N132" t="inlineStr">
        <is>
          <t>RECOVER Vintage Rock Graphic Tee in Charcoal, made from premium cotton for a soft, breathable feel. Features a bold artistic print and 3D lettering design. Unisex relaxed fit for street-style lovers.</t>
        </is>
      </c>
      <c r="O132" t="inlineStr">
        <is>
          <t>{"choices":[{"finish_reason":"stop","index":0,"logprobs":null,"message":{"annotations":[],"content":"SZA,T-Shirts,kakobuy,kakebuy2026,kekobuysheet,kakobuysheet2026,2026kakobuy,kakobuyspreadsheeet,kakobuylink,kakebuylist,Kakobuy MEGA Spreadsheet,kakobuysheetfind,kakobuysheetfind2026,2026kakobuysheetfind,kakobuysheet2026","refusal":null,"role":"assistant"}}],"created":1776667545,"id":"chatcmpl-DWcg5vo9oZyUQTm3oAqNvifqF02Mp","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32" t="inlineStr">
        <is>
          <t>SZA,T-Shirts,kakobuy,kakebuy2026,kekobuysheet,kakobuysheet2026,2026kakobuy,kakobuyspreadsheeet,kakobuylink,kakebuylist,Kakobuy MEGA Spreadsheet,kakobuysheetfind,kakobuysheetfind2026,2026kakobuysheetfind,kakobuysheet2026</t>
        </is>
      </c>
      <c r="Q132" t="inlineStr">
        <is>
          <t>Charcoal, Unisex, Streetwear, Breathable</t>
        </is>
      </c>
      <c r="R132" t="inlineStr">
        <is>
          <t>recvh6xFVjkrDn</t>
        </is>
      </c>
      <c r="S132" t="inlineStr">
        <is>
          <t>recover-vintage-rock-charcoal-graphic-tee-recvh6xFVjkrDn</t>
        </is>
      </c>
      <c r="T132"/>
      <c r="U132"/>
      <c r="V132"/>
      <c r="W132" t="inlineStr">
        <is>
          <t>{"choices":[{"finish_reason":"stop","index":0,"logprobs":null,"message":{"annotations":[],"content":"复古摇滚风炭黑色印花T恤，采用优质纯棉面料打造，手感柔软透气。正面大型艺术人物图腾搭配立体字母印花设计，色彩层次丰富，展现浓厚的街头音乐文化氛围。宽松中性剪裁，适合男女穿着，彰显自由随性的美式复古潮流风格，日常休闲与个性造型皆可轻松驾驭。","refusal":null,"role":"assistant"}}],"created":1776655989,"id":"chatcmpl-DWZfh3TbYo4hqY9NoNxiczPvI0ivn","model":"gpt-5-chat-latest","object":"chat.completion","service_tier":"default","system_fingerprint":"fp_ad66631dec","usage":{"completion_tokens":113,"completion_tokens_details":{"accepted_prediction_tokens":0,"audio_tokens":0,"reasoning_tokens":0,"rejected_prediction_tokens":0},"prompt_tokens":1311,"prompt_tokens_details":{"audio_tokens":0,"cached_tokens":0},"total_tokens":1424}}</t>
        </is>
      </c>
      <c r="X132" t="inlineStr">
        <is>
          <t>复古摇滚风炭黑色印花T恤，采用优质纯棉面料打造，手感柔软透气。正面大型艺术人物图腾搭配立体字母印花设计，色彩层次丰富，展现浓厚的街头音乐文化氛围。宽松中性剪裁，适合男女穿着，彰显自由随性的美式复古潮流风格，日常休闲与个性造型皆可轻松驾驭。</t>
        </is>
      </c>
    </row>
    <row r="133" ht="25.5" customHeight="1">
      <c r="A133">
        <v>1839115443</v>
      </c>
      <c r="B133">
        <v>7617122094</v>
      </c>
      <c r="C133" t="inlineStr">
        <is>
          <t>https://weidian.com/item.html?itemID=7617122094</t>
        </is>
      </c>
      <c r="D133"/>
      <c r="E133" s="2" t="str">
        <f>=HYPERLINK("https://si.geilicdn.com/open1839115443-252808396-4a7d0000019aaf6500180a23b4de_800_800.jpg?w=640&amp;h=640", "https://si.geilicdn.com/open1839115443-252808396-4a7d0000019aaf6500180a23b4de_800_800.jpg?w=640&amp;h=640")</f>
        <v>https://si.geilicdn.com/open1839115443-252808396-4a7d0000019aaf6500180a23b4de_800_800.jpg?w=640&amp;h=640</v>
      </c>
      <c r="F133" t="inlineStr">
        <is>
          <t>T-Shirts</t>
        </is>
      </c>
      <c r="G133" t="inlineStr">
        <is>
          <t>Other</t>
        </is>
      </c>
      <c r="H133" t="inlineStr">
        <is>
          <t>110.00</t>
        </is>
      </c>
      <c r="I133">
        <v>15.94</v>
      </c>
      <c r="J133" t="inlineStr">
        <is>
          <t>{"choices":[{"finish_reason":"stop","index":0,"logprobs":null,"message":{"annotations":[],"content":"Bone Retro Black Gothic Graphic Cotton T-Shirt","refusal":null,"role":"assistant"}}],"created":1776666283,"id":"chatcmpl-DWcLjjRoWBue9oBBt0z2X0kC2ZDvO","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133" t="inlineStr">
        <is>
          <t>Bone Retro Black Gothic Graphic Cotton T-Shirt</t>
        </is>
      </c>
      <c r="L133" t="inlineStr">
        <is>
          <t>{"choices":[{"finish_reason":"stop","index":0,"logprobs":null,"message":{"annotations":[],"content":"Bone Retro Black Rock Printed T-Shirt, made of washed cotton with bold red gothic lettering and graphic design, features loose unisex fit for trendy streetwear style and casual everyday fashion.","refusal":null,"role":"assistant"}}],"created":1776658537,"id":"chatcmpl-DWaKncKejOQncRlGsNyiyGXW7ZMYa","model":"gpt-5-chat-latest","object":"chat.completion","service_tier":"default","system_fingerprint":"fp_ad66631dec","usage":{"completion_tokens":37,"completion_tokens_details":{"accepted_prediction_tokens":0,"audio_tokens":0,"reasoning_tokens":0,"rejected_prediction_tokens":0},"prompt_tokens":929,"prompt_tokens_details":{"audio_tokens":0,"cached_tokens":0},"total_tokens":966}}</t>
        </is>
      </c>
      <c r="M133" t="inlineStr">
        <is>
          <t>{"alt-svc":"h3=\":443\"; ma=2592000","apim-request-id":"9ec43eec-0223-4bf8-9297-cedbae74d6bb","azureml-model-session":"d20260405234249-f9874baf","cache-control":"no-cache","connection":"close","content-length":"782","content-security-policy":"frame-ancestors 'self'","content-type":"application/json","date":"Mon, 20 Apr 2026 04:15:38 GMT","server":"Caddy","skip-error-remapping":"true","strict-transport-security":"max-age=31536000; includeSubDomains; preload","via":"1.1 Caddy","x-api-request-id":"20260420121536775228879z69PEVoj","x-content-type-options":"nosniff","x-frame-options":"SAMEORIGIN","x-ms-client-request-id":"Not-Set","x-ms-is-spilled-over":"false","x-ms-rai-invoked":"true","x-ms-region":"East US 2","x-new-api-version":"0.4.39","x-oneapi-request-id":"202604200415367082491118268d9d6FdhkZpI2","x-ratelimit-abusepenalty-active":"False","x-ratelimit-limit-requests":"3850","x-ratelimit-limit-tokens":"3850000","x-ratelimit-remaining-requests":"3849","x-ratelimit-remaining-tokens":"3848153","x-ratelimit-renewalperiod-requests":"60","x-ratelimit-renewalperiod-tokens":"60","x-ratelimit-reset-requests":"15","x-ratelimit-reset-tokens":"28","x-request-id":"fa219508-2422-4e5f-87a2-d7884608a063"}</t>
        </is>
      </c>
      <c r="N133" t="inlineStr">
        <is>
          <t>Bone Retro Black Rock Printed T-Shirt, made of washed cotton with bold red gothic lettering and graphic design, features loose unisex fit for trendy streetwear style and casual everyday fashion.</t>
        </is>
      </c>
      <c r="O133" t="inlineStr">
        <is>
          <t>{"choices":[{"finish_reason":"stop","index":0,"logprobs":null,"message":{"annotations":[],"content":"Bone Thugs-N-Harmony,T-Shirts,kakobuy,kakebuy2026,kekobuysheet,kakobuysheet2026,2026kakobuy,kakobuyspreadsheeet,kakobuylink,kakebuylist,Kakobuy MEGA Spreadsheet,kakobuysheetfind,kakobuysheetfind2026,2026kakobuysheetfind,kakobuysheet2026","refusal":null,"role":"assistant"}}],"created":1776667230,"id":"chatcmpl-DWcb0cjAnZooOOaFGosxVfdwiw1eY","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33" t="inlineStr">
        <is>
          <t>Bone Thugs-N-Harmony,T-Shirts,kakobuy,kakebuy2026,kekobuysheet,kakobuysheet2026,2026kakobuy,kakobuyspreadsheeet,kakobuylink,kakebuylist,Kakobuy MEGA Spreadsheet,kakobuysheetfind,kakobuysheetfind2026,2026kakobuysheetfind,kakobuysheet2026</t>
        </is>
      </c>
      <c r="Q133" t="inlineStr">
        <is>
          <t>Retro, Gothic, Unisex, Streetwear</t>
        </is>
      </c>
      <c r="R133" t="inlineStr">
        <is>
          <t>recvh6xFVjUkCu</t>
        </is>
      </c>
      <c r="S133" t="inlineStr">
        <is>
          <t>bone-retro-black-gothic-graphic-cotton-tshirt-recvh6xfvjukcu</t>
        </is>
      </c>
      <c r="T133"/>
      <c r="U133"/>
      <c r="V133"/>
      <c r="W133" t="inlineStr">
        <is>
          <t>{"choices":[{"finish_reason":"stop","index":0,"logprobs":null,"message":{"annotations":[],"content":"复古黑色摇滚印花T恤，采用水洗棉质面料，正面呈现醒目红色哥特字体与组合人物图腾，街头潮流风格浓郁。宽松版型设计，男女皆宜，复古街头与音乐文化元素融合，展现自由不羁的时尚态度，适合日常休闲与街拍穿搭。","refusal":null,"role":"assistant"}}],"created":1776655649,"id":"chatcmpl-DWZaD2w8T3Hm092QaqG8dCGHKw09H","model":"gpt-5-chat-latest","object":"chat.completion","service_tier":"default","system_fingerprint":"fp_ad66631dec","usage":{"completion_tokens":93,"completion_tokens_details":{"accepted_prediction_tokens":0,"audio_tokens":0,"reasoning_tokens":0,"rejected_prediction_tokens":0},"prompt_tokens":1315,"prompt_tokens_details":{"audio_tokens":0,"cached_tokens":1280},"total_tokens":1408}}</t>
        </is>
      </c>
      <c r="X133" t="inlineStr">
        <is>
          <t>复古黑色摇滚印花T恤，采用水洗棉质面料，正面呈现醒目红色哥特字体与组合人物图腾，街头潮流风格浓郁。宽松版型设计，男女皆宜，复古街头与音乐文化元素融合，展现自由不羁的时尚态度，适合日常休闲与街拍穿搭。</t>
        </is>
      </c>
    </row>
    <row r="134" ht="25.5" customHeight="1">
      <c r="A134">
        <v>1839115443</v>
      </c>
      <c r="B134">
        <v>7599365965</v>
      </c>
      <c r="C134" t="inlineStr">
        <is>
          <t>https://weidian.com/item.html?itemID=7599365965</t>
        </is>
      </c>
      <c r="D134"/>
      <c r="E134" s="2" t="str">
        <f>=HYPERLINK("https://si.geilicdn.com/open1839115443-252808396-038e0000019a6828aadf0a8115c2_1080_1080.jpg?w=640&amp;h=640", "https://si.geilicdn.com/open1839115443-252808396-038e0000019a6828aadf0a8115c2_1080_1080.jpg?w=640&amp;h=640")</f>
        <v>https://si.geilicdn.com/open1839115443-252808396-038e0000019a6828aadf0a8115c2_1080_1080.jpg?w=640&amp;h=640</v>
      </c>
      <c r="F134" t="inlineStr">
        <is>
          <t>Jackets</t>
        </is>
      </c>
      <c r="G134" t="inlineStr">
        <is>
          <t>Canada Goose</t>
        </is>
      </c>
      <c r="H134" t="inlineStr">
        <is>
          <t>730.00</t>
        </is>
      </c>
      <c r="I134">
        <v>105.8</v>
      </c>
      <c r="J134" t="inlineStr">
        <is>
          <t>{"choices":[{"finish_reason":"stop","index":0,"logprobs":null,"message":{"annotations":[],"content":"Canada Goose White Short Down Jacket Fur Hood","refusal":null,"role":"assistant"}}],"created":1776666473,"id":"chatcmpl-DWcOnJcltD6wSienHPDvsI8BYzmnw","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134" t="inlineStr">
        <is>
          <t>Canada Goose White Short Down Jacket Fur Hood</t>
        </is>
      </c>
      <c r="L134" t="inlineStr">
        <is>
          <t>{"choices":[{"finish_reason":"stop","index":0,"logprobs":null,"message":{"annotations":[],"content":"Canada Goose white short down jacket with detachable fur hood, windproof, cold-resistant nylon shell, premium down fill. Urban minimalist style for men and women, ideal for winter outdoor or city wear.","refusal":null,"role":"assistant"}}],"created":1776658503,"id":"chatcmpl-DWaKFGuWpqMlPMyXACaescuKcP0bV","model":"gpt-5-chat-latest","object":"chat.completion","service_tier":"default","system_fingerprint":"fp_ad66631dec","usage":{"completion_tokens":40,"completion_tokens_details":{"accepted_prediction_tokens":0,"audio_tokens":0,"reasoning_tokens":0,"rejected_prediction_tokens":0},"prompt_tokens":928,"prompt_tokens_details":{"audio_tokens":0,"cached_tokens":0},"total_tokens":968}}</t>
        </is>
      </c>
      <c r="M134" t="inlineStr">
        <is>
          <t>{"alt-svc":"h3=\":443\"; ma=2592000","apim-request-id":"60789fb5-6edc-4aae-a523-d6d48f7ce969","azureml-model-session":"d20260402083108-57a85543","cache-control":"no-cache","connection":"close","content-length":"789","content-security-policy":"frame-ancestors 'self'","content-type":"application/json","date":"Mon, 20 Apr 2026 04:15:04 GMT","server":"nginx","skip-error-remapping":"true","strict-transport-security":"max-age=31536000; includeSubDomains; preload","via":"1.1 Caddy, 1.1 Caddy","x-api-request-id":"20260420121502498009648tL4GApwk","x-content-type-options":"nosniff","x-frame-options":"SAMEORIGIN","x-ms-client-request-id":"Not-Set","x-ms-is-spilled-over":"false","x-ms-rai-invoked":"true","x-ms-region":"East US 2","x-new-api-version":"0.4.39","x-oneapi-request-id":"202604200415023572935838268d9d6Pz2IP5qz","x-ratelimit-abusepenalty-active":"False","x-ratelimit-limit-requests":"3850","x-ratelimit-limit-tokens":"3850000","x-ratelimit-remaining-requests":"3849","x-ratelimit-remaining-tokens":"3848310","x-ratelimit-renewalperiod-requests":"60","x-ratelimit-renewalperiod-tokens":"60","x-ratelimit-reset-requests":"15","x-ratelimit-reset-tokens":"26","x-request-id":"f5715139-bd70-4aa3-ae77-70a5b7e175be"}</t>
        </is>
      </c>
      <c r="N134" t="inlineStr">
        <is>
          <t>Canada Goose white short down jacket with detachable fur hood, windproof, cold-resistant nylon shell, premium down fill. Urban minimalist style for men and women, ideal for winter outdoor or city wear.</t>
        </is>
      </c>
      <c r="O134"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1776667374,"id":"chatcmpl-DWcdKJX9b0wGYPvb7xPvUWGJU1aL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34" t="inlineStr">
        <is>
          <t>Canada Goose, Jackets, kakobuy, kakebuy2026, kekobuysheet, kakobuysheet2026, 2026kakobuy, kakobuyspreadsheeet, kakobuylink, kakebuylist, Kakobuy MEGA Spreadsheet, kakobuysheetfind, kakobuysheetfind2026, 2026kakobuysheetfind, kakobuysheet2026</t>
        </is>
      </c>
      <c r="Q134" t="inlineStr">
        <is>
          <t>White, Windproof, Winter, Men's And Women's, Minimalist, Nylon</t>
        </is>
      </c>
      <c r="R134" t="inlineStr">
        <is>
          <t>recvh6xFVjttgd</t>
        </is>
      </c>
      <c r="S134" t="inlineStr">
        <is>
          <t>canada-goose-white-short-down-jacket-fur-hood-recvh6xFVjttgd</t>
        </is>
      </c>
      <c r="T134"/>
      <c r="U134"/>
      <c r="V134"/>
      <c r="W134" t="inlineStr">
        <is>
          <t>{"choices":[{"finish_reason":"stop","index":0,"logprobs":null,"message":{"annotations":[],"content":"Canada Goose：白色短款羽绒夹克，防寒防风设计，采用高密度尼龙面料与优质羽绒填充，搭配可拆卸真毛领帽，体现极地冒险美学。简约都市风格，男女皆宜，适合冬季户外与都市通勤，彰显品质与时尚兼备的高端格调。","refusal":null,"role":"assistant"}}],"created":1776654994,"id":"chatcmpl-DWZPep2RSHFPNo7ZdGmbUucqPsN6H","model":"gpt-5-chat-latest","object":"chat.completion","service_tier":"default","system_fingerprint":"fp_ad66631dec","usage":{"completion_tokens":90,"completion_tokens_details":{"accepted_prediction_tokens":0,"audio_tokens":0,"reasoning_tokens":0,"rejected_prediction_tokens":0},"prompt_tokens":1320,"prompt_tokens_details":{"audio_tokens":0,"cached_tokens":0},"total_tokens":1410}}</t>
        </is>
      </c>
      <c r="X134" t="inlineStr">
        <is>
          <t>Canada Goose：白色短款羽绒夹克，防寒防风设计，采用高密度尼龙面料与优质羽绒填充，搭配可拆卸真毛领帽，体现极地冒险美学。简约都市风格，男女皆宜，适合冬季户外与都市通勤，彰显品质与时尚兼备的高端格调。</t>
        </is>
      </c>
    </row>
    <row r="135" ht="25.5" customHeight="1">
      <c r="A135">
        <v>1839115443</v>
      </c>
      <c r="B135">
        <v>7601177358</v>
      </c>
      <c r="C135" t="inlineStr">
        <is>
          <t>https://weidian.com/item.html?itemID=7601177358</t>
        </is>
      </c>
      <c r="D135"/>
      <c r="E135" s="2" t="str">
        <f>=HYPERLINK("https://si.geilicdn.com/open1839115443-252808396-06d60000019a6822d79e0a8133b0_1280_1707.jpg?w=640&amp;h=640", "https://si.geilicdn.com/open1839115443-252808396-06d60000019a6822d79e0a8133b0_1280_1707.jpg?w=640&amp;h=640")</f>
        <v>https://si.geilicdn.com/open1839115443-252808396-06d60000019a6822d79e0a8133b0_1280_1707.jpg?w=640&amp;h=640</v>
      </c>
      <c r="F135" t="inlineStr">
        <is>
          <t>Jackets</t>
        </is>
      </c>
      <c r="G135" t="inlineStr">
        <is>
          <t>Moncler</t>
        </is>
      </c>
      <c r="H135" t="inlineStr">
        <is>
          <t>650.00</t>
        </is>
      </c>
      <c r="I135">
        <v>94.2</v>
      </c>
      <c r="J135" t="inlineStr">
        <is>
          <t>{"choices":[{"finish_reason":"stop","index":0,"logprobs":null,"message":{"annotations":[],"content":"Moncler Pink Nylon Down Jacket Unisex Hooded","refusal":null,"role":"assistant"}}],"created":1776666128,"id":"chatcmpl-DWcJEiraEQXVPe0BosvVCpM7ND2iI","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is>
      </c>
      <c r="K135" t="inlineStr">
        <is>
          <t>Moncler Pink Nylon Down Jacket Unisex Hooded</t>
        </is>
      </c>
      <c r="L135" t="inlineStr">
        <is>
          <t>{"choices":[{"finish_reason":"stop","index":0,"logprobs":null,"message":{"annotations":[],"content":"Moncler pink down jacket made from high-density nylon and premium down. Lightweight, glossy, hooded stand collar design with zip pockets. Unisex fit for stylish warmth and urban luxury.","refusal":null,"role":"assistant"}}],"created":1776659183,"id":"chatcmpl-DWaVDoC6bJp1SMIelQBCfalroFaK4","model":"gpt-5-chat-latest","object":"chat.completion","service_tier":"default","system_fingerprint":"fp_ad66631dec","usage":{"completion_tokens":38,"completion_tokens_details":{"accepted_prediction_tokens":0,"audio_tokens":0,"reasoning_tokens":0,"rejected_prediction_tokens":0},"prompt_tokens":938,"prompt_tokens_details":{"audio_tokens":0,"cached_tokens":0},"total_tokens":976}}</t>
        </is>
      </c>
      <c r="M135" t="inlineStr">
        <is>
          <t>{"alt-svc":"h3=\":443\"; ma=2592000","apim-request-id":"5e22a511-930c-4117-b6b6-21d711f7f13e","azureml-model-session":"d20260402083108-57a85543","cache-control":"no-cache","connection":"close","content-length":"773","content-security-policy":"frame-ancestors 'self'","content-type":"application/json","date":"Mon, 20 Apr 2026 04:26:24 GMT","server":"Caddy","skip-error-remapping":"true","strict-transport-security":"max-age=31536000; includeSubDomains; preload","via":"1.1 Caddy","x-api-request-id":"20260420122622224092364wIZftU11","x-content-type-options":"nosniff","x-frame-options":"SAMEORIGIN","x-ms-client-request-id":"Not-Set","x-ms-is-spilled-over":"false","x-ms-rai-invoked":"true","x-ms-region":"East US 2","x-new-api-version":"0.4.39","x-oneapi-request-id":"202604200426221557145058268d9d6A098KWEJ","x-ratelimit-abusepenalty-active":"False","x-ratelimit-limit-requests":"3850","x-ratelimit-limit-tokens":"3850000","x-ratelimit-remaining-requests":"3849","x-ratelimit-remaining-tokens":"3848300","x-ratelimit-renewalperiod-requests":"60","x-ratelimit-renewalperiod-tokens":"60","x-ratelimit-reset-requests":"15","x-ratelimit-reset-tokens":"26","x-request-id":"23fc6b30-f766-4136-8ec2-4e44fd94ebc3"}</t>
        </is>
      </c>
      <c r="N135" t="inlineStr">
        <is>
          <t>Moncler pink down jacket made from high-density nylon and premium down. Lightweight, glossy, hooded stand collar design with zip pockets. Unisex fit for stylish warmth and urban luxury.</t>
        </is>
      </c>
      <c r="O135"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1776668366,"id":"chatcmpl-DWctK6CB72v2clnlM6lPIFyJHtS7n","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35" t="inlineStr">
        <is>
          <t>Moncler, Jacket, kakobuy, kakebuy2026, kekobuysheet, kakobuysheet2026, 2026kakobuy, kakobuyspreadsheeet, kakobuylink, kakebuylist, Kakobuy MEGA Spreadsheet, kakobuysheetfind, kakobuysheetfind2026, 2026kakobuysheetfind, kakobuysheet2026</t>
        </is>
      </c>
      <c r="Q135" t="inlineStr">
        <is>
          <t>Pink, Nylon, Lightweight, Unisex, Autumn And Winter</t>
        </is>
      </c>
      <c r="R135" t="inlineStr">
        <is>
          <t>recvh6xFVjBSCO</t>
        </is>
      </c>
      <c r="S135" t="inlineStr">
        <is>
          <t>moncler-pink-nylon-down-jacket-recvh6xfvjbsco</t>
        </is>
      </c>
      <c r="T135"/>
      <c r="U135"/>
      <c r="V135"/>
      <c r="W135" t="inlineStr">
        <is>
          <t>{"id":"chatcmpl-DWZUekdt6ygXVV9tCm4wjNhtByJ8k","object":"chat.completion","created":1776655304,"model":"gpt-5-chat-latest","choices":[{"index":0,"message":{"role":"assistant","content":"Moncler：粉色羽绒夹克，甄选高密尼龙面料与优质羽绒填充，轻盈保暖。光泽面设计搭配立领连帽造型，彰显简约奢华风格。双侧拉链口袋实用便捷，中性剪裁适合男女穿搭。都市休闲与冬季御寒完美结合，展现意式精致品味。","refusal":null,"annotations":[]},"logprobs":null,"finish_reason":"stop"}],"usage":{"prompt_tokens":1322,"completion_tokens":99,"total_tokens":1421,"prompt_tokens_details":{"cached_tokens":0,"audio_tokens":0},"completion_tokens_details":{"reasoning_tokens":0,"audio_tokens":0,"accepted_prediction_tokens":0,"rejected_prediction_tokens":0}},"service_tier":"default","system_fingerprint":"fp_ad66631dec"}</t>
        </is>
      </c>
      <c r="X135" t="inlineStr">
        <is>
          <t>Moncler：粉色羽绒夹克，甄选高密尼龙面料与优质羽绒填充，轻盈保暖。光泽面设计搭配立领连帽造型，彰显简约奢华风格。双侧拉链口袋实用便捷，中性剪裁适合男女穿搭。都市休闲与冬季御寒完美结合，展现意式精致品味。</t>
        </is>
      </c>
    </row>
    <row r="136" ht="25.5" customHeight="1">
      <c r="A136">
        <v>1839115443</v>
      </c>
      <c r="B136">
        <v>7614122325</v>
      </c>
      <c r="C136" t="inlineStr">
        <is>
          <t>https://weidian.com/item.html?itemID=7614122325</t>
        </is>
      </c>
      <c r="D136"/>
      <c r="E136" s="2" t="str">
        <f>=HYPERLINK("https://si.geilicdn.com/open1839115443-252808396-46f60000019aaf79cd470a8133b0_800_936.jpg?w=640&amp;h=640", "https://si.geilicdn.com/open1839115443-252808396-46f60000019aaf79cd470a8133b0_800_936.jpg?w=640&amp;h=640")</f>
        <v>https://si.geilicdn.com/open1839115443-252808396-46f60000019aaf79cd470a8133b0_800_936.jpg?w=640&amp;h=640</v>
      </c>
      <c r="F136" t="inlineStr">
        <is>
          <t>T-Shirts</t>
        </is>
      </c>
      <c r="G136" t="inlineStr">
        <is>
          <t>Other</t>
        </is>
      </c>
      <c r="H136" t="inlineStr">
        <is>
          <t>128.00</t>
        </is>
      </c>
      <c r="I136">
        <v>18.55</v>
      </c>
      <c r="J136" t="inlineStr">
        <is>
          <t>{"id":"chatcmpl-DWcLAbXUbC7L5xQBhAm5QVaCZhUFe","object":"chat.completion","created":1776666248,"model":"gpt-5-chat-latest","choices":[{"index":0,"message":{"role":"assistant","content":"OtherBrand Vintage Washed Black Street Art T-Shir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36" t="inlineStr">
        <is>
          <t>OtherBrand Vintage Washed Black Street Art T-Shirt</t>
        </is>
      </c>
      <c r="L136" t="inlineStr">
        <is>
          <t>{"id":"chatcmpl-DWaRUqW8H1ywKlHdbIcxGWMzIgvft","object":"chat.completion","created":1776658952,"model":"gpt-5-chat-latest","choices":[{"index":0,"message":{"role":"assistant","content":"Brand T-ShirtsOther vintage washed black T-shirt, soft cotton fabric, street-style art portrait with numeric totem print, loose unisex fit, casual and trendy for men and women.","refusal":null,"annotations":[]},"logprobs":null,"finish_reason":"stop"}],"usage":{"prompt_tokens":900,"completion_tokens":38,"total_tokens":938,"prompt_tokens_details":{"cached_tokens":0,"audio_tokens":0},"completion_tokens_details":{"reasoning_tokens":0,"audio_tokens":0,"accepted_prediction_tokens":0,"rejected_prediction_tokens":0}},"service_tier":"default","system_fingerprint":"fp_ad66631dec"}</t>
        </is>
      </c>
      <c r="M13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ma=2592000","apim-request-id":"8dd41957-542c-469f-ab09-c9790f2c77e1","azureml-model-session":"d20260402075109-1fc5a0ec","cache-control":"no-cache, no-store, must-revalidate","connection":"close","content-length":"980","content-security-policy":"frame-ancestors 'self'","content-type":"application/json","date":"Mon, 20 Apr 2026 04:22:35 GMT","server":"nginx","skip-error-remapping":"true","strict-transport-security":"max-age=31536000; includeSubDomains; preload","via":"1.1 Caddy, 1.1 Caddy","x-api-request-id":"20260420122231547686185yB4Vap5I","x-content-type-options":"nosniff","x-frame-options":"SAMEORIGIN","x-ms-is-spilled-over":"false","x-ms-rai-invoked":"false","x-ms-region":"East US 2","x-new-api-version":"0.4.39","x-oneapi-request-id":"202604200422314809306428268d9d6hUWFsxDV","x-ratelimit-abusepenalty-active":"False","x-ratelimit-limit-requests":"4994","x-ratelimit-limit-tokens":"4994000","x-ratelimit-remaining-requests":"4993","x-ratelimit-remaining-tokens":"4992338","x-ratelimit-renewalperiod-requests":"60","x-ratelimit-renewalperiod-tokens":"60","x-ratelimit-reset-requests":"12","x-ratelimit-reset-tokens":"19","x-request-id":"3321fefd-5369-4ed1-8401-63c8ade53c57"}</t>
        </is>
      </c>
      <c r="N136" t="inlineStr">
        <is>
          <t>Brand T-ShirtsOther vintage washed black T-shirt, soft cotton fabric, street-style art portrait with numeric totem print, loose unisex fit, casual and trendy for men and women.</t>
        </is>
      </c>
      <c r="O136" t="inlineStr">
        <is>
          <t>{"choices":[{"finish_reason":"stop","index":0,"logprobs":null,"message":{"annotations":[],"content":"YuanShu, T-Shirts, kakobuy, kakebuy2026, kekobuysheet, kakobuysheet2026, 2026kakobuy, kakobuyspreadsheeet, kakobuylink, kakebuylist, Kakobuy MEGA Spreadsheet, kakobuysheetfind, kakobuysheetfind2026, 2026kakobuysheetfind, kakobuysheet2026","refusal":null,"role":"assistant"}}],"created":1776667746,"id":"chatcmpl-DWcjKfGrJu0N4jO66SFNHgaDdnUaX","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136" t="inlineStr">
        <is>
          <t>YuanShu, T-Shirts, kakobuy, kakebuy2026, kekobuysheet, kakobuysheet2026, 2026kakobuy, kakobuyspreadsheeet, kakobuylink, kakebuylist, Kakobuy MEGA Spreadsheet, kakobuysheetfind, kakobuysheetfind2026, 2026kakobuysheetfind, kakobuysheet2026</t>
        </is>
      </c>
      <c r="Q136" t="inlineStr">
        <is>
          <t>Black, Street, Unisex</t>
        </is>
      </c>
      <c r="R136" t="inlineStr">
        <is>
          <t>recvh6xFVjY5lr</t>
        </is>
      </c>
      <c r="S136" t="inlineStr">
        <is>
          <t>otherbrand-vintage-washed-black-street-art-tshirt-recvh6xFVjY5lr</t>
        </is>
      </c>
      <c r="T136"/>
      <c r="U136"/>
      <c r="V136"/>
      <c r="W136" t="inlineStr">
        <is>
          <t>{"id":"chatcmpl-DWZi0lJ6DxetZ6qaARExmAQWbbBfF","object":"chat.completion","created":1776656132,"model":"gpt-5-chat-latest","choices":[{"index":0,"message":{"role":"assistant","content":"潮流系列水洗黑短袖T恤，柔软纯棉面料，复古街头风格，正面个性艺术人像印花搭配数字图腾设计，宽松中性版型，男女皆宜，休闲百搭彰显个性态度。","refusal":null,"annotations":[]},"logprobs":null,"finish_reason":"stop"}],"usage":{"prompt_tokens":1311,"completion_tokens":66,"total_tokens":1377,"prompt_tokens_details":{"cached_tokens":0,"audio_tokens":0},"completion_tokens_details":{"reasoning_tokens":0,"audio_tokens":0,"accepted_prediction_tokens":0,"rejected_prediction_tokens":0}},"service_tier":"default","system_fingerprint":"fp_ad66631dec"}</t>
        </is>
      </c>
      <c r="X136" t="inlineStr">
        <is>
          <t>潮流系列水洗黑短袖T恤，柔软纯棉面料，复古街头风格，正面个性艺术人像印花搭配数字图腾设计，宽松中性版型，男女皆宜，休闲百搭彰显个性态度。</t>
        </is>
      </c>
    </row>
    <row r="137" ht="25.5" customHeight="1">
      <c r="A137">
        <v>1839115443</v>
      </c>
      <c r="B137">
        <v>7617078766</v>
      </c>
      <c r="C137" t="inlineStr">
        <is>
          <t>https://weidian.com/item.html?itemID=7617078766</t>
        </is>
      </c>
      <c r="D137"/>
      <c r="E137" s="2" t="str">
        <f>=HYPERLINK("https://si.geilicdn.com/open1839115443-252808396-53aa0000019aaf7986ef0a22d249_800_800.jpg?w=750&amp;h=750&amp;cp=1", "https://si.geilicdn.com/open1839115443-252808396-53aa0000019aaf7986ef0a22d249_800_800.jpg?w=750&amp;h=750&amp;cp=1")</f>
        <v>https://si.geilicdn.com/open1839115443-252808396-53aa0000019aaf7986ef0a22d249_800_800.jpg?w=750&amp;h=750&amp;cp=1</v>
      </c>
      <c r="F137" t="inlineStr">
        <is>
          <t>T-Shirts</t>
        </is>
      </c>
      <c r="G137" t="inlineStr">
        <is>
          <t>Other</t>
        </is>
      </c>
      <c r="H137" t="inlineStr">
        <is>
          <t>120.00</t>
        </is>
      </c>
      <c r="I137">
        <v>17.39</v>
      </c>
      <c r="J137" t="inlineStr">
        <is>
          <t>{"choices":[{"finish_reason":"stop","index":0,"logprobs":null,"message":{"annotations":[],"content":"Nick Young Retro Vintage Washed Street Art Graphic T-Shirt","refusal":null,"role":"assistant"}}],"created":1776666668,"id":"chatcmpl-DWcRwbzYb00W7WfS5ks6NlxE96wYT","model":"gpt-5-chat-latest","object":"chat.completion","service_tier":"default","system_fingerprint":"fp_ad66631dec","usage":{"completion_tokens":12,"completion_tokens_details":{"accepted_prediction_tokens":0,"audio_tokens":0,"reasoning_tokens":0,"rejected_prediction_tokens":0},"prompt_tokens":887,"prompt_tokens_details":{"audio_tokens":0,"cached_tokens":0},"total_tokens":899}}</t>
        </is>
      </c>
      <c r="K137" t="inlineStr">
        <is>
          <t>Nick Young Retro Vintage Washed Street Art Graphic T-Shirt</t>
        </is>
      </c>
      <c r="L137" t="inlineStr">
        <is>
          <t>{"id":"chatcmpl-DWaPT5RU3Rh7KwcqJm5kxU2OjYXl2","object":"chat.completion","created":1776658827,"model":"gpt-5-chat-latest","choices":[{"index":0,"message":{"role":"assistant","content":"Nick Young Retro Black Street Print T-Shirt, washed cotton for a vintage look, collage totem design adds urban art vibe, loose unisex fit, breathable and easy to pair for 90s American style.","refusal":null,"annotations":[]},"logprobs":null,"finish_reason":"stop"}],"usage":{"prompt_tokens":933,"completion_tokens":43,"total_tokens":976,"prompt_tokens_details":{"cached_tokens":0,"audio_tokens":0},"completion_tokens_details":{"reasoning_tokens":0,"audio_tokens":0,"accepted_prediction_tokens":0,"rejected_prediction_tokens":0}},"service_tier":"default","system_fingerprint":"fp_ad66631dec"}</t>
        </is>
      </c>
      <c r="M13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ma=2592000","apim-request-id":"f86116bb-4d03-4f7f-a838-a0c1480824f1","azureml-model-session":"d20260405212659-a9daa006","cache-control":"no-cache, no-store, must-revalidate","connection":"close","content-length":"994","content-security-policy":"frame-ancestors 'self'","content-type":"application/json","date":"Mon, 20 Apr 2026 04:20:29 GMT","server":"Caddy","skip-error-remapping":"true","strict-transport-security":"max-age=31536000; includeSubDomains; preload","via":"1.1 Caddy","x-api-request-id":"202604201220254619632495rfRlBlI","x-content-type-options":"nosniff","x-frame-options":"SAMEORIGIN","x-ms-is-spilled-over":"false","x-ms-rai-invoked":"false","x-ms-region":"Sweden Central","x-new-api-version":"0.4.39","x-oneapi-request-id":"202604200420253954882578268d9d6rlTnl8VJ","x-ratelimit-abusepenalty-active":"False","x-ratelimit-limit-requests":"4993","x-ratelimit-limit-tokens":"4993000","x-ratelimit-remaining-requests":"4992","x-ratelimit-remaining-tokens":"4991305","x-ratelimit-renewalperiod-requests":"60","x-ratelimit-renewalperiod-tokens":"60","x-ratelimit-reset-requests":"12","x-ratelimit-reset-tokens":"20","x-request-id":"b854980f-7a11-4590-b659-fc6e4a522af9"}</t>
        </is>
      </c>
      <c r="N137" t="inlineStr">
        <is>
          <t>Nick Young Retro Black Street Print T-Shirt, washed cotton for a vintage look, collage totem design adds urban art vibe, loose unisex fit, breathable and easy to pair for 90s American style.</t>
        </is>
      </c>
      <c r="O137" t="inlineStr">
        <is>
          <t>{"id":"chatcmpl-DWcfKhU82Lertura2z0XDQ56YVaZI","object":"chat.completion","created":1776667498,"model":"gpt-5-chat-latest","choices":[{"index":0,"message":{"role":"assistant","content":"Nick Young, T-Shirts, kakobuy, kakebuy2026, kekobuysheet, kakobuysheet2026, 2026kakobuy, kakobuyspreadsheet, kakobuylink, kakebuylist, Kakobuy MEGA Spreadsheet, kakobuysheetfind, kakobuysheetfind2026, 2026kakobuysheetfind, 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is>
      </c>
      <c r="P137" t="inlineStr">
        <is>
          <t>Nick Young, T-Shirts, kakobuy, kakebuy2026, kekobuysheet, kakobuysheet2026, 2026kakobuy, kakobuyspreadsheet, kakobuylink, kakebuylist, Kakobuy MEGA Spreadsheet, kakobuysheetfind, kakobuysheetfind2026, 2026kakobuysheetfind, kakobuysheet2026</t>
        </is>
      </c>
      <c r="Q137" t="inlineStr">
        <is>
          <t>Unisex, Vintage, Street, Retro, Breathable</t>
        </is>
      </c>
      <c r="R137" t="inlineStr">
        <is>
          <t>recvh6xFVjlzWb</t>
        </is>
      </c>
      <c r="S137" t="inlineStr">
        <is>
          <t>nick-young-vintage-graphic-tee-recvh6xfvjlzwb</t>
        </is>
      </c>
      <c r="T137"/>
      <c r="U137"/>
      <c r="V137"/>
      <c r="W137" t="inlineStr">
        <is>
          <t>{"id":"chatcmpl-DWZbvsS7y8DwZP6Nm39aOPmuG2HZz","object":"chat.completion","created":1776655755,"model":"gpt-5-chat-latest","choices":[{"index":0,"message":{"role":"assistant","content":"复古黑色街头系列印花T恤，采用水洗棉质面料，做旧质感彰显个性。正面多图腾人物拼贴设计，视觉层次丰富，呈现街头艺术风格。宽松版型剪裁，男女皆宜，舒适透气，轻松搭配牛仔裤或工装裤，展现90年代美式潮流氛围。","refusal":null,"annotations":[]},"logprobs":null,"finish_reason":"stop"}],"usage":{"prompt_tokens":1319,"completion_tokens":95,"total_tokens":1414,"prompt_tokens_details":{"cached_tokens":0,"audio_tokens":0},"completion_tokens_details":{"reasoning_tokens":0,"audio_tokens":0,"accepted_prediction_tokens":0,"rejected_prediction_tokens":0}},"service_tier":"default","system_fingerprint":"fp_ad66631dec"}</t>
        </is>
      </c>
      <c r="X137" t="inlineStr">
        <is>
          <t>复古黑色街头系列印花T恤，采用水洗棉质面料，做旧质感彰显个性。正面多图腾人物拼贴设计，视觉层次丰富，呈现街头艺术风格。宽松版型剪裁，男女皆宜，舒适透气，轻松搭配牛仔裤或工装裤，展现90年代美式潮流氛围。</t>
        </is>
      </c>
    </row>
    <row r="138" ht="25.5" customHeight="1">
      <c r="A138">
        <v>1839115443</v>
      </c>
      <c r="B138">
        <v>7617090624</v>
      </c>
      <c r="C138" t="inlineStr">
        <is>
          <t>https://weidian.com/item.html?itemID=7617090624</t>
        </is>
      </c>
      <c r="D138"/>
      <c r="E138" s="2" t="str">
        <f>=HYPERLINK("https://si.geilicdn.com/open1839115443-252808396-4f5d0000019aaf799c370a23b4de_800_1172.jpg?w=640&amp;h=640", "https://si.geilicdn.com/open1839115443-252808396-4f5d0000019aaf799c370a23b4de_800_1172.jpg?w=640&amp;h=640")</f>
        <v>https://si.geilicdn.com/open1839115443-252808396-4f5d0000019aaf799c370a23b4de_800_1172.jpg?w=640&amp;h=640</v>
      </c>
      <c r="F138" t="inlineStr">
        <is>
          <t>T-Shirts</t>
        </is>
      </c>
      <c r="G138" t="inlineStr">
        <is>
          <t>Other</t>
        </is>
      </c>
      <c r="H138" t="inlineStr">
        <is>
          <t>120.00</t>
        </is>
      </c>
      <c r="I138">
        <v>17.39</v>
      </c>
      <c r="J138" t="inlineStr">
        <is>
          <t>{"id":"chatcmpl-DWcG0ihJsLuh9toHPZj4i057tH1sr","object":"chat.completion","created":1776665928,"model":"gpt-5-chat-latest","choices":[{"index":0,"message":{"role":"assistant","content":"RetroStreet Vintage Black 3D Lettering Graphic T-Shirt","refusal":null,"annotations":[]},"logprobs":null,"finish_reason":"stop"}],"usage":{"prompt_tokens":887,"completion_tokens":13,"total_tokens":900,"prompt_tokens_details":{"cached_tokens":0,"audio_tokens":0},"completion_tokens_details":{"reasoning_tokens":0,"audio_tokens":0,"accepted_prediction_tokens":0,"rejected_prediction_tokens":0}},"service_tier":"default","system_fingerprint":"fp_ad66631dec"}</t>
        </is>
      </c>
      <c r="K138" t="inlineStr">
        <is>
          <t>RetroStreet Vintage Black 3D Lettering Graphic T-Shirt</t>
        </is>
      </c>
      <c r="L138" t="inlineStr">
        <is>
          <t>{"choices":[{"finish_reason":"stop","index":0,"logprobs":null,"message":{"annotations":[],"content":"Brand RetroStreet – Vintage black graphic T-shirt with loose drop-shoulder fit, soft cotton comfort, bold blue 3D lettering, and artistic street print. Unisex style for casual, independent attitude.","refusal":null,"role":"assistant"}}],"created":1776659226,"id":"chatcmpl-DWaVuCNFjlKumoPIURE68h9dazamJ","model":"gpt-5-chat-latest","object":"chat.completion","service_tier":"default","system_fingerprint":"fp_ad66631dec","usage":{"completion_tokens":43,"completion_tokens_details":{"accepted_prediction_tokens":0,"audio_tokens":0,"reasoning_tokens":0,"rejected_prediction_tokens":0},"prompt_tokens":916,"prompt_tokens_details":{"audio_tokens":0,"cached_tokens":0},"total_tokens":959}}</t>
        </is>
      </c>
      <c r="M138" t="inlineStr">
        <is>
          <t>{"alt-svc":"h3=\":443\"; ma=2592000","apim-request-id":"a1bf9d85-4ea1-4ca8-9ee5-765df3df318e","azureml-model-session":"d20260402084046-4209e968","cache-control":"no-cache","connection":"close","content-length":"788","content-security-policy":"frame-ancestors 'self'","content-type":"application/json","date":"Mon, 20 Apr 2026 04:27:07 GMT","server":"nginx","skip-error-remapping":"true","strict-transport-security":"max-age=31536000; includeSubDomains; preload","via":"1.1 Caddy, 1.1 Caddy","x-api-request-id":"20260420122705589608104JPIlbt44","x-content-type-options":"nosniff","x-frame-options":"SAMEORIGIN","x-ms-client-request-id":"Not-Set","x-ms-is-spilled-over":"false","x-ms-rai-invoked":"true","x-ms-region":"East US 2","x-new-api-version":"0.4.39","x-oneapi-request-id":"202604200427055220510548268d9d63Xr9P58o","x-ratelimit-abusepenalty-active":"False","x-ratelimit-limit-requests":"3850","x-ratelimit-limit-tokens":"3850000","x-ratelimit-remaining-requests":"3849","x-ratelimit-remaining-tokens":"3848322","x-ratelimit-renewalperiod-requests":"60","x-ratelimit-renewalperiod-tokens":"60","x-ratelimit-reset-requests":"15","x-ratelimit-reset-tokens":"26","x-request-id":"1bc7dc81-3c19-4a2b-8a48-aa4a82cb04b8"}</t>
        </is>
      </c>
      <c r="N138" t="inlineStr">
        <is>
          <t>Brand RetroStreet – Vintage black graphic T-shirt with loose drop-shoulder fit, soft cotton comfort, bold blue 3D lettering, and artistic street print. Unisex style for casual, independent attitude.</t>
        </is>
      </c>
      <c r="O138" t="inlineStr">
        <is>
          <t>{"choices":[{"finish_reason":"stop","index":0,"logprobs":null,"message":{"annotations":[],"content":"Juice Wrld,T-Shirts,kakobuy,kakebuy2026,kekobuysheet,kakobuysheet2026,2026kakobuy,kakobuyspreadsheeet,kakobuylink,kakebuylist,Kakobuy MEGA Spreadsheet,kakobuysheetfind,kakobuysheetfind2026,2026kakobuysheetfind,kakobuysheet2026","refusal":null,"role":"assistant"}}],"created":1776668202,"id":"chatcmpl-DWcqghGsux0AlR7qpYCdToph28iDU","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38" t="inlineStr">
        <is>
          <t>Juice Wrld,T-Shirts,kakobuy,kakebuy2026,kekobuysheet,kakobuysheet2026,2026kakobuy,kakobuyspreadsheeet,kakobuylink,kakebuylist,Kakobuy MEGA Spreadsheet,kakobuysheetfind,kakobuysheetfind2026,2026kakobuysheetfind,kakobuysheet2026</t>
        </is>
      </c>
      <c r="Q138" t="inlineStr">
        <is>
          <t>Black, Blue, Unisex, Vintage</t>
        </is>
      </c>
      <c r="R138" t="inlineStr">
        <is>
          <t>recvh6xFVjy6xS</t>
        </is>
      </c>
      <c r="S138" t="inlineStr">
        <is>
          <t>retrostreet-vintage-black-3d-lettering-graphic-tshirt-recvh6xFVjy6xS</t>
        </is>
      </c>
      <c r="T138"/>
      <c r="U138"/>
      <c r="V138"/>
      <c r="W138" t="inlineStr">
        <is>
          <t>{"choices":[{"finish_reason":"stop","index":0,"logprobs":null,"message":{"annotations":[],"content":"复古黑色印花短袖T恤，宽松落肩版型，柔软纯棉材质带来舒适穿感。正面醒目蓝色立体字母与潮流图腾结合，展现街头艺术风格。男女通用款，休闲与个性并存，彰显独立态度。","refusal":null,"role":"assistant"}}],"created":1776655555,"id":"chatcmpl-DWZYhhokzhXouZgdz0elcWyNpo0xo","model":"gpt-5-chat-latest","object":"chat.completion","service_tier":"default","system_fingerprint":"fp_ad66631dec","usage":{"completion_tokens":79,"completion_tokens_details":{"accepted_prediction_tokens":0,"audio_tokens":0,"reasoning_tokens":0,"rejected_prediction_tokens":0},"prompt_tokens":1317,"prompt_tokens_details":{"audio_tokens":0,"cached_tokens":1280},"total_tokens":1396}}</t>
        </is>
      </c>
      <c r="X138" t="inlineStr">
        <is>
          <t>复古黑色印花短袖T恤，宽松落肩版型，柔软纯棉材质带来舒适穿感。正面醒目蓝色立体字母与潮流图腾结合，展现街头艺术风格。男女通用款，休闲与个性并存，彰显独立态度。</t>
        </is>
      </c>
    </row>
    <row r="139" ht="25.5" customHeight="1">
      <c r="A139">
        <v>1839115443</v>
      </c>
      <c r="B139">
        <v>7617072442</v>
      </c>
      <c r="C139" t="inlineStr">
        <is>
          <t>https://weidian.com/item.html?itemID=7617072442</t>
        </is>
      </c>
      <c r="D139"/>
      <c r="E139" s="2" t="str">
        <f>=HYPERLINK("https://si.geilicdn.com/open1839115443-252808396-6aad0000019aaf79c2f10aa086a7_800_1080.jpg?w=640&amp;h=640", "https://si.geilicdn.com/open1839115443-252808396-6aad0000019aaf79c2f10aa086a7_800_1080.jpg?w=640&amp;h=640")</f>
        <v>https://si.geilicdn.com/open1839115443-252808396-6aad0000019aaf79c2f10aa086a7_800_1080.jpg?w=640&amp;h=640</v>
      </c>
      <c r="F139" t="inlineStr">
        <is>
          <t>Hoodies</t>
        </is>
      </c>
      <c r="G139" t="inlineStr">
        <is>
          <t>Other</t>
        </is>
      </c>
      <c r="H139" t="inlineStr">
        <is>
          <t>120.00</t>
        </is>
      </c>
      <c r="I139">
        <v>17.39</v>
      </c>
      <c r="J139" t="inlineStr">
        <is>
          <t>{"choices":[{"finish_reason":"stop","index":0,"logprobs":null,"message":{"annotations":[],"content":"Vintage Washed Black Basketball Flame Hoodie","refusal":null,"role":"assistant"}}],"created":1776666822,"id":"chatcmpl-DWcUQj46htTKHhztcjDsv0N9vBmZ8","model":"gpt-5-chat-latest","object":"chat.completion","service_tier":"default","system_fingerprint":"fp_ad66631dec","usage":{"completion_tokens":8,"completion_tokens_details":{"accepted_prediction_tokens":0,"audio_tokens":0,"reasoning_tokens":0,"rejected_prediction_tokens":0},"prompt_tokens":898,"prompt_tokens_details":{"audio_tokens":0,"cached_tokens":0},"total_tokens":906}}</t>
        </is>
      </c>
      <c r="K139" t="inlineStr">
        <is>
          <t>Vintage Washed Black Basketball Flame Hoodie</t>
        </is>
      </c>
      <c r="L139" t="inlineStr">
        <is>
          <t>{"choices":[{"finish_reason":"stop","index":0,"logprobs":null,"message":{"annotations":[],"content":"HoodiesOther Vintage Washed Black Hoodie, soft cotton fabric with basketball totem and flame print, 90s street style, unisex loose fit, drawstring hood, ribbed cuffs, cozy and stylish for urban wear.","refusal":null,"role":"assistant"}}],"created":1776658498,"id":"chatcmpl-DWaKAHuczTBsCFlrsOXqlmOqCs23Z","model":"gpt-5-chat-latest","object":"chat.completion","service_tier":"default","system_fingerprint":"fp_ad66631dec","usage":{"completion_tokens":48,"completion_tokens_details":{"accepted_prediction_tokens":0,"audio_tokens":0,"reasoning_tokens":0,"rejected_prediction_tokens":0},"prompt_tokens":927,"prompt_tokens_details":{"audio_tokens":0,"cached_tokens":0},"total_tokens":975}}</t>
        </is>
      </c>
      <c r="M139" t="inlineStr">
        <is>
          <t>{"alt-svc":"h3=\":443\"; ma=2592000","apim-request-id":"4f9cfeb2-207e-4c97-a50a-ac4318269f6a","azureml-model-session":"d20260402074105-51db401e","cache-control":"no-cache","connection":"close","content-length":"787","content-security-policy":"frame-ancestors 'self'","content-type":"application/json","date":"Mon, 20 Apr 2026 04:15:00 GMT","server":"nginx","skip-error-remapping":"true","strict-transport-security":"max-age=31536000; includeSubDomains; preload","via":"1.1 Caddy, 1.1 Caddy","x-api-request-id":"20260420121457392315349TNDNq41W","x-content-type-options":"nosniff","x-frame-options":"SAMEORIGIN","x-ms-client-request-id":"Not-Set","x-ms-is-spilled-over":"false","x-ms-rai-invoked":"true","x-ms-region":"East US 2","x-new-api-version":"0.4.39","x-oneapi-request-id":"202604200414572547109968268d9d6f0rmXcrI","x-ratelimit-abusepenalty-active":"False","x-ratelimit-limit-requests":"3850","x-ratelimit-limit-tokens":"3850000","x-ratelimit-remaining-requests":"3848","x-ratelimit-remaining-tokens":"3847095","x-ratelimit-renewalperiod-requests":"60","x-ratelimit-renewalperiod-tokens":"60","x-ratelimit-reset-requests":"24","x-ratelimit-reset-tokens":"45","x-request-id":"945ba23a-6ef6-4677-a759-ffc389ee54c5"}</t>
        </is>
      </c>
      <c r="N139" t="inlineStr">
        <is>
          <t>HoodiesOther Vintage Washed Black Hoodie, soft cotton fabric with basketball totem and flame print, 90s street style, unisex loose fit, drawstring hood, ribbed cuffs, cozy and stylish for urban wear.</t>
        </is>
      </c>
      <c r="O139" t="inlineStr">
        <is>
          <t>{"id":"chatcmpl-DWccVw6Y0M5i0UpuwW8Icil6fpYqK","object":"chat.completion","created":1776667323,"model":"gpt-5-chat-latest","choices":[{"index":0,"message":{"role":"assistant","content":"Dennis Rodman,Hoodies,kakobuy,kakebuy2026,kekobuysheet,kakobuysheet2026,2026kakobuy,kakobuyspreadsheeet,kakobuylink,kakebuylist,Kakobuy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39" t="inlineStr">
        <is>
          <t>Dennis Rodman,Hoodies,kakobuy,kakebuy2026,kekobuysheet,kakobuysheet2026,2026kakobuy,kakobuyspreadsheeet,kakobuylink,kakebuylist,Kakobuy MEGA Spreadsheet,kakobuysheetfind,kakobuysheetfind2026,2026kakobuysheetfind,kakobuysheet2026</t>
        </is>
      </c>
      <c r="Q139" t="inlineStr">
        <is>
          <t>Black, Streetwear, Unisex</t>
        </is>
      </c>
      <c r="R139" t="inlineStr">
        <is>
          <t>recvh6xFVjkRLz</t>
        </is>
      </c>
      <c r="S139" t="inlineStr">
        <is>
          <t>vintage-washed-black-basketball-flame-hoodie-recvh6xFVjkRLz</t>
        </is>
      </c>
      <c r="T139"/>
      <c r="U139"/>
      <c r="V139"/>
      <c r="W139" t="inlineStr">
        <is>
          <t>{"id":"chatcmpl-DWZMrocIKatoDCjHdDxtPUbkEi16t","object":"chat.completion","created":1776654821,"model":"gpt-5-chat-latest","choices":[{"index":0,"message":{"role":"assistant","content":"复古水洗黑系列连帽卫衣，采用柔软纯棉面料，前幅印有篮球巨星图腾与火焰元素，呈现浓郁90年代街头风格。宽松中性版型搭配可调节抽绳帽与罗纹收口，舒适保暖兼具造型感，适合都市潮流男女休闲穿搭。","refusal":null,"annotations":[]},"logprobs":null,"finish_reason":"stop"}],"usage":{"prompt_tokens":1316,"completion_tokens":90,"total_tokens":1406,"prompt_tokens_details":{"cached_tokens":0,"audio_tokens":0},"completion_tokens_details":{"reasoning_tokens":0,"audio_tokens":0,"accepted_prediction_tokens":0,"rejected_prediction_tokens":0}},"service_tier":"default","system_fingerprint":"fp_ad66631dec"}</t>
        </is>
      </c>
      <c r="X139" t="inlineStr">
        <is>
          <t>复古水洗黑系列连帽卫衣，采用柔软纯棉面料，前幅印有篮球巨星图腾与火焰元素，呈现浓郁90年代街头风格。宽松中性版型搭配可调节抽绳帽与罗纹收口，舒适保暖兼具造型感，适合都市潮流男女休闲穿搭。</t>
        </is>
      </c>
    </row>
    <row r="140" ht="25.5" customHeight="1">
      <c r="A140">
        <v>1839115443</v>
      </c>
      <c r="B140">
        <v>7617044988</v>
      </c>
      <c r="C140" t="inlineStr">
        <is>
          <t>https://weidian.com/item.html?itemID=7617044988</t>
        </is>
      </c>
      <c r="D140"/>
      <c r="E140" s="2" t="str">
        <f>=HYPERLINK("https://si.geilicdn.com/open1839115443-252808396-529f0000019aaf79c0050a231226_800_1066.jpg?w=640&amp;h=640", "https://si.geilicdn.com/open1839115443-252808396-529f0000019aaf79c0050a231226_800_1066.jpg?w=640&amp;h=640")</f>
        <v>https://si.geilicdn.com/open1839115443-252808396-529f0000019aaf79c0050a231226_800_1066.jpg?w=640&amp;h=640</v>
      </c>
      <c r="F140" t="inlineStr">
        <is>
          <t>T-Shirts</t>
        </is>
      </c>
      <c r="G140" t="inlineStr">
        <is>
          <t>Other</t>
        </is>
      </c>
      <c r="H140" t="inlineStr">
        <is>
          <t>120.00</t>
        </is>
      </c>
      <c r="I140">
        <v>17.39</v>
      </c>
      <c r="J140" t="inlineStr">
        <is>
          <t>{"choices":[{"finish_reason":"stop","index":0,"logprobs":null,"message":{"annotations":[],"content":"VintageRacer Retro Black Helmet Graphic T-Shirt","refusal":null,"role":"assistant"}}],"created":1776666095,"id":"chatcmpl-DWcIhSu2x2BHWZfmlKG7xG5RfqWg9","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140" t="inlineStr">
        <is>
          <t>VintageRacer Retro Black Helmet Graphic T-Shirt</t>
        </is>
      </c>
      <c r="L140" t="inlineStr">
        <is>
          <t>{"choices":[{"finish_reason":"stop","index":0,"logprobs":null,"message":{"annotations":[],"content":"Brand VintageRacer — Retro black graphic T-shirt with racing helmet and figure design, heavy-duty soft cotton fabric for a worn look, unisex style combining street casual and techwear for urban attitude.","refusal":null,"role":"assistant"}}],"created":1776659456,"id":"chatcmpl-DWaZc0Algrj7IRANpq1u0eecsGuzp","model":"gpt-5-chat-latest","object":"chat.completion","service_tier":"default","system_fingerprint":"fp_ad66631dec","usage":{"completion_tokens":41,"completion_tokens_details":{"accepted_prediction_tokens":0,"audio_tokens":0,"reasoning_tokens":0,"rejected_prediction_tokens":0},"prompt_tokens":917,"prompt_tokens_details":{"audio_tokens":0,"cached_tokens":0},"total_tokens":958}}</t>
        </is>
      </c>
      <c r="M140" t="inlineStr">
        <is>
          <t>{"alt-svc":"h3=\":443\"; ma=2592000","apim-request-id":"adf6496b-1d68-433c-96d6-ecf6684accd3","azureml-model-session":"d20260405234249-f9874baf","cache-control":"no-cache","connection":"close","content-length":"793","content-security-policy":"frame-ancestors 'self'","content-type":"application/json","date":"Mon, 20 Apr 2026 04:30:58 GMT","server":"Caddy","skip-error-remapping":"true","strict-transport-security":"max-age=31536000; includeSubDomains; preload","via":"1.1 Caddy","x-api-request-id":"20260420123055665587181SWQdETcR","x-content-type-options":"nosniff","x-frame-options":"SAMEORIGIN","x-ms-client-request-id":"Not-Set","x-ms-is-spilled-over":"false","x-ms-rai-invoked":"true","x-ms-region":"East US 2","x-new-api-version":"0.4.39","x-oneapi-request-id":"202604200430555970304758268d9d6OeNcCYJE","x-ratelimit-abusepenalty-active":"False","x-ratelimit-limit-requests":"3850","x-ratelimit-limit-tokens":"3850000","x-ratelimit-remaining-requests":"3849","x-ratelimit-remaining-tokens":"3848321","x-ratelimit-renewalperiod-requests":"60","x-ratelimit-renewalperiod-tokens":"60","x-ratelimit-reset-requests":"15","x-ratelimit-reset-tokens":"26","x-request-id":"8f7b05c0-436c-4af0-a344-f2834b4be60b"}</t>
        </is>
      </c>
      <c r="N140" t="inlineStr">
        <is>
          <t>Brand VintageRacer — Retro black graphic T-shirt with racing helmet and figure design, heavy-duty soft cotton fabric for a worn look, unisex style combining street casual and techwear for urban attitude.</t>
        </is>
      </c>
      <c r="O140" t="inlineStr">
        <is>
          <t>{"choices":[{"finish_reason":"stop","index":0,"logprobs":null,"message":{"annotations":[],"content":"F1,T-Shirts,kakobuy,kakebuy2026,kekobuysheet,kakobuysheet2026,2026kakobuy,kakobuyspreadsheeet,kakobuylink,kakebuylist,Kakobuy MEGA Spreadsheet,kakobuysheetfind,kakobuysheetfind2026,2026kakobuysheetfind,kakobuysheet2026","refusal":null,"role":"assistant"}}],"created":1776667476,"id":"chatcmpl-DWceywDUMInJ2TRUSATzd4OpDeGcU","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40" t="inlineStr">
        <is>
          <t>F1,T-Shirts,kakobuy,kakebuy2026,kekobuysheet,kakobuysheet2026,2026kakobuy,kakobuyspreadsheeet,kakobuylink,kakebuylist,Kakobuy MEGA Spreadsheet,kakobuysheetfind,kakobuysheetfind2026,2026kakobuysheetfind,kakobuysheet2026</t>
        </is>
      </c>
      <c r="Q140" t="inlineStr">
        <is>
          <t>Retro, Black, Street, Unisex</t>
        </is>
      </c>
      <c r="R140" t="inlineStr">
        <is>
          <t>recvh6xFVjPk8V</t>
        </is>
      </c>
      <c r="S140" t="inlineStr">
        <is>
          <t>vintage-racer-retro-black-helmet-graphic-tshirt-recvh6xfvjpk8v</t>
        </is>
      </c>
      <c r="T140"/>
      <c r="U140"/>
      <c r="V140"/>
      <c r="W140" t="inlineStr">
        <is>
          <t>{"choices":[{"finish_reason":"stop","index":0,"logprobs":null,"message":{"annotations":[],"content":"复古黑色赛车系列宽松纯棉印花T恤，采用柔软高克重面料呈现做旧质感，胸前赛车头盔与人物图腾设计彰显速度与激情，搭配简约圆领剪裁，男女皆宜，街头休闲与机能风融合，演绎现代都市潮流态度。","refusal":null,"role":"assistant"}}],"created":1776654911,"id":"chatcmpl-DWZOJZUQMXzNaekCMUZ7V3ZUqoMJe","model":"gpt-5-chat-latest","object":"chat.completion","service_tier":"default","system_fingerprint":"fp_ad66631dec","usage":{"completion_tokens":83,"completion_tokens_details":{"accepted_prediction_tokens":0,"audio_tokens":0,"reasoning_tokens":0,"rejected_prediction_tokens":0},"prompt_tokens":1311,"prompt_tokens_details":{"audio_tokens":0,"cached_tokens":0},"total_tokens":1394}}</t>
        </is>
      </c>
      <c r="X140" t="inlineStr">
        <is>
          <t>复古黑色赛车系列宽松纯棉印花T恤，采用柔软高克重面料呈现做旧质感，胸前赛车头盔与人物图腾设计彰显速度与激情，搭配简约圆领剪裁，男女皆宜，街头休闲与机能风融合，演绎现代都市潮流态度。</t>
        </is>
      </c>
    </row>
    <row r="141" ht="25.5" customHeight="1">
      <c r="A141">
        <v>1839115443</v>
      </c>
      <c r="B141">
        <v>7617038952</v>
      </c>
      <c r="C141" t="inlineStr">
        <is>
          <t>https://weidian.com/item.html?itemID=7617038952</t>
        </is>
      </c>
      <c r="D141"/>
      <c r="E141" s="2" t="str">
        <f>=HYPERLINK("https://si.geilicdn.com/open1839115443-252808396-53940000019aaf7980c70a22d249_800_1200.jpg?w=640&amp;h=640", "https://si.geilicdn.com/open1839115443-252808396-53940000019aaf7980c70a22d249_800_1200.jpg?w=640&amp;h=640")</f>
        <v>https://si.geilicdn.com/open1839115443-252808396-53940000019aaf7980c70a22d249_800_1200.jpg?w=640&amp;h=640</v>
      </c>
      <c r="F141" t="inlineStr">
        <is>
          <t>T-Shirts</t>
        </is>
      </c>
      <c r="G141" t="inlineStr">
        <is>
          <t>Other</t>
        </is>
      </c>
      <c r="H141" t="inlineStr">
        <is>
          <t>120.00</t>
        </is>
      </c>
      <c r="I141">
        <v>17.39</v>
      </c>
      <c r="J141" t="inlineStr">
        <is>
          <t>{"id":"chatcmpl-DWcKieTLkjqof3RMOrc2HH6fRboVU","object":"chat.completion","created":1776666220,"model":"gpt-5-chat-latest","choices":[{"index":0,"message":{"role":"assistant","content":"Unisex Street Style Black Graphic Cotton T-Shirt","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141" t="inlineStr">
        <is>
          <t>Unisex Street Style Black Graphic Cotton T-Shirt</t>
        </is>
      </c>
      <c r="L141" t="inlineStr">
        <is>
          <t>{"choices":[{"finish_reason":"stop","index":0,"logprobs":null,"message":{"annotations":[],"content":"T-ShirtsOther black graphic T-shirt, soft cotton fabric, front portrait print shows street style, loose unisex fit, hip-hop retro vibe, perfect for daily fashion and music-inspired outfits.","refusal":null,"role":"assistant"}}],"created":1776659377,"id":"chatcmpl-DWaYLBXBZJJS0ugqDFkUvAkPx4i8m","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is>
      </c>
      <c r="M141" t="inlineStr">
        <is>
          <t>{"alt-svc":"h3=\":443\"; ma=2592000","apim-request-id":"a9e871e0-53db-45fd-89c3-4f6db6ce340a","azureml-model-session":"d20260402083108-57a85543","cache-control":"no-cache","connection":"close","content-length":"777","content-security-policy":"frame-ancestors 'self'","content-type":"application/json","date":"Mon, 20 Apr 2026 04:29:38 GMT","server":"nginx","skip-error-remapping":"true","strict-transport-security":"max-age=31536000; includeSubDomains; preload","via":"1.1 Caddy, 1.1 Caddy","x-api-request-id":"20260420122936186768997akT8VScf","x-content-type-options":"nosniff","x-frame-options":"SAMEORIGIN","x-ms-client-request-id":"Not-Set","x-ms-is-spilled-over":"false","x-ms-rai-invoked":"true","x-ms-region":"East US 2","x-new-api-version":"0.4.39","x-oneapi-request-id":"202604200429361195497888268d9d6YK1xt2V8","x-ratelimit-abusepenalty-active":"False","x-ratelimit-limit-requests":"3850","x-ratelimit-limit-tokens":"3850000","x-ratelimit-remaining-requests":"3849","x-ratelimit-remaining-tokens":"3848332","x-ratelimit-renewalperiod-requests":"60","x-ratelimit-renewalperiod-tokens":"60","x-ratelimit-reset-requests":"15","x-ratelimit-reset-tokens":"25","x-request-id":"98d64175-829b-4f93-8d4f-df289884b442"}</t>
        </is>
      </c>
      <c r="N141" t="inlineStr">
        <is>
          <t>T-ShirtsOther black graphic T-shirt, soft cotton fabric, front portrait print shows street style, loose unisex fit, hip-hop retro vibe, perfect for daily fashion and music-inspired outfits.</t>
        </is>
      </c>
      <c r="O141" t="inlineStr">
        <is>
          <t>{"choices":[{"finish_reason":"stop","index":0,"logprobs":null,"message":{"annotations":[],"content":"Travis Scott,T-Shirts,kakobuy,kakebuy2026,kekobuysheet,kakobuysheet2026,2026kakobuy,kakobuyspreadsheeet,kakobuylink,kakebuylist,Kakobuy MEGA Spreadsheet,kakobuysheetfind,kakobuysheetfind2026,2026kakobuysheetfind,kakobuysheet2026","refusal":null,"role":"assistant"}}],"created":1776668587,"id":"chatcmpl-DWcwt4lJAQYcWvdTSjbFvgIrAjSkr","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41" t="inlineStr">
        <is>
          <t>Travis Scott,T-Shirts,kakobuy,kakebuy2026,kekobuysheet,kakobuysheet2026,2026kakobuy,kakobuyspreadsheeet,kakobuylink,kakebuylist,Kakobuy MEGA Spreadsheet,kakobuysheetfind,kakobuysheetfind2026,2026kakobuysheetfind,kakobuysheet2026</t>
        </is>
      </c>
      <c r="Q141" t="inlineStr">
        <is>
          <t>Black, Street, Retro, Hip Hop, Unisex</t>
        </is>
      </c>
      <c r="R141" t="inlineStr">
        <is>
          <t>recvh6xFVj3EoF</t>
        </is>
      </c>
      <c r="S141" t="inlineStr">
        <is>
          <t>unisex-street-style-black-graphic-cotton-tshirt-recvh6xfvj3eof</t>
        </is>
      </c>
      <c r="T141"/>
      <c r="U141"/>
      <c r="V141"/>
      <c r="W141" t="inlineStr">
        <is>
          <t>{"id":"chatcmpl-DWZOsHvHGJD89JKR94sK2qZPhRwBh","object":"chat.completion","created":1776654946,"model":"gpt-5-chat-latest","choices":[{"index":0,"message":{"role":"assistant","content":"潮流黑色印花短袖T恤，柔软纯棉质地，胸前人物图案设计凸显街头个性，宽松剪裁休闲随性，男女皆宜，展现美式嘻哈复古风格，适合日常穿搭与音乐潮流场景。","refusal":null,"annotations":[]},"logprobs":null,"finish_reason":"stop"}],"usage":{"prompt_tokens":1311,"completion_tokens":72,"total_tokens":1383,"prompt_tokens_details":{"cached_tokens":0,"audio_tokens":0},"completion_tokens_details":{"reasoning_tokens":0,"audio_tokens":0,"accepted_prediction_tokens":0,"rejected_prediction_tokens":0}},"service_tier":"default","system_fingerprint":"fp_ad66631dec"}</t>
        </is>
      </c>
      <c r="X141" t="inlineStr">
        <is>
          <t>潮流黑色印花短袖T恤，柔软纯棉质地，胸前人物图案设计凸显街头个性，宽松剪裁休闲随性，男女皆宜，展现美式嘻哈复古风格，适合日常穿搭与音乐潮流场景。</t>
        </is>
      </c>
    </row>
    <row r="142" ht="25.5" customHeight="1">
      <c r="A142">
        <v>1839115443</v>
      </c>
      <c r="B142">
        <v>7614035163</v>
      </c>
      <c r="C142" t="inlineStr">
        <is>
          <t>https://weidian.com/item.html?itemID=7614035163</t>
        </is>
      </c>
      <c r="D142"/>
      <c r="E142" s="2" t="str">
        <f>=HYPERLINK("https://si.geilicdn.com/open1839115443-252808396-53a60000019aaf7985b10a22d249_800_1169.jpg?w=640&amp;h=640", "https://si.geilicdn.com/open1839115443-252808396-53a60000019aaf7985b10a22d249_800_1169.jpg?w=640&amp;h=640")</f>
        <v>https://si.geilicdn.com/open1839115443-252808396-53a60000019aaf7985b10a22d249_800_1169.jpg?w=640&amp;h=640</v>
      </c>
      <c r="F142" t="inlineStr">
        <is>
          <t>T-Shirts</t>
        </is>
      </c>
      <c r="G142" t="inlineStr">
        <is>
          <t>Other</t>
        </is>
      </c>
      <c r="H142" t="inlineStr">
        <is>
          <t>120.00</t>
        </is>
      </c>
      <c r="I142">
        <v>17.39</v>
      </c>
      <c r="J142" t="inlineStr">
        <is>
          <t>{"choices":[{"finish_reason":"stop","index":0,"logprobs":null,"message":{"annotations":[],"content":"Vintage Black Boxing Champion Unisex Sweatshirt","refusal":null,"role":"assistant"}}],"created":1776666171,"id":"chatcmpl-DWcJv6XnZvpvXd71yi6B6TIMQU7q1","model":"gpt-5-chat-latest","object":"chat.completion","service_tier":"default","system_fingerprint":"fp_ad66631dec","usage":{"completion_tokens":9,"completion_tokens_details":{"accepted_prediction_tokens":0,"audio_tokens":0,"reasoning_tokens":0,"rejected_prediction_tokens":0},"prompt_tokens":883,"prompt_tokens_details":{"audio_tokens":0,"cached_tokens":0},"total_tokens":892}}</t>
        </is>
      </c>
      <c r="K142" t="inlineStr">
        <is>
          <t>Vintage Black Boxing Champion Unisex Sweatshirt</t>
        </is>
      </c>
      <c r="L142" t="inlineStr">
        <is>
          <t>{"choices":[{"finish_reason":"stop","index":0,"logprobs":null,"message":{"annotations":[],"content":"T‑ShirtsOther Vintage Black Boxing Champion Sweatshirt, soft cotton fabric, embossed belt and signature print, street retro sports style, loose drop‑shoulder unisex fit for bold casual wear.","refusal":null,"role":"assistant"}}],"created":1776659448,"id":"chatcmpl-DWaZUdpEgoloTmnnt2p9xBufSTIdh","model":"gpt-5-chat-latest","object":"chat.completion","service_tier":"default","system_fingerprint":"fp_ad66631dec","usage":{"completion_tokens":41,"completion_tokens_details":{"accepted_prediction_tokens":0,"audio_tokens":0,"reasoning_tokens":0,"rejected_prediction_tokens":0},"prompt_tokens":904,"prompt_tokens_details":{"audio_tokens":0,"cached_tokens":0},"total_tokens":945}}</t>
        </is>
      </c>
      <c r="M142" t="inlineStr">
        <is>
          <t>{"alt-svc":"h3=\":443\"; ma=2592000","apim-request-id":"2dabf7ea-0784-4631-bc7b-98f7bd0108ce","azureml-model-session":"d20260402083108-57a85543","cache-control":"no-cache","connection":"close","content-length":"782","content-security-policy":"frame-ancestors 'self'","content-type":"application/json","date":"Mon, 20 Apr 2026 04:30:50 GMT","server":"nginx","skip-error-remapping":"true","strict-transport-security":"max-age=31536000; includeSubDomains; preload","via":"1.1 Caddy, 1.1 Caddy","x-api-request-id":"2026042012304887276768J5fL0tVO","x-content-type-options":"nosniff","x-frame-options":"SAMEORIGIN","x-ms-client-request-id":"Not-Set","x-ms-is-spilled-over":"false","x-ms-rai-invoked":"true","x-ms-region":"East US 2","x-new-api-version":"0.4.39","x-oneapi-request-id":"20260420043048211968128268d9d6vi54QwTD","x-ratelimit-abusepenalty-active":"False","x-ratelimit-limit-requests":"3850","x-ratelimit-limit-tokens":"3850000","x-ratelimit-remaining-requests":"3849","x-ratelimit-remaining-tokens":"3848242","x-ratelimit-renewalperiod-requests":"60","x-ratelimit-renewalperiod-tokens":"60","x-ratelimit-reset-requests":"16","x-ratelimit-reset-tokens":"27","x-request-id":"353aaf9c-fd20-4220-9d4a-f67ffc847dd0"}</t>
        </is>
      </c>
      <c r="N142" t="inlineStr">
        <is>
          <t>T‑ShirtsOther Vintage Black Boxing Champion Sweatshirt, soft cotton fabric, embossed belt and signature print, street retro sports style, loose drop‑shoulder unisex fit for bold casual wear.</t>
        </is>
      </c>
      <c r="O142" t="inlineStr">
        <is>
          <t>{"choices":[{"finish_reason":"stop","index":0,"logprobs":null,"message":{"annotations":[],"content":"Floyd Mayweather,T-Shirts,kakobuy,kakebuy2026,kekobuysheet,kakobuysheet2026,2026kakobuy,kakobuyspreadsheeet,kakobuylink,kakebuylist,Kakobuy MEGA Spreadsheet,kakobuysheetfind,kakobuysheetfind2026,2026kakobuysheetfind,kakobuysheet2026","refusal":null,"role":"assistant"}}],"created":1776668047,"id":"chatcmpl-DWcoB3OWhUSzw6VCLUFm8RDyWw0g7","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42" t="inlineStr">
        <is>
          <t>Floyd Mayweather,T-Shirts,kakobuy,kakebuy2026,kekobuysheet,kakobuysheet2026,2026kakobuy,kakobuyspreadsheeet,kakobuylink,kakebuylist,Kakobuy MEGA Spreadsheet,kakobuysheetfind,kakobuysheetfind2026,2026kakobuysheetfind,kakobuysheet2026</t>
        </is>
      </c>
      <c r="Q142" t="inlineStr">
        <is>
          <t>Vintage, Street, Retro, Unisex</t>
        </is>
      </c>
      <c r="R142" t="inlineStr">
        <is>
          <t>recvh6xFVjUfrW</t>
        </is>
      </c>
      <c r="S142" t="inlineStr">
        <is>
          <t>vintage-black-boxing-champion-sweatshirt-recvh6xFVjUfrW</t>
        </is>
      </c>
      <c r="T142"/>
      <c r="U142"/>
      <c r="V142"/>
      <c r="W142" t="inlineStr">
        <is>
          <t>{"choices":[{"finish_reason":"stop","index":0,"logprobs":null,"message":{"annotations":[],"content":"复古黑色拳击冠军图腾卫衣，采用柔软纯棉材质，正面印有立体奖 belts 与签名设计，呈现街头复古运动风格，宽松落肩版型适合男女皆宜，日常休闲穿搭彰显大胆个性。","refusal":null,"role":"assistant"}}],"created":1776655033,"id":"chatcmpl-DWZQHshTPIhK2KbQXd8MqedNU0n3Y","model":"gpt-5-chat-latest","object":"chat.completion","service_tier":"default","system_fingerprint":"fp_ad66631dec","usage":{"completion_tokens":69,"completion_tokens_details":{"accepted_prediction_tokens":0,"audio_tokens":0,"reasoning_tokens":0,"rejected_prediction_tokens":0},"prompt_tokens":1313,"prompt_tokens_details":{"audio_tokens":0,"cached_tokens":0},"total_tokens":1382}}</t>
        </is>
      </c>
      <c r="X142" t="inlineStr">
        <is>
          <t>复古黑色拳击冠军图腾卫衣，采用柔软纯棉材质，正面印有立体奖 belts 与签名设计，呈现街头复古运动风格，宽松落肩版型适合男女皆宜，日常休闲穿搭彰显大胆个性。</t>
        </is>
      </c>
    </row>
    <row r="143" ht="25.5" customHeight="1">
      <c r="A143">
        <v>1839115443</v>
      </c>
      <c r="B143">
        <v>7617046916</v>
      </c>
      <c r="C143" t="inlineStr">
        <is>
          <t>https://weidian.com/item.html?itemID=7617046916</t>
        </is>
      </c>
      <c r="D143"/>
      <c r="E143" s="2" t="str">
        <f>=HYPERLINK("https://si.geilicdn.com/open1839115443-252808396-41ec0000019aaf79890d0a8115c2_1440_1920.jpg?w=640&amp;h=640", "https://si.geilicdn.com/open1839115443-252808396-41ec0000019aaf79890d0a8115c2_1440_1920.jpg?w=640&amp;h=640")</f>
        <v>https://si.geilicdn.com/open1839115443-252808396-41ec0000019aaf79890d0a8115c2_1440_1920.jpg?w=640&amp;h=640</v>
      </c>
      <c r="F143" t="inlineStr">
        <is>
          <t>Hoodies</t>
        </is>
      </c>
      <c r="G143" t="inlineStr">
        <is>
          <t>Other</t>
        </is>
      </c>
      <c r="H143" t="inlineStr">
        <is>
          <t>216.00</t>
        </is>
      </c>
      <c r="I143">
        <v>31.3</v>
      </c>
      <c r="J143" t="inlineStr">
        <is>
          <t>{"choices":[{"finish_reason":"stop","index":0,"logprobs":null,"message":{"annotations":[],"content":"Other Oversized Black Cotton Blend Unisex Hoodie","refusal":null,"role":"assistant"}}],"created":1776666630,"id":"chatcmpl-DWcRKhG4exvVEbTMkZNAZoL88aeEm","model":"gpt-5-chat-latest","object":"chat.completion","service_tier":"default","system_fingerprint":"fp_ad66631dec","usage":{"completion_tokens":10,"completion_tokens_details":{"accepted_prediction_tokens":0,"audio_tokens":0,"reasoning_tokens":0,"rejected_prediction_tokens":0},"prompt_tokens":892,"prompt_tokens_details":{"audio_tokens":0,"cached_tokens":0},"total_tokens":902}}</t>
        </is>
      </c>
      <c r="K143" t="inlineStr">
        <is>
          <t>Other Oversized Black Cotton Blend Unisex Hoodie</t>
        </is>
      </c>
      <c r="L143" t="inlineStr">
        <is>
          <t>{"choices":[{"finish_reason":"stop","index":0,"logprobs":null,"message":{"annotations":[],"content":"HoodiesOther oversized black cotton-blend hoodie with thick fabric, warm and structured. Minimalist solid design for street style, ribbed cuffs and hem. Unisex casual wear, ideal for fall and winter layering.","refusal":null,"role":"assistant"}}],"created":1776659405,"id":"chatcmpl-DWaYnbP8N0aSgM4OTnkyuWba744pc","model":"gpt-5-chat-latest","object":"chat.completion","service_tier":"default","system_fingerprint":"fp_ad66631dec","usage":{"completion_tokens":45,"completion_tokens_details":{"accepted_prediction_tokens":0,"audio_tokens":0,"reasoning_tokens":0,"rejected_prediction_tokens":0},"prompt_tokens":931,"prompt_tokens_details":{"audio_tokens":0,"cached_tokens":0},"total_tokens":976}}</t>
        </is>
      </c>
      <c r="M143" t="inlineStr">
        <is>
          <t>{"alt-svc":"h3=\":443\"; ma=2592000","apim-request-id":"70252a7f-bde7-4419-bf9c-e2d7fe49a581","azureml-model-session":"d20260405234249-f9874baf","cache-control":"no-cache","connection":"close","content-length":"796","content-security-policy":"frame-ancestors 'self'","content-type":"application/json","date":"Mon, 20 Apr 2026 04:30:06 GMT","server":"nginx","skip-error-remapping":"true","strict-transport-security":"max-age=31536000; includeSubDomains; preload","via":"1.1 Caddy, 1.1 Caddy","x-api-request-id":"202604201230042856455367ajo1q8Z","x-content-type-options":"nosniff","x-frame-options":"SAMEORIGIN","x-ms-client-request-id":"Not-Set","x-ms-is-spilled-over":"false","x-ms-rai-invoked":"true","x-ms-region":"East US 2","x-new-api-version":"0.4.39","x-oneapi-request-id":"202604200430041589449108268d9d6pYjkElIc","x-ratelimit-abusepenalty-active":"False","x-ratelimit-limit-requests":"3850","x-ratelimit-limit-tokens":"3850000","x-ratelimit-remaining-requests":"3849","x-ratelimit-remaining-tokens":"3848307","x-ratelimit-renewalperiod-requests":"60","x-ratelimit-renewalperiod-tokens":"60","x-ratelimit-reset-requests":"15","x-ratelimit-reset-tokens":"26","x-request-id":"d0aea54d-e7a9-4251-94aa-e109cbbbb848"}</t>
        </is>
      </c>
      <c r="N143" t="inlineStr">
        <is>
          <t>HoodiesOther oversized black cotton-blend hoodie with thick fabric, warm and structured. Minimalist solid design for street style, ribbed cuffs and hem. Unisex casual wear, ideal for fall and winter layering.</t>
        </is>
      </c>
      <c r="O143" t="inlineStr">
        <is>
          <t>{"choices":[{"finish_reason":"stop","index":0,"logprobs":null,"message":{"annotations":[],"content":"HoodiesOther,Hoodies,kakobuy,kakebuy2026,kekobuysheet,kakobuysheet2026,2026kakobuy,kakobuyspreadsheeet,kakobuylink,kakebuylist,Kakobuy MEGA Spreadsheet,kakobuysheetfind,kakobuysheetfind2026,2026kakobuysheetfind,kakobuysheet2026","refusal":null,"role":"assistant"}}],"created":1776668417,"id":"chatcmpl-DWcu9kiSOvf9hOkZo2BIkeLs7iL68","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43" t="inlineStr">
        <is>
          <t>HoodiesOther,Hoodies,kakobuy,kakebuy2026,kekobuysheet,kakobuysheet2026,2026kakobuy,kakobuyspreadsheeet,kakobuylink,kakebuylist,Kakobuy MEGA Spreadsheet,kakobuysheetfind,kakobuysheetfind2026,2026kakobuysheetfind,kakobuysheet2026</t>
        </is>
      </c>
      <c r="Q143" t="inlineStr">
        <is>
          <t>Black, Minimalist, Street, Autumn And Winter, Unisex</t>
        </is>
      </c>
      <c r="R143" t="inlineStr">
        <is>
          <t>recvh6xFVj5k7k</t>
        </is>
      </c>
      <c r="S143" t="inlineStr">
        <is>
          <t>other-oversized-black-cotton-blend-unisex-hoodie-recvh6xFVj5k7k</t>
        </is>
      </c>
      <c r="T143"/>
      <c r="U143"/>
      <c r="V143"/>
      <c r="W143" t="inlineStr">
        <is>
          <t>{"choices":[{"finish_reason":"stop","index":0,"logprobs":null,"message":{"annotations":[],"content":"黑色宽松连帽卫衣，选用厚质棉混纺面料，保暖柔软兼具挺括质感。极简纯色设计彰显极致街头风格，搭配加厚袖口与下摆罗纹细节，实穿又百搭。男女皆宜，休闲都市风格，适合秋冬季日常穿搭与叠穿造型。","refusal":null,"role":"assistant"}}],"created":1776654929,"id":"chatcmpl-DWZObpvvkpYsvv5oz8sYU7HVOid1o","model":"gpt-5-chat-latest","object":"chat.completion","service_tier":"default","system_fingerprint":"fp_ad66631dec","usage":{"completion_tokens":93,"completion_tokens_details":{"accepted_prediction_tokens":0,"audio_tokens":0,"reasoning_tokens":0,"rejected_prediction_tokens":0},"prompt_tokens":1318,"prompt_tokens_details":{"audio_tokens":0,"cached_tokens":0},"total_tokens":1411}}</t>
        </is>
      </c>
      <c r="X143" t="inlineStr">
        <is>
          <t>黑色宽松连帽卫衣，选用厚质棉混纺面料，保暖柔软兼具挺括质感。极简纯色设计彰显极致街头风格，搭配加厚袖口与下摆罗纹细节，实穿又百搭。男女皆宜，休闲都市风格，适合秋冬季日常穿搭与叠穿造型。</t>
        </is>
      </c>
    </row>
    <row r="144" ht="25.5" customHeight="1">
      <c r="A144">
        <v>1839115443</v>
      </c>
      <c r="B144">
        <v>7614146079</v>
      </c>
      <c r="C144" t="inlineStr">
        <is>
          <t>https://weidian.com/item.html?itemID=7614146079</t>
        </is>
      </c>
      <c r="D144"/>
      <c r="E144" s="2" t="str">
        <f>=HYPERLINK("https://si.geilicdn.com/open1839115443-252808396-41c40000019aaf797a470a8115c2_800_800.jpg?w=750&amp;h=750&amp;cp=1", "https://si.geilicdn.com/open1839115443-252808396-41c40000019aaf797a470a8115c2_800_800.jpg?w=750&amp;h=750&amp;cp=1")</f>
        <v>https://si.geilicdn.com/open1839115443-252808396-41c40000019aaf797a470a8115c2_800_800.jpg?w=750&amp;h=750&amp;cp=1</v>
      </c>
      <c r="F144" t="inlineStr">
        <is>
          <t>T-Shirts</t>
        </is>
      </c>
      <c r="G144" t="inlineStr">
        <is>
          <t>Other</t>
        </is>
      </c>
      <c r="H144" t="inlineStr">
        <is>
          <t>120.00</t>
        </is>
      </c>
      <c r="I144">
        <v>17.39</v>
      </c>
      <c r="J144" t="inlineStr">
        <is>
          <t>{"choices":[{"finish_reason":"stop","index":0,"logprobs":null,"message":{"annotations":[],"content":"SWAG LABEL Vintage Graffiti Black Cotton T-Shirt","refusal":null,"role":"assistant"}}],"created":1776665740,"id":"chatcmpl-DWcCyqg9ueytv6LtnxhbtdqbdqMzi","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144" t="inlineStr">
        <is>
          <t>SWAG LABEL Vintage Graffiti Black Cotton T-Shirt</t>
        </is>
      </c>
      <c r="L144" t="inlineStr">
        <is>
          <t>{"id":"chatcmpl-DWaKYhqOEpzKx6LZfOkgzvYMi3pZn","object":"chat.completion","created":1776658522,"model":"gpt-5-chat-latest","choices":[{"index":0,"message":{"role":"assistant","content":"SWAG LABEL Street Graffiti Black Washed T-Shirt, soft cotton with collage art print, punk &amp; neon design, loose unisex fit, vintage American style, perfect casual fashion essential.","refusal":null,"annotations":[]},"logprobs":null,"finish_reason":"stop"}],"usage":{"prompt_tokens":914,"completion_tokens":39,"total_tokens":953,"prompt_tokens_details":{"cached_tokens":0,"audio_tokens":0},"completion_tokens_details":{"reasoning_tokens":0,"audio_tokens":0,"accepted_prediction_tokens":0,"rejected_prediction_tokens":0}},"service_tier":"default","system_fingerprint":"fp_ad66631dec"}</t>
        </is>
      </c>
      <c r="M14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ma=2592000","apim-request-id":"b498de3d-152e-4760-af02-8d00365e8499","azureml-model-session":"d20260405212659-a9daa006","cache-control":"no-cache, no-store, must-revalidate","connection":"close","content-length":"984","content-security-policy":"frame-ancestors 'self'","content-type":"application/json","date":"Mon, 20 Apr 2026 04:15:24 GMT","server":"Caddy","skip-error-remapping":"true","strict-transport-security":"max-age=31536000; includeSubDomains; preload","via":"1.1 Caddy","x-api-request-id":"20260420121520446928039r79yW18h","x-content-type-options":"nosniff","x-frame-options":"SAMEORIGIN","x-ms-is-spilled-over":"false","x-ms-rai-invoked":"false","x-ms-region":"East US 2","x-new-api-version":"0.4.39","x-oneapi-request-id":"202604200415203803230488268d9d6YIx97PED","x-ratelimit-abusepenalty-active":"False","x-ratelimit-limit-requests":"4994","x-ratelimit-limit-tokens":"4994000","x-ratelimit-remaining-requests":"4993","x-ratelimit-remaining-tokens":"4992324","x-ratelimit-renewalperiod-requests":"60","x-ratelimit-renewalperiod-tokens":"60","x-ratelimit-reset-requests":"12","x-ratelimit-reset-tokens":"20","x-request-id":"14c3a505-9b76-4ae3-ac12-700542ba6060"}</t>
        </is>
      </c>
      <c r="N144" t="inlineStr">
        <is>
          <t>SWAG LABEL Street Graffiti Black Washed T-Shirt, soft cotton with collage art print, punk &amp; neon design, loose unisex fit, vintage American style, perfect casual fashion essential.</t>
        </is>
      </c>
      <c r="O144" t="inlineStr">
        <is>
          <t>{"choices":[{"finish_reason":"stop","index":0,"logprobs":null,"message":{"annotations":[],"content":"JUICE WRLD,T-Shirts,kakobuy,kakebuy2026,kekobuysheet,kakobuysheet2026,2026kakobuy,kakobuyspreadsheeet,kakobuylink,kakebuylist,Kakobuy MEGA Spreadsheet,kakobuysheetfind,kakobuysheetfind2026,2026kakobuysheetfind,kakobuysheet2026","refusal":null,"role":"assistant"}}],"created":1776667236,"id":"chatcmpl-DWcb6qAv65X9eqPAIgpZbx25xUnlJ","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44" t="inlineStr">
        <is>
          <t>JUICE WRLD,T-Shirts,kakobuy,kakebuy2026,kekobuysheet,kakobuysheet2026,2026kakobuy,kakobuyspreadsheeet,kakobuylink,kakebuylist,Kakobuy MEGA Spreadsheet,kakobuysheetfind,kakobuysheetfind2026,2026kakobuysheetfind,kakobuysheet2026</t>
        </is>
      </c>
      <c r="Q144" t="inlineStr">
        <is>
          <t>Black, Punk, Vintage, Unisex</t>
        </is>
      </c>
      <c r="R144" t="inlineStr">
        <is>
          <t>recvh6xFVjosfM</t>
        </is>
      </c>
      <c r="S144" t="inlineStr">
        <is>
          <t>swag-label-vintage-graffiti-black-cotton-tshirt-recvh6xFVjosfM</t>
        </is>
      </c>
      <c r="T144"/>
      <c r="U144"/>
      <c r="V144"/>
      <c r="W144" t="inlineStr">
        <is>
          <t>{"choices":[{"finish_reason":"stop","index":0,"logprobs":null,"message":{"annotations":[],"content":"街头涂鸦系列黑色水洗短袖T恤，采用柔软纯棉材质，正面拼贴艺术印花设计，融入朋克与霓虹视觉元素，宽松版型适合男女皆宜，彰显美式复古潮流态度，休闲百搭必备单品。","refusal":null,"role":"assistant"}}],"created":1776655371,"id":"chatcmpl-DWZVjmYst5AoDpGlwBzC5XYlDu8zc","model":"gpt-5-chat-latest","object":"chat.completion","service_tier":"default","system_fingerprint":"fp_ad66631dec","usage":{"completion_tokens":76,"completion_tokens_details":{"accepted_prediction_tokens":0,"audio_tokens":0,"reasoning_tokens":0,"rejected_prediction_tokens":0},"prompt_tokens":1319,"prompt_tokens_details":{"audio_tokens":0,"cached_tokens":0},"total_tokens":1395}}</t>
        </is>
      </c>
      <c r="X144" t="inlineStr">
        <is>
          <t>街头涂鸦系列黑色水洗短袖T恤，采用柔软纯棉材质，正面拼贴艺术印花设计，融入朋克与霓虹视觉元素，宽松版型适合男女皆宜，彰显美式复古潮流态度，休闲百搭必备单品。</t>
        </is>
      </c>
    </row>
    <row r="145" ht="25.5" customHeight="1">
      <c r="A145">
        <v>1839115443</v>
      </c>
      <c r="B145">
        <v>7617040882</v>
      </c>
      <c r="C145" t="inlineStr">
        <is>
          <t>https://weidian.com/item.html?itemID=7617040882</t>
        </is>
      </c>
      <c r="D145"/>
      <c r="E145" s="2" t="str">
        <f>=HYPERLINK("https://si.geilicdn.com/open1839115443-252808396-4e4f0000019aaf7427150a231226_750_887.jpg?w=640&amp;h=640", "https://si.geilicdn.com/open1839115443-252808396-4e4f0000019aaf7427150a231226_750_887.jpg?w=640&amp;h=640")</f>
        <v>https://si.geilicdn.com/open1839115443-252808396-4e4f0000019aaf7427150a231226_750_887.jpg?w=640&amp;h=640</v>
      </c>
      <c r="F145" t="inlineStr">
        <is>
          <t>T-Shirts</t>
        </is>
      </c>
      <c r="G145" t="inlineStr">
        <is>
          <t xml:space="preserve">Anine Bing </t>
        </is>
      </c>
      <c r="H145" t="inlineStr">
        <is>
          <t>176.00</t>
        </is>
      </c>
      <c r="I145">
        <v>25.51</v>
      </c>
      <c r="J145" t="inlineStr">
        <is>
          <t>{"id":"chatcmpl-DWcJWFYh2W5hNJ7w362g79UX1YuoO","object":"chat.completion","created":1776666146,"model":"gpt-5-chat-latest","choices":[{"index":0,"message":{"role":"assistant","content":"Anine Bing Vintage Black Oversized Cotton T-Shirt","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ad66631dec"}</t>
        </is>
      </c>
      <c r="K145" t="inlineStr">
        <is>
          <t>Anine Bing Vintage Black Oversized Cotton T-Shirt</t>
        </is>
      </c>
      <c r="L145" t="inlineStr">
        <is>
          <t>{"choices":[{"finish_reason":"stop","index":0,"logprobs":null,"message":{"annotations":[],"content":"Anine Bing Vintage Black Oversized T-Shirt made of soft cotton with “BING RIO DE JANEIRO” print, unisex design blending American casual and street fashion for a bold urban attitude.","refusal":null,"role":"assistant"}}],"created":1776659098,"id":"chatcmpl-DWaTqMMNPvxnaaD4g0iXYSfXWhAH4","model":"gpt-5-chat-latest","object":"chat.completion","service_tier":"default","system_fingerprint":"fp_ad66631dec","usage":{"completion_tokens":42,"completion_tokens_details":{"accepted_prediction_tokens":0,"audio_tokens":0,"reasoning_tokens":0,"rejected_prediction_tokens":0},"prompt_tokens":905,"prompt_tokens_details":{"audio_tokens":0,"cached_tokens":0},"total_tokens":947}}</t>
        </is>
      </c>
      <c r="M145" t="inlineStr">
        <is>
          <t>{"alt-svc":"h3=\":443\"; ma=2592000","apim-request-id":"c0c93c5c-932b-4f90-9bde-43aaf40766e0","azureml-model-session":"d20260402083108-57a85543","cache-control":"no-cache","connection":"close","content-length":"773","content-security-policy":"frame-ancestors 'self'","content-type":"application/json","date":"Mon, 20 Apr 2026 04:24:59 GMT","server":"Caddy","skip-error-remapping":"true","strict-transport-security":"max-age=31536000; includeSubDomains; preload","via":"1.1 Caddy","x-api-request-id":"20260420122457661999340iwuEbsVt","x-content-type-options":"nosniff","x-frame-options":"SAMEORIGIN","x-ms-client-request-id":"Not-Set","x-ms-is-spilled-over":"false","x-ms-rai-invoked":"true","x-ms-region":"East US 2","x-new-api-version":"0.4.39","x-oneapi-request-id":"202604200424575799738068268d9d6FX9Xq8qr","x-ratelimit-abusepenalty-active":"False","x-ratelimit-limit-requests":"3850","x-ratelimit-limit-tokens":"3850000","x-ratelimit-remaining-requests":"3849","x-ratelimit-remaining-tokens":"3845941","x-ratelimit-renewalperiod-requests":"60","x-ratelimit-renewalperiod-tokens":"60","x-ratelimit-reset-requests":"15","x-ratelimit-reset-tokens":"63","x-request-id":"6d1a2d3d-2163-42d3-9226-38f3fdaae95c"}</t>
        </is>
      </c>
      <c r="N145" t="inlineStr">
        <is>
          <t>Anine Bing Vintage Black Oversized T-Shirt made of soft cotton with “BING RIO DE JANEIRO” print, unisex design blending American casual and street fashion for a bold urban attitude.</t>
        </is>
      </c>
      <c r="O145" t="inlineStr">
        <is>
          <t>{"choices":[{"finish_reason":"stop","index":0,"logprobs":null,"message":{"annotations":[],"content":"Anine Bing, T-Shirts, kakobuy, kakebuy2026, kekobuysheet, kakobuysheet2026, 2026kakobuy, kakobuyspreadsheeet, kakobuylink, kakebuylist, Kakobuy MEGA Spreadsheet, kakobuysheetfind, kakobuysheetfind2026, 2026kakobuysheetfind, kakobuysheet2026","refusal":null,"role":"assistant"}}],"created":1776667848,"id":"chatcmpl-DWckyTKbxQTt0mhQ0xO1sjjhvNeNg","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45" t="inlineStr">
        <is>
          <t>Anine Bing, T-Shirts, kakobuy, kakebuy2026, kekobuysheet, kakobuysheet2026, 2026kakobuy, kakobuyspreadsheeet, kakobuylink, kakebuylist, Kakobuy MEGA Spreadsheet, kakobuysheetfind, kakobuysheetfind2026, 2026kakobuysheetfind, kakobuysheet2026</t>
        </is>
      </c>
      <c r="Q145" t="inlineStr">
        <is>
          <t>Unisex, Streetwear, Black</t>
        </is>
      </c>
      <c r="R145" t="inlineStr">
        <is>
          <t>recvh6xFVj3HpH</t>
        </is>
      </c>
      <c r="S145" t="inlineStr">
        <is>
          <t>anine-bing-vintage-black-oversized-cotton-tshirt-recvh6xfvj3hph</t>
        </is>
      </c>
      <c r="T145"/>
      <c r="U145"/>
      <c r="V145"/>
      <c r="W145" t="inlineStr">
        <is>
          <t>{"choices":[{"finish_reason":"stop","index":0,"logprobs":null,"message":{"annotations":[],"content":"Anine Bing：复古黑色宽松T恤，柔软纯棉材质，正面“BING RIO DE JANEIRO”城市风印花设计，展现美式休闲街头风格，男女皆宜，轻松演绎都市个性与自由态度。","refusal":null,"role":"assistant"}}],"created":1776656115,"id":"chatcmpl-DWZhjafjKuupkHz5q63h2YEZQ1sDL","model":"gpt-5-chat-latest","object":"chat.completion","service_tier":"default","system_fingerprint":"fp_ad66631dec","usage":{"completion_tokens":69,"completion_tokens_details":{"accepted_prediction_tokens":0,"audio_tokens":0,"reasoning_tokens":0,"rejected_prediction_tokens":0},"prompt_tokens":1317,"prompt_tokens_details":{"audio_tokens":0,"cached_tokens":1280},"total_tokens":1386}}</t>
        </is>
      </c>
      <c r="X145" t="inlineStr">
        <is>
          <t>Anine Bing：复古黑色宽松T恤，柔软纯棉材质，正面“BING RIO DE JANEIRO”城市风印花设计，展现美式休闲街头风格，男女皆宜，轻松演绎都市个性与自由态度。</t>
        </is>
      </c>
    </row>
    <row r="146" ht="25.5" customHeight="1">
      <c r="A146">
        <v>1839115443</v>
      </c>
      <c r="B146">
        <v>7601289718</v>
      </c>
      <c r="C146" t="inlineStr">
        <is>
          <t>https://weidian.com/item.html?itemID=7601289718</t>
        </is>
      </c>
      <c r="D146"/>
      <c r="E146" s="2" t="str">
        <f>=HYPERLINK("https://si.geilicdn.com/open1839115443-252808396-26850000019a68235ca60aa086a7_1440_1920.jpg?w=640&amp;h=640", "https://si.geilicdn.com/open1839115443-252808396-26850000019a68235ca60aa086a7_1440_1920.jpg?w=640&amp;h=640")</f>
        <v>https://si.geilicdn.com/open1839115443-252808396-26850000019a68235ca60aa086a7_1440_1920.jpg?w=640&amp;h=640</v>
      </c>
      <c r="F146" t="inlineStr">
        <is>
          <t>Jackets</t>
        </is>
      </c>
      <c r="G146" t="inlineStr">
        <is>
          <t>Canada Goose</t>
        </is>
      </c>
      <c r="H146" t="inlineStr">
        <is>
          <t>750.00</t>
        </is>
      </c>
      <c r="I146">
        <v>108.7</v>
      </c>
      <c r="J146" t="inlineStr">
        <is>
          <t>{"choices":[{"finish_reason":"stop","index":0,"logprobs":null,"message":{"annotations":[],"content":"Canada Goose Cream White Down Jacket with Fur Collar","refusal":null,"role":"assistant"}}],"created":1776666949,"id":"chatcmpl-DWcWTpTbrZaQnvGXu8POYydE47Pbs","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46" t="inlineStr">
        <is>
          <t>Canada Goose Cream White Down Jacket with Fur Collar</t>
        </is>
      </c>
      <c r="L146" t="inlineStr">
        <is>
          <t>{"choices":[{"finish_reason":"stop","index":0,"logprobs":null,"message":{"annotations":[],"content":"Canada Goose cream white down jacket, windproof and waterproof fabric with luxury real fur collar. Minimalist urban-outdoor design for men and women, warm, stylish, perfect for cold weather trips.","refusal":null,"role":"assistant"}}],"created":1776658659,"id":"chatcmpl-DWaMlbVIx4XNHQ1fBlNRxFhsOeNIc","model":"gpt-5-chat-latest","object":"chat.completion","service_tier":"default","system_fingerprint":"fp_ad66631dec","usage":{"completion_tokens":40,"completion_tokens_details":{"accepted_prediction_tokens":0,"audio_tokens":0,"reasoning_tokens":0,"rejected_prediction_tokens":0},"prompt_tokens":903,"prompt_tokens_details":{"audio_tokens":0,"cached_tokens":0},"total_tokens":943}}</t>
        </is>
      </c>
      <c r="M146" t="inlineStr">
        <is>
          <t>{"alt-svc":"h3=\":443\"; ma=2592000","apim-request-id":"a1076cfa-f78d-470e-be2b-b18dcea9f760","azureml-model-session":"d20260402083108-57a85543","cache-control":"no-cache","connection":"close","content-length":"784","content-security-policy":"frame-ancestors 'self'","content-type":"application/json","date":"Mon, 20 Apr 2026 04:17:41 GMT","server":"nginx","skip-error-remapping":"true","strict-transport-security":"max-age=31536000; includeSubDomains; preload","via":"1.1 Caddy, 1.1 Caddy","x-api-request-id":"20260420121739174515232IAPcTh4H","x-content-type-options":"nosniff","x-frame-options":"SAMEORIGIN","x-ms-client-request-id":"Not-Set","x-ms-is-spilled-over":"false","x-ms-rai-invoked":"true","x-ms-region":"East US 2","x-new-api-version":"0.4.39","x-oneapi-request-id":"202604200417391083208828268d9d6S8cSNB75","x-ratelimit-abusepenalty-active":"False","x-ratelimit-limit-requests":"3850","x-ratelimit-limit-tokens":"3850000","x-ratelimit-remaining-requests":"3849","x-ratelimit-remaining-tokens":"3848335","x-ratelimit-renewalperiod-requests":"60","x-ratelimit-renewalperiod-tokens":"60","x-ratelimit-reset-requests":"15","x-ratelimit-reset-tokens":"25","x-request-id":"d89de5f2-7425-46b2-9004-d42f1454ab4a"}</t>
        </is>
      </c>
      <c r="N146" t="inlineStr">
        <is>
          <t>Canada Goose cream white down jacket, windproof and waterproof fabric with luxury real fur collar. Minimalist urban-outdoor design for men and women, warm, stylish, perfect for cold weather trips.</t>
        </is>
      </c>
      <c r="O146"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1776668497,"id":"chatcmpl-DWcvRfS8hcwLhEkLNzc6E1QCHihTp","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46" t="inlineStr">
        <is>
          <t>Canada Goose, Jackets, kakobuy, kakebuy2026, kekobuysheet, kakobuysheet2026, 2026kakobuy, kakobuyspreadsheeet, kakobuylink, kakebuylist, Kakobuy MEGA Spreadsheet, kakobuysheetfind, kakobuysheetfind2026, 2026kakobuysheetfind, kakobuysheet2026</t>
        </is>
      </c>
      <c r="Q146" t="inlineStr">
        <is>
          <t>Cream, White, Windproof, Waterproof, Minimalist, Unisex</t>
        </is>
      </c>
      <c r="R146" t="inlineStr">
        <is>
          <t>recvh6xFVjVeI3</t>
        </is>
      </c>
      <c r="S146" t="inlineStr">
        <is>
          <t>canada-goose-cream-white-down-jacket-fur-collar-recvh6xFVjVeI3</t>
        </is>
      </c>
      <c r="T146"/>
      <c r="U146"/>
      <c r="V146"/>
      <c r="W146" t="inlineStr">
        <is>
          <t>{"choices":[{"finish_reason":"stop","index":0,"logprobs":null,"message":{"annotations":[],"content":"Canada Goose 奶油白色羽绒服，甄选防风防水面料，奢华真毛领设计，保暖升级。简约剪裁融合都市户外风格，男女皆宜，适合寒冷季节出行，兼具功能与时尚质感。","refusal":null,"role":"assistant"}}],"created":1776655291,"id":"chatcmpl-DWZURuMdCotgCWjc14oFIl7JdUeHd","model":"gpt-5-chat-latest","object":"chat.completion","service_tier":"default","system_fingerprint":"fp_ad66631dec","usage":{"completion_tokens":68,"completion_tokens_details":{"accepted_prediction_tokens":0,"audio_tokens":0,"reasoning_tokens":0,"rejected_prediction_tokens":0},"prompt_tokens":1314,"prompt_tokens_details":{"audio_tokens":0,"cached_tokens":0},"total_tokens":1382}}</t>
        </is>
      </c>
      <c r="X146" t="inlineStr">
        <is>
          <t>Canada Goose 奶油白色羽绒服，甄选防风防水面料，奢华真毛领设计，保暖升级。简约剪裁融合都市户外风格，男女皆宜，适合寒冷季节出行，兼具功能与时尚质感。</t>
        </is>
      </c>
    </row>
    <row r="147" ht="25.5" customHeight="1">
      <c r="A147">
        <v>1839115443</v>
      </c>
      <c r="B147">
        <v>7599302573</v>
      </c>
      <c r="C147" t="inlineStr">
        <is>
          <t>https://weidian.com/item.html?itemID=7599302573</t>
        </is>
      </c>
      <c r="D147"/>
      <c r="E147" s="2" t="str">
        <f>=HYPERLINK("https://si.geilicdn.com/open1839115443-252808396-24040000019a682315980aa081c2_1439_1920.jpg?w=640&amp;h=640", "https://si.geilicdn.com/open1839115443-252808396-24040000019a682315980aa081c2_1439_1920.jpg?w=640&amp;h=640")</f>
        <v>https://si.geilicdn.com/open1839115443-252808396-24040000019a682315980aa081c2_1439_1920.jpg?w=640&amp;h=640</v>
      </c>
      <c r="F147" t="inlineStr">
        <is>
          <t>Jackets</t>
        </is>
      </c>
      <c r="G147" t="inlineStr">
        <is>
          <t>Moncler</t>
        </is>
      </c>
      <c r="H147" t="inlineStr">
        <is>
          <t>450.00</t>
        </is>
      </c>
      <c r="I147">
        <v>65.22</v>
      </c>
      <c r="J147" t="inlineStr">
        <is>
          <t>{"id":"chatcmpl-DWcLP4QMLIUnSWoFsNpeB3M0iNOly","object":"chat.completion","created":1776666263,"model":"gpt-5-chat-latest","choices":[{"index":0,"message":{"role":"assistant","content":"Moncler Tibb Navy Down Vest Waterproof Goose Jacket","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147" t="inlineStr">
        <is>
          <t>Moncler Tibb Navy Down Vest Waterproof Goose Jacket</t>
        </is>
      </c>
      <c r="L147" t="inlineStr">
        <is>
          <t>{"choices":[{"finish_reason":"stop","index":0,"logprobs":null,"message":{"annotations":[],"content":"Moncler Tibb Navy Down Vest features glossy waterproof nylon, premium goose down filling, and a sleek stand collar. Lightweight, warm, unisex design—perfect for urban fall and winter style.","refusal":null,"role":"assistant"}}],"created":1776658803,"id":"chatcmpl-DWaP5gf8h7Chf0i86zkUu7fAxBhNs","model":"gpt-5-chat-latest","object":"chat.completion","service_tier":"default","system_fingerprint":"fp_ad66631dec","usage":{"completion_tokens":40,"completion_tokens_details":{"accepted_prediction_tokens":0,"audio_tokens":0,"reasoning_tokens":0,"rejected_prediction_tokens":0},"prompt_tokens":922,"prompt_tokens_details":{"audio_tokens":0,"cached_tokens":0},"total_tokens":962}}</t>
        </is>
      </c>
      <c r="M147" t="inlineStr">
        <is>
          <t>{"alt-svc":"h3=\":443\"; ma=2592000","apim-request-id":"89ebb0a3-4516-4603-b9d7-afc6cc56310f","azureml-model-session":"d20260402083108-57a85543","cache-control":"no-cache","connection":"close","content-length":"779","content-security-policy":"frame-ancestors 'self'","content-type":"application/json","date":"Mon, 20 Apr 2026 04:20:05 GMT","server":"Caddy","skip-error-remapping":"true","strict-transport-security":"max-age=31536000; includeSubDomains; preload","via":"1.1 Caddy","x-api-request-id":"20260420122003317365037xXQfTtgP","x-content-type-options":"nosniff","x-frame-options":"SAMEORIGIN","x-ms-client-request-id":"Not-Set","x-ms-is-spilled-over":"false","x-ms-rai-invoked":"true","x-ms-region":"East US 2","x-new-api-version":"0.4.39","x-oneapi-request-id":"202604200420032509069288268d9d6oJHEUF7Y","x-ratelimit-abusepenalty-active":"False","x-ratelimit-limit-requests":"3850","x-ratelimit-limit-tokens":"3850000","x-ratelimit-remaining-requests":"3849","x-ratelimit-remaining-tokens":"3848316","x-ratelimit-renewalperiod-requests":"60","x-ratelimit-renewalperiod-tokens":"60","x-ratelimit-reset-requests":"15","x-ratelimit-reset-tokens":"26","x-request-id":"9eff5235-cd7b-4ca1-8294-173d33465a9d"}</t>
        </is>
      </c>
      <c r="N147" t="inlineStr">
        <is>
          <t>Moncler Tibb Navy Down Vest features glossy waterproof nylon, premium goose down filling, and a sleek stand collar. Lightweight, warm, unisex design—perfect for urban fall and winter style.</t>
        </is>
      </c>
      <c r="O147" t="inlineStr">
        <is>
          <t>{"choices":[{"finish_reason":"stop","index":0,"logprobs":null,"message":{"annotations":[],"content":"Moncler,Jackets,kakobuy,kakebuy2026,kekobuysheet,kakobuysheet2026,2026kakobuy,kakobuyspreadsheeet,kakobuylink,kakebuylist,Kakobuy MEGA Spreadsheet,kakobuysheetfind,kakobuysheetfind2026,2026kakobuysheetfind,kakobuysheet2026","refusal":null,"role":"assistant"}}],"created":1776667847,"id":"chatcmpl-DWckxQf9cEAPbgopZALXuddGRt6I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47" t="inlineStr">
        <is>
          <t>Moncler,Jackets,kakobuy,kakebuy2026,kekobuysheet,kakobuysheet2026,2026kakobuy,kakobuyspreadsheeet,kakobuylink,kakebuylist,Kakobuy MEGA Spreadsheet,kakobuysheetfind,kakobuysheetfind2026,2026kakobuysheetfind,kakobuysheet2026</t>
        </is>
      </c>
      <c r="Q147" t="inlineStr">
        <is>
          <t>Nylon, Waterproof, Unisex, Autumn And Winter, Sleek, Lightweight</t>
        </is>
      </c>
      <c r="R147" t="inlineStr">
        <is>
          <t>recvh6xFVj8g2P</t>
        </is>
      </c>
      <c r="S147" t="inlineStr">
        <is>
          <t>moncler-tibb-navy-down-vest-recvh6x</t>
        </is>
      </c>
      <c r="T147"/>
      <c r="U147"/>
      <c r="V147"/>
      <c r="W147" t="inlineStr">
        <is>
          <t>{"id":"chatcmpl-DWZiF28ujF3ZJisoI5oFDZTEzJfeO","object":"chat.completion","created":1776656147,"model":"gpt-5-chat-latest","choices":[{"index":0,"message":{"role":"assistant","content":"Moncler：Tibb系列深蓝色立领羽绒马甲，采用高光防水尼龙面料与优质鹅绒填充，轻盈保暖。简约立领设计结合亮面质感，展现现代都市休闲风格。正面多口袋设计兼具实用与时尚，男女皆宜，秋冬出行百搭单品。","refusal":null,"annotations":[]},"logprobs":null,"finish_reason":"stop"}],"usage":{"prompt_tokens":1312,"completion_tokens":88,"total_tokens":1400,"prompt_tokens_details":{"cached_tokens":0,"audio_tokens":0},"completion_tokens_details":{"reasoning_tokens":0,"audio_tokens":0,"accepted_prediction_tokens":0,"rejected_prediction_tokens":0}},"service_tier":"default","system_fingerprint":"fp_ad66631dec"}</t>
        </is>
      </c>
      <c r="X147" t="inlineStr">
        <is>
          <t>Moncler：Tibb系列深蓝色立领羽绒马甲，采用高光防水尼龙面料与优质鹅绒填充，轻盈保暖。简约立领设计结合亮面质感，展现现代都市休闲风格。正面多口袋设计兼具实用与时尚，男女皆宜，秋冬出行百搭单品。</t>
        </is>
      </c>
    </row>
    <row r="148" ht="25.5" customHeight="1">
      <c r="A148">
        <v>1839115443</v>
      </c>
      <c r="B148">
        <v>7599341951</v>
      </c>
      <c r="C148" t="inlineStr">
        <is>
          <t>https://weidian.com/item.html?itemID=7599341951</t>
        </is>
      </c>
      <c r="D148"/>
      <c r="E148" s="2" t="str">
        <f>=HYPERLINK("https://si.geilicdn.com/open1839115443-252808396-264f0000019a6822da390aa086a7_1280_1848.jpg?w=640&amp;h=640", "https://si.geilicdn.com/open1839115443-252808396-264f0000019a6822da390aa086a7_1280_1848.jpg?w=640&amp;h=640")</f>
        <v>https://si.geilicdn.com/open1839115443-252808396-264f0000019a6822da390aa086a7_1280_1848.jpg?w=640&amp;h=640</v>
      </c>
      <c r="F148" t="inlineStr">
        <is>
          <t>Jackets</t>
        </is>
      </c>
      <c r="G148" t="inlineStr">
        <is>
          <t>Moose Knuckles</t>
        </is>
      </c>
      <c r="H148" t="inlineStr">
        <is>
          <t>950.00</t>
        </is>
      </c>
      <c r="I148">
        <v>137.68</v>
      </c>
      <c r="J148" t="inlineStr">
        <is>
          <t>{"id":"chatcmpl-DWcNvHrH4qXzjAEOa8KEsi7ZFeG0f","object":"chat.completion","created":1776666419,"model":"gpt-5-chat-latest","choices":[{"index":0,"message":{"role":"assistant","content":"Moose Knuckles White Fox Fur Down Coat Women","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148" t="inlineStr">
        <is>
          <t>Moose Knuckles White Fox Fur Down Coat Women</t>
        </is>
      </c>
      <c r="L148" t="inlineStr">
        <is>
          <t>{"id":"chatcmpl-DWaLsILYjXPy5pcgljJFZhzGrzZLS","object":"chat.completion","created":1776658604,"model":"gpt-5-chat-latest","choices":[{"index":0,"message":{"role":"assistant","content":"Moose Knuckles Women’s White Long Down Coat, waterproof cold-resistant fabric with luxurious fox fur collar, slim fit, minimalist North American style for urban winter elegance.","refusal":null,"annotations":[]},"logprobs":null,"finish_reason":"stop"}],"usage":{"prompt_tokens":913,"completion_tokens":34,"total_tokens":947,"prompt_tokens_details":{"cached_tokens":0,"audio_tokens":0},"completion_tokens_details":{"reasoning_tokens":0,"audio_tokens":0,"accepted_prediction_tokens":0,"rejected_prediction_tokens":0}},"service_tier":"default","system_fingerprint":"fp_ad66631dec"}</t>
        </is>
      </c>
      <c r="M14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ma=2592000","apim-request-id":"6eb5762c-7be4-412a-bced-8b9618f2a6a2","azureml-model-session":"d20260405234249-f9874baf","cache-control":"no-cache, no-store, must-revalidate","connection":"close","content-length":"983","content-security-policy":"frame-ancestors 'self'","content-type":"application/json","date":"Mon, 20 Apr 2026 04:16:45 GMT","server":"nginx","skip-error-remapping":"true","strict-transport-security":"max-age=31536000; includeSubDomains; preload","via":"1.1 Caddy, 1.1 Caddy","x-api-request-id":"20260420121643369130571xES58KcZ","x-content-type-options":"nosniff","x-frame-options":"SAMEORIGIN","x-ms-is-spilled-over":"false","x-ms-rai-invoked":"false","x-ms-region":"East US 2","x-new-api-version":"0.4.39","x-oneapi-request-id":"202604200416432741725448268d9d69lRpvQfR","x-ratelimit-abusepenalty-active":"False","x-ratelimit-limit-requests":"4994","x-ratelimit-limit-tokens":"4994000","x-ratelimit-remaining-requests":"4993","x-ratelimit-remaining-tokens":"4992325","x-ratelimit-renewalperiod-requests":"60","x-ratelimit-renewalperiod-tokens":"60","x-ratelimit-reset-requests":"12","x-ratelimit-reset-tokens":"20","x-request-id":"31a58f10-ac03-45fa-a2c7-3b889cebb624"}</t>
        </is>
      </c>
      <c r="N148" t="inlineStr">
        <is>
          <t>Moose Knuckles Women’s White Long Down Coat, waterproof cold-resistant fabric with luxurious fox fur collar, slim fit, minimalist North American style for urban winter elegance.</t>
        </is>
      </c>
      <c r="O148" t="inlineStr">
        <is>
          <t>{"choices":[{"finish_reason":"stop","index":0,"logprobs":null,"message":{"annotations":[],"content":"Moose Knuckles, Jackets, kakobuy, kakebuy2026, kekobuysheet, kakobuysheet2026, 2026kakobuy, kakobuyspreadsheeet, kakobuylink, kakebuylist, Kakobuy MEGA Spreadsheet, kakobuysheetfind, kakobuysheetfind2026, 2026kakobuysheetfind, kakobuysheet2026","refusal":null,"role":"assistant"}}],"created":1776667479,"id":"chatcmpl-DWcf1Nmh6oSJ8bVZJpQ1R92VID0h0","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148" t="inlineStr">
        <is>
          <t>Moose Knuckles, Jackets, kakobuy, kakebuy2026, kekobuysheet, kakobuysheet2026, 2026kakobuy, kakobuyspreadsheeet, kakobuylink, kakebuylist, Kakobuy MEGA Spreadsheet, kakobuysheetfind, kakobuysheetfind2026, 2026kakobuysheetfind, kakobuysheet2026</t>
        </is>
      </c>
      <c r="Q148" t="inlineStr">
        <is>
          <t>Women, White, Waterproof, Winter, Minimalist</t>
        </is>
      </c>
      <c r="R148" t="inlineStr">
        <is>
          <t>recvh6xFVjXLI9</t>
        </is>
      </c>
      <c r="S148" t="inlineStr">
        <is>
          <t>moose-knuckles-white-fox-fur-down-coat-women-recvh6xFVjXLI9</t>
        </is>
      </c>
      <c r="T148"/>
      <c r="U148"/>
      <c r="V148"/>
      <c r="W148" t="inlineStr">
        <is>
          <t>{"choices":[{"finish_reason":"stop","index":0,"logprobs":null,"message":{"annotations":[],"content":"Moose Knuckles 白色女士长款羽绒服，甄选防水抗寒面料搭配奢华狐狸毛领，修身剪裁显瘦保暖。极简设计融合北美冬季风格，适合都市女性日常与出行穿搭，彰显高端时尚质感。","refusal":null,"role":"assistant"}}],"created":1776655596,"id":"chatcmpl-DWZZMcc457PN4cRrLyprajWkDejip","model":"gpt-5-chat-latest","object":"chat.completion","service_tier":"default","system_fingerprint":"fp_ad66631dec","usage":{"completion_tokens":75,"completion_tokens_details":{"accepted_prediction_tokens":0,"audio_tokens":0,"reasoning_tokens":0,"rejected_prediction_tokens":0},"prompt_tokens":1322,"prompt_tokens_details":{"audio_tokens":0,"cached_tokens":1280},"total_tokens":1397}}</t>
        </is>
      </c>
      <c r="X148" t="inlineStr">
        <is>
          <t>Moose Knuckles 白色女士长款羽绒服，甄选防水抗寒面料搭配奢华狐狸毛领，修身剪裁显瘦保暖。极简设计融合北美冬季风格，适合都市女性日常与出行穿搭，彰显高端时尚质感。</t>
        </is>
      </c>
    </row>
    <row r="149" ht="25.5" customHeight="1">
      <c r="A149">
        <v>1839115443</v>
      </c>
      <c r="B149">
        <v>7601171314</v>
      </c>
      <c r="C149" t="inlineStr">
        <is>
          <t>https://weidian.com/item.html?itemID=7601171314</t>
        </is>
      </c>
      <c r="D149"/>
      <c r="E149" s="2" t="str">
        <f>=HYPERLINK("https://si.geilicdn.com/open1839115443-252808396-02420000019a6822d5e20a8115c2_1200_1200.jpg?w=640&amp;h=640", "https://si.geilicdn.com/open1839115443-252808396-02420000019a6822d5e20a8115c2_1200_1200.jpg?w=640&amp;h=640")</f>
        <v>https://si.geilicdn.com/open1839115443-252808396-02420000019a6822d5e20a8115c2_1200_1200.jpg?w=640&amp;h=640</v>
      </c>
      <c r="F149" t="inlineStr">
        <is>
          <t>Jackets</t>
        </is>
      </c>
      <c r="G149" t="inlineStr">
        <is>
          <t>Moose Knuckles</t>
        </is>
      </c>
      <c r="H149" t="inlineStr">
        <is>
          <t>970.00</t>
        </is>
      </c>
      <c r="I149">
        <v>140.58</v>
      </c>
      <c r="J149" t="inlineStr">
        <is>
          <t>{"choices":[{"finish_reason":"stop","index":0,"logprobs":null,"message":{"annotations":[],"content":"Moose Knuckles Black Fur Down Jacket","refusal":null,"role":"assistant"}}],"created":1776665781,"id":"chatcmpl-DWcDdUKpZAe8cJkAqo5UnhGDv0r9q","model":"gpt-5-chat-latest","object":"chat.completion","service_tier":"default","system_fingerprint":"fp_ad66631dec","usage":{"completion_tokens":9,"completion_tokens_details":{"accepted_prediction_tokens":0,"audio_tokens":0,"reasoning_tokens":0,"rejected_prediction_tokens":0},"prompt_tokens":890,"prompt_tokens_details":{"audio_tokens":0,"cached_tokens":0},"total_tokens":899}}</t>
        </is>
      </c>
      <c r="K149" t="inlineStr">
        <is>
          <t>Moose Knuckles Black Fur Down Jacket</t>
        </is>
      </c>
      <c r="L149" t="inlineStr">
        <is>
          <t>{"choices":[{"finish_reason":"stop","index":0,"logprobs":null,"message":{"annotations":[],"content":"Moose Knuckles black down jacket, made of high-density waterproof fabric with premium goose down fill, luxury real fur collar, gold hardware, tailored fit, windproof, warm, and unisex urban chic.","refusal":null,"role":"assistant"}}],"created":1776659331,"id":"chatcmpl-DWaXb00qNWN2BZ5t3mMPtd0LyVDw8","model":"gpt-5-chat-latest","object":"chat.completion","service_tier":"default","system_fingerprint":"fp_ad66631dec","usage":{"completion_tokens":43,"completion_tokens_details":{"accepted_prediction_tokens":0,"audio_tokens":0,"reasoning_tokens":0,"rejected_prediction_tokens":0},"prompt_tokens":937,"prompt_tokens_details":{"audio_tokens":0,"cached_tokens":0},"total_tokens":980}}</t>
        </is>
      </c>
      <c r="M149" t="inlineStr">
        <is>
          <t>{"alt-svc":"h3=\":443\"; ma=2592000","apim-request-id":"e37d9d0b-a044-4c42-8a95-1a5832945b83","azureml-model-session":"d20260402083108-57a85543","cache-control":"no-cache","connection":"close","content-length":"783","content-security-policy":"frame-ancestors 'self'","content-type":"application/json","date":"Mon, 20 Apr 2026 04:28:52 GMT","server":"nginx","skip-error-remapping":"true","strict-transport-security":"max-age=31536000; includeSubDomains; preload","via":"1.1 Caddy, 1.1 Caddy","x-api-request-id":"20260420122850310075614XyOA1NNy","x-content-type-options":"nosniff","x-frame-options":"SAMEORIGIN","x-ms-client-request-id":"Not-Set","x-ms-is-spilled-over":"false","x-ms-rai-invoked":"true","x-ms-region":"East US 2","x-new-api-version":"0.4.39","x-oneapi-request-id":"202604200428502427760578268d9d6KcSuPul6","x-ratelimit-abusepenalty-active":"False","x-ratelimit-limit-requests":"3850","x-ratelimit-limit-tokens":"3850000","x-ratelimit-remaining-requests":"3849","x-ratelimit-remaining-tokens":"3848301","x-ratelimit-renewalperiod-requests":"60","x-ratelimit-renewalperiod-tokens":"60","x-ratelimit-reset-requests":"15","x-ratelimit-reset-tokens":"26","x-request-id":"fbad5ef7-e52b-4a0c-99ef-9ad734520fe7"}</t>
        </is>
      </c>
      <c r="N149" t="inlineStr">
        <is>
          <t>Moose Knuckles black down jacket, made of high-density waterproof fabric with premium goose down fill, luxury real fur collar, gold hardware, tailored fit, windproof, warm, and unisex urban chic.</t>
        </is>
      </c>
      <c r="O149" t="inlineStr">
        <is>
          <t>{"choices":[{"finish_reason":"stop","index":0,"logprobs":null,"message":{"annotations":[],"content":"Moose Knuckles, Jackets, kakobuy, kakebuy2026, kekobuysheet, kakobuysheet2026, 2026kakobuy, kakobuyspreadsheeet, kakobuylink, kakebuylist, Kakobuy MEGA Spreadsheet, kakobuysheetfind, kakobuysheetfind2026, 2026kakobuysheetfind, kakobuysheet2026","refusal":null,"role":"assistant"}}],"created":1776667380,"id":"chatcmpl-DWcdQ50noYOCyZA83HtmV3xz6Acwp","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149" t="inlineStr">
        <is>
          <t>Moose Knuckles, Jackets, kakobuy, kakebuy2026, kekobuysheet, kakobuysheet2026, 2026kakobuy, kakobuyspreadsheeet, kakobuylink, kakebuylist, Kakobuy MEGA Spreadsheet, kakobuysheetfind, kakobuysheetfind2026, 2026kakobuysheetfind, kakobuysheet2026</t>
        </is>
      </c>
      <c r="Q149" t="inlineStr">
        <is>
          <t>Black, Waterproof, Windproof, Unisex, Fur</t>
        </is>
      </c>
      <c r="R149" t="inlineStr">
        <is>
          <t>recvh6xFVj4EOI</t>
        </is>
      </c>
      <c r="S149" t="inlineStr">
        <is>
          <t>moose-knuckles-black-fur-down-jacket-recvh6xFVj4EOI</t>
        </is>
      </c>
      <c r="T149"/>
      <c r="U149"/>
      <c r="V149"/>
      <c r="W149" t="inlineStr">
        <is>
          <t>{"choices":[{"finish_reason":"stop","index":0,"logprobs":null,"message":{"annotations":[],"content":"Moose Knuckles 黑色羽绒外套，采用高密防水面料与优质鹅绒填充，配奢华黑色真毛领，金色五金点缀彰显高级质感。经典立体剪裁勾勒利落轮廓，保暖防风性能卓越。都市轻奢风格设计，男女皆宜，冬季出行兼具时尚与功能。","refusal":null,"role":"assistant"}}],"created":1776655371,"id":"chatcmpl-DWZVjOtk0A0jolKpDN3ItOwHE5otJ","model":"gpt-5-chat-latest","object":"chat.completion","service_tier":"default","system_fingerprint":"fp_ad66631dec","usage":{"completion_tokens":97,"completion_tokens_details":{"accepted_prediction_tokens":0,"audio_tokens":0,"reasoning_tokens":0,"rejected_prediction_tokens":0},"prompt_tokens":1326,"prompt_tokens_details":{"audio_tokens":0,"cached_tokens":0},"total_tokens":1423}}</t>
        </is>
      </c>
      <c r="X149" t="inlineStr">
        <is>
          <t>Moose Knuckles 黑色羽绒外套，采用高密防水面料与优质鹅绒填充，配奢华黑色真毛领，金色五金点缀彰显高级质感。经典立体剪裁勾勒利落轮廓，保暖防风性能卓越。都市轻奢风格设计，男女皆宜，冬季出行兼具时尚与功能。</t>
        </is>
      </c>
    </row>
    <row r="150" ht="25.5" customHeight="1">
      <c r="A150">
        <v>1839115443</v>
      </c>
      <c r="B150">
        <v>7601271818</v>
      </c>
      <c r="C150" t="inlineStr">
        <is>
          <t>https://weidian.com/item.html?itemID=7601271818</t>
        </is>
      </c>
      <c r="D150"/>
      <c r="E150" s="2" t="str">
        <f>=HYPERLINK("https://si.geilicdn.com/open1839115443-252808396-022a0000019a6822c3dd0a8115c2_1074_1074.jpg?w=750&amp;h=750&amp;cp=1", "https://si.geilicdn.com/open1839115443-252808396-022a0000019a6822c3dd0a8115c2_1074_1074.jpg?w=750&amp;h=750&amp;cp=1")</f>
        <v>https://si.geilicdn.com/open1839115443-252808396-022a0000019a6822c3dd0a8115c2_1074_1074.jpg?w=750&amp;h=750&amp;cp=1</v>
      </c>
      <c r="F150" t="inlineStr">
        <is>
          <t>Jackets</t>
        </is>
      </c>
      <c r="G150" t="inlineStr">
        <is>
          <t>The North Face</t>
        </is>
      </c>
      <c r="H150" t="inlineStr">
        <is>
          <t>450.00</t>
        </is>
      </c>
      <c r="I150">
        <v>65.22</v>
      </c>
      <c r="J150" t="inlineStr">
        <is>
          <t>{"choices":[{"finish_reason":"stop","index":0,"logprobs":null,"message":{"annotations":[],"content":"The North Face White Black Nuptse Down Jacket","refusal":null,"role":"assistant"}}],"created":1776666289,"id":"chatcmpl-DWcLp1R9cFSXQgXHaP21DKA9Y3NJx","model":"gpt-5-chat-latest","object":"chat.completion","service_tier":"default","system_fingerprint":"fp_ad66631dec","usage":{"completion_tokens":11,"completion_tokens_details":{"accepted_prediction_tokens":0,"audio_tokens":0,"reasoning_tokens":0,"rejected_prediction_tokens":0},"prompt_tokens":899,"prompt_tokens_details":{"audio_tokens":0,"cached_tokens":0},"total_tokens":910}}</t>
        </is>
      </c>
      <c r="K150" t="inlineStr">
        <is>
          <t>The North Face White Black Nuptse Down Jacket</t>
        </is>
      </c>
      <c r="L150" t="inlineStr">
        <is>
          <t>{"choices":[{"finish_reason":"stop","index":0,"logprobs":null,"message":{"annotations":[],"content":"The North Face white and black Nuptse down jacket, water‑repellent nylon, high‑loft goose down fill, warm and lightweight. Windproof stand collar, zip front, unisex for urban winter or outdoor use.","refusal":null,"role":"assistant"}}],"created":1776658403,"id":"chatcmpl-DWaIdPs8U4iNPdosbNwzAIClpbtFx","model":"gpt-5-chat-latest","object":"chat.completion","service_tier":"default","system_fingerprint":"fp_ad66631dec","usage":{"completion_tokens":48,"completion_tokens_details":{"accepted_prediction_tokens":0,"audio_tokens":0,"reasoning_tokens":0,"rejected_prediction_tokens":0},"prompt_tokens":942,"prompt_tokens_details":{"audio_tokens":0,"cached_tokens":0},"total_tokens":990}}</t>
        </is>
      </c>
      <c r="M150" t="inlineStr">
        <is>
          <t>{"alt-svc":"h3=\":443\"; ma=2592000","apim-request-id":"60ce0b20-26ed-4914-871b-392e27a64d60","azureml-model-session":"d20260402083108-57a85543","cache-control":"no-cache","connection":"close","content-length":"789","content-security-policy":"frame-ancestors 'self'","content-type":"application/json","date":"Mon, 20 Apr 2026 04:13:25 GMT","server":"Caddy","skip-error-remapping":"true","strict-transport-security":"max-age=31536000; includeSubDomains; preload","via":"1.1 Caddy","x-api-request-id":"20260420121322679223684o3YaYBSb","x-content-type-options":"nosniff","x-frame-options":"SAMEORIGIN","x-ms-client-request-id":"Not-Set","x-ms-is-spilled-over":"false","x-ms-rai-invoked":"true","x-ms-region":"East US 2","x-new-api-version":"0.4.39","x-oneapi-request-id":"202604200413226142378278268d9d6Sus4qGL4","x-ratelimit-abusepenalty-active":"False","x-ratelimit-limit-requests":"3850","x-ratelimit-limit-tokens":"3850000","x-ratelimit-remaining-requests":"3849","x-ratelimit-remaining-tokens":"3848296","x-ratelimit-renewalperiod-requests":"60","x-ratelimit-renewalperiod-tokens":"60","x-ratelimit-reset-requests":"15","x-ratelimit-reset-tokens":"26","x-request-id":"3aa12368-1132-409f-aec1-e8ae4d7a118a"}</t>
        </is>
      </c>
      <c r="N150" t="inlineStr">
        <is>
          <t>The North Face white and black Nuptse down jacket, water‑repellent nylon, high‑loft goose down fill, warm and lightweight. Windproof stand collar, zip front, unisex for urban winter or outdoor use.</t>
        </is>
      </c>
      <c r="O150" t="inlineStr">
        <is>
          <t>{"choices":[{"finish_reason":"stop","index":0,"logprobs":null,"message":{"annotations":[],"content":"The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1776668618,"id":"chatcmpl-DWcxOqeOM8mOrxP86zfwUBtpiF9h4","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50" t="inlineStr">
        <is>
          <t>The North Face, Jackets, kakobuy, kakebuy2026, kekobuysheet, kakobuysheet2026, 2026kakobuy, kakobuyspreadsheeet, kakobuylink, kakebuylist, Kakobuy MEGA Spreadsheet, kakobuysheetfind, kakobuysheetfind2026, 2026kakobuysheetfind, kakobuysheet2026</t>
        </is>
      </c>
      <c r="Q150" t="inlineStr">
        <is>
          <t>Winter, Unisex, Nylon, Windproof, Waterproof, Lightweight</t>
        </is>
      </c>
      <c r="R150" t="inlineStr">
        <is>
          <t>recvh6xFVjEEXD</t>
        </is>
      </c>
      <c r="S150" t="inlineStr">
        <is>
          <t>the-north-face-whi-bla-nuptse-down-jacket-recvh6xFVjEEXD</t>
        </is>
      </c>
      <c r="T150"/>
      <c r="U150"/>
      <c r="V150"/>
      <c r="W150" t="inlineStr">
        <is>
          <t>{"choices":[{"finish_reason":"stop","index":0,"logprobs":null,"message":{"annotations":[],"content":"The North Face 白色拼黑羽绒夹克，经典Nuptse系列，采用防泼水尼龙面料与高蓬松鹅绒填充，保暖轻盈。立领防风设计搭配拉链前襟，彰显户外探险基因与都市时尚气息。中性款式，适合秋冬通勤及户外活动，兼具功能与潮流美感。","refusal":null,"role":"assistant"}}],"created":1776655865,"id":"chatcmpl-DWZdhDBZl2cWejpqLj4cpjknnEy9M","model":"gpt-5-chat-latest","object":"chat.completion","service_tier":"default","system_fingerprint":"fp_ad66631dec","usage":{"completion_tokens":98,"completion_tokens_details":{"accepted_prediction_tokens":0,"audio_tokens":0,"reasoning_tokens":0,"rejected_prediction_tokens":0},"prompt_tokens":1333,"prompt_tokens_details":{"audio_tokens":0,"cached_tokens":0},"total_tokens":1431}}</t>
        </is>
      </c>
      <c r="X150" t="inlineStr">
        <is>
          <t>The North Face 白色拼黑羽绒夹克，经典Nuptse系列，采用防泼水尼龙面料与高蓬松鹅绒填充，保暖轻盈。立领防风设计搭配拉链前襟，彰显户外探险基因与都市时尚气息。中性款式，适合秋冬通勤及户外活动，兼具功能与潮流美感。</t>
        </is>
      </c>
    </row>
    <row r="151" ht="25.5" customHeight="1">
      <c r="A151">
        <v>1839115443</v>
      </c>
      <c r="B151">
        <v>7601180496</v>
      </c>
      <c r="C151" t="inlineStr">
        <is>
          <t>https://weidian.com/item.html?itemID=7601180496</t>
        </is>
      </c>
      <c r="D151"/>
      <c r="E151" s="2" t="str">
        <f>=HYPERLINK("https://si.geilicdn.com/open1832946205-252808396-6b2f00000198892654c90aa0c791_800_800.jpg?w=640&amp;h=640", "https://si.geilicdn.com/open1832946205-252808396-6b2f00000198892654c90aa0c791_800_800.jpg?w=640&amp;h=640")</f>
        <v>https://si.geilicdn.com/open1832946205-252808396-6b2f00000198892654c90aa0c791_800_800.jpg?w=640&amp;h=640</v>
      </c>
      <c r="F151" t="inlineStr">
        <is>
          <t>Hoodies</t>
        </is>
      </c>
      <c r="G151" t="inlineStr">
        <is>
          <t>Cactus Jack</t>
        </is>
      </c>
      <c r="H151" t="inlineStr">
        <is>
          <t>207.00</t>
        </is>
      </c>
      <c r="I151">
        <v>30</v>
      </c>
      <c r="J151" t="inlineStr">
        <is>
          <t>{"choices":[{"finish_reason":"stop","index":0,"logprobs":null,"message":{"annotations":[],"content":"Cactus Jack Black Graffiti Logo Streetwear Hoodie","refusal":null,"role":"assistant"}}],"created":1776666424,"id":"chatcmpl-DWcO0CXKqAnz3tzgCyVaTtKESl2ET","model":"gpt-5-chat-latest","object":"chat.completion","service_tier":"default","system_fingerprint":"fp_ad66631dec","usage":{"completion_tokens":11,"completion_tokens_details":{"accepted_prediction_tokens":0,"audio_tokens":0,"reasoning_tokens":0,"rejected_prediction_tokens":0},"prompt_tokens":872,"prompt_tokens_details":{"audio_tokens":0,"cached_tokens":0},"total_tokens":883}}</t>
        </is>
      </c>
      <c r="K151" t="inlineStr">
        <is>
          <t>Cactus Jack Black Graffiti Logo Streetwear Hoodie</t>
        </is>
      </c>
      <c r="L151" t="inlineStr">
        <is>
          <t>{"id":"chatcmpl-DWaVQShQjQl4IsrtL0ryF5QvJho4g","object":"chat.completion","created":1776659196,"model":"gpt-5-chat-latest","choices":[{"index":0,"message":{"role":"assistant","content":"Cactus Jack black cotton hoodie with bold blue-red graffiti logo, front chest detail, and relaxed streetwear fit for men and women, expressing youthful American urban style.","refusal":null,"annotations":[]},"logprobs":null,"finish_reason":"stop"}],"usage":{"prompt_tokens":918,"completion_tokens":34,"total_tokens":952,"prompt_tokens_details":{"cached_tokens":0,"audio_tokens":0},"completion_tokens_details":{"reasoning_tokens":0,"audio_tokens":0,"accepted_prediction_tokens":0,"rejected_prediction_tokens":0}},"service_tier":"default","system_fingerprint":"fp_ad66631dec"}</t>
        </is>
      </c>
      <c r="M15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ma=2592000","apim-request-id":"ea5c2405-6cc2-43c3-b0ca-b3774cfbc8f3","azureml-model-session":"d20260405234249-f9874baf","cache-control":"no-cache, no-store, must-revalidate","connection":"close","content-length":"977","content-security-policy":"frame-ancestors 'self'","content-type":"application/json","date":"Mon, 20 Apr 2026 04:26:38 GMT","server":"nginx","skip-error-remapping":"true","strict-transport-security":"max-age=31536000; includeSubDomains; preload","via":"1.1 Caddy, 1.1 Caddy","x-api-request-id":"2026042012263517499890m5bRk3ha","x-content-type-options":"nosniff","x-frame-options":"SAMEORIGIN","x-ms-is-spilled-over":"false","x-ms-rai-invoked":"false","x-ms-region":"Sweden Central","x-new-api-version":"0.4.39","x-oneapi-request-id":"202604200426349494286988268d9d6er13ODFS","x-ratelimit-abusepenalty-active":"False","x-ratelimit-limit-requests":"4993","x-ratelimit-limit-tokens":"4993000","x-ratelimit-remaining-requests":"4992","x-ratelimit-remaining-tokens":"4991320","x-ratelimit-renewalperiod-requests":"60","x-ratelimit-renewalperiod-tokens":"60","x-ratelimit-reset-requests":"12","x-ratelimit-reset-tokens":"20","x-request-id":"8ed22dd6-66a4-41c3-978b-e7cec0fe80cf"}</t>
        </is>
      </c>
      <c r="N151" t="inlineStr">
        <is>
          <t>Cactus Jack black cotton hoodie with bold blue-red graffiti logo, front chest detail, and relaxed streetwear fit for men and women, expressing youthful American urban style.</t>
        </is>
      </c>
      <c r="O151" t="inlineStr">
        <is>
          <t>{"choices":[{"finish_reason":"stop","index":0,"logprobs":null,"message":{"annotations":[],"content":"Cactus Jack,Hoodies,kakobuy,kakebuy2026,kekobuysheet,kakobuysheet2026,2026kakobuy,kakobuyspreadsheeet,kakobuylink,kakebuylist,Kakobuy MEGA Spreadsheet,kakobuysheetfind,kakobuysheetfind2026,2026kakobuysheetfind,kakobuysheet2026","refusal":null,"role":"assistant"}}],"created":1776668533,"id":"chatcmpl-DWcw1pp6eo1hr3LM7WdY5hg6fAaK2","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51" t="inlineStr">
        <is>
          <t>Cactus Jack,Hoodies,kakobuy,kakebuy2026,kekobuysheet,kakobuysheet2026,2026kakobuy,kakobuyspreadsheeet,kakobuylink,kakebuylist,Kakobuy MEGA Spreadsheet,kakobuysheetfind,kakobuysheetfind2026,2026kakobuysheetfind,kakobuysheet2026</t>
        </is>
      </c>
      <c r="Q151" t="inlineStr">
        <is>
          <t>Streetwear, Black, Unisex</t>
        </is>
      </c>
      <c r="R151" t="inlineStr">
        <is>
          <t>recvh6xFVjmbNh</t>
        </is>
      </c>
      <c r="S151" t="inlineStr">
        <is>
          <t>cactus-jack-black-graffiti-logo-streetwear-hoodie-recvh6xfvjmbnh</t>
        </is>
      </c>
      <c r="T151"/>
      <c r="U151"/>
      <c r="V151"/>
      <c r="W151" t="inlineStr">
        <is>
          <t>{"id":"chatcmpl-DWZb9jhuaVCDhphotU02dcqHKFKH6","object":"chat.completion","created":1776655707,"model":"gpt-5-chat-latest","choices":[{"index":0,"message":{"role":"assistant","content":"Cactus Jack：黑色街头系列连帽卫衣，精选柔软纯棉材质，背部蓝红撞色涂鸦字母图案，前胸小标点缀，宽松剪裁兼顾舒适与潮流质感，适合男女日常休闲穿搭，彰显美式街头青春态度。","refusal":null,"annotations":[]},"logprobs":null,"finish_reason":"stop"}],"usage":{"prompt_tokens":1318,"completion_tokens":81,"total_tokens":1399,"prompt_tokens_details":{"cached_tokens":1280,"audio_tokens":0},"completion_tokens_details":{"reasoning_tokens":0,"audio_tokens":0,"accepted_prediction_tokens":0,"rejected_prediction_tokens":0}},"service_tier":"default","system_fingerprint":"fp_ad66631dec"}</t>
        </is>
      </c>
      <c r="X151" t="inlineStr">
        <is>
          <t>Cactus Jack：黑色街头系列连帽卫衣，精选柔软纯棉材质，背部蓝红撞色涂鸦字母图案，前胸小标点缀，宽松剪裁兼顾舒适与潮流质感，适合男女日常休闲穿搭，彰显美式街头青春态度。</t>
        </is>
      </c>
    </row>
    <row r="152" ht="25.5" customHeight="1">
      <c r="A152">
        <v>1839115443</v>
      </c>
      <c r="B152">
        <v>7601170588</v>
      </c>
      <c r="C152" t="inlineStr">
        <is>
          <t>https://weidian.com/item.html?itemID=7601170588</t>
        </is>
      </c>
      <c r="D152"/>
      <c r="E152" s="2" t="str">
        <f>=HYPERLINK("https://si.geilicdn.com/open1832946205-252808396-4374000001988943c14a0aa043f9_799_1066.jpg?w=640&amp;h=640", "https://si.geilicdn.com/open1832946205-252808396-4374000001988943c14a0aa043f9_799_1066.jpg?w=640&amp;h=640")</f>
        <v>https://si.geilicdn.com/open1832946205-252808396-4374000001988943c14a0aa043f9_799_1066.jpg?w=640&amp;h=640</v>
      </c>
      <c r="F152" t="inlineStr">
        <is>
          <t>Jackets</t>
        </is>
      </c>
      <c r="G152" t="inlineStr">
        <is>
          <t>Stüssy</t>
        </is>
      </c>
      <c r="H152" t="inlineStr">
        <is>
          <t>500.00</t>
        </is>
      </c>
      <c r="I152">
        <v>72.46</v>
      </c>
      <c r="J152" t="inlineStr">
        <is>
          <t>{"id":"chatcmpl-DWcVFKKmNkX0XtsRZPyWp4rbZ1ACh","object":"chat.completion","created":1776666873,"model":"gpt-5-chat-latest","choices":[{"index":0,"message":{"role":"assistant","content":"Stussy Black Hooded Short Down Jacket Winter Coat","refusal":null,"annotations":[]},"logprobs":null,"finish_reason":"stop"}],"usage":{"prompt_tokens":897,"completion_tokens":11,"total_tokens":908,"prompt_tokens_details":{"cached_tokens":0,"audio_tokens":0},"completion_tokens_details":{"reasoning_tokens":0,"audio_tokens":0,"accepted_prediction_tokens":0,"rejected_prediction_tokens":0}},"service_tier":"default","system_fingerprint":"fp_ad66631dec"}</t>
        </is>
      </c>
      <c r="K152" t="inlineStr">
        <is>
          <t>Stussy Black Hooded Short Down Jacket Winter Coat</t>
        </is>
      </c>
      <c r="L152" t="inlineStr">
        <is>
          <t>{"id":"chatcmpl-DWaKZH3nhj0ZGj9xn5kdxxATFhzxK","object":"chat.completion","created":1776658523,"model":"gpt-5-chat-latest","choices":[{"index":0,"message":{"role":"assistant","content":"Stüssy Black Short Down Jacket—crafted with high-loft warm down, glossy texture, white logo embroidery, urban street style. Hooded stand collar, windproof, unisex loose fit, perfect for winter city looks.","refusal":null,"annotations":[]},"logprobs":null,"finish_reason":"stop"}],"usage":{"prompt_tokens":937,"completion_tokens":47,"total_tokens":984,"prompt_tokens_details":{"cached_tokens":0,"audio_tokens":0},"completion_tokens_details":{"reasoning_tokens":0,"audio_tokens":0,"accepted_prediction_tokens":0,"rejected_prediction_tokens":0}},"service_tier":"default","system_fingerprint":"fp_ad66631dec"}</t>
        </is>
      </c>
      <c r="M15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ma=2592000","apim-request-id":"9b975dcc-2402-4ca1-bbd3-fa6d4aceec03","azureml-model-session":"d20260405225800-40f19e54","cache-control":"no-cache, no-store, must-revalidate","connection":"close","content-length":"1011","content-security-policy":"frame-ancestors 'self'","content-type":"application/json","date":"Mon, 20 Apr 2026 04:15:25 GMT","server":"nginx","skip-error-remapping":"true","strict-transport-security":"max-age=31536000; includeSubDomains; preload","via":"1.1 Caddy, 1.1 Caddy","x-api-request-id":"20260420121522159753668uKamLFm9","x-content-type-options":"nosniff","x-frame-options":"SAMEORIGIN","x-ms-is-spilled-over":"false","x-ms-rai-invoked":"false","x-ms-region":"East US 2","x-new-api-version":"0.4.39","x-oneapi-request-id":"20260420041522953461308268d9d6tBHt0RLp","x-ratelimit-abusepenalty-active":"False","x-ratelimit-limit-requests":"4994","x-ratelimit-limit-tokens":"4994000","x-ratelimit-remaining-requests":"4993","x-ratelimit-remaining-tokens":"4992301","x-ratelimit-renewalperiod-requests":"60","x-ratelimit-renewalperiod-tokens":"60","x-ratelimit-reset-requests":"12","x-ratelimit-reset-tokens":"20","x-request-id":"1185c904-6def-41d5-943c-e56c066f1087"}</t>
        </is>
      </c>
      <c r="N152" t="inlineStr">
        <is>
          <t>Stüssy Black Short Down Jacket—crafted with high-loft warm down, glossy texture, white logo embroidery, urban street style. Hooded stand collar, windproof, unisex loose fit, perfect for winter city looks.</t>
        </is>
      </c>
      <c r="O152" t="inlineStr">
        <is>
          <t>{"choices":[{"finish_reason":"stop","index":0,"logprobs":null,"message":{"annotations":[],"content":"Stüssy, Jackets, kakobuy, kakebuy2026, kekobuysheet, kakobuysheet2026, 2026kakobuy, kakobuyspreadsheeet, kakobuylink, kakebuylist, Kakobuy MEGA Spreadsheet, kakobuysheetfind, kakobuysheetfind2026, 2026kakobuysheetfind, kakobuysheet2026","refusal":null,"role":"assistant"}}],"created":1776667870,"id":"chatcmpl-DWclKcttfAT73KpGmXFGpOA1C9z4j","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52" t="inlineStr">
        <is>
          <t>Stüssy, Jackets, kakobuy, kakebuy2026, kekobuysheet, kakobuysheet2026, 2026kakobuy, kakobuyspreadsheeet, kakobuylink, kakebuylist, Kakobuy MEGA Spreadsheet, kakobuysheetfind, kakobuysheetfind2026, 2026kakobuysheetfind, kakobuysheet2026</t>
        </is>
      </c>
      <c r="Q152" t="inlineStr">
        <is>
          <t>Stussy, Black, Streetwear, Winter, Unisex, Windproof</t>
        </is>
      </c>
      <c r="R152" t="inlineStr">
        <is>
          <t>recvh6xFVjce5p</t>
        </is>
      </c>
      <c r="S152" t="inlineStr">
        <is>
          <t>stussy-black-hooded-short-down-jacket-recvh6xFVjce5p</t>
        </is>
      </c>
      <c r="T152"/>
      <c r="U152"/>
      <c r="V152"/>
      <c r="W152" t="inlineStr">
        <is>
          <t>{"id":"chatcmpl-DWZapolwVsmHt20gjJJpgjikLlZq1","object":"chat.completion","created":1776655687,"model":"gpt-5-chat-latest","choices":[{"index":0,"message":{"role":"assistant","content":"Stüssy：黑色短款羽绒外套，甄选高蓬松保暖羽绒材质，呈现光泽质感。胸前白色标志刺绣，简约街头风格凸显品牌态度。立领连帽设计防风御寒，宽松剪裁提升穿着舒适度，款式中性适合男女，冬季出街与城市潮流穿搭皆宜。","refusal":null,"annotations":[]},"logprobs":null,"finish_reason":"stop"}],"usage":{"prompt_tokens":1317,"completion_tokens":101,"total_tokens":1418,"prompt_tokens_details":{"cached_tokens":0,"audio_tokens":0},"completion_tokens_details":{"reasoning_tokens":0,"audio_tokens":0,"accepted_prediction_tokens":0,"rejected_prediction_tokens":0}},"service_tier":"default","system_fingerprint":"fp_ad66631dec"}</t>
        </is>
      </c>
      <c r="X152" t="inlineStr">
        <is>
          <t>Stüssy：黑色短款羽绒外套，甄选高蓬松保暖羽绒材质，呈现光泽质感。胸前白色标志刺绣，简约街头风格凸显品牌态度。立领连帽设计防风御寒，宽松剪裁提升穿着舒适度，款式中性适合男女，冬季出街与城市潮流穿搭皆宜。</t>
        </is>
      </c>
    </row>
    <row r="153" ht="25.5" customHeight="1">
      <c r="A153">
        <v>1839115443</v>
      </c>
      <c r="B153">
        <v>7601166776</v>
      </c>
      <c r="C153" t="inlineStr">
        <is>
          <t>https://weidian.com/item.html?itemID=7601166776</t>
        </is>
      </c>
      <c r="D153"/>
      <c r="E153" s="2" t="str">
        <f>=HYPERLINK("https://si.geilicdn.com/open1832946205-252808396-3b5d00000196c94e17a40aa08290_1200_1709.jpg?w=640&amp;h=640", "https://si.geilicdn.com/open1832946205-252808396-3b5d00000196c94e17a40aa08290_1200_1709.jpg?w=640&amp;h=640")</f>
        <v>https://si.geilicdn.com/open1832946205-252808396-3b5d00000196c94e17a40aa08290_1200_1709.jpg?w=640&amp;h=640</v>
      </c>
      <c r="F153" t="inlineStr">
        <is>
          <t>T-Shirts</t>
        </is>
      </c>
      <c r="G153" t="inlineStr">
        <is>
          <t>Kinetics</t>
        </is>
      </c>
      <c r="H153" t="inlineStr">
        <is>
          <t>92.00</t>
        </is>
      </c>
      <c r="I153">
        <v>13.33</v>
      </c>
      <c r="J153" t="inlineStr">
        <is>
          <t>{"id":"chatcmpl-DWcR4XXV376wv7N0rzDOfyTs4Y0ya","object":"chat.completion","created":1776666614,"model":"gpt-5-chat-latest","choices":[{"index":0,"message":{"role":"assistant","content":"Kinetics BESTFRIEND Black Cotton Unisex T-Shirt","refusal":null,"annotations":[]},"logprobs":null,"finish_reason":"stop"}],"usage":{"prompt_tokens":877,"completion_tokens":14,"total_tokens":891,"prompt_tokens_details":{"cached_tokens":0,"audio_tokens":0},"completion_tokens_details":{"reasoning_tokens":0,"audio_tokens":0,"accepted_prediction_tokens":0,"rejected_prediction_tokens":0}},"service_tier":"default","system_fingerprint":"fp_ad66631dec"}</t>
        </is>
      </c>
      <c r="K153" t="inlineStr">
        <is>
          <t>Kinetics BESTFRIEND Black Cotton Unisex T-Shirt</t>
        </is>
      </c>
      <c r="L153" t="inlineStr">
        <is>
          <t>{"choices":[{"finish_reason":"stop","index":0,"logprobs":null,"message":{"annotations":[],"content":"Kinetics BESTFRIEND Black T-Shirt in soft cotton, featuring white logo print, relaxed unisex fit, perfect for casual street style and everyday wear with effortless attitude.","refusal":null,"role":"assistant"}}],"created":1776659463,"id":"chatcmpl-DWaZjqnCoYInUUpsP8F6o9lblmzjs","model":"gpt-5-chat-latest","object":"chat.completion","service_tier":"default","system_fingerprint":"fp_ad66631dec","usage":{"completion_tokens":37,"completion_tokens_details":{"accepted_prediction_tokens":0,"audio_tokens":0,"reasoning_tokens":0,"rejected_prediction_tokens":0},"prompt_tokens":903,"prompt_tokens_details":{"audio_tokens":0,"cached_tokens":0},"total_tokens":940}}</t>
        </is>
      </c>
      <c r="M153" t="inlineStr">
        <is>
          <t>{"alt-svc":"h3=\":443\"; ma=2592000","apim-request-id":"363895dd-3794-425d-b8fe-f2c3ad507d9d","azureml-model-session":"d20260405234249-f9874baf","cache-control":"no-cache","connection":"close","content-length":"761","content-security-policy":"frame-ancestors 'self'","content-type":"application/json","date":"Mon, 20 Apr 2026 04:31:04 GMT","server":"Caddy","skip-error-remapping":"true","strict-transport-security":"max-age=31536000; includeSubDomains; preload","via":"1.1 Caddy","x-api-request-id":"20260420123101971581913JI1j1TjG","x-content-type-options":"nosniff","x-frame-options":"SAMEORIGIN","x-ms-client-request-id":"Not-Set","x-ms-is-spilled-over":"false","x-ms-rai-invoked":"true","x-ms-region":"East US 2","x-new-api-version":"0.4.39","x-oneapi-request-id":"202604200431018333408028268d9d6lNK8iVgb","x-ratelimit-abusepenalty-active":"False","x-ratelimit-limit-requests":"3850","x-ratelimit-limit-tokens":"3850000","x-ratelimit-remaining-requests":"3849","x-ratelimit-remaining-tokens":"3848335","x-ratelimit-renewalperiod-requests":"60","x-ratelimit-renewalperiod-tokens":"60","x-ratelimit-reset-requests":"15","x-ratelimit-reset-tokens":"25","x-request-id":"8da164ee-1cba-4fea-ac9c-04333acde218"}</t>
        </is>
      </c>
      <c r="N153" t="inlineStr">
        <is>
          <t>Kinetics BESTFRIEND Black T-Shirt in soft cotton, featuring white logo print, relaxed unisex fit, perfect for casual street style and everyday wear with effortless attitude.</t>
        </is>
      </c>
      <c r="O153" t="inlineStr">
        <is>
          <t>{"choices":[{"finish_reason":"stop","index":0,"logprobs":null,"message":{"annotations":[],"content":"BESTFRIEND, T-Shirts, kakobuy, kakebuy2026, kekobuysheet, kakobuysheet2026, 2026kakobuy, kakobuyspreadsheeet, kakobuylink, kakebuylist, Kakobuy MEGA Spreadsheet, kakobuysheetfind, kakobuysheetfind2026, 2026kakobuysheetfind, kakobuysheet2026","refusal":null,"role":"assistant"}}],"created":1776668589,"id":"chatcmpl-DWcwv5hWTguEovz9aFqSlQ2iZUFLd","model":"gpt-5-chat-latest","object":"chat.completion","service_tier":"default","system_fingerprint":"fp_ad66631dec","usage":{"completion_tokens":94,"completion_tokens_details":{"accepted_prediction_tokens":0,"audio_tokens":0,"reasoning_tokens":0,"rejected_prediction_tokens":0},"prompt_tokens":784,"prompt_tokens_details":{"audio_tokens":0,"cached_tokens":0},"total_tokens":878}}</t>
        </is>
      </c>
      <c r="P153" t="inlineStr">
        <is>
          <t>BESTFRIEND, T-Shirts, kakobuy, kakebuy2026, kekobuysheet, kakobuysheet2026, 2026kakobuy, kakobuyspreadsheeet, kakobuylink, kakebuylist, Kakobuy MEGA Spreadsheet, kakobuysheetfind, kakobuysheetfind2026, 2026kakobuysheetfind, kakobuysheet2026</t>
        </is>
      </c>
      <c r="Q153" t="inlineStr">
        <is>
          <t>Black, Streetwear, Unisex</t>
        </is>
      </c>
      <c r="R153" t="inlineStr">
        <is>
          <t>recvh6xFVjjAep</t>
        </is>
      </c>
      <c r="S153" t="inlineStr">
        <is>
          <t>kinetics-bestfriend-black-cotton-unisex-t-shirt-recvh6xfvjjaep</t>
        </is>
      </c>
      <c r="T153"/>
      <c r="U153"/>
      <c r="V153"/>
      <c r="W153" t="inlineStr">
        <is>
          <t>{"choices":[{"finish_reason":"stop","index":0,"logprobs":null,"message":{"annotations":[],"content":"Kinetics黑色BESTFRIEND印花T恤，柔软纯棉材质，简约宽松版型，前胸白色字标设计彰显街头休闲风格，男女皆宜，百搭日常穿搭尽显随性态度。","refusal":null,"role":"assistant"}}],"created":1776654936,"id":"chatcmpl-DWZOiICFYp1PL6FTQoRthYWpUQBOD","model":"gpt-5-chat-latest","object":"chat.completion","service_tier":"default","system_fingerprint":"fp_ad66631dec","usage":{"completion_tokens":64,"completion_tokens_details":{"accepted_prediction_tokens":0,"audio_tokens":0,"reasoning_tokens":0,"rejected_prediction_tokens":0},"prompt_tokens":1323,"prompt_tokens_details":{"audio_tokens":0,"cached_tokens":1280},"total_tokens":1387}}</t>
        </is>
      </c>
      <c r="X153" t="inlineStr">
        <is>
          <t>Kinetics黑色BESTFRIEND印花T恤，柔软纯棉材质，简约宽松版型，前胸白色字标设计彰显街头休闲风格，男女皆宜，百搭日常穿搭尽显随性态度。</t>
        </is>
      </c>
    </row>
    <row r="154" ht="25.5" customHeight="1">
      <c r="A154">
        <v>1839115443</v>
      </c>
      <c r="B154">
        <v>7599303753</v>
      </c>
      <c r="C154" t="inlineStr">
        <is>
          <t>https://weidian.com/item.html?itemID=7599303753</t>
        </is>
      </c>
      <c r="D154"/>
      <c r="E154" s="2" t="str">
        <f>=HYPERLINK("https://si.geilicdn.com/open1832946205-252808396-757e000001963d0317b00a23b4de_800_800.jpg?w=640&amp;h=640", "https://si.geilicdn.com/open1832946205-252808396-757e000001963d0317b00a23b4de_800_800.jpg?w=640&amp;h=640")</f>
        <v>https://si.geilicdn.com/open1832946205-252808396-757e000001963d0317b00a23b4de_800_800.jpg?w=640&amp;h=640</v>
      </c>
      <c r="F154" t="inlineStr">
        <is>
          <t>T-Shirts</t>
        </is>
      </c>
      <c r="G154" t="inlineStr">
        <is>
          <t>Maison Margiela</t>
        </is>
      </c>
      <c r="H154" t="inlineStr">
        <is>
          <t>219.00</t>
        </is>
      </c>
      <c r="I154">
        <v>31.74</v>
      </c>
      <c r="J154" t="inlineStr">
        <is>
          <t>{"choices":[{"finish_reason":"stop","index":0,"logprobs":null,"message":{"annotations":[],"content":"Maison Margiela Black Wool Knit Unisex Long Sleeve Top","refusal":null,"role":"assistant"}}],"created":1776666699,"id":"chatcmpl-DWcSRJVwiYRTu5phvj7Is4cWrapvy","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54" t="inlineStr">
        <is>
          <t>Maison Margiela Black Wool Knit Unisex Long Sleeve Top</t>
        </is>
      </c>
      <c r="L154" t="inlineStr">
        <is>
          <t>{"choices":[{"finish_reason":"stop","index":0,"logprobs":null,"message":{"annotations":[],"content":"Maison Margiela black wool-blend knit long sleeve top with signature four-stitch detail, minimalist crew neck design, unisex fit, perfect for fall and winter commute or casual wear.","refusal":null,"role":"assistant"}}],"created":1776658515,"id":"chatcmpl-DWaKRYnOi0k3DIAKq3lr81Ja0QBxV","model":"gpt-5-chat-latest","object":"chat.completion","service_tier":"default","system_fingerprint":"fp_ad66631dec","usage":{"completion_tokens":38,"completion_tokens_details":{"accepted_prediction_tokens":0,"audio_tokens":0,"reasoning_tokens":0,"rejected_prediction_tokens":0},"prompt_tokens":924,"prompt_tokens_details":{"audio_tokens":0,"cached_tokens":0},"total_tokens":962}}</t>
        </is>
      </c>
      <c r="M154" t="inlineStr">
        <is>
          <t>{"alt-svc":"h3=\":443\"; ma=2592000","apim-request-id":"16afe8ef-0ea1-42ef-b307-bf276185fe0e","azureml-model-session":"d20260405234249-f9874baf","cache-control":"no-cache","connection":"close","content-length":"769","content-security-policy":"frame-ancestors 'self'","content-type":"application/json","date":"Mon, 20 Apr 2026 04:15:17 GMT","server":"Caddy","skip-error-remapping":"true","strict-transport-security":"max-age=31536000; includeSubDomains; preload","via":"1.1 Caddy","x-api-request-id":"20260420121514873176577DyKupc9x","x-content-type-options":"nosniff","x-frame-options":"SAMEORIGIN","x-ms-client-request-id":"Not-Set","x-ms-is-spilled-over":"false","x-ms-rai-invoked":"true","x-ms-region":"East US 2","x-new-api-version":"0.4.39","x-oneapi-request-id":"202604200415148075323388268d9d6feLOtOvx","x-ratelimit-abusepenalty-active":"False","x-ratelimit-limit-requests":"3850","x-ratelimit-limit-tokens":"3850000","x-ratelimit-remaining-requests":"3849","x-ratelimit-remaining-tokens":"3848314","x-ratelimit-renewalperiod-requests":"60","x-ratelimit-renewalperiod-tokens":"60","x-ratelimit-reset-requests":"15","x-ratelimit-reset-tokens":"26","x-request-id":"bbe2024a-deab-4bcf-9ff0-d38d289f2edd"}</t>
        </is>
      </c>
      <c r="N154" t="inlineStr">
        <is>
          <t>Maison Margiela black wool-blend knit long sleeve top with signature four-stitch detail, minimalist crew neck design, unisex fit, perfect for fall and winter commute or casual wear.</t>
        </is>
      </c>
      <c r="O154" t="inlineStr">
        <is>
          <t>{"choices":[{"finish_reason":"stop","index":0,"logprobs":null,"message":{"annotations":[],"content":"Maison Margiela,T-Shirts,kakobuy,kakebuy2026,kekobuysheet,kakobuysheet2026,2026kakobuy,kakobuyspreadsheeet,kakobuylink,kakebuylist,Kakobuy MEGA Spreadsheet,kakobuysheetfind,kakobuysheetfind2026,2026kakobuysheetfind,kakobuysheet2026","refusal":null,"role":"assistant"}}],"created":1776668910,"id":"chatcmpl-DWd26zJpnu3Q81kz3svrXODddJtun","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54" t="inlineStr">
        <is>
          <t>Maison Margiela,T-Shirts,kakobuy,kakebuy2026,kekobuysheet,kakobuysheet2026,2026kakobuy,kakobuyspreadsheeet,kakobuylink,kakebuylist,Kakobuy MEGA Spreadsheet,kakobuysheetfind,kakobuysheetfind2026,2026kakobuysheetfind,kakobuysheet2026</t>
        </is>
      </c>
      <c r="Q154" t="inlineStr">
        <is>
          <t>Black, Wool, Knit, Minimalist, Autumn And Winter, Unisex</t>
        </is>
      </c>
      <c r="R154" t="inlineStr">
        <is>
          <t>recvh6xFVjXELo</t>
        </is>
      </c>
      <c r="S154" t="inlineStr">
        <is>
          <t>maison-margiela-black-wool-knit-recvh6xfvjxelo</t>
        </is>
      </c>
      <c r="T154"/>
      <c r="U154"/>
      <c r="V154"/>
      <c r="W154" t="inlineStr">
        <is>
          <t>{"choices":[{"finish_reason":"stop","index":0,"logprobs":null,"message":{"annotations":[],"content":"Maison Margiela 黑色简约针织长袖上衣，甄选柔软羊毛混纺面料，背部标志性四针缝线低调点缀，展现品牌独特解构美学。经典圆领设计，剪裁利落，男女皆宜，适合秋冬通勤与休闲穿搭，彰显极简高级质感。","refusal":null,"role":"assistant"}}],"created":1776655457,"id":"chatcmpl-DWZX7jmrQU6G8pioZBXoVfMucyBan","model":"gpt-5-chat-latest","object":"chat.completion","service_tier":"default","system_fingerprint":"fp_ad66631dec","usage":{"completion_tokens":88,"completion_tokens_details":{"accepted_prediction_tokens":0,"audio_tokens":0,"reasoning_tokens":0,"rejected_prediction_tokens":0},"prompt_tokens":1317,"prompt_tokens_details":{"audio_tokens":0,"cached_tokens":0},"total_tokens":1405}}</t>
        </is>
      </c>
      <c r="X154" t="inlineStr">
        <is>
          <t>Maison Margiela 黑色简约针织长袖上衣，甄选柔软羊毛混纺面料，背部标志性四针缝线低调点缀，展现品牌独特解构美学。经典圆领设计，剪裁利落，男女皆宜，适合秋冬通勤与休闲穿搭，彰显极简高级质感。</t>
        </is>
      </c>
    </row>
    <row r="155" ht="25.5" customHeight="1">
      <c r="A155">
        <v>1839115443</v>
      </c>
      <c r="B155">
        <v>7599297839</v>
      </c>
      <c r="C155" t="inlineStr">
        <is>
          <t>https://weidian.com/item.html?itemID=7599297839</t>
        </is>
      </c>
      <c r="D155"/>
      <c r="E155" s="2" t="str">
        <f>=HYPERLINK("https://si.geilicdn.com/pcitem1946583606-55b4000001988e07ad6f0a239646_310_310.jpg?w=640&amp;h=640", "https://si.geilicdn.com/pcitem1946583606-55b4000001988e07ad6f0a239646_310_310.jpg?w=640&amp;h=640")</f>
        <v>https://si.geilicdn.com/pcitem1946583606-55b4000001988e07ad6f0a239646_310_310.jpg?w=640&amp;h=640</v>
      </c>
      <c r="F155" t="inlineStr">
        <is>
          <t>Pants</t>
        </is>
      </c>
      <c r="G155" t="inlineStr">
        <is>
          <t>Balenciaga</t>
        </is>
      </c>
      <c r="H155" t="inlineStr">
        <is>
          <t>1539.00</t>
        </is>
      </c>
      <c r="I155">
        <v>223.04</v>
      </c>
      <c r="J155" t="inlineStr">
        <is>
          <t>{"choices":[{"finish_reason":"stop","index":0,"logprobs":null,"message":{"annotations":[],"content":"Balenciaga Black Gray Denim Cargo Pants","refusal":null,"role":"assistant"}}],"created":1776666312,"id":"chatcmpl-DWcMCK2Bpr4wmg7UpSqAPsXVLF9Si","model":"gpt-5-chat-latest","object":"chat.completion","service_tier":"default","system_fingerprint":"fp_ad66631dec","usage":{"completion_tokens":9,"completion_tokens_details":{"accepted_prediction_tokens":0,"audio_tokens":0,"reasoning_tokens":0,"rejected_prediction_tokens":0},"prompt_tokens":463,"prompt_tokens_details":{"audio_tokens":0,"cached_tokens":0},"total_tokens":472}}</t>
        </is>
      </c>
      <c r="K155" t="inlineStr">
        <is>
          <t>Balenciaga Black Gray Denim Cargo Pants</t>
        </is>
      </c>
      <c r="L155" t="inlineStr">
        <is>
          <t>{"choices":[{"finish_reason":"stop","index":0,"logprobs":null,"message":{"annotations":[],"content":"Balenciaga black-gray denim cargo pants with metal ring details, loose fit, unisex streetwear style, 90s deconstruction aesthetic, premium fabric, edgy and functional high-fashion design.","refusal":null,"role":"assistant"}}],"created":1776658500,"id":"chatcmpl-DWaKCsxHydoOLGj0t7YHtL0cuAgQA","model":"gpt-5-chat-latest","object":"chat.completion","service_tier":"default","system_fingerprint":"fp_ad66631dec","usage":{"completion_tokens":40,"completion_tokens_details":{"accepted_prediction_tokens":0,"audio_tokens":0,"reasoning_tokens":0,"rejected_prediction_tokens":0},"prompt_tokens":480,"prompt_tokens_details":{"audio_tokens":0,"cached_tokens":0},"total_tokens":520}}</t>
        </is>
      </c>
      <c r="M155" t="inlineStr">
        <is>
          <t>{"alt-svc":"h3=\":443\"; ma=2592000","apim-request-id":"058e43ba-d3c4-45dc-99a1-e0e9320bf3eb","azureml-model-session":"d20260402084046-4209e968","cache-control":"no-cache","connection":"close","content-length":"775","content-security-policy":"frame-ancestors 'self'","content-type":"application/json","date":"Mon, 20 Apr 2026 04:15:02 GMT","server":"Caddy","skip-error-remapping":"true","strict-transport-security":"max-age=31536000; includeSubDomains; preload","via":"1.1 Caddy","x-api-request-id":"20260420121500385119933Msp6g8UC","x-content-type-options":"nosniff","x-frame-options":"SAMEORIGIN","x-ms-client-request-id":"Not-Set","x-ms-is-spilled-over":"false","x-ms-rai-invoked":"true","x-ms-region":"East US 2","x-new-api-version":"0.4.39","x-oneapi-request-id":"202604200415003194610768268d9d6X9xixhWH","x-ratelimit-abusepenalty-active":"False","x-ratelimit-limit-requests":"3850","x-ratelimit-limit-tokens":"3850000","x-ratelimit-remaining-requests":"3849","x-ratelimit-remaining-tokens":"3848755","x-ratelimit-renewalperiod-requests":"60","x-ratelimit-renewalperiod-tokens":"60","x-ratelimit-reset-requests":"15","x-ratelimit-reset-tokens":"19","x-request-id":"4c81f02f-5ed4-444e-8e13-3c4e4b7ba55e"}</t>
        </is>
      </c>
      <c r="N155" t="inlineStr">
        <is>
          <t>Balenciaga black-gray denim cargo pants with metal ring details, loose fit, unisex streetwear style, 90s deconstruction aesthetic, premium fabric, edgy and functional high-fashion design.</t>
        </is>
      </c>
      <c r="O155" t="inlineStr">
        <is>
          <t>{"choices":[{"finish_reason":"stop","index":0,"logprobs":null,"message":{"annotations":[],"content":"Balenciaga,Pants,kakobuy,kakebuy2026,kekobuysheet,kakobuysheet2026,2026kakobuy,kakobuyspreadsheeet,kakobuylink,kakebuylist,Kakobuy MEGA Spreadsheet,kakobuysheetfind,kakobuysheetfind2026,2026kakobuysheetfind,kakobuysheet2026","refusal":null,"role":"assistant"}}],"created":1776667967,"id":"chatcmpl-DWcmtmpfSI6DmZEM99DIEpA7YIQlG","model":"gpt-5-chat-latest","object":"chat.completion","service_tier":"default","system_fingerprint":"fp_ad66631dec","usage":{"completion_tokens":88,"completion_tokens_details":{"accepted_prediction_tokens":0,"audio_tokens":0,"reasoning_tokens":0,"rejected_prediction_tokens":0},"prompt_tokens":364,"prompt_tokens_details":{"audio_tokens":0,"cached_tokens":0},"total_tokens":452}}</t>
        </is>
      </c>
      <c r="P155" t="inlineStr">
        <is>
          <t>Balenciaga,Pants,kakobuy,kakebuy2026,kekobuysheet,kakobuysheet2026,2026kakobuy,kakobuyspreadsheeet,kakobuylink,kakebuylist,Kakobuy MEGA Spreadsheet,kakobuysheetfind,kakobuysheetfind2026,2026kakobuysheetfind,kakobuysheet2026</t>
        </is>
      </c>
      <c r="Q155" t="inlineStr">
        <is>
          <t>Balenciaga, Black, Grey, Cargo, Streetwear, Unisex</t>
        </is>
      </c>
      <c r="R155" t="inlineStr">
        <is>
          <t>recvh6xFVj58IE</t>
        </is>
      </c>
      <c r="S155" t="inlineStr">
        <is>
          <t>balenciaga-black-gray-denim-cargo-pants-recvh6xFVj58IE</t>
        </is>
      </c>
      <c r="T155"/>
      <c r="U155"/>
      <c r="V155"/>
      <c r="W155" t="inlineStr">
        <is>
          <t>{"id":"chatcmpl-DWZPg8lDmDxXN442OJuIOtbe6XoET","object":"chat.completion","created":1776654996,"model":"gpt-5-chat-latest","choices":[{"index":0,"message":{"role":"assistant","content":"Balenciaga：黑灰色金属环装饰工装裤，采用优质丹宁面料，宽松廓形设计凸显机能美学，前卫中性风格，适合男女穿搭，呈现品牌解构主义96年代街头高定魅力。","refusal":null,"annotations":[]},"logprobs":null,"finish_reason":"stop"}],"usage":{"prompt_tokens":893,"completion_tokens":66,"total_tokens":959,"prompt_tokens_details":{"cached_tokens":0,"audio_tokens":0},"completion_tokens_details":{"reasoning_tokens":0,"audio_tokens":0,"accepted_prediction_tokens":0,"rejected_prediction_tokens":0}},"service_tier":"default","system_fingerprint":"fp_ad66631dec"}</t>
        </is>
      </c>
      <c r="X155" t="inlineStr">
        <is>
          <t>Balenciaga：黑灰色金属环装饰工装裤，采用优质丹宁面料，宽松廓形设计凸显机能美学，前卫中性风格，适合男女穿搭，呈现品牌解构主义96年代街头高定魅力。</t>
        </is>
      </c>
    </row>
    <row r="156" ht="25.5" customHeight="1">
      <c r="A156">
        <v>1839115443</v>
      </c>
      <c r="B156">
        <v>7599284007</v>
      </c>
      <c r="C156" t="inlineStr">
        <is>
          <t>https://weidian.com/item.html?itemID=7599284007</t>
        </is>
      </c>
      <c r="D156"/>
      <c r="E156" s="2" t="str">
        <f>=HYPERLINK("https://si.geilicdn.com/open1832946205-252808396-04d100000198893c791a0aa0c791_1920_1920.jpg?w=640&amp;h=640", "https://si.geilicdn.com/open1832946205-252808396-04d100000198893c791a0aa0c791_1920_1920.jpg?w=640&amp;h=640")</f>
        <v>https://si.geilicdn.com/open1832946205-252808396-04d100000198893c791a0aa0c791_1920_1920.jpg?w=640&amp;h=640</v>
      </c>
      <c r="F156" t="inlineStr">
        <is>
          <t>Jackets</t>
        </is>
      </c>
      <c r="G156" t="inlineStr">
        <is>
          <t>Canada Goose</t>
        </is>
      </c>
      <c r="H156" t="inlineStr">
        <is>
          <t>658.00</t>
        </is>
      </c>
      <c r="I156">
        <v>95.36</v>
      </c>
      <c r="J156" t="inlineStr">
        <is>
          <t>{"choices":[{"finish_reason":"stop","index":0,"logprobs":null,"message":{"annotations":[],"content":"Canada Goose Black Lightweight Down Hooded Jacket","refusal":null,"role":"assistant"}}],"created":1776666599,"id":"chatcmpl-DWcQpWKzx6fgohDIzp6mteNrfrHN5","model":"gpt-5-chat-latest","object":"chat.completion","service_tier":"default","system_fingerprint":"fp_ad66631dec","usage":{"completion_tokens":9,"completion_tokens_details":{"accepted_prediction_tokens":0,"audio_tokens":0,"reasoning_tokens":0,"rejected_prediction_tokens":0},"prompt_tokens":888,"prompt_tokens_details":{"audio_tokens":0,"cached_tokens":0},"total_tokens":897}}</t>
        </is>
      </c>
      <c r="K156" t="inlineStr">
        <is>
          <t>Canada Goose Black Lightweight Down Hooded Jacket</t>
        </is>
      </c>
      <c r="L156" t="inlineStr">
        <is>
          <t>{"choices":[{"finish_reason":"stop","index":0,"logprobs":null,"message":{"annotations":[],"content":"Canada Goose black lightweight down jacket, made of high-quality windproof waterproof nylon, filled with white duck down, 3D cut, adjustable hood, unisex, warm, breathable, stylish urban outdoor design.","refusal":null,"role":"assistant"}}],"created":1776659090,"id":"chatcmpl-DWaTi803metR641IOK2qnLc5mIC79","model":"gpt-5-chat-latest","object":"chat.completion","service_tier":"default","system_fingerprint":"fp_ad66631dec","usage":{"completion_tokens":43,"completion_tokens_details":{"accepted_prediction_tokens":0,"audio_tokens":0,"reasoning_tokens":0,"rejected_prediction_tokens":0},"prompt_tokens":904,"prompt_tokens_details":{"audio_tokens":0,"cached_tokens":0},"total_tokens":947}}</t>
        </is>
      </c>
      <c r="M156" t="inlineStr">
        <is>
          <t>{"alt-svc":"h3=\":443\"; ma=2592000","apim-request-id":"332e5778-f8c2-4eb8-be92-452b10b3c488","azureml-model-session":"d20260402083108-57a85543","cache-control":"no-cache","connection":"close","content-length":"790","content-security-policy":"frame-ancestors 'self'","content-type":"application/json","date":"Mon, 20 Apr 2026 04:24:51 GMT","server":"Caddy","skip-error-remapping":"true","strict-transport-security":"max-age=31536000; includeSubDomains; preload","via":"1.1 Caddy","x-api-request-id":"20260420122450216592341Sn2d3fHL","x-content-type-options":"nosniff","x-frame-options":"SAMEORIGIN","x-ms-client-request-id":"Not-Set","x-ms-is-spilled-over":"false","x-ms-rai-invoked":"true","x-ms-region":"East US 2","x-new-api-version":"0.4.39","x-oneapi-request-id":"202604200424501497053808268d9d6Swn7zFjZ","x-ratelimit-abusepenalty-active":"False","x-ratelimit-limit-requests":"3850","x-ratelimit-limit-tokens":"3850000","x-ratelimit-remaining-requests":"3849","x-ratelimit-remaining-tokens":"3848334","x-ratelimit-renewalperiod-requests":"60","x-ratelimit-renewalperiod-tokens":"60","x-ratelimit-reset-requests":"15","x-ratelimit-reset-tokens":"25","x-request-id":"c8b9c175-9002-4adf-91ff-195fbaa495c2"}</t>
        </is>
      </c>
      <c r="N156" t="inlineStr">
        <is>
          <t>Canada Goose black lightweight down jacket, made of high-quality windproof waterproof nylon, filled with white duck down, 3D cut, adjustable hood, unisex, warm, breathable, stylish urban outdoor design.</t>
        </is>
      </c>
      <c r="O156" t="inlineStr">
        <is>
          <t>{"choices":[{"finish_reason":"stop","index":0,"logprobs":null,"message":{"annotations":[],"content":"Canada Goose, Jacket, kakobuy, kakebuy2026, kekobuysheet, kakobuysheet2026, 2026kakobuy, kakobuyspreadsheeet, kakobuylink, kakebuylist, Kakobuy MEGA Spreadsheet, kakobuysheetfind, kakobuysheetfind2026, 2026kakobuysheetfind, kakobuysheet2026","refusal":null,"role":"assistant"}}],"created":1776668537,"id":"chatcmpl-DWcw5ic5uuIv43J0lYqIfMCSyekf6","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56" t="inlineStr">
        <is>
          <t>Canada Goose, Jacket, kakobuy, kakebuy2026, kekobuysheet, kakobuysheet2026, 2026kakobuy, kakobuyspreadsheeet, kakobuylink, kakebuylist, Kakobuy MEGA Spreadsheet, kakobuysheetfind, kakobuysheetfind2026, 2026kakobuysheetfind, kakobuysheet2026</t>
        </is>
      </c>
      <c r="Q156" t="inlineStr">
        <is>
          <t>Black, Lightweight, Windproof, Waterproof, Unisex, Nylon</t>
        </is>
      </c>
      <c r="R156" t="inlineStr">
        <is>
          <t>recvh6xFVj49lb</t>
        </is>
      </c>
      <c r="S156" t="inlineStr">
        <is>
          <t>canada-goose-black-lightweight-down-hooded-jacket-recvh6xfvj49lb</t>
        </is>
      </c>
      <c r="T156"/>
      <c r="U156"/>
      <c r="V156"/>
      <c r="W156" t="inlineStr">
        <is>
          <t>{"choices":[{"finish_reason":"stop","index":0,"logprobs":null,"message":{"annotations":[],"content":"Canada Goose：黑色轻量羽绒夹克，高品质防风防水尼龙面料填充白鸭绒，立体裁剪配可调节连帽设计，简约造型彰显都市户外风格，男女皆宜，保暖透气兼具时尚功能。","refusal":null,"role":"assistant"}}],"created":1776654955,"id":"chatcmpl-DWZP1rSyw39LSUbRZaa8fKNw9LK5q","model":"gpt-5-chat-latest","object":"chat.completion","service_tier":"default","system_fingerprint":"fp_ad66631dec","usage":{"completion_tokens":69,"completion_tokens_details":{"accepted_prediction_tokens":0,"audio_tokens":0,"reasoning_tokens":0,"rejected_prediction_tokens":0},"prompt_tokens":1316,"prompt_tokens_details":{"audio_tokens":0,"cached_tokens":1280},"total_tokens":1385}}</t>
        </is>
      </c>
      <c r="X156" t="inlineStr">
        <is>
          <t>Canada Goose：黑色轻量羽绒夹克，高品质防风防水尼龙面料填充白鸭绒，立体裁剪配可调节连帽设计，简约造型彰显都市户外风格，男女皆宜，保暖透气兼具时尚功能。</t>
        </is>
      </c>
    </row>
    <row r="157" ht="25.5" customHeight="1">
      <c r="A157">
        <v>1839115443</v>
      </c>
      <c r="B157">
        <v>7599223123</v>
      </c>
      <c r="C157" t="inlineStr">
        <is>
          <t>https://weidian.com/item.html?itemID=7599223123</t>
        </is>
      </c>
      <c r="D157"/>
      <c r="E157" s="2" t="str">
        <f>=HYPERLINK("https://si.geilicdn.com/open1832946205-252808396-3b3300000196cddcd61c0aa08290_1066_1066.jpg?w=640&amp;h=640", "https://si.geilicdn.com/open1832946205-252808396-3b3300000196cddcd61c0aa08290_1066_1066.jpg?w=640&amp;h=640")</f>
        <v>https://si.geilicdn.com/open1832946205-252808396-3b3300000196cddcd61c0aa08290_1066_1066.jpg?w=640&amp;h=640</v>
      </c>
      <c r="F157" t="inlineStr">
        <is>
          <t>Pants</t>
        </is>
      </c>
      <c r="G157" t="inlineStr">
        <is>
          <t>Ralph Lauren</t>
        </is>
      </c>
      <c r="H157" t="inlineStr">
        <is>
          <t>65.00</t>
        </is>
      </c>
      <c r="I157">
        <v>9.42</v>
      </c>
      <c r="J157" t="inlineStr">
        <is>
          <t>{"id":"chatcmpl-DWcDzYn6zZS3TzcRIslaKpZ0ljF2b","object":"chat.completion","created":1776665803,"model":"gpt-5-chat-latest","choices":[{"index":0,"message":{"role":"assistant","content":"Ralph Lauren Black Cotton Rider Logo T-Shir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57" t="inlineStr">
        <is>
          <t>Ralph Lauren Black Cotton Rider Logo T-Shirt</t>
        </is>
      </c>
      <c r="L157" t="inlineStr">
        <is>
          <t>{"id":"chatcmpl-DWaRXzJtJETgy8ZxraGgHo93BgExP","object":"chat.completion","created":1776658955,"model":"gpt-5-chat-latest","choices":[{"index":0,"message":{"role":"assistant","content":"Ralph Lauren classic black cotton T-shirt with embroidered rider logo on chest, soft breathable fabric, crew neck design, unisex casual style perfect for everyday urban wear.","refusal":null,"annotations":[]},"logprobs":null,"finish_reason":"stop"}],"usage":{"prompt_tokens":909,"completion_tokens":34,"total_tokens":943,"prompt_tokens_details":{"cached_tokens":0,"audio_tokens":0},"completion_tokens_details":{"reasoning_tokens":0,"audio_tokens":0,"accepted_prediction_tokens":0,"rejected_prediction_tokens":0}},"service_tier":"default","system_fingerprint":"fp_ad66631dec"}</t>
        </is>
      </c>
      <c r="M15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ma=2592000","apim-request-id":"9c78f8ae-7ee9-4a09-af1e-597f5da6191c","azureml-model-session":"d20260405234249-f9874baf","cache-control":"no-cache, no-store, must-revalidate","connection":"close","content-length":"978","content-security-policy":"frame-ancestors 'self'","content-type":"application/json","date":"Mon, 20 Apr 2026 04:22:37 GMT","server":"Caddy","skip-error-remapping":"true","strict-transport-security":"max-age=31536000; includeSubDomains; preload","via":"1.1 Caddy","x-api-request-id":"20260420122234631053388ZOQlHMn9","x-content-type-options":"nosniff","x-frame-options":"SAMEORIGIN","x-ms-is-spilled-over":"false","x-ms-rai-invoked":"false","x-ms-region":"Sweden Central","x-new-api-version":"0.4.39","x-oneapi-request-id":"202604200422345635540708268d9d6ovfOaRxJ","x-ratelimit-abusepenalty-active":"False","x-ratelimit-limit-requests":"4993","x-ratelimit-limit-tokens":"4993000","x-ratelimit-remaining-requests":"4992","x-ratelimit-remaining-tokens":"4991329","x-ratelimit-renewalperiod-requests":"60","x-ratelimit-renewalperiod-tokens":"60","x-ratelimit-reset-requests":"12","x-ratelimit-reset-tokens":"20","x-request-id":"872e2cd8-7199-45e6-89bc-bfa12336c350"}</t>
        </is>
      </c>
      <c r="N157" t="inlineStr">
        <is>
          <t>Ralph Lauren classic black cotton T-shirt with embroidered rider logo on chest, soft breathable fabric, crew neck design, unisex casual style perfect for everyday urban wear.</t>
        </is>
      </c>
      <c r="O157" t="inlineStr">
        <is>
          <t>{"choices":[{"finish_reason":"stop","index":0,"logprobs":null,"message":{"annotations":[],"content":"Ralph Lauren, T-shirt, kakobuy, kakebuy2026, kekobuysheet, kakobuysheet2026, 2026kakobuy, kakobuyspreadsheeet, kakobuylink, kakebuylist, Kakobuy MEGA Spreadsheet, kakobuysheetfind, kakobuysheetfind2026, 2026kakobuysheetfind, kakobuysheet2026","refusal":null,"role":"assistant"}}],"created":1776667329,"id":"chatcmpl-DWccbpjQ9BgH8tI9EDNhGf8f6GEeu","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57" t="inlineStr">
        <is>
          <t>Ralph Lauren, T-shirt, kakobuy, kakebuy2026, kekobuysheet, kakobuysheet2026, 2026kakobuy, kakobuyspreadsheeet, kakobuylink, kakebuylist, Kakobuy MEGA Spreadsheet, kakobuysheetfind, kakobuysheetfind2026, 2026kakobuysheetfind, kakobuysheet2026</t>
        </is>
      </c>
      <c r="Q157" t="inlineStr">
        <is>
          <t>Black, Unisex, Breathable</t>
        </is>
      </c>
      <c r="R157" t="inlineStr">
        <is>
          <t>recvh6xFVjnv4R</t>
        </is>
      </c>
      <c r="S157" t="inlineStr">
        <is>
          <t>ralph-lauren-black-cotton-rider-logo-t-shirt-recvh6xFVjnv4R</t>
        </is>
      </c>
      <c r="T157"/>
      <c r="U157"/>
      <c r="V157"/>
      <c r="W157" t="inlineStr">
        <is>
          <t>{"choices":[{"finish_reason":"stop","index":0,"logprobs":null,"message":{"annotations":[],"content":"Ralph Lauren：经典黑色纯棉短袖T恤，简约圆领设计，左胸刺绣标志骑士Logo，柔软透气面料，展现美式休闲风格，男女皆宜，兼具舒适与时尚，适合日常与都市穿搭。","refusal":null,"role":"assistant"}}],"created":1776655494,"id":"chatcmpl-DWZXiHXnfqgQBHqwAaRIQUZRiHEls","model":"gpt-5-chat-latest","object":"chat.completion","service_tier":"default","system_fingerprint":"fp_ad66631dec","usage":{"completion_tokens":71,"completion_tokens_details":{"accepted_prediction_tokens":0,"audio_tokens":0,"reasoning_tokens":0,"rejected_prediction_tokens":0},"prompt_tokens":1321,"prompt_tokens_details":{"audio_tokens":0,"cached_tokens":0},"total_tokens":1392}}</t>
        </is>
      </c>
      <c r="X157" t="inlineStr">
        <is>
          <t>Ralph Lauren：经典黑色纯棉短袖T恤，简约圆领设计，左胸刺绣标志骑士Logo，柔软透气面料，展现美式休闲风格，男女皆宜，兼具舒适与时尚，适合日常与都市穿搭。</t>
        </is>
      </c>
    </row>
    <row r="158" ht="25.5" customHeight="1">
      <c r="A158">
        <v>1839115443</v>
      </c>
      <c r="B158">
        <v>7599256699</v>
      </c>
      <c r="C158" t="inlineStr">
        <is>
          <t>https://weidian.com/item.html?itemID=7599256699</t>
        </is>
      </c>
      <c r="D158"/>
      <c r="E158" s="2" t="str">
        <f>=HYPERLINK("https://si.geilicdn.com/pcitem1946583606-42c000000196ce3a7e580a23037f_640_640.jpg?w=640&amp;h=640", "https://si.geilicdn.com/pcitem1946583606-42c000000196ce3a7e580a23037f_640_640.jpg?w=640&amp;h=640")</f>
        <v>https://si.geilicdn.com/pcitem1946583606-42c000000196ce3a7e580a23037f_640_640.jpg?w=640&amp;h=640</v>
      </c>
      <c r="F158" t="inlineStr">
        <is>
          <t>T-Shirts</t>
        </is>
      </c>
      <c r="G158" t="inlineStr">
        <is>
          <t>Nike</t>
        </is>
      </c>
      <c r="H158" t="inlineStr">
        <is>
          <t>60.00</t>
        </is>
      </c>
      <c r="I158">
        <v>8.69565217391304</v>
      </c>
      <c r="J158" t="inlineStr">
        <is>
          <t>{"choices":[{"finish_reason":"stop","index":0,"logprobs":null,"message":{"annotations":[],"content":"Nike Beige Cotton T-Shirt Red Blue 3D Logo Unisex","refusal":null,"role":"assistant"}}],"created":1776666046,"id":"chatcmpl-DWcHuUZqPvF6kFAEECNXbEYy3rnYv","model":"gpt-5-chat-latest","object":"chat.completion","service_tier":"default","system_fingerprint":"fp_ad66631dec","usage":{"completion_tokens":14,"completion_tokens_details":{"accepted_prediction_tokens":0,"audio_tokens":0,"reasoning_tokens":0,"rejected_prediction_tokens":0},"prompt_tokens":873,"prompt_tokens_details":{"audio_tokens":0,"cached_tokens":0},"total_tokens":887}}</t>
        </is>
      </c>
      <c r="K158" t="inlineStr">
        <is>
          <t>Nike Beige Cotton T-Shirt Red Blue 3D Logo Unisex</t>
        </is>
      </c>
      <c r="L158" t="inlineStr">
        <is>
          <t>{"choices":[{"finish_reason":"stop","index":0,"logprobs":null,"message":{"annotations":[],"content":"Nike Beige Cotton T-Shirt with bold red and blue 3D logo print, breathable fabric, unisex fit, simple streetwear style perfect for daily casual and sporty looks.","refusal":null,"role":"assistant"}}],"created":1776658843,"id":"chatcmpl-DWaPjT27vIuIrbdza3F4MUZCT7bdl","model":"gpt-5-chat-latest","object":"chat.completion","service_tier":"default","system_fingerprint":"fp_ad66631dec","usage":{"completion_tokens":36,"completion_tokens_details":{"accepted_prediction_tokens":0,"audio_tokens":0,"reasoning_tokens":0,"rejected_prediction_tokens":0},"prompt_tokens":899,"prompt_tokens_details":{"audio_tokens":0,"cached_tokens":0},"total_tokens":935}}</t>
        </is>
      </c>
      <c r="M158" t="inlineStr">
        <is>
          <t>{"alt-svc":"h3=\":443\"; ma=2592000","apim-request-id":"6cc79c1f-229d-4918-b23e-5f483fcc8ab9","azureml-model-session":"d20260405234249-f9874baf","cache-control":"no-cache","connection":"close","content-length":"749","content-security-policy":"frame-ancestors 'self'","content-type":"application/json","date":"Mon, 20 Apr 2026 04:20:44 GMT","server":"nginx","skip-error-remapping":"true","strict-transport-security":"max-age=31536000; includeSubDomains; preload","via":"1.1 Caddy, 1.1 Caddy","x-api-request-id":"20260420122042567338143hbNRxPIb","x-content-type-options":"nosniff","x-frame-options":"SAMEORIGIN","x-ms-client-request-id":"Not-Set","x-ms-is-spilled-over":"false","x-ms-rai-invoked":"true","x-ms-region":"East US 2","x-new-api-version":"0.4.39","x-oneapi-request-id":"202604200420425019240778268d9d6XaAgtDmq","x-ratelimit-abusepenalty-active":"False","x-ratelimit-limit-requests":"3850","x-ratelimit-limit-tokens":"3850000","x-ratelimit-remaining-requests":"3849","x-ratelimit-remaining-tokens":"3848339","x-ratelimit-renewalperiod-requests":"60","x-ratelimit-renewalperiod-tokens":"60","x-ratelimit-reset-requests":"15","x-ratelimit-reset-tokens":"25","x-request-id":"f94f6fdc-2dfd-4090-b14b-c0b887c5660e"}</t>
        </is>
      </c>
      <c r="N158" t="inlineStr">
        <is>
          <t>Nike Beige Cotton T-Shirt with bold red and blue 3D logo print, breathable fabric, unisex fit, simple streetwear style perfect for daily casual and sporty looks.</t>
        </is>
      </c>
      <c r="O158" t="inlineStr">
        <is>
          <t>{"choices":[{"finish_reason":"stop","index":0,"logprobs":null,"message":{"annotations":[],"content":"Nike,T-Shirts,kakobuy,kakebuy2026,kekobuysheet,kakobuysheet2026,2026kakobuy,kakobuyspreadsheeet,kakobuylink,kakebuylist,Kakobuy MEGA Spreadsheet,kakobuysheetfind,kakobuysheetfind2026,2026kakobuysheetfind,kakobuysheet2026","refusal":null,"role":"assistant"}}],"created":1776668122,"id":"chatcmpl-DWcpOzG0rJIsgDnRbKq2Ijy4YWLvt","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58" t="inlineStr">
        <is>
          <t>Nike,T-Shirts,kakobuy,kakebuy2026,kekobuysheet,kakobuysheet2026,2026kakobuy,kakobuyspreadsheeet,kakobuylink,kakebuylist,Kakobuy MEGA Spreadsheet,kakobuysheetfind,kakobuysheetfind2026,2026kakobuysheetfind,kakobuysheet2026</t>
        </is>
      </c>
      <c r="Q158" t="inlineStr">
        <is>
          <t>Nike, Beige, Red, Blue, Streetwear, Unisex</t>
        </is>
      </c>
      <c r="R158" t="inlineStr">
        <is>
          <t>recvh6xFVjkiKC</t>
        </is>
      </c>
      <c r="S158" t="inlineStr">
        <is>
          <t>nike-beige-cotton-tshirt-red-blue-3d-logo-recvh6xfvjkikc</t>
        </is>
      </c>
      <c r="T158"/>
      <c r="U158"/>
      <c r="V158"/>
      <c r="W158" t="inlineStr">
        <is>
          <t>{"id":"chatcmpl-DWZNjn7ADwn571inxGjksyOxGWZiW","object":"chat.completion","created":1776654875,"model":"gpt-5-chat-latest","choices":[{"index":0,"message":{"role":"assistant","content":"Nike：米色休闲印花T恤，采用柔软纯棉面料，胸前标志性红蓝立体Logo印花，简约设计融合街头运动风格， 男女通用版型，轻盈透气，适合日常休闲与运动穿搭。","refusal":null,"annotations":[]},"logprobs":null,"finish_reason":"stop"}],"usage":{"prompt_tokens":1307,"completion_tokens":67,"total_tokens":1374,"prompt_tokens_details":{"cached_tokens":0,"audio_tokens":0},"completion_tokens_details":{"reasoning_tokens":0,"audio_tokens":0,"accepted_prediction_tokens":0,"rejected_prediction_tokens":0}},"service_tier":"default","system_fingerprint":"fp_ad66631dec"}</t>
        </is>
      </c>
      <c r="X158" t="inlineStr">
        <is>
          <t>Nike：米色休闲印花T恤，采用柔软纯棉面料，胸前标志性红蓝立体Logo印花，简约设计融合街头运动风格， 男女通用版型，轻盈透气，适合日常休闲与运动穿搭。</t>
        </is>
      </c>
    </row>
    <row r="159" ht="25.5" customHeight="1">
      <c r="A159">
        <v>1839115443</v>
      </c>
      <c r="B159">
        <v>7623031527</v>
      </c>
      <c r="C159" t="inlineStr">
        <is>
          <t>https://weidian.com/item.html?itemID=7623031527</t>
        </is>
      </c>
      <c r="D159"/>
      <c r="E159" s="2" t="str">
        <f>=HYPERLINK("https://si.geilicdn.com/open1839115443-252808396-27a50000019addff09c10a8133b0_790_1032.jpg?w=640&amp;h=640", "https://si.geilicdn.com/open1839115443-252808396-27a50000019addff09c10a8133b0_790_1032.jpg?w=640&amp;h=640")</f>
        <v>https://si.geilicdn.com/open1839115443-252808396-27a50000019addff09c10a8133b0_790_1032.jpg?w=640&amp;h=640</v>
      </c>
      <c r="F159" t="inlineStr">
        <is>
          <t>Hats</t>
        </is>
      </c>
      <c r="G159" t="inlineStr">
        <is>
          <t>Other</t>
        </is>
      </c>
      <c r="H159" t="inlineStr">
        <is>
          <t>42.00</t>
        </is>
      </c>
      <c r="I159">
        <v>6.09</v>
      </c>
      <c r="J159" t="inlineStr">
        <is>
          <t>{"choices":[{"finish_reason":"stop","index":0,"logprobs":null,"message":{"annotations":[],"content":"HatsOther Vintage Washed Blue 3D Embroidered Cotton Cap","refusal":null,"role":"assistant"}}],"created":1776666427,"id":"chatcmpl-DWcO3rz5x7hwuWkhn4vgGZxwS3CMi","model":"gpt-5-chat-latest","object":"chat.completion","service_tier":"default","system_fingerprint":"fp_ad66631dec","usage":{"completion_tokens":16,"completion_tokens_details":{"accepted_prediction_tokens":0,"audio_tokens":0,"reasoning_tokens":0,"rejected_prediction_tokens":0},"prompt_tokens":883,"prompt_tokens_details":{"audio_tokens":0,"cached_tokens":0},"total_tokens":899}}</t>
        </is>
      </c>
      <c r="K159" t="inlineStr">
        <is>
          <t>HatsOther Vintage Washed Blue 3D Embroidered Cotton Cap</t>
        </is>
      </c>
      <c r="L159" t="inlineStr">
        <is>
          <t>{"choices":[{"finish_reason":"stop","index":0,"logprobs":null,"message":{"annotations":[],"content":"HatsOther Vintage Washed Blue Baseball Cap with 3D Letter Embroidery, Soft Breathable Cotton, Unisex Street Style, Casual Versatile Look, Adds Effortless Personality and Charm.","refusal":null,"role":"assistant"}}],"created":1776659275,"id":"chatcmpl-DWaWh4M26vAeHVxAjSn9W7jKZkpqG","model":"gpt-5-chat-latest","object":"chat.completion","service_tier":"default","system_fingerprint":"fp_ad66631dec","usage":{"completion_tokens":41,"completion_tokens_details":{"accepted_prediction_tokens":0,"audio_tokens":0,"reasoning_tokens":0,"rejected_prediction_tokens":0},"prompt_tokens":887,"prompt_tokens_details":{"audio_tokens":0,"cached_tokens":0},"total_tokens":928}}</t>
        </is>
      </c>
      <c r="M159" t="inlineStr">
        <is>
          <t>{"alt-svc":"h3=\":443\"; ma=2592000","apim-request-id":"21161955-5ee1-4b9f-8e2b-bb8821960671","azureml-model-session":"d20260405234249-f9874baf","cache-control":"no-cache","connection":"close","content-length":"764","content-security-policy":"frame-ancestors 'self'","content-type":"application/json","date":"Mon, 20 Apr 2026 04:27:56 GMT","server":"nginx","skip-error-remapping":"true","strict-transport-security":"max-age=31536000; includeSubDomains; preload","via":"1.1 Caddy, 1.1 Caddy","x-api-request-id":"20260420122754131341818ZxnFFUAw","x-content-type-options":"nosniff","x-frame-options":"SAMEORIGIN","x-ms-client-request-id":"Not-Set","x-ms-is-spilled-over":"false","x-ms-rai-invoked":"true","x-ms-region":"East US 2","x-new-api-version":"0.4.39","x-oneapi-request-id":"20260420042754654830398268d9d6F3ElFAhr","x-ratelimit-abusepenalty-active":"False","x-ratelimit-limit-requests":"3850","x-ratelimit-limit-tokens":"3850000","x-ratelimit-remaining-requests":"3849","x-ratelimit-remaining-tokens":"3848351","x-ratelimit-renewalperiod-requests":"60","x-ratelimit-renewalperiod-tokens":"60","x-ratelimit-reset-requests":"15","x-ratelimit-reset-tokens":"25","x-request-id":"f308fa5b-9194-4125-b177-468571c01491"}</t>
        </is>
      </c>
      <c r="N159" t="inlineStr">
        <is>
          <t>HatsOther Vintage Washed Blue Baseball Cap with 3D Letter Embroidery, Soft Breathable Cotton, Unisex Street Style, Casual Versatile Look, Adds Effortless Personality and Charm.</t>
        </is>
      </c>
      <c r="O159" t="inlineStr">
        <is>
          <t>{"choices":[{"finish_reason":"stop","index":0,"logprobs":null,"message":{"annotations":[],"content":"Ohlando,Hat,kakobuy,kakebuy2026,kekobuysheet,kakobuysheet2026,2026kakobuy,kakobuyspreadsheeet,kakobuylink,kakebuylist,Kakobuy MEGA Spreadsheet,kakobuysheetfind,kakobuysheetfind2026,2026kakobuysheetfind,kakobuysheet2026","refusal":null,"role":"assistant"}}],"created":1776668076,"id":"chatcmpl-DWcoeXvfVJ2xlld0a7WUrRacfNVeK","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59" t="inlineStr">
        <is>
          <t>Ohlando,Hat,kakobuy,kakebuy2026,kekobuysheet,kakobuysheet2026,2026kakobuy,kakobuyspreadsheeet,kakobuylink,kakebuylist,Kakobuy MEGA Spreadsheet,kakobuysheetfind,kakobuysheetfind2026,2026kakobuysheetfind,kakobuysheet2026</t>
        </is>
      </c>
      <c r="Q159" t="inlineStr">
        <is>
          <t>Blue, Streetwear, Unisex, Breathable</t>
        </is>
      </c>
      <c r="R159" t="inlineStr">
        <is>
          <t>recvh6xFVj8nYU</t>
        </is>
      </c>
      <c r="S159" t="inlineStr">
        <is>
          <t>vintage-washed-blue-3d-embroidered-cotton-cap-recvh6xFVj8nYU</t>
        </is>
      </c>
      <c r="T159"/>
      <c r="U159"/>
      <c r="V159"/>
      <c r="W159" t="inlineStr">
        <is>
          <t>{"id":"chatcmpl-DWZdSgoYnWihlVA700XusnuDZQtWS","object":"chat.completion","created":1776655850,"model":"gpt-5-chat-latest","choices":[{"index":0,"message":{"role":"assistant","content":"复古水洗蓝做旧棒球帽，立体字母刺绣设计，柔软纯棉材质透气舒适，中性街头风格休闲百搭，彰显随性个性魅力。","refusal":null,"annotations":[]},"logprobs":null,"finish_reason":"stop"}],"usage":{"prompt_tokens":1313,"completion_tokens":52,"total_tokens":1365,"prompt_tokens_details":{"cached_tokens":0,"audio_tokens":0},"completion_tokens_details":{"reasoning_tokens":0,"audio_tokens":0,"accepted_prediction_tokens":0,"rejected_prediction_tokens":0}},"service_tier":"default","system_fingerprint":"fp_ad66631dec"}</t>
        </is>
      </c>
      <c r="X159" t="inlineStr">
        <is>
          <t>复古水洗蓝做旧棒球帽，立体字母刺绣设计，柔软纯棉材质透气舒适，中性街头风格休闲百搭，彰显随性个性魅力。</t>
        </is>
      </c>
    </row>
    <row r="160" ht="25.5" customHeight="1">
      <c r="A160">
        <v>1839115443</v>
      </c>
      <c r="B160">
        <v>7623057153</v>
      </c>
      <c r="C160" t="inlineStr">
        <is>
          <t>https://weidian.com/item.html?itemID=7623057153</t>
        </is>
      </c>
      <c r="D160"/>
      <c r="E160" s="2" t="str">
        <f>=HYPERLINK("https://si.geilicdn.com/open1839115443-252808396-2e3b0000019addf967d80a23b4de_790_854.jpg?w=640&amp;h=640", "https://si.geilicdn.com/open1839115443-252808396-2e3b0000019addf967d80a23b4de_790_854.jpg?w=640&amp;h=640")</f>
        <v>https://si.geilicdn.com/open1839115443-252808396-2e3b0000019addf967d80a23b4de_790_854.jpg?w=640&amp;h=640</v>
      </c>
      <c r="F160" t="inlineStr">
        <is>
          <t>Hats</t>
        </is>
      </c>
      <c r="G160" t="inlineStr">
        <is>
          <t>Other</t>
        </is>
      </c>
      <c r="H160" t="inlineStr">
        <is>
          <t>33.00</t>
        </is>
      </c>
      <c r="I160">
        <v>4.78</v>
      </c>
      <c r="J160" t="inlineStr">
        <is>
          <t>{"id":"chatcmpl-DWcQSlJVeTBTHu85pZ2BXP1GndvBH","object":"chat.completion","created":1776666576,"model":"gpt-5-chat-latest","choices":[{"index":0,"message":{"role":"assistant","content":"HatsOther RR Classic Navy Knit Beanie Unisex Winter Hat","refusal":null,"annotations":[]},"logprobs":null,"finish_reason":"stop"}],"usage":{"prompt_tokens":877,"completion_tokens":14,"total_tokens":891,"prompt_tokens_details":{"cached_tokens":0,"audio_tokens":0},"completion_tokens_details":{"reasoning_tokens":0,"audio_tokens":0,"accepted_prediction_tokens":0,"rejected_prediction_tokens":0}},"service_tier":"default","system_fingerprint":"fp_ad66631dec"}</t>
        </is>
      </c>
      <c r="K160" t="inlineStr">
        <is>
          <t>HatsOther RR Classic Navy Knit Beanie Unisex Winter Hat</t>
        </is>
      </c>
      <c r="L160" t="inlineStr">
        <is>
          <t>{"id":"chatcmpl-DWaPCPOPaVKVcjsGKGDXqXpo1Lp3e","object":"chat.completion","created":1776658810,"model":"gpt-5-chat-latest","choices":[{"index":0,"message":{"role":"assistant","content":"HatsOther RR Classic navy knit beanie, made from soft acrylic blend with fine rib texture, unisex winter hat for outdoor casual street style, cozy fit for modern urban look.","refusal":null,"annotations":[]},"logprobs":null,"finish_reason":"stop"}],"usage":{"prompt_tokens":913,"completion_tokens":38,"total_tokens":951,"prompt_tokens_details":{"cached_tokens":0,"audio_tokens":0},"completion_tokens_details":{"reasoning_tokens":0,"audio_tokens":0,"accepted_prediction_tokens":0,"rejected_prediction_tokens":0}},"service_tier":"default","system_fingerprint":"fp_ad66631dec"}</t>
        </is>
      </c>
      <c r="M16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ma=2592000","apim-request-id":"20936682-c9fe-4c6f-8b68-7ec775f731a1","azureml-model-session":"d20260402075109-1fc5a0ec","cache-control":"no-cache, no-store, must-revalidate","connection":"close","content-length":"977","content-security-policy":"frame-ancestors 'self'","content-type":"application/json","date":"Mon, 20 Apr 2026 04:20:11 GMT","server":"Caddy","skip-error-remapping":"true","strict-transport-security":"max-age=31536000; includeSubDomains; preload","via":"1.1 Caddy","x-api-request-id":"20260420122009520920005EiIolrqZ","x-content-type-options":"nosniff","x-frame-options":"SAMEORIGIN","x-ms-is-spilled-over":"false","x-ms-rai-invoked":"false","x-ms-region":"East US 2","x-new-api-version":"0.4.39","x-oneapi-request-id":"202604200420094010679798268d9d6yWjpJPv4","x-ratelimit-abusepenalty-active":"False","x-ratelimit-limit-requests":"4994","x-ratelimit-limit-tokens":"4994000","x-ratelimit-remaining-requests":"4993","x-ratelimit-remaining-tokens":"4992325","x-ratelimit-renewalperiod-requests":"60","x-ratelimit-renewalperiod-tokens":"60","x-ratelimit-reset-requests":"12","x-ratelimit-reset-tokens":"20","x-request-id":"a692bb78-9292-4685-ada4-7e5bf428c7cf"}</t>
        </is>
      </c>
      <c r="N160" t="inlineStr">
        <is>
          <t>HatsOther RR Classic navy knit beanie, made from soft acrylic blend with fine rib texture, unisex winter hat for outdoor casual street style, cozy fit for modern urban look.</t>
        </is>
      </c>
      <c r="O160" t="inlineStr">
        <is>
          <t>{"choices":[{"finish_reason":"stop","index":0,"logprobs":null,"message":{"annotations":[],"content":"RR Classic Fashion, Hat, kakobuy, kakebuy2026, kekobuysheet, kakobuysheet2026, 2026kakobuy, kakobuyspreadsheet, kakobuylink, kakebuylist, Kakobuy MEGA Spreadsheet, kakobuysheetfind, kakobuysheetfind2026, 2026kakobuysheetfind, kakobuysheet2026","refusal":null,"role":"assistant"}}],"created":1776668586,"id":"chatcmpl-DWcwsCkvZAQJyOodrJUTpD01Y4j5W","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60" t="inlineStr">
        <is>
          <t>RR Classic Fashion, Hat, kakobuy, kakebuy2026, kekobuysheet, kakobuysheet2026, 2026kakobuy, kakobuyspreadsheet, kakobuylink, kakebuylist, Kakobuy MEGA Spreadsheet, kakobuysheetfind, kakobuysheetfind2026, 2026kakobuysheetfind, kakobuysheet2026</t>
        </is>
      </c>
      <c r="Q160" t="inlineStr">
        <is>
          <t>Winter, Unisex, Outdoor, Streetwear, Acrylic Fiber, Knit</t>
        </is>
      </c>
      <c r="R160" t="inlineStr">
        <is>
          <t>recvh6xFVjAtrv</t>
        </is>
      </c>
      <c r="S160" t="inlineStr">
        <is>
          <t>hatsother-rr-classic-navy-knit-beanie-recvh6xfvjAtrv</t>
        </is>
      </c>
      <c r="T160"/>
      <c r="U160"/>
      <c r="V160"/>
      <c r="W160" t="inlineStr">
        <is>
          <t>{"id":"chatcmpl-DWZfcTxmY6LpmXkpzKqxt24Tr05ij","object":"chat.completion","created":1776655984,"model":"gpt-5-chat-latest","choices":[{"index":0,"message":{"role":"assistant","content":"深蓝色针织保暖帽，甄选柔软腈纶混纺材质，罗纹织法质感细腻，前贴RR标识彰显简约设计。男女通用款，休闲街头风格，适合冬季户外穿搭，舒适贴合展现现代都市感。","refusal":null,"annotations":[]},"logprobs":null,"finish_reason":"stop"}],"usage":{"prompt_tokens":1315,"completion_tokens":77,"total_tokens":1392,"prompt_tokens_details":{"cached_tokens":0,"audio_tokens":0},"completion_tokens_details":{"reasoning_tokens":0,"audio_tokens":0,"accepted_prediction_tokens":0,"rejected_prediction_tokens":0}},"service_tier":"default","system_fingerprint":"fp_ad66631dec"}</t>
        </is>
      </c>
      <c r="X160" t="inlineStr">
        <is>
          <t>深蓝色针织保暖帽，甄选柔软腈纶混纺材质，罗纹织法质感细腻，前贴RR标识彰显简约设计。男女通用款，休闲街头风格，适合冬季户外穿搭，舒适贴合展现现代都市感。</t>
        </is>
      </c>
    </row>
    <row r="161" ht="25.5" customHeight="1">
      <c r="A161">
        <v>1839115443</v>
      </c>
      <c r="B161">
        <v>7617060826</v>
      </c>
      <c r="C161" t="inlineStr">
        <is>
          <t>https://weidian.com/item.html?itemID=7617060826</t>
        </is>
      </c>
      <c r="D161"/>
      <c r="E161" s="2" t="str">
        <f>=HYPERLINK("https://si.geilicdn.com/open1839115443-252808396-69d70000019aaf812c1a0aa081c2_800_2367.jpg?w=640&amp;h=640", "https://si.geilicdn.com/open1839115443-252808396-69d70000019aaf812c1a0aa081c2_800_2367.jpg?w=640&amp;h=640")</f>
        <v>https://si.geilicdn.com/open1839115443-252808396-69d70000019aaf812c1a0aa081c2_800_2367.jpg?w=640&amp;h=640</v>
      </c>
      <c r="F161" t="inlineStr">
        <is>
          <t>T-Shirts</t>
        </is>
      </c>
      <c r="G161" t="inlineStr">
        <is>
          <t>Other</t>
        </is>
      </c>
      <c r="H161" t="inlineStr">
        <is>
          <t>120.00</t>
        </is>
      </c>
      <c r="I161">
        <v>17.39</v>
      </c>
      <c r="J161" t="inlineStr">
        <is>
          <t>{"choices":[{"finish_reason":"stop","index":0,"logprobs":null,"message":{"annotations":[],"content":"RECOVER Vintage Washed Black Basketball Graphic T-Shirt","refusal":null,"role":"assistant"}}],"created":1776665818,"id":"chatcmpl-DWcEEuKw56gomIMV288k3V43U4l82","model":"gpt-5-chat-latest","object":"chat.completion","service_tier":"default","system_fingerprint":"fp_ad66631dec","usage":{"completion_tokens":11,"completion_tokens_details":{"accepted_prediction_tokens":0,"audio_tokens":0,"reasoning_tokens":0,"rejected_prediction_tokens":0},"prompt_tokens":1433,"prompt_tokens_details":{"audio_tokens":0,"cached_tokens":1408},"total_tokens":1444}}</t>
        </is>
      </c>
      <c r="K161" t="inlineStr">
        <is>
          <t>RECOVER Vintage Washed Black Basketball Graphic T-Shirt</t>
        </is>
      </c>
      <c r="L161" t="inlineStr">
        <is>
          <t>{"choices":[{"finish_reason":"stop","index":0,"logprobs":null,"message":{"annotations":[],"content":"RECOVER Vintage Washed Black Graphic T-Shirt, soft cotton material with street art motif design, loose unisex fit honoring classic basketball culture, stylish and comfortable for daily wear.","refusal":null,"role":"assistant"}}],"created":1776658355,"id":"chatcmpl-DWaHrv7lrF7vHkTNFLvPHn8cVcg9Z","model":"gpt-5-chat-latest","object":"chat.completion","service_tier":"default","system_fingerprint":"fp_ad66631dec","usage":{"completion_tokens":36,"completion_tokens_details":{"accepted_prediction_tokens":0,"audio_tokens":0,"reasoning_tokens":0,"rejected_prediction_tokens":0},"prompt_tokens":1449,"prompt_tokens_details":{"audio_tokens":0,"cached_tokens":0},"total_tokens":1485}}</t>
        </is>
      </c>
      <c r="M161" t="inlineStr">
        <is>
          <t>{"alt-svc":"h3=\":443\"; ma=2592000","apim-request-id":"3f44223d-31e4-481f-8e7c-b5622305f343","azureml-model-session":"d20260405221325-2e8d5e76","cache-control":"no-cache","connection":"close","content-length":"780","content-security-policy":"frame-ancestors 'self'","content-type":"application/json","date":"Mon, 20 Apr 2026 04:12:36 GMT","server":"nginx","skip-error-remapping":"true","strict-transport-security":"max-age=31536000; includeSubDomains; preload","via":"1.1 Caddy, 1.1 Caddy","x-api-request-id":"20260420121233359491426Bj9QX0cK","x-content-type-options":"nosniff","x-frame-options":"SAMEORIGIN","x-ms-client-request-id":"Not-Set","x-ms-is-spilled-over":"false","x-ms-rai-invoked":"true","x-ms-region":"East US 2","x-new-api-version":"0.4.39","x-oneapi-request-id":"202604200412332890707878268d9d6rDMgJd2M","x-ratelimit-abusepenalty-active":"False","x-ratelimit-limit-requests":"3850","x-ratelimit-limit-tokens":"3850000","x-ratelimit-remaining-requests":"3849","x-ratelimit-remaining-tokens":"3847786","x-ratelimit-renewalperiod-requests":"60","x-ratelimit-renewalperiod-tokens":"60","x-ratelimit-reset-requests":"15","x-ratelimit-reset-tokens":"34","x-request-id":"8a0f5e35-7d16-4f20-b635-0a78d9bd72c1"}</t>
        </is>
      </c>
      <c r="N161" t="inlineStr">
        <is>
          <t>RECOVER Vintage Washed Black Graphic T-Shirt, soft cotton material with street art motif design, loose unisex fit honoring classic basketball culture, stylish and comfortable for daily wear.</t>
        </is>
      </c>
      <c r="O161"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1776667175,"id":"chatcmpl-DWca7SzAMZqoTRzGBoHfpJzJV4MNZ","model":"gpt-5-chat-latest","object":"chat.completion","service_tier":"default","system_fingerprint":"fp_ad66631dec","usage":{"completion_tokens":91,"completion_tokens_details":{"accepted_prediction_tokens":0,"audio_tokens":0,"reasoning_tokens":0,"rejected_prediction_tokens":0},"prompt_tokens":1342,"prompt_tokens_details":{"audio_tokens":0,"cached_tokens":0},"total_tokens":1433}}</t>
        </is>
      </c>
      <c r="P161" t="inlineStr">
        <is>
          <t>Recover, T-Shirts, kakobuy, kakebuy2026, kekobuysheet, kakobuysheet2026, 2026kakobuy, kakobuyspreadsheeet, kakobuylink, kakebuylist, Kakobuy MEGA Spreadsheet, kakobuysheetfind, kakobuysheetfind2026, 2026kakobuysheetfind, kakobuysheet2026</t>
        </is>
      </c>
      <c r="Q161" t="inlineStr">
        <is>
          <t>Vintage, Black, Streetwear, Unisex</t>
        </is>
      </c>
      <c r="R161" t="inlineStr">
        <is>
          <t>recvh6xFVjKtgH</t>
        </is>
      </c>
      <c r="S161" t="inlineStr">
        <is>
          <t>recover-vintage-washed-black-basketball-graphic-tee-recvh6xFVjKtgH</t>
        </is>
      </c>
      <c r="T161"/>
      <c r="U161"/>
      <c r="V161"/>
      <c r="W161" t="inlineStr">
        <is>
          <t>{"choices":[{"finish_reason":"stop","index":0,"logprobs":null,"message":{"annotations":[],"content":"复古水洗黑印花短袖T恤，柔软纯棉材质结合街头艺术图腾设计，宽松中性版型，致敬经典篮球文化，休闲风格彰显个性魅力。","refusal":null,"role":"assistant"}}],"created":1776654978,"id":"chatcmpl-DWZPOkThRPRWzXSHbucgO2Ip8tRx4","model":"gpt-5-chat-latest","object":"chat.completion","service_tier":"default","system_fingerprint":"fp_ad66631dec","usage":{"completion_tokens":53,"completion_tokens_details":{"accepted_prediction_tokens":0,"audio_tokens":0,"reasoning_tokens":0,"rejected_prediction_tokens":0},"prompt_tokens":1875,"prompt_tokens_details":{"audio_tokens":0,"cached_tokens":0},"total_tokens":1928}}</t>
        </is>
      </c>
      <c r="X161" t="inlineStr">
        <is>
          <t>复古水洗黑印花短袖T恤，柔软纯棉材质结合街头艺术图腾设计，宽松中性版型，致敬经典篮球文化，休闲风格彰显个性魅力。</t>
        </is>
      </c>
    </row>
    <row r="162" ht="25.5" customHeight="1">
      <c r="A162">
        <v>1839115443</v>
      </c>
      <c r="B162">
        <v>7617124098</v>
      </c>
      <c r="C162" t="inlineStr">
        <is>
          <t>https://weidian.com/item.html?itemID=7617124098</t>
        </is>
      </c>
      <c r="D162"/>
      <c r="E162" s="2" t="str">
        <f>=HYPERLINK("https://si.geilicdn.com/open1839115443-252808396-54710000019aaf8121440a23b4de_800_994.jpg?w=640&amp;h=640", "https://si.geilicdn.com/open1839115443-252808396-54710000019aaf8121440a23b4de_800_994.jpg?w=640&amp;h=640")</f>
        <v>https://si.geilicdn.com/open1839115443-252808396-54710000019aaf8121440a23b4de_800_994.jpg?w=640&amp;h=640</v>
      </c>
      <c r="F162" t="inlineStr">
        <is>
          <t>T-Shirts</t>
        </is>
      </c>
      <c r="G162" t="inlineStr">
        <is>
          <t>Other</t>
        </is>
      </c>
      <c r="H162" t="inlineStr">
        <is>
          <t>120.00</t>
        </is>
      </c>
      <c r="I162">
        <v>17.39</v>
      </c>
      <c r="J162" t="inlineStr">
        <is>
          <t>{"choices":[{"finish_reason":"stop","index":0,"logprobs":null,"message":{"annotations":[],"content":"RECOVER Vintage Black Washed Y2K Street Graphic T-Shirt","refusal":null,"role":"assistant"}}],"created":1776666690,"id":"chatcmpl-DWcSIHdb1yLMC68kvupYY5rYZrxwC","model":"gpt-5-chat-latest","object":"chat.completion","service_tier":"default","system_fingerprint":"fp_ad66631dec","usage":{"completion_tokens":14,"completion_tokens_details":{"accepted_prediction_tokens":0,"audio_tokens":0,"reasoning_tokens":0,"rejected_prediction_tokens":0},"prompt_tokens":883,"prompt_tokens_details":{"audio_tokens":0,"cached_tokens":0},"total_tokens":897}}</t>
        </is>
      </c>
      <c r="K162" t="inlineStr">
        <is>
          <t>RECOVER Vintage Black Washed Y2K Street Graphic T-Shirt</t>
        </is>
      </c>
      <c r="L162" t="inlineStr">
        <is>
          <t>{"choices":[{"finish_reason":"stop","index":0,"logprobs":null,"message":{"annotations":[],"content":"RECOVER Vintage Washed Black Graphic T-Shirt features soft cotton fabric, fun cartoon print and retro lettering for a unique street art vibe. Unisex loose fit, perfect for Y2K casual fashion.","refusal":null,"role":"assistant"}}],"created":1776658436,"id":"chatcmpl-DWaJA8MPwCJQmWxy4CO2IJCnaRvWm","model":"gpt-5-chat-latest","object":"chat.completion","service_tier":"default","system_fingerprint":"fp_ad66631dec","usage":{"completion_tokens":41,"completion_tokens_details":{"accepted_prediction_tokens":0,"audio_tokens":0,"reasoning_tokens":0,"rejected_prediction_tokens":0},"prompt_tokens":920,"prompt_tokens_details":{"audio_tokens":0,"cached_tokens":0},"total_tokens":961}}</t>
        </is>
      </c>
      <c r="M162" t="inlineStr">
        <is>
          <t>{"alt-svc":"h3=\":443\"; ma=2592000","apim-request-id":"9522779a-1ec3-46f9-8c5b-e9d053567b9c","azureml-model-session":"d20260402083108-57a85543","cache-control":"no-cache","connection":"close","content-length":"779","content-security-policy":"frame-ancestors 'self'","content-type":"application/json","date":"Mon, 20 Apr 2026 04:13:58 GMT","server":"nginx","skip-error-remapping":"true","strict-transport-security":"max-age=31536000; includeSubDomains; preload","via":"1.1 Caddy, 1.1 Caddy","x-api-request-id":"2026042012135611858725dBGwIG36","x-content-type-options":"nosniff","x-frame-options":"SAMEORIGIN","x-ms-client-request-id":"Not-Set","x-ms-is-spilled-over":"false","x-ms-rai-invoked":"true","x-ms-region":"East US 2","x-new-api-version":"0.4.39","x-oneapi-request-id":"202604200413559245537968268d9d6KJ7V5Ssm","x-ratelimit-abusepenalty-active":"False","x-ratelimit-limit-requests":"3850","x-ratelimit-limit-tokens":"3850000","x-ratelimit-remaining-requests":"3849","x-ratelimit-remaining-tokens":"3846649","x-ratelimit-renewalperiod-requests":"60","x-ratelimit-renewalperiod-tokens":"60","x-ratelimit-reset-requests":"22","x-ratelimit-reset-tokens":"52","x-request-id":"61591c3f-174c-400e-ac34-d9eeb29d5414"}</t>
        </is>
      </c>
      <c r="N162" t="inlineStr">
        <is>
          <t>RECOVER Vintage Washed Black Graphic T-Shirt features soft cotton fabric, fun cartoon print and retro lettering for a unique street art vibe. Unisex loose fit, perfect for Y2K casual fashion.</t>
        </is>
      </c>
      <c r="O162"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1776667445,"id":"chatcmpl-DWceTPnRZWSK8PfWt1Ci3NEk8CbTH","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62" t="inlineStr">
        <is>
          <t>Recover, T-Shirts, kakobuy, kakebuy2026, kekobuysheet, kakobuysheet2026, 2026kakobuy, kakobuyspreadsheeet, kakobuylink, kakebuylist, Kakobuy MEGA Spreadsheet, kakobuysheetfind, kakobuysheetfind2026, 2026kakobuysheetfind, kakobuysheet2026</t>
        </is>
      </c>
      <c r="Q162" t="inlineStr">
        <is>
          <t>Unisex, Retro, Streetwear, Black</t>
        </is>
      </c>
      <c r="R162" t="inlineStr">
        <is>
          <t>recvh6xFVjbPDn</t>
        </is>
      </c>
      <c r="S162" t="inlineStr">
        <is>
          <t>recover-vintage-black-washed-y2k-street-graphic-tee-recvh6xFVjbPDn</t>
        </is>
      </c>
      <c r="T162"/>
      <c r="U162"/>
      <c r="V162"/>
      <c r="W162" t="inlineStr">
        <is>
          <t>{"choices":[{"finish_reason":"stop","index":0,"logprobs":null,"message":{"annotations":[],"content":"复古水洗黑色印花T恤，采用纯棉面料柔软舒适，正面趣味卡通头像与复古字体融合，呈现独特街头艺术风格。宽松版型设计，男女皆宜，彰显个性与时尚态度。适合日常休闲穿搭，轻松打造Y2K潮流造型。","refusal":null,"role":"assistant"}}],"created":1776655484,"id":"chatcmpl-DWZXYJSbSgFN0DbxHFs3sN42WNqt9","model":"gpt-5-chat-latest","object":"chat.completion","service_tier":"default","system_fingerprint":"fp_ad66631dec","usage":{"completion_tokens":87,"completion_tokens_details":{"accepted_prediction_tokens":0,"audio_tokens":0,"reasoning_tokens":0,"rejected_prediction_tokens":0},"prompt_tokens":1309,"prompt_tokens_details":{"audio_tokens":0,"cached_tokens":0},"total_tokens":1396}}</t>
        </is>
      </c>
      <c r="X162" t="inlineStr">
        <is>
          <t>复古水洗黑色印花T恤，采用纯棉面料柔软舒适，正面趣味卡通头像与复古字体融合，呈现独特街头艺术风格。宽松版型设计，男女皆宜，彰显个性与时尚态度。适合日常休闲穿搭，轻松打造Y2K潮流造型。</t>
        </is>
      </c>
    </row>
    <row r="163" ht="25.5" customHeight="1">
      <c r="A163">
        <v>1839115443</v>
      </c>
      <c r="B163">
        <v>7617011132</v>
      </c>
      <c r="C163" t="inlineStr">
        <is>
          <t>https://weidian.com/item.html?itemID=7617011132</t>
        </is>
      </c>
      <c r="D163"/>
      <c r="E163" s="2" t="str">
        <f>=HYPERLINK("https://si.geilicdn.com/open1839115443-252808396-47060000019aaf8101d90a8115c2_800_800.jpg?w=750&amp;h=750&amp;cp=1", "https://si.geilicdn.com/open1839115443-252808396-47060000019aaf8101d90a8115c2_800_800.jpg?w=750&amp;h=750&amp;cp=1")</f>
        <v>https://si.geilicdn.com/open1839115443-252808396-47060000019aaf8101d90a8115c2_800_800.jpg?w=750&amp;h=750&amp;cp=1</v>
      </c>
      <c r="F163" t="inlineStr">
        <is>
          <t>T-Shirts</t>
        </is>
      </c>
      <c r="G163" t="inlineStr">
        <is>
          <t>Other</t>
        </is>
      </c>
      <c r="H163" t="inlineStr">
        <is>
          <t>120.00</t>
        </is>
      </c>
      <c r="I163">
        <v>17.39</v>
      </c>
      <c r="J163" t="inlineStr">
        <is>
          <t>{"choices":[{"finish_reason":"stop","index":0,"logprobs":null,"message":{"annotations":[],"content":"VINTAGESTYLE Retro Boxing Graffiti Black T-Shirt","refusal":null,"role":"assistant"}}],"created":1776666666,"id":"chatcmpl-DWcRuWdiClqYwA40aq7c7LX62TuP0","model":"gpt-5-chat-latest","object":"chat.completion","service_tier":"default","system_fingerprint":"fp_ad66631dec","usage":{"completion_tokens":12,"completion_tokens_details":{"accepted_prediction_tokens":0,"audio_tokens":0,"reasoning_tokens":0,"rejected_prediction_tokens":0},"prompt_tokens":887,"prompt_tokens_details":{"audio_tokens":0,"cached_tokens":0},"total_tokens":899}}</t>
        </is>
      </c>
      <c r="K163" t="inlineStr">
        <is>
          <t>VINTAGESTYLE Retro Boxing Graffiti Black T-Shirt</t>
        </is>
      </c>
      <c r="L163" t="inlineStr">
        <is>
          <t>{"choices":[{"finish_reason":"stop","index":0,"logprobs":null,"message":{"annotations":[],"content":"VINTAGESTYLE Retro Washed Heavy Cotton Black T-Shirt featuring boxing graffiti print and hand-drawn text. Unisex loose fit, inspired by 80s street fashion, bold and durable for everyday wear.","refusal":null,"role":"assistant"}}],"created":1776659117,"id":"chatcmpl-DWaU9ziBirZ4dGPsepbeSwKXBfxMf","model":"gpt-5-chat-latest","object":"chat.completion","service_tier":"default","system_fingerprint":"fp_ad66631dec","usage":{"completion_tokens":43,"completion_tokens_details":{"accepted_prediction_tokens":0,"audio_tokens":0,"reasoning_tokens":0,"rejected_prediction_tokens":0},"prompt_tokens":922,"prompt_tokens_details":{"audio_tokens":0,"cached_tokens":0},"total_tokens":965}}</t>
        </is>
      </c>
      <c r="M163" t="inlineStr">
        <is>
          <t>{"alt-svc":"h3=\":443\"; ma=2592000","apim-request-id":"79bbb54a-d2cb-4869-830f-18245dd8cb79","azureml-model-session":"d20260405234249-f9874baf","cache-control":"no-cache","connection":"close","content-length":"779","content-security-policy":"frame-ancestors 'self'","content-type":"application/json","date":"Mon, 20 Apr 2026 04:25:18 GMT","server":"Caddy","skip-error-remapping":"true","strict-transport-security":"max-age=31536000; includeSubDomains; preload","via":"1.1 Caddy","x-api-request-id":"20260420122516147422263YEclO28V","x-content-type-options":"nosniff","x-frame-options":"SAMEORIGIN","x-ms-client-request-id":"Not-Set","x-ms-is-spilled-over":"false","x-ms-rai-invoked":"true","x-ms-region":"East US 2","x-new-api-version":"0.4.39","x-oneapi-request-id":"20260420042516822556858268d9d6XLxp9GYX","x-ratelimit-abusepenalty-active":"False","x-ratelimit-limit-requests":"3850","x-ratelimit-limit-tokens":"3850000","x-ratelimit-remaining-requests":"3849","x-ratelimit-remaining-tokens":"3848316","x-ratelimit-renewalperiod-requests":"60","x-ratelimit-renewalperiod-tokens":"60","x-ratelimit-reset-requests":"15","x-ratelimit-reset-tokens":"26","x-request-id":"62d3ef5c-5e8e-4bda-8ef6-053e2235bebf"}</t>
        </is>
      </c>
      <c r="N163" t="inlineStr">
        <is>
          <t>VINTAGESTYLE Retro Washed Heavy Cotton Black T-Shirt featuring boxing graffiti print and hand-drawn text. Unisex loose fit, inspired by 80s street fashion, bold and durable for everyday wear.</t>
        </is>
      </c>
      <c r="O163" t="inlineStr">
        <is>
          <t>{"id":"chatcmpl-DWcfQ3dr8DHyKTqu8FB76vC98UJE9","object":"chat.completion","created":1776667504,"model":"gpt-5-chat-latest","choices":[{"index":0,"message":{"role":"assistant","content":"Wasted Paris,T-Shirts,kakobuy,kakebuy2026,kekobuysheet,kakobuysheet2026,2026kakobuy,kakobuyspreadsheeet,kakobuylink,kakebuylist,Kakobuy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63" t="inlineStr">
        <is>
          <t>Wasted Paris,T-Shirts,kakobuy,kakebuy2026,kekobuysheet,kakobuysheet2026,2026kakobuy,kakobuyspreadsheeet,kakobuylink,kakebuylist,Kakobuy MEGA Spreadsheet,kakobuysheetfind,kakobuysheetfind2026,2026kakobuysheetfind,kakobuysheet2026</t>
        </is>
      </c>
      <c r="Q163" t="inlineStr">
        <is>
          <t>Vintage, Black, Unisex, Streetwear</t>
        </is>
      </c>
      <c r="R163" t="inlineStr">
        <is>
          <t>recvh6xFVj2rEa</t>
        </is>
      </c>
      <c r="S163" t="inlineStr">
        <is>
          <t>vintage-retro-boxing-graffiti-black-tshirt-recvh6xFVj2rEa</t>
        </is>
      </c>
      <c r="T163"/>
      <c r="U163"/>
      <c r="V163"/>
      <c r="W163" t="inlineStr">
        <is>
          <t>{"choices":[{"finish_reason":"stop","index":0,"logprobs":null,"message":{"annotations":[],"content":"复古洗水黑色重磅棉质T恤，正面印有拳击主题涂鸦图案与手写字样，展现街头艺术感。短袖宽松版型，男女皆宜，结合80年代复古潮流设计，质感厚实，休闲日常与街头穿搭兼具个性与力量。","refusal":null,"role":"assistant"}}],"created":1776656012,"id":"chatcmpl-DWZg4fDDMeMNWHxqyYcK0rGSvf4Av","model":"gpt-5-chat-latest","object":"chat.completion","service_tier":"default","system_fingerprint":"fp_ad66631dec","usage":{"completion_tokens":84,"completion_tokens_details":{"accepted_prediction_tokens":0,"audio_tokens":0,"reasoning_tokens":0,"rejected_prediction_tokens":0},"prompt_tokens":1319,"prompt_tokens_details":{"audio_tokens":0,"cached_tokens":0},"total_tokens":1403}}</t>
        </is>
      </c>
      <c r="X163" t="inlineStr">
        <is>
          <t>复古洗水黑色重磅棉质T恤，正面印有拳击主题涂鸦图案与手写字样，展现街头艺术感。短袖宽松版型，男女皆宜，结合80年代复古潮流设计，质感厚实，休闲日常与街头穿搭兼具个性与力量。</t>
        </is>
      </c>
    </row>
    <row r="164" ht="25.5" customHeight="1">
      <c r="A164">
        <v>1839115443</v>
      </c>
      <c r="B164">
        <v>7617082744</v>
      </c>
      <c r="C164" t="inlineStr">
        <is>
          <t>https://weidian.com/item.html?itemID=7617082744</t>
        </is>
      </c>
      <c r="D164"/>
      <c r="E164" s="2" t="str">
        <f>=HYPERLINK("https://si.geilicdn.com/open1839115443-252808396-47020000019aaf8100a70a8115c2_800_800.jpg?w=750&amp;h=750&amp;cp=1", "https://si.geilicdn.com/open1839115443-252808396-47020000019aaf8100a70a8115c2_800_800.jpg?w=750&amp;h=750&amp;cp=1")</f>
        <v>https://si.geilicdn.com/open1839115443-252808396-47020000019aaf8100a70a8115c2_800_800.jpg?w=750&amp;h=750&amp;cp=1</v>
      </c>
      <c r="F164" t="inlineStr">
        <is>
          <t>T-Shirts</t>
        </is>
      </c>
      <c r="G164" t="inlineStr">
        <is>
          <t>Other</t>
        </is>
      </c>
      <c r="H164" t="inlineStr">
        <is>
          <t>120.00</t>
        </is>
      </c>
      <c r="I164">
        <v>17.39</v>
      </c>
      <c r="J164" t="inlineStr">
        <is>
          <t>{"choices":[{"finish_reason":"stop","index":0,"logprobs":null,"message":{"annotations":[],"content":"[Brand Name] Vintage Basketball All-Star Retro Black T-Shirt","refusal":null,"role":"assistant"}}],"created":1776666789,"id":"chatcmpl-DWcTt5gD74WrBNFSGSl5lszmOoUPU","model":"gpt-5-chat-latest","object":"chat.completion","service_tier":"default","system_fingerprint":"fp_ad66631dec","usage":{"completion_tokens":13,"completion_tokens_details":{"accepted_prediction_tokens":0,"audio_tokens":0,"reasoning_tokens":0,"rejected_prediction_tokens":0},"prompt_tokens":879,"prompt_tokens_details":{"audio_tokens":0,"cached_tokens":0},"total_tokens":892}}</t>
        </is>
      </c>
      <c r="K164" t="inlineStr">
        <is>
          <t>[Brand Name] Vintage Basketball All-Star Retro Black T-Shirt</t>
        </is>
      </c>
      <c r="L164" t="inlineStr">
        <is>
          <t>{"id":"chatcmpl-DWaHglUWZov04V51XWn0TDdJDVlzC","object":"chat.completion","created":1776658344,"model":"gpt-5-chat-latest","choices":[{"index":0,"message":{"role":"assistant","content":"[Brand Name] Vintage Basketball Series Black T-Shirt, crafted from washed cotton fabric with retro jersey graphics and All-Star print, unisex streetwear style showcasing 2000s sporty fashion.","refusal":null,"annotations":[]},"logprobs":null,"finish_reason":"stop"}],"usage":{"prompt_tokens":899,"completion_tokens":39,"total_tokens":938,"prompt_tokens_details":{"cached_tokens":0,"audio_tokens":0},"completion_tokens_details":{"reasoning_tokens":0,"audio_tokens":0,"accepted_prediction_tokens":0,"rejected_prediction_tokens":0}},"service_tier":"default","system_fingerprint":"fp_ad66631dec"}</t>
        </is>
      </c>
      <c r="M1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ma=2592000","apim-request-id":"207bd7ea-41ea-4b8a-b72f-51c189991454","azureml-model-session":"d20260402074105-51db401e","cache-control":"no-cache, no-store, must-revalidate","connection":"close","content-length":"995","content-security-policy":"frame-ancestors 'self'","content-type":"application/json","date":"Mon, 20 Apr 2026 04:12:26 GMT","server":"nginx","skip-error-remapping":"true","strict-transport-security":"max-age=31536000; includeSubDomains; preload","via":"1.1 Caddy, 1.1 Caddy","x-api-request-id":"20260420121223220599624TBFFS1N9","x-content-type-options":"nosniff","x-frame-options":"SAMEORIGIN","x-ms-is-spilled-over":"false","x-ms-rai-invoked":"false","x-ms-region":"East US 2","x-new-api-version":"0.4.39","x-oneapi-request-id":"202604200412231559485238268d9d65BSdCUmt","x-ratelimit-abusepenalty-active":"False","x-ratelimit-limit-requests":"4994","x-ratelimit-limit-tokens":"4994000","x-ratelimit-remaining-requests":"4993","x-ratelimit-remaining-tokens":"4992339","x-ratelimit-renewalperiod-requests":"60","x-ratelimit-renewalperiod-tokens":"60","x-ratelimit-reset-requests":"12","x-ratelimit-reset-tokens":"19","x-request-id":"b986c168-f690-42bc-9113-20e834ed0e62"}</t>
        </is>
      </c>
      <c r="N164" t="inlineStr">
        <is>
          <t>[Brand Name] Vintage Basketball Series Black T-Shirt, crafted from washed cotton fabric with retro jersey graphics and All-Star print, unisex streetwear style showcasing 2000s sporty fashion.</t>
        </is>
      </c>
      <c r="O164" t="inlineStr">
        <is>
          <t>{"choices":[{"finish_reason":"stop","index":0,"logprobs":null,"message":{"annotations":[],"content":"Worthy, T-Shirts, kakobuy, kakebuy2026, kekobuysheet, kakobuysheet2026, 2026kakobuy, kakobuyspreadsheeet, kakobuylink, kakebuylist, Kakobuy MEGA Spreadsheet, kakobuysheetfind, kakobuysheetfind2026, 2026kakobuysheetfind, kakobuysheet2026","refusal":null,"role":"assistant"}}],"created":1776667169,"id":"chatcmpl-DWca1DNABwNkSc3PHuE5DAB7bmgVg","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64" t="inlineStr">
        <is>
          <t>Worthy, T-Shirts, kakobuy, kakebuy2026, kekobuysheet, kakobuysheet2026, 2026kakobuy, kakobuyspreadsheeet, kakobuylink, kakebuylist, Kakobuy MEGA Spreadsheet, kakobuysheetfind, kakobuysheetfind2026, 2026kakobuysheetfind, kakobuysheet2026</t>
        </is>
      </c>
      <c r="Q164" t="inlineStr">
        <is>
          <t>Vintage, Retro, Streetwear, Unisex, Black</t>
        </is>
      </c>
      <c r="R164" t="inlineStr">
        <is>
          <t>recvh6xFVjrjd3</t>
        </is>
      </c>
      <c r="S164" t="inlineStr">
        <is>
          <t>vintage-basketball-all-star-retro-black-t-shirt-recvh6xFVjrjd3</t>
        </is>
      </c>
      <c r="T164"/>
      <c r="U164"/>
      <c r="V164"/>
      <c r="W164" t="inlineStr">
        <is>
          <t>{"choices":[{"finish_reason":"stop","index":0,"logprobs":null,"message":{"annotations":[],"content":"复古篮球系列黑色短袖T恤，以做旧质感纯棉面料打造，正面印有红色球衣图腾与明星赛元素，街头运动风设计，男女皆宜，展现2000年代复古潮流格调。","refusal":null,"role":"assistant"}}],"created":1776655981,"id":"chatcmpl-DWZfZKPeLnM74b4qSxFVoCZYolOkC","model":"gpt-5-chat-latest","object":"chat.completion","service_tier":"default","system_fingerprint":"fp_ad66631dec","usage":{"completion_tokens":61,"completion_tokens_details":{"accepted_prediction_tokens":0,"audio_tokens":0,"reasoning_tokens":0,"rejected_prediction_tokens":0},"prompt_tokens":1319,"prompt_tokens_details":{"audio_tokens":0,"cached_tokens":1280},"total_tokens":1380}}</t>
        </is>
      </c>
      <c r="X164" t="inlineStr">
        <is>
          <t>复古篮球系列黑色短袖T恤，以做旧质感纯棉面料打造，正面印有红色球衣图腾与明星赛元素，街头运动风设计，男女皆宜，展现2000年代复古潮流格调。</t>
        </is>
      </c>
    </row>
    <row r="165" ht="25.5" customHeight="1">
      <c r="A165">
        <v>1839115443</v>
      </c>
      <c r="B165">
        <v>7614027231</v>
      </c>
      <c r="C165" t="inlineStr">
        <is>
          <t>https://weidian.com/item.html?itemID=7614027231</t>
        </is>
      </c>
      <c r="D165"/>
      <c r="E165" s="2" t="str">
        <f>=HYPERLINK("https://si.geilicdn.com/open1839115443-252808396-498c0000019aaf7f718e0a8133b0_800_800.jpg?w=750&amp;h=750&amp;cp=1", "https://si.geilicdn.com/open1839115443-252808396-498c0000019aaf7f718e0a8133b0_800_800.jpg?w=750&amp;h=750&amp;cp=1")</f>
        <v>https://si.geilicdn.com/open1839115443-252808396-498c0000019aaf7f718e0a8133b0_800_800.jpg?w=750&amp;h=750&amp;cp=1</v>
      </c>
      <c r="F165" t="inlineStr">
        <is>
          <t>T-Shirts</t>
        </is>
      </c>
      <c r="G165" t="inlineStr">
        <is>
          <t>Other</t>
        </is>
      </c>
      <c r="H165" t="inlineStr">
        <is>
          <t>128.00</t>
        </is>
      </c>
      <c r="I165">
        <v>18.55</v>
      </c>
      <c r="J165" t="inlineStr">
        <is>
          <t>{"choices":[{"finish_reason":"stop","index":0,"logprobs":null,"message":{"annotations":[],"content":"BUJU BANTON Vintage Reggae Gradient Graphic T-Shirt","refusal":null,"role":"assistant"}}],"created":1776665822,"id":"chatcmpl-DWcEIF4TL0JT1drk4Nblm7CNcD6wB","model":"gpt-5-chat-latest","object":"chat.completion","service_tier":"default","system_fingerprint":"fp_ad66631dec","usage":{"completion_tokens":13,"completion_tokens_details":{"accepted_prediction_tokens":0,"audio_tokens":0,"reasoning_tokens":0,"rejected_prediction_tokens":0},"prompt_tokens":885,"prompt_tokens_details":{"audio_tokens":0,"cached_tokens":0},"total_tokens":898}}</t>
        </is>
      </c>
      <c r="K165" t="inlineStr">
        <is>
          <t>BUJU BANTON Vintage Reggae Gradient Graphic T-Shirt</t>
        </is>
      </c>
      <c r="L165" t="inlineStr">
        <is>
          <t>{"choices":[{"finish_reason":"stop","index":0,"logprobs":null,"message":{"annotations":[],"content":"BUJU BANTON Vintage Black Graphic T-Shirt — soft washed cotton, breathable feel, tropical reggae print with gradient colors, unisex loose fit, 90s retro streetwear for bold free spirits.","refusal":null,"role":"assistant"}}],"created":1776659229,"id":"chatcmpl-DWaVxiobaALIEabYP9vXP6TCXmLYO","model":"gpt-5-chat-latest","object":"chat.completion","service_tier":"default","system_fingerprint":"fp_ad66631dec","usage":{"completion_tokens":42,"completion_tokens_details":{"accepted_prediction_tokens":0,"audio_tokens":0,"reasoning_tokens":0,"rejected_prediction_tokens":0},"prompt_tokens":942,"prompt_tokens_details":{"audio_tokens":0,"cached_tokens":0},"total_tokens":984}}</t>
        </is>
      </c>
      <c r="M165" t="inlineStr">
        <is>
          <t>{"alt-svc":"h3=\":443\"; ma=2592000","apim-request-id":"ce5cc70b-b5ca-40d4-8a2d-e09afe6e295d","azureml-model-session":"d20260402083108-57a85543","cache-control":"no-cache","connection":"close","content-length":"776","content-security-policy":"frame-ancestors 'self'","content-type":"application/json","date":"Mon, 20 Apr 2026 04:27:11 GMT","server":"nginx","skip-error-remapping":"true","strict-transport-security":"max-age=31536000; includeSubDomains; preload","via":"1.1 Caddy, 1.1 Caddy","x-api-request-id":"20260420122708661770964udK6H0vQ","x-content-type-options":"nosniff","x-frame-options":"SAMEORIGIN","x-ms-client-request-id":"Not-Set","x-ms-is-spilled-over":"false","x-ms-rai-invoked":"true","x-ms-region":"East US 2","x-new-api-version":"0.4.39","x-oneapi-request-id":"202604200427085956978858268d9d6A3fvC48p","x-ratelimit-abusepenalty-active":"False","x-ratelimit-limit-requests":"3850","x-ratelimit-limit-tokens":"3850000","x-ratelimit-remaining-requests":"3849","x-ratelimit-remaining-tokens":"3848296","x-ratelimit-renewalperiod-requests":"60","x-ratelimit-renewalperiod-tokens":"60","x-ratelimit-reset-requests":"15","x-ratelimit-reset-tokens":"26","x-request-id":"971121b8-e014-44dd-967e-07cdf6b3ef89"}</t>
        </is>
      </c>
      <c r="N165" t="inlineStr">
        <is>
          <t>BUJU BANTON Vintage Black Graphic T-Shirt — soft washed cotton, breathable feel, tropical reggae print with gradient colors, unisex loose fit, 90s retro streetwear for bold free spirits.</t>
        </is>
      </c>
      <c r="O165" t="inlineStr">
        <is>
          <t>{"choices":[{"finish_reason":"stop","index":0,"logprobs":null,"message":{"annotations":[],"content":"BUJU BANTON,T-Shirt,kakobuy,kakebuy2026,kekobuysheet,kakobuysheet2026,2026kakobuy,kakobuyspreadsheeet,kakobuylink,kakebuylist,Kakobuy MEGA Spreadsheet,kakobuysheetfind,kakobuysheetfind2026,2026kakobuysheetfind,kakobuysheet2026","refusal":null,"role":"assistant"}}],"created":1776668856,"id":"chatcmpl-DWd1EgKXvjg3KE4xa8vtXb4niSy2n","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65" t="inlineStr">
        <is>
          <t>BUJU BANTON,T-Shirt,kakobuy,kakebuy2026,kekobuysheet,kakobuysheet2026,2026kakobuy,kakobuyspreadsheeet,kakobuylink,kakebuylist,Kakobuy MEGA Spreadsheet,kakobuysheetfind,kakobuysheetfind2026,2026kakobuysheetfind,kakobuysheet2026</t>
        </is>
      </c>
      <c r="Q165" t="inlineStr">
        <is>
          <t>Black, Gradient, Retro, Streetwear, Unisex, Breathable</t>
        </is>
      </c>
      <c r="R165" t="inlineStr">
        <is>
          <t>recvh6xFVjFI07</t>
        </is>
      </c>
      <c r="S165" t="inlineStr">
        <is>
          <t>buju-banton-vintage-reggae-graphic-recvh6xfvjfi07</t>
        </is>
      </c>
      <c r="T165"/>
      <c r="U165"/>
      <c r="V165"/>
      <c r="W165" t="inlineStr">
        <is>
          <t>{"id":"chatcmpl-DWZMvOEnLMtLORfTcGXNcA8wkAXP2","object":"chat.completion","created":1776654825,"model":"gpt-5-chat-latest","choices":[{"index":0,"message":{"role":"assistant","content":"复古黑色印花短袖T恤，采用舒适纯棉水洗面料，触感柔软且透气。正面呈现热带雷鬼风格图腾与鲜艳渐变字体，色彩强烈充满街头气息，展现独立与自由精神。宽松中性版型，适合男女休闲穿搭，彰显九十年代复古潮流风格与个性态度。","refusal":null,"annotations":[]},"logprobs":null,"finish_reason":"stop"}],"usage":{"prompt_tokens":1323,"completion_tokens":102,"total_tokens":1425,"prompt_tokens_details":{"cached_tokens":0,"audio_tokens":0},"completion_tokens_details":{"reasoning_tokens":0,"audio_tokens":0,"accepted_prediction_tokens":0,"rejected_prediction_tokens":0}},"service_tier":"default","system_fingerprint":"fp_ad66631dec"}</t>
        </is>
      </c>
      <c r="X165" t="inlineStr">
        <is>
          <t>复古黑色印花短袖T恤，采用舒适纯棉水洗面料，触感柔软且透气。正面呈现热带雷鬼风格图腾与鲜艳渐变字体，色彩强烈充满街头气息，展现独立与自由精神。宽松中性版型，适合男女休闲穿搭，彰显九十年代复古潮流风格与个性态度。</t>
        </is>
      </c>
    </row>
    <row r="166" ht="25.5" customHeight="1">
      <c r="A166">
        <v>1839115443</v>
      </c>
      <c r="B166">
        <v>7614126585</v>
      </c>
      <c r="C166" t="inlineStr">
        <is>
          <t>https://weidian.com/item.html?itemID=7614126585</t>
        </is>
      </c>
      <c r="D166"/>
      <c r="E166" s="2" t="str">
        <f>=HYPERLINK("https://si.geilicdn.com/open1839115443-252808396-532f0000019aaf7fccaf0a23b4de_1000_1000.jpg?w=750&amp;h=750&amp;cp=1", "https://si.geilicdn.com/open1839115443-252808396-532f0000019aaf7fccaf0a23b4de_1000_1000.jpg?w=750&amp;h=750&amp;cp=1")</f>
        <v>https://si.geilicdn.com/open1839115443-252808396-532f0000019aaf7fccaf0a23b4de_1000_1000.jpg?w=750&amp;h=750&amp;cp=1</v>
      </c>
      <c r="F166" t="inlineStr">
        <is>
          <t>T-Shirts</t>
        </is>
      </c>
      <c r="G166" t="inlineStr">
        <is>
          <t>Other</t>
        </is>
      </c>
      <c r="H166" t="inlineStr">
        <is>
          <t>120.00</t>
        </is>
      </c>
      <c r="I166">
        <v>17.39</v>
      </c>
      <c r="J166" t="inlineStr">
        <is>
          <t>{"id":"chatcmpl-DWcO1rO17uw4MaHaha4GzOFeX3jX8","object":"chat.completion","created":1776666425,"model":"gpt-5-chat-latest","choices":[{"index":0,"message":{"role":"assistant","content":"BC Street Wear Vintage Heavy Cotton Black T-Shirt","refusal":null,"annotations":[]},"logprobs":null,"finish_reason":"stop"}],"usage":{"prompt_tokens":891,"completion_tokens":10,"total_tokens":901,"prompt_tokens_details":{"cached_tokens":0,"audio_tokens":0},"completion_tokens_details":{"reasoning_tokens":0,"audio_tokens":0,"accepted_prediction_tokens":0,"rejected_prediction_tokens":0}},"service_tier":"default","system_fingerprint":"fp_ad66631dec"}</t>
        </is>
      </c>
      <c r="K166" t="inlineStr">
        <is>
          <t>BC Street Wear Vintage Heavy Cotton Black T-Shirt</t>
        </is>
      </c>
      <c r="L166" t="inlineStr">
        <is>
          <t>{"choices":[{"finish_reason":"stop","index":0,"logprobs":null,"message":{"annotations":[],"content":"BC Street Wear vintage black T-shirt made of heavy cotton, soft and breathable. Features bold digital portrait print and letters for a 3D look. Loose fit unisex design for casual, music, and street style.","refusal":null,"role":"assistant"}}],"created":1776658430,"id":"chatcmpl-DWaJ40RC17c0u6IdzxiC6mbFiFiM9","model":"gpt-5-chat-latest","object":"chat.completion","service_tier":"default","system_fingerprint":"fp_ad66631dec","usage":{"completion_tokens":45,"completion_tokens_details":{"accepted_prediction_tokens":0,"audio_tokens":0,"reasoning_tokens":0,"rejected_prediction_tokens":0},"prompt_tokens":951,"prompt_tokens_details":{"audio_tokens":0,"cached_tokens":0},"total_tokens":996}}</t>
        </is>
      </c>
      <c r="M166" t="inlineStr">
        <is>
          <t>{"alt-svc":"h3=\":443\"; ma=2592000","apim-request-id":"b2c9c3ea-5adb-4381-84d3-e37d2ed4dd19","azureml-model-session":"d20260402083108-57a85543","cache-control":"no-cache","connection":"close","content-length":"792","content-security-policy":"frame-ancestors 'self'","content-type":"application/json","date":"Mon, 20 Apr 2026 04:13:52 GMT","server":"nginx","skip-error-remapping":"true","strict-transport-security":"max-age=31536000; includeSubDomains; preload","via":"1.1 Caddy, 1.1 Caddy","x-api-request-id":"20260420121349333058968HQYhR3fj","x-content-type-options":"nosniff","x-frame-options":"SAMEORIGIN","x-ms-client-request-id":"Not-Set","x-ms-is-spilled-over":"false","x-ms-rai-invoked":"true","x-ms-region":"East US 2","x-new-api-version":"0.4.39","x-oneapi-request-id":"202604200413492664072248268d9d6jr9juBQ2","x-ratelimit-abusepenalty-active":"False","x-ratelimit-limit-requests":"3850","x-ratelimit-limit-tokens":"3850000","x-ratelimit-remaining-requests":"3849","x-ratelimit-remaining-tokens":"3848287","x-ratelimit-renewalperiod-requests":"60","x-ratelimit-renewalperiod-tokens":"60","x-ratelimit-reset-requests":"15","x-ratelimit-reset-tokens":"26","x-request-id":"a581aa73-1242-4cc0-97c3-dd525d727cca"}</t>
        </is>
      </c>
      <c r="N166" t="inlineStr">
        <is>
          <t>BC Street Wear vintage black T-shirt made of heavy cotton, soft and breathable. Features bold digital portrait print and letters for a 3D look. Loose fit unisex design for casual, music, and street style.</t>
        </is>
      </c>
      <c r="O166" t="inlineStr">
        <is>
          <t>{"choices":[{"finish_reason":"stop","index":0,"logprobs":null,"message":{"annotations":[],"content":"BC, T-Shirts, kakobuy, kakebuy2026, kekobuysheet, kakobuysheet2026, 2026kakobuy, kakobuyspreadsheeet, kakobuylink, kakebuylist, Kakobuy MEGA Spreadsheet, kakobuysheetfind, kakobuysheetfind2026, 2026kakobuysheetfind, kakobuysheet2026","refusal":null,"role":"assistant"}}],"created":1776667891,"id":"chatcmpl-DWclfZwjAnDIS8ETzWMgh6uaJpLTs","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66" t="inlineStr">
        <is>
          <t>BC, T-Shirts, kakobuy, kakebuy2026, kekobuysheet, kakobuysheet2026, 2026kakobuy, kakobuyspreadsheeet, kakobuylink, kakebuylist, Kakobuy MEGA Spreadsheet, kakobuysheetfind, kakobuysheetfind2026, 2026kakobuysheetfind, kakobuysheet2026</t>
        </is>
      </c>
      <c r="Q166" t="inlineStr">
        <is>
          <t>Vintage, Black, Streetwear, Unisex</t>
        </is>
      </c>
      <c r="R166" t="inlineStr">
        <is>
          <t>recvh6xFVjTcyZ</t>
        </is>
      </c>
      <c r="S166" t="inlineStr">
        <is>
          <t>bc-street-wear-vintage-cotton-black-tee-recvh6xFVjTcyZ</t>
        </is>
      </c>
      <c r="T166"/>
      <c r="U166"/>
      <c r="V166"/>
      <c r="W166" t="inlineStr">
        <is>
          <t>{"choices":[{"finish_reason":"stop","index":0,"logprobs":null,"message":{"annotations":[],"content":"街头复古黑色短袖T恤，采用高克重纯棉面料，舒适透气不易变形。正面数码喷印人像与英文字母图腾，质感立体，视觉冲击强烈。宽松落肩版型设计，彰显随性街头风格，男女皆可轻松驾驭。适合日常休闲、音乐节及潮流场合穿搭，展现时尚个性态度。","refusal":null,"role":"assistant"}}],"created":1776654995,"id":"chatcmpl-DWZPfVT1wUEr10eZuva7v1d6k21px","model":"gpt-5-chat-latest","object":"chat.completion","service_tier":"default","system_fingerprint":"fp_ad66631dec","usage":{"completion_tokens":110,"completion_tokens_details":{"accepted_prediction_tokens":0,"audio_tokens":0,"reasoning_tokens":0,"rejected_prediction_tokens":0},"prompt_tokens":1325,"prompt_tokens_details":{"audio_tokens":0,"cached_tokens":0},"total_tokens":1435}}</t>
        </is>
      </c>
      <c r="X166" t="inlineStr">
        <is>
          <t>街头复古黑色短袖T恤，采用高克重纯棉面料，舒适透气不易变形。正面数码喷印人像与英文字母图腾，质感立体，视觉冲击强烈。宽松落肩版型设计，彰显随性街头风格，男女皆可轻松驾驭。适合日常休闲、音乐节及潮流场合穿搭，展现时尚个性态度。</t>
        </is>
      </c>
    </row>
    <row r="167" ht="25.5" customHeight="1">
      <c r="A167">
        <v>1839115443</v>
      </c>
      <c r="B167">
        <v>7614043027</v>
      </c>
      <c r="C167" t="inlineStr">
        <is>
          <t>https://weidian.com/item.html?itemID=7614043027</t>
        </is>
      </c>
      <c r="D167"/>
      <c r="E167" s="2" t="str">
        <f>=HYPERLINK("https://si.geilicdn.com/open1839115443-252808396-4a2c0000019aaf7fcf510a8133b0_1440_1440.jpg?w=750&amp;h=750&amp;cp=1", "https://si.geilicdn.com/open1839115443-252808396-4a2c0000019aaf7fcf510a8133b0_1440_1440.jpg?w=750&amp;h=750&amp;cp=1")</f>
        <v>https://si.geilicdn.com/open1839115443-252808396-4a2c0000019aaf7fcf510a8133b0_1440_1440.jpg?w=750&amp;h=750&amp;cp=1</v>
      </c>
      <c r="F167" t="inlineStr">
        <is>
          <t>Hoodies</t>
        </is>
      </c>
      <c r="G167" t="inlineStr">
        <is>
          <t>Other</t>
        </is>
      </c>
      <c r="H167" t="inlineStr">
        <is>
          <t>120.00</t>
        </is>
      </c>
      <c r="I167">
        <v>17.39</v>
      </c>
      <c r="J167" t="inlineStr">
        <is>
          <t>{"id":"chatcmpl-DWcHmm5XiGkPPScDzYzTjPY4w6kiT","object":"chat.completion","created":1776666038,"model":"gpt-5-chat-latest","choices":[{"index":0,"message":{"role":"assistant","content":"BC Street Wear Retro Heavyweight Washed Cotton Hoodie","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167" t="inlineStr">
        <is>
          <t>BC Street Wear Retro Heavyweight Washed Cotton Hoodie</t>
        </is>
      </c>
      <c r="L167" t="inlineStr">
        <is>
          <t>{"choices":[{"finish_reason":"stop","index":0,"logprobs":null,"message":{"annotations":[],"content":"BC Street Wear Retro Heavyweight Black Hoodie made of 420g washed cotton. Soft yet structured feel with vintage collage print and distressed lettering. Oversized drop-shoulder fit for unisex street style.","refusal":null,"role":"assistant"}}],"created":1776658457,"id":"chatcmpl-DWaJVqaPPeLLJH4wXNkP0VmOh4sVf","model":"gpt-5-chat-latest","object":"chat.completion","service_tier":"default","system_fingerprint":"fp_ad66631dec","usage":{"completion_tokens":42,"completion_tokens_details":{"accepted_prediction_tokens":0,"audio_tokens":0,"reasoning_tokens":0,"rejected_prediction_tokens":0},"prompt_tokens":955,"prompt_tokens_details":{"audio_tokens":0,"cached_tokens":0},"total_tokens":997}}</t>
        </is>
      </c>
      <c r="M167" t="inlineStr">
        <is>
          <t>{"alt-svc":"h3=\":443\"; ma=2592000","apim-request-id":"2176ba7a-24bd-49e5-9a9f-03a58fe82948","azureml-model-session":"d20260405212659-a9daa006","cache-control":"no-cache","connection":"close","content-length":"792","content-security-policy":"frame-ancestors 'self'","content-type":"application/json","date":"Mon, 20 Apr 2026 04:14:19 GMT","server":"Caddy","skip-error-remapping":"true","strict-transport-security":"max-age=31536000; includeSubDomains; preload","via":"1.1 Caddy","x-api-request-id":"20260420121416723751492HyuaZWhF","x-content-type-options":"nosniff","x-frame-options":"SAMEORIGIN","x-ms-client-request-id":"Not-Set","x-ms-is-spilled-over":"false","x-ms-rai-invoked":"true","x-ms-region":"East US 2","x-new-api-version":"0.4.39","x-oneapi-request-id":"202604200414166511018178268d9d6jCEF7LSN","x-ratelimit-abusepenalty-active":"False","x-ratelimit-limit-requests":"3850","x-ratelimit-limit-tokens":"3850000","x-ratelimit-remaining-requests":"3849","x-ratelimit-remaining-tokens":"3844076","x-ratelimit-renewalperiod-requests":"60","x-ratelimit-renewalperiod-tokens":"60","x-ratelimit-reset-requests":"15","x-ratelimit-reset-tokens":"92","x-request-id":"c310d85f-9402-4aea-b590-874f5c019641"}</t>
        </is>
      </c>
      <c r="N167" t="inlineStr">
        <is>
          <t>BC Street Wear Retro Heavyweight Black Hoodie made of 420g washed cotton. Soft yet structured feel with vintage collage print and distressed lettering. Oversized drop-shoulder fit for unisex street style.</t>
        </is>
      </c>
      <c r="O167" t="inlineStr">
        <is>
          <t>{"choices":[{"finish_reason":"stop","index":0,"logprobs":null,"message":{"annotations":[],"content":"BC,Hoodies,kakobuy,kakebuy2026,kekobuysheet,kakobuysheet2026,2026kakobuy,kakobuyspreadsheeet,kakobuylink,kakebuylist,Kakobuy MEGA Spreadsheet,kakobuysheetfind,kakobuysheetfind2026,2026kakobuysheetfind,kakobuysheet2026","refusal":null,"role":"assistant"}}],"created":1776668420,"id":"chatcmpl-DWcuC4b92d1ZJm2ulu8XRYPj9erXH","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7" t="inlineStr">
        <is>
          <t>BC,Hoodies,kakobuy,kakebuy2026,kekobuysheet,kakobuysheet2026,2026kakobuy,kakobuyspreadsheeet,kakobuylink,kakebuylist,Kakobuy MEGA Spreadsheet,kakobuysheetfind,kakobuysheetfind2026,2026kakobuysheetfind,kakobuysheet2026</t>
        </is>
      </c>
      <c r="Q167" t="inlineStr">
        <is>
          <t>Streetwear, Retro, Black, Unisex</t>
        </is>
      </c>
      <c r="R167" t="inlineStr">
        <is>
          <t>recvh6xFVjBMbb</t>
        </is>
      </c>
      <c r="S167" t="inlineStr">
        <is>
          <t>bc-street-wear-retro-heavy-hoodie-recvh6xfvjbmbb</t>
        </is>
      </c>
      <c r="T167"/>
      <c r="U167"/>
      <c r="V167"/>
      <c r="W167" t="inlineStr">
        <is>
          <t>{"choices":[{"finish_reason":"stop","index":0,"logprobs":null,"message":{"annotations":[],"content":"复古黑色重磅连帽卫衣，采用420克水洗棉质面料，厚实挺括且手感柔软。正面拼贴艺术印花搭配做旧字母图腾，展现美式街头复古风格。宽松落肩版型设计，兼具舒适与潮酷，男女皆可轻松驾驭。适合都市街头、日常休闲穿搭，彰显个性态度与时尚品味。","refusal":null,"role":"assistant"}}],"created":1776655888,"id":"chatcmpl-DWZe42bITmxVMYGeLpygyQeehsPYW","model":"gpt-5-chat-latest","object":"chat.completion","service_tier":"default","system_fingerprint":"fp_ad66631dec","usage":{"completion_tokens":111,"completion_tokens_details":{"accepted_prediction_tokens":0,"audio_tokens":0,"reasoning_tokens":0,"rejected_prediction_tokens":0},"prompt_tokens":1330,"prompt_tokens_details":{"audio_tokens":0,"cached_tokens":0},"total_tokens":1441}}</t>
        </is>
      </c>
      <c r="X167" t="inlineStr">
        <is>
          <t>复古黑色重磅连帽卫衣，采用420克水洗棉质面料，厚实挺括且手感柔软。正面拼贴艺术印花搭配做旧字母图腾，展现美式街头复古风格。宽松落肩版型设计，兼具舒适与潮酷，男女皆可轻松驾驭。适合都市街头、日常休闲穿搭，彰显个性态度与时尚品味。</t>
        </is>
      </c>
    </row>
    <row r="168" ht="25.5" customHeight="1">
      <c r="A168">
        <v>1839115443</v>
      </c>
      <c r="B168">
        <v>7614082823</v>
      </c>
      <c r="C168" t="inlineStr">
        <is>
          <t>https://weidian.com/item.html?itemID=7614082823</t>
        </is>
      </c>
      <c r="D168"/>
      <c r="E168" s="2" t="str">
        <f>=HYPERLINK("https://si.geilicdn.com/open1839115443-252808396-54b10000019aaf814a280a23b4de_800_1051.jpg?w=640&amp;h=640", "https://si.geilicdn.com/open1839115443-252808396-54b10000019aaf814a280a23b4de_800_1051.jpg?w=640&amp;h=640")</f>
        <v>https://si.geilicdn.com/open1839115443-252808396-54b10000019aaf814a280a23b4de_800_1051.jpg?w=640&amp;h=640</v>
      </c>
      <c r="F168" t="inlineStr">
        <is>
          <t>Hoodies</t>
        </is>
      </c>
      <c r="G168" t="inlineStr">
        <is>
          <t>Other</t>
        </is>
      </c>
      <c r="H168" t="inlineStr">
        <is>
          <t>120.00</t>
        </is>
      </c>
      <c r="I168">
        <v>17.39</v>
      </c>
      <c r="J168" t="inlineStr">
        <is>
          <t>{"choices":[{"finish_reason":"stop","index":0,"logprobs":null,"message":{"annotations":[],"content":"HoodiesOther Vintage Black Graphic Streetwear Hoodie","refusal":null,"role":"assistant"}}],"created":1776666097,"id":"chatcmpl-DWcIjUT1nAIk1B2nENPPX6gUB81yl","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is>
      </c>
      <c r="K168" t="inlineStr">
        <is>
          <t>HoodiesOther Vintage Black Graphic Streetwear Hoodie</t>
        </is>
      </c>
      <c r="L168" t="inlineStr">
        <is>
          <t>{"choices":[{"finish_reason":"stop","index":0,"logprobs":null,"message":{"annotations":[],"content":"HoodiesOther Vintage Washed Black Hoodie, soft cotton fabric with bold graphic print, loose unisex fit, showcases retro American street style, ideal for daily wear and fall-winter outfits.","refusal":null,"role":"assistant"}}],"created":1776658744,"id":"chatcmpl-DWaO89rhJ61RpaH5PSJMvdkW4Pqa4","model":"gpt-5-chat-latest","object":"chat.completion","service_tier":"default","system_fingerprint":"fp_ad66631dec","usage":{"completion_tokens":40,"completion_tokens_details":{"accepted_prediction_tokens":0,"audio_tokens":0,"reasoning_tokens":0,"rejected_prediction_tokens":0},"prompt_tokens":909,"prompt_tokens_details":{"audio_tokens":0,"cached_tokens":0},"total_tokens":949}}</t>
        </is>
      </c>
      <c r="M168" t="inlineStr">
        <is>
          <t>{"alt-svc":"h3=\":443\"; ma=2592000","apim-request-id":"b6eebd81-f23d-4909-b299-fedd00c0f973","azureml-model-session":"d20260402083108-57a85543","cache-control":"no-cache","connection":"close","content-length":"776","content-security-policy":"frame-ancestors 'self'","content-type":"application/json","date":"Mon, 20 Apr 2026 04:19:05 GMT","server":"Caddy","skip-error-remapping":"true","strict-transport-security":"max-age=31536000; includeSubDomains; preload","via":"1.1 Caddy","x-api-request-id":"20260420121903101856690EraYnxNy","x-content-type-options":"nosniff","x-frame-options":"SAMEORIGIN","x-ms-client-request-id":"Not-Set","x-ms-is-spilled-over":"false","x-ms-rai-invoked":"true","x-ms-region":"East US 2","x-new-api-version":"0.4.39","x-oneapi-request-id":"202604200419029127973998268d9d6km2dYUn8","x-ratelimit-abusepenalty-active":"False","x-ratelimit-limit-requests":"3850","x-ratelimit-limit-tokens":"3850000","x-ratelimit-remaining-requests":"3849","x-ratelimit-remaining-tokens":"3848329","x-ratelimit-renewalperiod-requests":"60","x-ratelimit-renewalperiod-tokens":"60","x-ratelimit-reset-requests":"15","x-ratelimit-reset-tokens":"26","x-request-id":"214015df-baa7-4e96-9ec7-d878e15d4c82"}</t>
        </is>
      </c>
      <c r="N168" t="inlineStr">
        <is>
          <t>HoodiesOther Vintage Washed Black Hoodie, soft cotton fabric with bold graphic print, loose unisex fit, showcases retro American street style, ideal for daily wear and fall-winter outfits.</t>
        </is>
      </c>
      <c r="O168" t="inlineStr">
        <is>
          <t>{"choices":[{"finish_reason":"stop","index":0,"logprobs":null,"message":{"annotations":[],"content":"Mens,Hoodies,kakobuy,kakebuy2026,kekobuysheet,kakobuysheet2026,2026kakobuy,kakobuyspreadsheeet,kakobuylink,kakebuylist,Kakobuy MEGA Spreadsheet,kakobuysheetfind,kakobuysheetfind2026,2026kakobuysheetfind,kakobuysheet2026","refusal":null,"role":"assistant"}}],"created":1776667234,"id":"chatcmpl-DWcb4wuIriWSVYCJ6K5tc7SDAbiJ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8" t="inlineStr">
        <is>
          <t>Mens,Hoodies,kakobuy,kakebuy2026,kekobuysheet,kakobuysheet2026,2026kakobuy,kakobuyspreadsheeet,kakobuylink,kakebuylist,Kakobuy MEGA Spreadsheet,kakobuysheetfind,kakobuysheetfind2026,2026kakobuysheetfind,kakobuysheet2026</t>
        </is>
      </c>
      <c r="Q168" t="inlineStr">
        <is>
          <t>Black, Retro, Streetwear, Unisex, Autumn And Winter</t>
        </is>
      </c>
      <c r="R168" t="inlineStr">
        <is>
          <t>recvh6xFVjiM87</t>
        </is>
      </c>
      <c r="S168" t="inlineStr">
        <is>
          <t>hoodiesother-vintage-black-graphic-streetwear-hoodie-recvh6xFVjiM87</t>
        </is>
      </c>
      <c r="T168"/>
      <c r="U168"/>
      <c r="V168"/>
      <c r="W168" t="inlineStr">
        <is>
          <t>{"id":"chatcmpl-DWZMzQRGLIfVh5NKk74aWljgnnC5V","object":"chat.completion","created":1776654829,"model":"gpt-5-chat-latest","choices":[{"index":0,"message":{"role":"assistant","content":"水洗黑复古连帽卫衣，舒适棉质面料打造，正面印花彰显个性街头气质，宽松版型男女通穿，独特水洗做旧质感展现美式复古潮流风，适合日常搭配与秋冬休闲穿搭。","refusal":null,"annotations":[]},"logprobs":null,"finish_reason":"stop"}],"usage":{"prompt_tokens":1314,"completion_tokens":73,"total_tokens":1387,"prompt_tokens_details":{"cached_tokens":1280,"audio_tokens":0},"completion_tokens_details":{"reasoning_tokens":0,"audio_tokens":0,"accepted_prediction_tokens":0,"rejected_prediction_tokens":0}},"service_tier":"default","system_fingerprint":"fp_ad66631dec"}</t>
        </is>
      </c>
      <c r="X168" t="inlineStr">
        <is>
          <t>水洗黑复古连帽卫衣，舒适棉质面料打造，正面印花彰显个性街头气质，宽松版型男女通穿，独特水洗做旧质感展现美式复古潮流风，适合日常搭配与秋冬休闲穿搭。</t>
        </is>
      </c>
    </row>
    <row r="169" ht="25.5" customHeight="1">
      <c r="A169">
        <v>1839115443</v>
      </c>
      <c r="B169">
        <v>7617019118</v>
      </c>
      <c r="C169" t="inlineStr">
        <is>
          <t>https://weidian.com/item.html?itemID=7617019118</t>
        </is>
      </c>
      <c r="D169"/>
      <c r="E169" s="2" t="str">
        <f>=HYPERLINK("https://si.geilicdn.com/open1839115443-252808396-69950000019aaf81000f0aa081c2_800_800.jpg?w=750&amp;h=750&amp;cp=1", "https://si.geilicdn.com/open1839115443-252808396-69950000019aaf81000f0aa081c2_800_800.jpg?w=750&amp;h=750&amp;cp=1")</f>
        <v>https://si.geilicdn.com/open1839115443-252808396-69950000019aaf81000f0aa081c2_800_800.jpg?w=750&amp;h=750&amp;cp=1</v>
      </c>
      <c r="F169" t="inlineStr">
        <is>
          <t>Hoodies</t>
        </is>
      </c>
      <c r="G169" t="inlineStr">
        <is>
          <t>Other</t>
        </is>
      </c>
      <c r="H169" t="inlineStr">
        <is>
          <t>120.00</t>
        </is>
      </c>
      <c r="I169">
        <v>17.39</v>
      </c>
      <c r="J169" t="inlineStr">
        <is>
          <t>{"choices":[{"finish_reason":"stop","index":0,"logprobs":null,"message":{"annotations":[],"content":"BC Street Wear Retro Combat Totem Black Hoodie","refusal":null,"role":"assistant"}}],"created":1776665953,"id":"chatcmpl-DWcGP8myk6FTbIUljvmuCnc2dVaDW","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169" t="inlineStr">
        <is>
          <t>BC Street Wear Retro Combat Totem Black Hoodie</t>
        </is>
      </c>
      <c r="L169" t="inlineStr">
        <is>
          <t>{"choices":[{"finish_reason":"stop","index":0,"logprobs":null,"message":{"annotations":[],"content":"BC Street Wear Retro Black Hoodie, 420g pure cotton washed vintage style, front combat totem print, unisex loose fit, trendy street fashion essential for high street casual outfits.","refusal":null,"role":"assistant"}}],"created":1776658747,"id":"chatcmpl-DWaOBVg346Hh7O6WSgVAXzViXdiTc","model":"gpt-5-chat-latest","object":"chat.completion","service_tier":"default","system_fingerprint":"fp_ad66631dec","usage":{"completion_tokens":38,"completion_tokens_details":{"accepted_prediction_tokens":0,"audio_tokens":0,"reasoning_tokens":0,"rejected_prediction_tokens":0},"prompt_tokens":894,"prompt_tokens_details":{"audio_tokens":0,"cached_tokens":0},"total_tokens":932}}</t>
        </is>
      </c>
      <c r="M169" t="inlineStr">
        <is>
          <t>{"alt-svc":"h3=\":443\"; ma=2592000","apim-request-id":"d6a04e5b-ad79-4a6c-b92d-76591658af4a","azureml-model-session":"d20260405234249-f9874baf","cache-control":"no-cache","connection":"close","content-length":"769","content-security-policy":"frame-ancestors 'self'","content-type":"application/json","date":"Mon, 20 Apr 2026 04:19:08 GMT","server":"Caddy","skip-error-remapping":"true","strict-transport-security":"max-age=31536000; includeSubDomains; preload","via":"1.1 Caddy","x-api-request-id":"20260420121905972305411JHaAQJNt","x-content-type-options":"nosniff","x-frame-options":"SAMEORIGIN","x-ms-client-request-id":"Not-Set","x-ms-is-spilled-over":"false","x-ms-rai-invoked":"true","x-ms-region":"East US 2","x-new-api-version":"0.4.39","x-oneapi-request-id":"202604200419059073636138268d9d6L0FZPvYa","x-ratelimit-abusepenalty-active":"False","x-ratelimit-limit-requests":"3850","x-ratelimit-limit-tokens":"3850000","x-ratelimit-remaining-requests":"3849","x-ratelimit-remaining-tokens":"3848344","x-ratelimit-renewalperiod-requests":"60","x-ratelimit-renewalperiod-tokens":"60","x-ratelimit-reset-requests":"15","x-ratelimit-reset-tokens":"25","x-request-id":"7b61f6f2-370d-4c44-9555-364a8e1983a1"}</t>
        </is>
      </c>
      <c r="N169" t="inlineStr">
        <is>
          <t>BC Street Wear Retro Black Hoodie, 420g pure cotton washed vintage style, front combat totem print, unisex loose fit, trendy street fashion essential for high street casual outfits.</t>
        </is>
      </c>
      <c r="O169" t="inlineStr">
        <is>
          <t>{"choices":[{"finish_reason":"stop","index":0,"logprobs":null,"message":{"annotations":[],"content":"BC,Hoodies,kakobuy,kakebuy2026,kekobuysheet,kakobuysheet2026,2026kakobuy,kakobuyspreadsheeet,kakobuylink,kakebuylist,Kakobuy MEGA Spreadsheet,kakobuysheetfind,kakobuysheetfind2026,2026kakobuysheetfind,kakobuysheet2026","refusal":null,"role":"assistant"}}],"created":1776667100,"id":"chatcmpl-DWcYuAGmhcMn1DjfVlpyFpCV5KewO","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9" t="inlineStr">
        <is>
          <t>BC,Hoodies,kakobuy,kakebuy2026,kekobuysheet,kakobuysheet2026,2026kakobuy,kakobuyspreadsheeet,kakobuylink,kakebuylist,Kakobuy MEGA Spreadsheet,kakobuysheetfind,kakobuysheetfind2026,2026kakobuysheetfind,kakobuysheet2026</t>
        </is>
      </c>
      <c r="Q169" t="inlineStr">
        <is>
          <t>High Street, Retro, Black, Unisex</t>
        </is>
      </c>
      <c r="R169" t="inlineStr">
        <is>
          <t>recvh6xFVjqQvO</t>
        </is>
      </c>
      <c r="S169" t="inlineStr">
        <is>
          <t>bc-street-wear-retro-combat-totem-black-hoodie-recvh6xfvjqqvO</t>
        </is>
      </c>
      <c r="T169"/>
      <c r="U169"/>
      <c r="V169"/>
      <c r="W169" t="inlineStr">
        <is>
          <t>{"choices":[{"finish_reason":"stop","index":0,"logprobs":null,"message":{"annotations":[],"content":"复古黑色街头系列连帽卫衣，420克纯棉水洗旧做工，正面印花复刻格斗图腾，宽松版型男女同款，休闲潮流风格高街穿搭必备。","refusal":null,"role":"assistant"}}],"created":1776655705,"id":"chatcmpl-DWZb7rxQYZsoyu9SWxUX6Hclcq5Xc","model":"gpt-5-chat-latest","object":"chat.completion","service_tier":"default","system_fingerprint":"fp_ad66631dec","usage":{"completion_tokens":56,"completion_tokens_details":{"accepted_prediction_tokens":0,"audio_tokens":0,"reasoning_tokens":0,"rejected_prediction_tokens":0},"prompt_tokens":1318,"prompt_tokens_details":{"audio_tokens":0,"cached_tokens":0},"total_tokens":1374}}</t>
        </is>
      </c>
      <c r="X169" t="inlineStr">
        <is>
          <t>复古黑色街头系列连帽卫衣，420克纯棉水洗旧做工，正面印花复刻格斗图腾，宽松版型男女同款，休闲潮流风格高街穿搭必备。</t>
        </is>
      </c>
    </row>
    <row r="170" ht="25.5" customHeight="1">
      <c r="A170">
        <v>1839115443</v>
      </c>
      <c r="B170">
        <v>7614041115</v>
      </c>
      <c r="C170" t="inlineStr">
        <is>
          <t>https://weidian.com/item.html?itemID=7614041115</t>
        </is>
      </c>
      <c r="D170"/>
      <c r="E170" s="2" t="str">
        <f>=HYPERLINK("https://si.geilicdn.com/open1839115443-252808396-57150000019aaf80fd210a231226_1000_1000.jpg?w=750&amp;h=750&amp;cp=1", "https://si.geilicdn.com/open1839115443-252808396-57150000019aaf80fd210a231226_1000_1000.jpg?w=750&amp;h=750&amp;cp=1")</f>
        <v>https://si.geilicdn.com/open1839115443-252808396-57150000019aaf80fd210a231226_1000_1000.jpg?w=750&amp;h=750&amp;cp=1</v>
      </c>
      <c r="F170" t="inlineStr">
        <is>
          <t>Hoodies</t>
        </is>
      </c>
      <c r="G170" t="inlineStr">
        <is>
          <t>Other</t>
        </is>
      </c>
      <c r="H170" t="inlineStr">
        <is>
          <t>120.00</t>
        </is>
      </c>
      <c r="I170">
        <v>17.39</v>
      </c>
      <c r="J170" t="inlineStr">
        <is>
          <t>{"id":"chatcmpl-DWcPbLghJcaxBdUJFLeFpctLosMjW","object":"chat.completion","created":1776666523,"model":"gpt-5-chat-latest","choices":[{"index":0,"message":{"role":"assistant","content":"BC Street Wear CENTRAL Black Oversized Hoodie","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70" t="inlineStr">
        <is>
          <t>BC Street Wear CENTRAL Black Oversized Hoodie</t>
        </is>
      </c>
      <c r="L170" t="inlineStr">
        <is>
          <t>{"id":"chatcmpl-DWaRfvqP46S3fdDfGBTCDbFmL9XVR","object":"chat.completion","created":1776658963,"model":"gpt-5-chat-latest","choices":[{"index":0,"message":{"role":"assistant","content":"BC Street Wear CENTRAL Hoodie – black cotton sweatshirt with vivid multi-person print, hip-hop oversized fit, unisex casual street style essential for trendsetters seeking comfort and attitude.","refusal":null,"annotations":[]},"logprobs":null,"finish_reason":"stop"}],"usage":{"prompt_tokens":900,"completion_tokens":36,"total_tokens":936,"prompt_tokens_details":{"cached_tokens":0,"audio_tokens":0},"completion_tokens_details":{"reasoning_tokens":0,"audio_tokens":0,"accepted_prediction_tokens":0,"rejected_prediction_tokens":0}},"service_tier":"default","system_fingerprint":"fp_ad66631dec"}</t>
        </is>
      </c>
      <c r="M17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ma=2592000","apim-request-id":"1ed750dc-3c85-4c5f-8b04-bcf9fcfa3bd9","azureml-model-session":"d20260405234249-f9874baf","cache-control":"no-cache, no-store, must-revalidate","connection":"close","content-length":"999","content-security-policy":"frame-ancestors 'self'","content-type":"application/json","date":"Mon, 20 Apr 2026 04:22:45 GMT","server":"Caddy","skip-error-remapping":"true","strict-transport-security":"max-age=31536000; includeSubDomains; preload","via":"1.1 Caddy","x-api-request-id":"202604201222411258532067w0x7iFB","x-content-type-options":"nosniff","x-frame-options":"SAMEORIGIN","x-ms-is-spilled-over":"false","x-ms-rai-invoked":"false","x-ms-region":"Sweden Central","x-new-api-version":"0.4.39","x-oneapi-request-id":"20260420042241575412258268d9d6gvSBRrc4","x-ratelimit-abusepenalty-active":"False","x-ratelimit-limit-requests":"4993","x-ratelimit-limit-tokens":"4993000","x-ratelimit-remaining-requests":"4992","x-ratelimit-remaining-tokens":"4991338","x-ratelimit-renewalperiod-requests":"60","x-ratelimit-renewalperiod-tokens":"60","x-ratelimit-reset-requests":"12","x-ratelimit-reset-tokens":"19","x-request-id":"5179a134-4167-46e6-8bb0-b2a85b4ab7a3"}</t>
        </is>
      </c>
      <c r="N170" t="inlineStr">
        <is>
          <t>BC Street Wear CENTRAL Hoodie – black cotton sweatshirt with vivid multi-person print, hip-hop oversized fit, unisex casual street style essential for trendsetters seeking comfort and attitude.</t>
        </is>
      </c>
      <c r="O170" t="inlineStr">
        <is>
          <t>{"choices":[{"finish_reason":"stop","index":0,"logprobs":null,"message":{"annotations":[],"content":"BC, Hoodies, kakobuy, kakebuy2026, kekobuysheet, kakobuysheet2026, 2026kakobuy, kakobuyspreadsheeet, kakobuylink, kakebuylist, Kakobuy MEGA Spreadsheet, kakobuysheetfind, kakobuysheetfind2026, 2026kakobuysheetfind, kakobuysheet2026","refusal":null,"role":"assistant"}}],"created":1776668154,"id":"chatcmpl-DWcpuYcfE7oKUhe5MOyMMzxVwaP4e","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70" t="inlineStr">
        <is>
          <t>BC, Hoodies, kakobuy, kakebuy2026, kekobuysheet, kakobuysheet2026, 2026kakobuy, kakobuyspreadsheeet, kakobuylink, kakebuylist, Kakobuy MEGA Spreadsheet, kakobuysheetfind, kakobuysheetfind2026, 2026kakobuysheetfind, kakobuysheet2026</t>
        </is>
      </c>
      <c r="Q170" t="inlineStr">
        <is>
          <t>Black, Hip Hop, Unisex, Streetwear</t>
        </is>
      </c>
      <c r="R170" t="inlineStr">
        <is>
          <t>recvh6xFVjXs2i</t>
        </is>
      </c>
      <c r="S170" t="inlineStr">
        <is>
          <t>bc-street-wear-central-black-oversized-hoodie-recvh6xFVjXs2i</t>
        </is>
      </c>
      <c r="T170"/>
      <c r="U170"/>
      <c r="V170"/>
      <c r="W170" t="inlineStr">
        <is>
          <t>{"choices":[{"finish_reason":"stop","index":0,"logprobs":null,"message":{"annotations":[],"content":"街头CENTRAL系列黑色印花连帽卫衣，柔软棉质材质，正面多人物炫彩图腾设计，宽松版型展现嘻哈街头风格，男女皆宜，休闲百搭彰显潮流态度。","refusal":null,"role":"assistant"}}],"created":1776655141,"id":"chatcmpl-DWZS1L4RfLqV2D8DiYV8Low2xS15b","model":"gpt-5-chat-latest","object":"chat.completion","service_tier":"default","system_fingerprint":"fp_ad66631dec","usage":{"completion_tokens":63,"completion_tokens_details":{"accepted_prediction_tokens":0,"audio_tokens":0,"reasoning_tokens":0,"rejected_prediction_tokens":0},"prompt_tokens":1318,"prompt_tokens_details":{"audio_tokens":0,"cached_tokens":0},"total_tokens":1381}}</t>
        </is>
      </c>
      <c r="X170" t="inlineStr">
        <is>
          <t>街头CENTRAL系列黑色印花连帽卫衣，柔软棉质材质，正面多人物炫彩图腾设计，宽松版型展现嘻哈街头风格，男女皆宜，休闲百搭彰显潮流态度。</t>
        </is>
      </c>
    </row>
    <row r="171" ht="25.5" customHeight="1">
      <c r="A171">
        <v>1839115443</v>
      </c>
      <c r="B171">
        <v>7614037115</v>
      </c>
      <c r="C171" t="inlineStr">
        <is>
          <t>https://weidian.com/item.html?itemID=7614037115</t>
        </is>
      </c>
      <c r="D171"/>
      <c r="E171" s="2" t="str">
        <f>=HYPERLINK("https://si.geilicdn.com/open1839115443-252808396-57b60000019aaf7fca2e0a22d249_800_800.jpg?w=750&amp;h=750&amp;cp=1", "https://si.geilicdn.com/open1839115443-252808396-57b60000019aaf7fca2e0a22d249_800_800.jpg?w=750&amp;h=750&amp;cp=1")</f>
        <v>https://si.geilicdn.com/open1839115443-252808396-57b60000019aaf7fca2e0a22d249_800_800.jpg?w=750&amp;h=750&amp;cp=1</v>
      </c>
      <c r="F171" t="inlineStr">
        <is>
          <t>T-Shirts</t>
        </is>
      </c>
      <c r="G171" t="inlineStr">
        <is>
          <t>Other</t>
        </is>
      </c>
      <c r="H171" t="inlineStr">
        <is>
          <t>120.00</t>
        </is>
      </c>
      <c r="I171">
        <v>17.39</v>
      </c>
      <c r="J171" t="inlineStr">
        <is>
          <t>{"id":"chatcmpl-DWcSxZWAiA1RrftH6QvlFH0ihK2DB","object":"chat.completion","created":1776666731,"model":"gpt-5-chat-latest","choices":[{"index":0,"message":{"role":"assistant","content":"Brother Retro 260G Cotton Dark Gray Sports T-Shirt","refusal":null,"annotations":[]},"logprobs":null,"finish_reason":"stop"}],"usage":{"prompt_tokens":887,"completion_tokens":12,"total_tokens":899,"prompt_tokens_details":{"cached_tokens":0,"audio_tokens":0},"completion_tokens_details":{"reasoning_tokens":0,"audio_tokens":0,"accepted_prediction_tokens":0,"rejected_prediction_tokens":0}},"service_tier":"default","system_fingerprint":"fp_ad66631dec"}</t>
        </is>
      </c>
      <c r="K171" t="inlineStr">
        <is>
          <t>Brother Retro 260G Cotton Dark Gray Sports T-Shirt</t>
        </is>
      </c>
      <c r="L171" t="inlineStr">
        <is>
          <t>{"choices":[{"finish_reason":"stop","index":0,"logprobs":null,"message":{"annotations":[],"content":"Brother Retro Series Dark Gray T-Shirt, made of 260G pure cotton with thick texture, features white ink sports totem print, loose fit, stylish streetwear for men’s daily outings and casual dates.","refusal":null,"role":"assistant"}}],"created":1776658505,"id":"chatcmpl-DWaKHRptlWBi1C0Z5RqdZvvoSEitV","model":"gpt-5-chat-latest","object":"chat.completion","service_tier":"default","system_fingerprint":"fp_ad66631dec","usage":{"completion_tokens":43,"completion_tokens_details":{"accepted_prediction_tokens":0,"audio_tokens":0,"reasoning_tokens":0,"rejected_prediction_tokens":0},"prompt_tokens":920,"prompt_tokens_details":{"audio_tokens":0,"cached_tokens":0},"total_tokens":963}}</t>
        </is>
      </c>
      <c r="M171" t="inlineStr">
        <is>
          <t>{"alt-svc":"h3=\":443\"; ma=2592000","apim-request-id":"f317198c-663a-420b-a16f-fcd29fdb3db9","azureml-model-session":"d20260405234249-f9874baf","cache-control":"no-cache","connection":"close","content-length":"785","content-security-policy":"frame-ancestors 'self'","content-type":"application/json","date":"Mon, 20 Apr 2026 04:15:06 GMT","server":"nginx","skip-error-remapping":"true","strict-transport-security":"max-age=31536000; includeSubDomains; preload","via":"1.1 Caddy, 1.1 Caddy","x-api-request-id":"202604201215043852316118a7qAs1b","x-content-type-options":"nosniff","x-frame-options":"SAMEORIGIN","x-ms-client-request-id":"Not-Set","x-ms-is-spilled-over":"false","x-ms-rai-invoked":"true","x-ms-region":"East US 2","x-new-api-version":"0.4.39","x-oneapi-request-id":"202604200415043196514368268d9d68DWISgxF","x-ratelimit-abusepenalty-active":"False","x-ratelimit-limit-requests":"3850","x-ratelimit-limit-tokens":"3850000","x-ratelimit-remaining-requests":"3849","x-ratelimit-remaining-tokens":"3848318","x-ratelimit-renewalperiod-requests":"60","x-ratelimit-renewalperiod-tokens":"60","x-ratelimit-reset-requests":"15","x-ratelimit-reset-tokens":"26","x-request-id":"6c9f950d-e05b-4e4b-b66b-f5919b00c42c"}</t>
        </is>
      </c>
      <c r="N171" t="inlineStr">
        <is>
          <t>Brother Retro Series Dark Gray T-Shirt, made of 260G pure cotton with thick texture, features white ink sports totem print, loose fit, stylish streetwear for men’s daily outings and casual dates.</t>
        </is>
      </c>
      <c r="O171" t="inlineStr">
        <is>
          <t>{"choices":[{"finish_reason":"stop","index":0,"logprobs":null,"message":{"annotations":[],"content":"Brother,T-Shirts,kakobuy,kakebuy2026,kekobuysheet,kakobuysheet2026,2026kakobuy,kakobuyspreadsheeet,kakobuylink,kakebuylist,Kakobuy MEGA Spreadsheet,kakobuysheetfind,kakobuysheetfind2026,2026kakobuysheetfind,kakobuysheet2026","refusal":null,"role":"assistant"}}],"created":1776668560,"id":"chatcmpl-DWcwSqsDk9U5l6oql2MmGfg4SnweK","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71" t="inlineStr">
        <is>
          <t>Brother,T-Shirts,kakobuy,kakebuy2026,kekobuysheet,kakobuysheet2026,2026kakobuy,kakobuyspreadsheeet,kakobuylink,kakebuylist,Kakobuy MEGA Spreadsheet,kakobuysheetfind,kakobuysheetfind2026,2026kakobuysheetfind,kakobuysheet2026</t>
        </is>
      </c>
      <c r="Q171" t="inlineStr">
        <is>
          <t>Retro, Dark Grey, Streetwear, Men</t>
        </is>
      </c>
      <c r="R171" t="inlineStr">
        <is>
          <t>recvh6xFVjGt5A</t>
        </is>
      </c>
      <c r="S171" t="inlineStr">
        <is>
          <t>brother-retro-260g-cotton-dark-gray-sports-t-shirt-recvh6xFVjGt5A</t>
        </is>
      </c>
      <c r="T171"/>
      <c r="U171"/>
      <c r="V171"/>
      <c r="W171" t="inlineStr">
        <is>
          <t>{"choices":[{"finish_reason":"stop","index":0,"logprobs":null,"message":{"annotations":[],"content":"复古系列深灰色短袖T恤，采用260G纯棉面料打造，质感厚实挺括。正面白墨喷印运动图腾设计，彰显街头休闲风格，宽松廓形剪裁兼具舒适与时尚感，男士日常出街与休闲约会皆宜。","refusal":null,"role":"assistant"}}],"created":1776656244,"id":"chatcmpl-DWZjodBxJi1rZUIGyu3N6R7yYCJ2C","model":"gpt-5-chat-latest","object":"chat.completion","service_tier":"default","system_fingerprint":"fp_ad66631dec","usage":{"completion_tokens":80,"completion_tokens_details":{"accepted_prediction_tokens":0,"audio_tokens":0,"reasoning_tokens":0,"rejected_prediction_tokens":0},"prompt_tokens":1323,"prompt_tokens_details":{"audio_tokens":0,"cached_tokens":0},"total_tokens":1403}}</t>
        </is>
      </c>
      <c r="X171" t="inlineStr">
        <is>
          <t>复古系列深灰色短袖T恤，采用260G纯棉面料打造，质感厚实挺括。正面白墨喷印运动图腾设计，彰显街头休闲风格，宽松廓形剪裁兼具舒适与时尚感，男士日常出街与休闲约会皆宜。</t>
        </is>
      </c>
    </row>
    <row r="172" ht="25.5" customHeight="1">
      <c r="A172">
        <v>1839115443</v>
      </c>
      <c r="B172">
        <v>7617108554</v>
      </c>
      <c r="C172" t="inlineStr">
        <is>
          <t>https://weidian.com/item.html?itemID=7617108554</t>
        </is>
      </c>
      <c r="D172"/>
      <c r="E172" s="2" t="str">
        <f>=HYPERLINK("https://si.geilicdn.com/open1839115443-252808396-57fe0000019aaf7febc90a22d249_800_851.jpg?w=640&amp;h=640", "https://si.geilicdn.com/open1839115443-252808396-57fe0000019aaf7febc90a22d249_800_851.jpg?w=640&amp;h=640")</f>
        <v>https://si.geilicdn.com/open1839115443-252808396-57fe0000019aaf7febc90a22d249_800_851.jpg?w=640&amp;h=640</v>
      </c>
      <c r="F172" t="inlineStr">
        <is>
          <t>T-Shirts</t>
        </is>
      </c>
      <c r="G172" t="inlineStr">
        <is>
          <t>Other</t>
        </is>
      </c>
      <c r="H172" t="inlineStr">
        <is>
          <t>86.00</t>
        </is>
      </c>
      <c r="I172">
        <v>12.46</v>
      </c>
      <c r="J172" t="inlineStr">
        <is>
          <t>{"choices":[{"finish_reason":"stop","index":0,"logprobs":null,"message":{"annotations":[],"content":"BCGHOST Vintage Washed Black Long Sleeve T-Shirt","refusal":null,"role":"assistant"}}],"created":1776665969,"id":"chatcmpl-DWcGfCohBeOCDaPJSNofZY9g2DeCq","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172" t="inlineStr">
        <is>
          <t>BCGHOST Vintage Washed Black Long Sleeve T-Shirt</t>
        </is>
      </c>
      <c r="L172" t="inlineStr">
        <is>
          <t>{"choices":[{"finish_reason":"stop","index":0,"logprobs":null,"message":{"annotations":[],"content":"BCGHOST Washed Black Long Sleeve T-Shirt, made of high-density cotton, soft and breathable, vintage washed finish, unisex relaxed fit, perfect for streetwear and casual urban style.","refusal":null,"role":"assistant"}}],"created":1776659257,"id":"chatcmpl-DWaWPOWRx1gRXwNyPsVGyKWWcQhGM","model":"gpt-5-chat-latest","object":"chat.completion","service_tier":"default","system_fingerprint":"fp_ad66631dec","usage":{"completion_tokens":40,"completion_tokens_details":{"accepted_prediction_tokens":0,"audio_tokens":0,"reasoning_tokens":0,"rejected_prediction_tokens":0},"prompt_tokens":917,"prompt_tokens_details":{"audio_tokens":0,"cached_tokens":0},"total_tokens":957}}</t>
        </is>
      </c>
      <c r="M172" t="inlineStr">
        <is>
          <t>{"alt-svc":"h3=\":443\"; ma=2592000","apim-request-id":"7c402244-c792-4b74-af0c-1fa2ddb50813","azureml-model-session":"d20260402083108-57a85543","cache-control":"no-cache","connection":"close","content-length":"769","content-security-policy":"frame-ancestors 'self'","content-type":"application/json","date":"Mon, 20 Apr 2026 04:27:38 GMT","server":"Caddy","skip-error-remapping":"true","strict-transport-security":"max-age=31536000; includeSubDomains; preload","via":"1.1 Caddy","x-api-request-id":"2026042012273754717907tCctXECd","x-content-type-options":"nosniff","x-frame-options":"SAMEORIGIN","x-ms-client-request-id":"Not-Set","x-ms-is-spilled-over":"false","x-ms-rai-invoked":"true","x-ms-region":"East US 2","x-new-api-version":"0.4.39","x-oneapi-request-id":"202604200427369887290788268d9d6Uq3n1vVJ","x-ratelimit-abusepenalty-active":"False","x-ratelimit-limit-requests":"3850","x-ratelimit-limit-tokens":"3850000","x-ratelimit-remaining-requests":"3849","x-ratelimit-remaining-tokens":"3848321","x-ratelimit-renewalperiod-requests":"60","x-ratelimit-renewalperiod-tokens":"60","x-ratelimit-reset-requests":"15","x-ratelimit-reset-tokens":"26","x-request-id":"5c318abb-c6db-4402-a26f-c7abfd576569"}</t>
        </is>
      </c>
      <c r="N172" t="inlineStr">
        <is>
          <t>BCGHOST Washed Black Long Sleeve T-Shirt, made of high-density cotton, soft and breathable, vintage washed finish, unisex relaxed fit, perfect for streetwear and casual urban style.</t>
        </is>
      </c>
      <c r="O172" t="inlineStr">
        <is>
          <t>{"id":"chatcmpl-DWcZYfJXPDXol4cyeyD7edOVgJB8v","object":"chat.completion","created":1776667140,"model":"gpt-5-chat-latest","choices":[{"index":0,"message":{"role":"assistant","content":"BCGHOST,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72" t="inlineStr">
        <is>
          <t>BCGHOST,T-Shirts,kakobuy,kakebuy2026,kekobuysheet,kakobuysheet2026,2026kakobuy,kakobuyspreadsheeet,kakobuylink,kakebuylist,Kakobuy MEGA Spreadsheet,kakobuysheetfind,kakobuysheetfind2026,2026kakobuysheetfind,kakobuysheet2026</t>
        </is>
      </c>
      <c r="Q172" t="inlineStr">
        <is>
          <t>Vintage, Streetwear, Unisex, Black</t>
        </is>
      </c>
      <c r="R172" t="inlineStr">
        <is>
          <t>recvh6xFVjSw57</t>
        </is>
      </c>
      <c r="S172" t="inlineStr">
        <is>
          <t>bcghost-vintage-washed-black-long-sleeve-tshirt-recvh6xfvjsw57</t>
        </is>
      </c>
      <c r="T172"/>
      <c r="U172"/>
      <c r="V172"/>
      <c r="W172" t="inlineStr">
        <is>
          <t>{"choices":[{"finish_reason":"stop","index":0,"logprobs":null,"message":{"annotations":[],"content":"水洗黑系列长袖T恤，选用高密度纯棉材质，质感柔软透气。经典圆领设计搭配复古水洗工艺，呈现街头做旧风格。简约中性版型，适合男女皆宜穿着，休闲与时尚兼具，轻松打造都市潮流造型。","refusal":null,"role":"assistant"}}],"created":1776655296,"id":"chatcmpl-DWZUWpt8cRJtZb0UkSPQ9i0wC7czY","model":"gpt-5-chat-latest","object":"chat.completion","service_tier":"default","system_fingerprint":"fp_ad66631dec","usage":{"completion_tokens":83,"completion_tokens_details":{"accepted_prediction_tokens":0,"audio_tokens":0,"reasoning_tokens":0,"rejected_prediction_tokens":0},"prompt_tokens":1311,"prompt_tokens_details":{"audio_tokens":0,"cached_tokens":0},"total_tokens":1394}}</t>
        </is>
      </c>
      <c r="X172" t="inlineStr">
        <is>
          <t>水洗黑系列长袖T恤，选用高密度纯棉材质，质感柔软透气。经典圆领设计搭配复古水洗工艺，呈现街头做旧风格。简约中性版型，适合男女皆宜穿着，休闲与时尚兼具，轻松打造都市潮流造型。</t>
        </is>
      </c>
    </row>
    <row r="173" ht="25.5" customHeight="1">
      <c r="A173">
        <v>1839115443</v>
      </c>
      <c r="B173">
        <v>7617106594</v>
      </c>
      <c r="C173" t="inlineStr">
        <is>
          <t>https://weidian.com/item.html?itemID=7617106594</t>
        </is>
      </c>
      <c r="D173"/>
      <c r="E173" s="2" t="str">
        <f>=HYPERLINK("https://si.geilicdn.com/open1839115443-252808396-4cf10000019aaf7fe2b90a23b491_750_1000.jpg?w=640&amp;h=640", "https://si.geilicdn.com/open1839115443-252808396-4cf10000019aaf7fe2b90a23b491_750_1000.jpg?w=640&amp;h=640")</f>
        <v>https://si.geilicdn.com/open1839115443-252808396-4cf10000019aaf7fe2b90a23b491_750_1000.jpg?w=640&amp;h=640</v>
      </c>
      <c r="F173" t="inlineStr">
        <is>
          <t>Hoodies</t>
        </is>
      </c>
      <c r="G173" t="inlineStr">
        <is>
          <t>Other</t>
        </is>
      </c>
      <c r="H173" t="inlineStr">
        <is>
          <t>120.00</t>
        </is>
      </c>
      <c r="I173">
        <v>17.39</v>
      </c>
      <c r="J173" t="inlineStr">
        <is>
          <t>{"choices":[{"finish_reason":"stop","index":0,"logprobs":null,"message":{"annotations":[],"content":"BC Street Wear Retro 420G Cotton Washed Hoodie","refusal":null,"role":"assistant"}}],"created":1776666680,"id":"chatcmpl-DWcS8bFq1btH6qjmbpqeV5g68JDmT","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173" t="inlineStr">
        <is>
          <t>BC Street Wear Retro 420G Cotton Washed Hoodie</t>
        </is>
      </c>
      <c r="L173" t="inlineStr">
        <is>
          <t>{"choices":[{"finish_reason":"stop","index":0,"logprobs":null,"message":{"annotations":[],"content":"BC Street Wear American Retro Heavyweight Washed Hoodie, 420G pure cotton, soft and thick, stylish graphic print, unisex loose fit for casual streetwear and urban cool style.","refusal":null,"role":"assistant"}}],"created":1776659029,"id":"chatcmpl-DWaSjmh5VyDhBImURsRYA75FgxC6X","model":"gpt-5-chat-latest","object":"chat.completion","service_tier":"default","system_fingerprint":"fp_ad66631dec","usage":{"completion_tokens":39,"completion_tokens_details":{"accepted_prediction_tokens":0,"audio_tokens":0,"reasoning_tokens":0,"rejected_prediction_tokens":0},"prompt_tokens":905,"prompt_tokens_details":{"audio_tokens":0,"cached_tokens":0},"total_tokens":944}}</t>
        </is>
      </c>
      <c r="M173" t="inlineStr">
        <is>
          <t>{"alt-svc":"h3=\":443\"; ma=2592000","apim-request-id":"44809ac5-4636-412b-b705-ec0276a53d59","azureml-model-session":"d20260402084046-4209e968","cache-control":"no-cache","connection":"close","content-length":"762","content-security-policy":"frame-ancestors 'self'","content-type":"application/json","date":"Mon, 20 Apr 2026 04:23:50 GMT","server":"nginx","skip-error-remapping":"true","strict-transport-security":"max-age=31536000; includeSubDomains; preload","via":"1.1 Caddy, 1.1 Caddy","x-api-request-id":"2026042012234874784206hxECABVD","x-content-type-options":"nosniff","x-frame-options":"SAMEORIGIN","x-ms-client-request-id":"Not-Set","x-ms-is-spilled-over":"false","x-ms-rai-invoked":"true","x-ms-region":"East US 2","x-new-api-version":"0.4.39","x-oneapi-request-id":"2026042004234891158878268d9d6oVUMWBjI","x-ratelimit-abusepenalty-active":"False","x-ratelimit-limit-requests":"3850","x-ratelimit-limit-tokens":"3850000","x-ratelimit-remaining-requests":"3849","x-ratelimit-remaining-tokens":"3848333","x-ratelimit-renewalperiod-requests":"60","x-ratelimit-renewalperiod-tokens":"60","x-ratelimit-reset-requests":"15","x-ratelimit-reset-tokens":"25","x-request-id":"23f30a4c-e2b3-4d80-bb90-3518d26f2b73"}</t>
        </is>
      </c>
      <c r="N173" t="inlineStr">
        <is>
          <t>BC Street Wear American Retro Heavyweight Washed Hoodie, 420G pure cotton, soft and thick, stylish graphic print, unisex loose fit for casual streetwear and urban cool style.</t>
        </is>
      </c>
      <c r="O173" t="inlineStr">
        <is>
          <t>{"choices":[{"finish_reason":"stop","index":0,"logprobs":null,"message":{"annotations":[],"content":"BC, Hoodies, kakobuy, kakebuy2026, kekobuysheet, kakobuysheet2026, 2026kakobuy, kakobuyspreadsheeet, kakobuylink, kakebuylist, Kakobuy MEGA Spreadsheet, kakobuysheetfind, kakobuysheetfind2026, 2026kakobuysheetfind, kakobuysheet2026","refusal":null,"role":"assistant"}}],"created":1776667643,"id":"chatcmpl-DWchfpujNhdmq3QnT5gywOzHmkbEd","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73" t="inlineStr">
        <is>
          <t>BC, Hoodies, kakobuy, kakebuy2026, kekobuysheet, kakobuysheet2026, 2026kakobuy, kakobuyspreadsheeet, kakobuylink, kakebuylist, Kakobuy MEGA Spreadsheet, kakobuysheetfind, kakobuysheetfind2026, 2026kakobuysheetfind, kakobuysheet2026</t>
        </is>
      </c>
      <c r="Q173" t="inlineStr">
        <is>
          <t>Unisex, Streetwear, Retro</t>
        </is>
      </c>
      <c r="R173" t="inlineStr">
        <is>
          <t>recvh6xFVjx4xt</t>
        </is>
      </c>
      <c r="S173" t="inlineStr">
        <is>
          <t>bc-street-wear-retro-420g-cotton-washed-hoodie-recvh6xfvjx4xt</t>
        </is>
      </c>
      <c r="T173"/>
      <c r="U173"/>
      <c r="V173"/>
      <c r="W173" t="inlineStr">
        <is>
          <t>{"choices":[{"finish_reason":"stop","index":0,"logprobs":null,"message":{"annotations":[],"content":"美式复古系列黑色重磅水洗连帽卫衣，420G纯棉面料厚实柔软，正面融合个性潮流印花设计，彰显街头时尚态度，宽松版型男女皆宜，休闲百搭尽显都市酷感。","refusal":null,"role":"assistant"}}],"created":1776655624,"id":"chatcmpl-DWZZoSgOkaKEVr1nor2sf1hSDDcUc","model":"gpt-5-chat-latest","object":"chat.completion","service_tier":"default","system_fingerprint":"fp_ad66631dec","usage":{"completion_tokens":68,"completion_tokens_details":{"accepted_prediction_tokens":0,"audio_tokens":0,"reasoning_tokens":0,"rejected_prediction_tokens":0},"prompt_tokens":1316,"prompt_tokens_details":{"audio_tokens":0,"cached_tokens":0},"total_tokens":1384}}</t>
        </is>
      </c>
      <c r="X173" t="inlineStr">
        <is>
          <t>美式复古系列黑色重磅水洗连帽卫衣，420G纯棉面料厚实柔软，正面融合个性潮流印花设计，彰显街头时尚态度，宽松版型男女皆宜，休闲百搭尽显都市酷感。</t>
        </is>
      </c>
    </row>
    <row r="174" ht="25.5" customHeight="1">
      <c r="A174">
        <v>1839115443</v>
      </c>
      <c r="B174">
        <v>7617042920</v>
      </c>
      <c r="C174" t="inlineStr">
        <is>
          <t>https://weidian.com/item.html?itemID=7617042920</t>
        </is>
      </c>
      <c r="D174"/>
      <c r="E174" s="2" t="str">
        <f>=HYPERLINK("https://si.geilicdn.com/open1839115443-252808396-535d0000019aaf7fe2660a23b4de_800_1085.jpg?w=640&amp;h=640", "https://si.geilicdn.com/open1839115443-252808396-535d0000019aaf7fe2660a23b4de_800_1085.jpg?w=640&amp;h=640")</f>
        <v>https://si.geilicdn.com/open1839115443-252808396-535d0000019aaf7fe2660a23b4de_800_1085.jpg?w=640&amp;h=640</v>
      </c>
      <c r="F174" t="inlineStr">
        <is>
          <t>Hoodies</t>
        </is>
      </c>
      <c r="G174" t="inlineStr">
        <is>
          <t>Other</t>
        </is>
      </c>
      <c r="H174" t="inlineStr">
        <is>
          <t>120.00</t>
        </is>
      </c>
      <c r="I174">
        <v>17.39</v>
      </c>
      <c r="J174" t="inlineStr">
        <is>
          <t>{"id":"chatcmpl-DWcHoRId5leJ9GQwpgvMyREgUcT5D","object":"chat.completion","created":1776666040,"model":"gpt-5-chat-latest","choices":[{"index":0,"message":{"role":"assistant","content":"HoodiesOther Retro Black Unisex 90s Streetwear Hoodie","refusal":null,"annotations":[]},"logprobs":null,"finish_reason":"stop"}],"usage":{"prompt_tokens":886,"completion_tokens":15,"total_tokens":901,"prompt_tokens_details":{"cached_tokens":0,"audio_tokens":0},"completion_tokens_details":{"reasoning_tokens":0,"audio_tokens":0,"accepted_prediction_tokens":0,"rejected_prediction_tokens":0}},"service_tier":"default","system_fingerprint":"fp_ad66631dec"}</t>
        </is>
      </c>
      <c r="K174" t="inlineStr">
        <is>
          <t>HoodiesOther Retro Black Unisex 90s Streetwear Hoodie</t>
        </is>
      </c>
      <c r="L174" t="inlineStr">
        <is>
          <t>{"choices":[{"finish_reason":"stop","index":0,"logprobs":null,"message":{"annotations":[],"content":"HoodiesOther Retro Black Loose Hoodie, soft cotton-blend fabric, colorful portrait print, unisex 90s streetwear style, classic kangaroo pocket, perfect for daily casual and urban outfits.","refusal":null,"role":"assistant"}}],"created":1776659531,"id":"chatcmpl-DWaap5ZUuqWD1MKXUDdR1ZMFYylaZ","model":"gpt-5-chat-latest","object":"chat.completion","service_tier":"default","system_fingerprint":"fp_ad66631dec","usage":{"completion_tokens":42,"completion_tokens_details":{"accepted_prediction_tokens":0,"audio_tokens":0,"reasoning_tokens":0,"rejected_prediction_tokens":0},"prompt_tokens":925,"prompt_tokens_details":{"audio_tokens":0,"cached_tokens":0},"total_tokens":967}}</t>
        </is>
      </c>
      <c r="M174" t="inlineStr">
        <is>
          <t>{"alt-svc":"h3=\":443\"; ma=2592000","apim-request-id":"e7b4bf85-6981-409d-acac-6ea61c10f391","azureml-model-session":"d20260402083108-57a85543","cache-control":"no-cache","connection":"close","content-length":"775","content-security-policy":"frame-ancestors 'self'","content-type":"application/json","date":"Mon, 20 Apr 2026 04:32:12 GMT","server":"Caddy","skip-error-remapping":"true","strict-transport-security":"max-age=31536000; includeSubDomains; preload","via":"1.1 Caddy","x-api-request-id":"20260420123210658158069K7bwgfvY","x-content-type-options":"nosniff","x-frame-options":"SAMEORIGIN","x-ms-client-request-id":"Not-Set","x-ms-is-spilled-over":"false","x-ms-rai-invoked":"true","x-ms-region":"East US 2","x-new-api-version":"0.4.39","x-oneapi-request-id":"202604200432105897184518268d9d61HpkMM10","x-ratelimit-abusepenalty-active":"False","x-ratelimit-limit-requests":"3850","x-ratelimit-limit-tokens":"3850000","x-ratelimit-remaining-requests":"3849","x-ratelimit-remaining-tokens":"3848313","x-ratelimit-renewalperiod-requests":"60","x-ratelimit-renewalperiod-tokens":"60","x-ratelimit-reset-requests":"15","x-ratelimit-reset-tokens":"26","x-request-id":"28de76eb-e505-4499-8016-e4d06111c712"}</t>
        </is>
      </c>
      <c r="N174" t="inlineStr">
        <is>
          <t>HoodiesOther Retro Black Loose Hoodie, soft cotton-blend fabric, colorful portrait print, unisex 90s streetwear style, classic kangaroo pocket, perfect for daily casual and urban outfits.</t>
        </is>
      </c>
      <c r="O174" t="inlineStr">
        <is>
          <t>{"choices":[{"finish_reason":"stop","index":0,"logprobs":null,"message":{"annotations":[],"content":"Wu-Tang,Hoodies,kakobuy,kakebuy2026,kekobuysheet,kakobuysheet2026,2026kakobuy,kakobuyspreadsheeet,kakobuylink,kakebuylist,Kakobuy MEGA Spreadsheet,kakobuysheetfind,kakobuysheetfind2026,2026kakobuysheetfind,kakobuysheet2026","refusal":null,"role":"assistant"}}],"created":1776668322,"id":"chatcmpl-DWcsce3EoS3deKzcr7XlRJNKcjb3M","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74" t="inlineStr">
        <is>
          <t>Wu-Tang,Hoodies,kakobuy,kakebuy2026,kekobuysheet,kakobuysheet2026,2026kakobuy,kakobuyspreadsheeet,kakobuylink,kakebuylist,Kakobuy MEGA Spreadsheet,kakobuysheetfind,kakobuysheetfind2026,2026kakobuysheetfind,kakobuysheet2026</t>
        </is>
      </c>
      <c r="Q174" t="inlineStr">
        <is>
          <t>Retro, Streetwear, Black, Unisex</t>
        </is>
      </c>
      <c r="R174" t="inlineStr">
        <is>
          <t>recvh6xFVjApZ6</t>
        </is>
      </c>
      <c r="S174" t="inlineStr">
        <is>
          <t>retro-black-unisex-90s-streetwear-hoodie-recvh6xfvjapz6</t>
        </is>
      </c>
      <c r="T174"/>
      <c r="U174"/>
      <c r="V174"/>
      <c r="W174" t="inlineStr">
        <is>
          <t>{"id":"chatcmpl-DWZffQyORObMRBt9g4yJ6Jfs8vquH","object":"chat.completion","created":1776655987,"model":"gpt-5-chat-latest","choices":[{"index":0,"message":{"role":"assistant","content":"复古黑色宽松连帽卫衣，纯棉混纺面料柔软舒适，正面印有彩色人像图腾设计，彰显街头个性艺术感。经典袋鼠口袋实用便捷，男女皆宜，宽松剪裁演绎90年代复古街潮风格，适合日常休闲与街头穿搭。","refusal":null,"annotations":[]},"logprobs":null,"finish_reason":"stop"}],"usage":{"prompt_tokens":1316,"completion_tokens":88,"total_tokens":1404,"prompt_tokens_details":{"cached_tokens":0,"audio_tokens":0},"completion_tokens_details":{"reasoning_tokens":0,"audio_tokens":0,"accepted_prediction_tokens":0,"rejected_prediction_tokens":0}},"service_tier":"default","system_fingerprint":"fp_ad66631dec"}</t>
        </is>
      </c>
      <c r="X174" t="inlineStr">
        <is>
          <t>复古黑色宽松连帽卫衣，纯棉混纺面料柔软舒适，正面印有彩色人像图腾设计，彰显街头个性艺术感。经典袋鼠口袋实用便捷，男女皆宜，宽松剪裁演绎90年代复古街潮风格，适合日常休闲与街头穿搭。</t>
        </is>
      </c>
    </row>
    <row r="175" ht="25.5" customHeight="1">
      <c r="A175">
        <v>1839115443</v>
      </c>
      <c r="B175">
        <v>7614072903</v>
      </c>
      <c r="C175" t="inlineStr">
        <is>
          <t>https://weidian.com/item.html?itemID=7614072903</t>
        </is>
      </c>
      <c r="D175"/>
      <c r="E175" s="2" t="str">
        <f>=HYPERLINK("https://si.geilicdn.com/open1839115443-252808396-4de70000019aaf810e530a23b491_800_1106.jpg?w=640&amp;h=640", "https://si.geilicdn.com/open1839115443-252808396-4de70000019aaf810e530a23b491_800_1106.jpg?w=640&amp;h=640")</f>
        <v>https://si.geilicdn.com/open1839115443-252808396-4de70000019aaf810e530a23b491_800_1106.jpg?w=640&amp;h=640</v>
      </c>
      <c r="F175" t="inlineStr">
        <is>
          <t>T-Shirts</t>
        </is>
      </c>
      <c r="G175" t="inlineStr">
        <is>
          <t>Other</t>
        </is>
      </c>
      <c r="H175" t="inlineStr">
        <is>
          <t>120.00</t>
        </is>
      </c>
      <c r="I175">
        <v>17.39</v>
      </c>
      <c r="J175" t="inlineStr">
        <is>
          <t>{"choices":[{"finish_reason":"stop","index":0,"logprobs":null,"message":{"annotations":[],"content":"BC GHOST Black Oversized Basketball Graphic Street T-Shirt","refusal":null,"role":"assistant"}}],"created":1776666859,"id":"chatcmpl-DWcV158wWJzYgcpRmqUhRGddzNsZe","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75" t="inlineStr">
        <is>
          <t>BC GHOST Black Oversized Basketball Graphic Street T-Shirt</t>
        </is>
      </c>
      <c r="L175" t="inlineStr">
        <is>
          <t>{"choices":[{"finish_reason":"stop","index":0,"logprobs":null,"message":{"annotations":[],"content":"BC GHOST American street-style black oversized T-shirt, made of 260g pure cotton for softness and breathability. Features vintage grayscale basketball print, unisex design for cool daily wear.","refusal":null,"role":"assistant"}}],"created":1776658608,"id":"chatcmpl-DWaLwH3Y8rYMjorO6kiZCBgaLQc50","model":"gpt-5-chat-latest","object":"chat.completion","service_tier":"default","system_fingerprint":"fp_ad66631dec","usage":{"completion_tokens":39,"completion_tokens_details":{"accepted_prediction_tokens":0,"audio_tokens":0,"reasoning_tokens":0,"rejected_prediction_tokens":0},"prompt_tokens":915,"prompt_tokens_details":{"audio_tokens":0,"cached_tokens":0},"total_tokens":954}}</t>
        </is>
      </c>
      <c r="M175" t="inlineStr">
        <is>
          <t>{"alt-svc":"h3=\":443\"; ma=2592000","apim-request-id":"71088726-2510-4cca-ae29-e5c1b59c9de9","azureml-model-session":"d20260402084046-4209e968","cache-control":"no-cache","connection":"close","content-length":"780","content-security-policy":"frame-ancestors 'self'","content-type":"application/json","date":"Mon, 20 Apr 2026 04:16:50 GMT","server":"Caddy","skip-error-remapping":"true","strict-transport-security":"max-age=31536000; includeSubDomains; preload","via":"1.1 Caddy","x-api-request-id":"202604201216469295807056CSIk4NR","x-content-type-options":"nosniff","x-frame-options":"SAMEORIGIN","x-ms-client-request-id":"Not-Set","x-ms-is-spilled-over":"false","x-ms-rai-invoked":"true","x-ms-region":"East US 2","x-new-api-version":"0.4.39","x-oneapi-request-id":"202604200416467801564258268d9d660gAXvKD","x-ratelimit-abusepenalty-active":"False","x-ratelimit-limit-requests":"3850","x-ratelimit-limit-tokens":"3850000","x-ratelimit-remaining-requests":"3849","x-ratelimit-remaining-tokens":"3848323","x-ratelimit-renewalperiod-requests":"60","x-ratelimit-renewalperiod-tokens":"60","x-ratelimit-reset-requests":"15","x-ratelimit-reset-tokens":"26","x-request-id":"15ecb39a-e8ed-415a-94e8-45245ec7cf43"}</t>
        </is>
      </c>
      <c r="N175" t="inlineStr">
        <is>
          <t>BC GHOST American street-style black oversized T-shirt, made of 260g pure cotton for softness and breathability. Features vintage grayscale basketball print, unisex design for cool daily wear.</t>
        </is>
      </c>
      <c r="O175" t="inlineStr">
        <is>
          <t>{"choices":[{"finish_reason":"stop","index":0,"logprobs":null,"message":{"annotations":[],"content":"BC GHOST,T-Shirts,kakobuy,kakebuy2026,kekobuysheet,kakobuysheet2026,2026kakobuy,kakobuyspreadsheeet,kakobuylink,kakebuylist,Kakobuy MEGA Spreadsheet,kakobuysheetfind,kakobuysheetfind2026,2026kakobuysheetfind,kakobuysheet2026","refusal":null,"role":"assistant"}}],"created":1776668015,"id":"chatcmpl-DWcnf41PwHVlPCsJ43iNOO9qooE9L","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75" t="inlineStr">
        <is>
          <t>BC GHOST,T-Shirts,kakobuy,kakebuy2026,kekobuysheet,kakobuysheet2026,2026kakobuy,kakobuyspreadsheeet,kakobuylink,kakebuylist,Kakobuy MEGA Spreadsheet,kakobuysheetfind,kakobuysheetfind2026,2026kakobuysheetfind,kakobuysheet2026</t>
        </is>
      </c>
      <c r="Q175" t="inlineStr">
        <is>
          <t>Black, Vintage, Unisex, Streetwear</t>
        </is>
      </c>
      <c r="R175" t="inlineStr">
        <is>
          <t>recvh6xFVjnUli</t>
        </is>
      </c>
      <c r="S175" t="inlineStr">
        <is>
          <t>bc-ghost-basketball-graphic-street-tshirt-recvh6xfvjnuli</t>
        </is>
      </c>
      <c r="T175"/>
      <c r="U175"/>
      <c r="V175"/>
      <c r="W175" t="inlineStr">
        <is>
          <t>{"choices":[{"finish_reason":"stop","index":0,"logprobs":null,"message":{"annotations":[],"content":"美式街头系列黑色宽松短袖T恤，甄选260g纯棉面料，柔软亲肤透气。正面醒目篮球人物灰度印花设计，展现复古运动美学。休闲街头风格，男女皆宜，适合潮酷日常穿搭，彰显自由与个性。","refusal":null,"role":"assistant"}}],"created":1776656016,"id":"chatcmpl-DWZg8AEk1VfwCubNsJ9an5lLMgPu0","model":"gpt-5-chat-latest","object":"chat.completion","service_tier":"default","system_fingerprint":"fp_ad66631dec","usage":{"completion_tokens":81,"completion_tokens_details":{"accepted_prediction_tokens":0,"audio_tokens":0,"reasoning_tokens":0,"rejected_prediction_tokens":0},"prompt_tokens":1311,"prompt_tokens_details":{"audio_tokens":0,"cached_tokens":0},"total_tokens":1392}}</t>
        </is>
      </c>
      <c r="X175" t="inlineStr">
        <is>
          <t>美式街头系列黑色宽松短袖T恤，甄选260g纯棉面料，柔软亲肤透气。正面醒目篮球人物灰度印花设计，展现复古运动美学。休闲街头风格，男女皆宜，适合潮酷日常穿搭，彰显自由与个性。</t>
        </is>
      </c>
    </row>
    <row r="176" ht="25.5" customHeight="1">
      <c r="A176">
        <v>1839115443</v>
      </c>
      <c r="B176">
        <v>7617015116</v>
      </c>
      <c r="C176" t="inlineStr">
        <is>
          <t>https://weidian.com/item.html?itemID=7617015116</t>
        </is>
      </c>
      <c r="D176"/>
      <c r="E176" s="2" t="str">
        <f>=HYPERLINK("https://si.geilicdn.com/open1839115443-252808396-4a5e0000019aaf7fe2cd0a8133b0_800_1200.jpg?w=640&amp;h=640", "https://si.geilicdn.com/open1839115443-252808396-4a5e0000019aaf7fe2cd0a8133b0_800_1200.jpg?w=640&amp;h=640")</f>
        <v>https://si.geilicdn.com/open1839115443-252808396-4a5e0000019aaf7fe2cd0a8133b0_800_1200.jpg?w=640&amp;h=640</v>
      </c>
      <c r="F176" t="inlineStr">
        <is>
          <t>T-Shirts</t>
        </is>
      </c>
      <c r="G176" t="inlineStr">
        <is>
          <t>Other</t>
        </is>
      </c>
      <c r="H176" t="inlineStr">
        <is>
          <t>120.00</t>
        </is>
      </c>
      <c r="I176">
        <v>17.39</v>
      </c>
      <c r="J176" t="inlineStr">
        <is>
          <t>{"id":"chatcmpl-DWcJ3qziXIi3ctCj3QxxrCpoAZJQB","object":"chat.completion","created":1776666117,"model":"gpt-5-chat-latest","choices":[{"index":0,"message":{"role":"assistant","content":"BCGHOST Retro Rock 90s Vintage Black T-Shirt","refusal":null,"annotations":[]},"logprobs":null,"finish_reason":"stop"}],"usage":{"prompt_tokens":889,"completion_tokens":13,"total_tokens":902,"prompt_tokens_details":{"cached_tokens":0,"audio_tokens":0},"completion_tokens_details":{"reasoning_tokens":0,"audio_tokens":0,"accepted_prediction_tokens":0,"rejected_prediction_tokens":0}},"service_tier":"default","system_fingerprint":"fp_ad66631dec"}</t>
        </is>
      </c>
      <c r="K176" t="inlineStr">
        <is>
          <t>BCGHOST Retro Rock 90s Vintage Black T-Shirt</t>
        </is>
      </c>
      <c r="L176" t="inlineStr">
        <is>
          <t>{"id":"chatcmpl-DWaXJxedAnJAfrfeccZP2MYgXDxIF","object":"chat.completion","created":1776659313,"model":"gpt-5-chat-latest","choices":[{"index":0,"message":{"role":"assistant","content":"BCGHOST Retro Rock Series Black Graphic T-Shirt uses soft cotton with a vintage wash. Colorful street art print and loose fit bring 90s fashion vibes for men and women, perfect for casual everyday wear.","refusal":null,"annotations":[]},"logprobs":null,"finish_reason":"stop"}],"usage":{"prompt_tokens":916,"completion_tokens":44,"total_tokens":960,"prompt_tokens_details":{"cached_tokens":0,"audio_tokens":0},"completion_tokens_details":{"reasoning_tokens":0,"audio_tokens":0,"accepted_prediction_tokens":0,"rejected_prediction_tokens":0}},"service_tier":"default","system_fingerprint":"fp_ad66631dec"}</t>
        </is>
      </c>
      <c r="M17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ma=2592000","apim-request-id":"d3e3d3bc-4dec-4e85-a329-75e9ee61fd30","azureml-model-session":"d20260402075109-1fc5a0ec","cache-control":"no-cache, no-store, must-revalidate","connection":"close","content-length":"1006","content-security-policy":"frame-ancestors 'self'","content-type":"application/json","date":"Mon, 20 Apr 2026 04:28:34 GMT","server":"Caddy","skip-error-remapping":"true","strict-transport-security":"max-age=31536000; includeSubDomains; preload","via":"1.1 Caddy","x-api-request-id":"2026042012283295881479CxzErkfO","x-content-type-options":"nosniff","x-frame-options":"SAMEORIGIN","x-ms-is-spilled-over":"false","x-ms-rai-invoked":"false","x-ms-region":"East US 2","x-new-api-version":"0.4.39","x-oneapi-request-id":"20260420042832284858708268d9d65lt4P3PO","x-ratelimit-abusepenalty-active":"False","x-ratelimit-limit-requests":"4994","x-ratelimit-limit-tokens":"4994000","x-ratelimit-remaining-requests":"4993","x-ratelimit-remaining-tokens":"4992322","x-ratelimit-renewalperiod-requests":"60","x-ratelimit-renewalperiod-tokens":"60","x-ratelimit-reset-requests":"12","x-ratelimit-reset-tokens":"20","x-request-id":"24843306-d6be-493e-a17c-68de2f259dcf"}</t>
        </is>
      </c>
      <c r="N176" t="inlineStr">
        <is>
          <t>BCGHOST Retro Rock Series Black Graphic T-Shirt uses soft cotton with a vintage wash. Colorful street art print and loose fit bring 90s fashion vibes for men and women, perfect for casual everyday wear.</t>
        </is>
      </c>
      <c r="O176" t="inlineStr">
        <is>
          <t>{"choices":[{"finish_reason":"stop","index":0,"logprobs":null,"message":{"annotations":[],"content":"BCGHOST,T-Shirts,kakobuy,kakebuy2026,kekobuysheet,kakobuysheet2026,2026kakobuy,kakobuyspreadsheeet,kakobuylink,kakebuylist,Kakobuy MEGA Spreadsheet,kakobuysheetfind,kakobuysheetfind2026,2026kakobuysheetfind,kakobuysheet2026","refusal":null,"role":"assistant"}}],"created":1776668852,"id":"chatcmpl-DWd1AKbTktKDJh9Z4dwX62Ftmgx1D","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76" t="inlineStr">
        <is>
          <t>BCGHOST,T-Shirts,kakobuy,kakebuy2026,kekobuysheet,kakobuysheet2026,2026kakobuy,kakobuyspreadsheeet,kakobuylink,kakebuylist,Kakobuy MEGA Spreadsheet,kakobuysheetfind,kakobuysheetfind2026,2026kakobuysheetfind,kakobuysheet2026</t>
        </is>
      </c>
      <c r="Q176" t="inlineStr">
        <is>
          <t>Retro, Street, Unisex</t>
        </is>
      </c>
      <c r="R176" t="inlineStr">
        <is>
          <t>recvh6xFVjgj4I</t>
        </is>
      </c>
      <c r="S176" t="inlineStr">
        <is>
          <t>bcghost-retro-rock-90s-vintage-black-tshirt-recvh6xfvjgj4i</t>
        </is>
      </c>
      <c r="T176"/>
      <c r="U176"/>
      <c r="V176"/>
      <c r="W176" t="inlineStr">
        <is>
          <t>{"id":"chatcmpl-DWZVAuc1r1d6cBlABmxexZtox96e7","object":"chat.completion","created":1776655336,"model":"gpt-5-chat-latest","choices":[{"index":0,"message":{"role":"assistant","content":"复古摇滚系列黑色印花T恤，选用柔软纯棉面料，呈现做旧质感。正面大胆彩色人物与字母图案极具街头艺术风，宽松剪裁适合男女穿搭，彰显90年代复古潮流气息，休闲日常皆宜。","refusal":null,"annotations":[]},"logprobs":null,"finish_reason":"stop"}],"usage":{"prompt_tokens":1321,"completion_tokens":77,"total_tokens":1398,"prompt_tokens_details":{"cached_tokens":0,"audio_tokens":0},"completion_tokens_details":{"reasoning_tokens":0,"audio_tokens":0,"accepted_prediction_tokens":0,"rejected_prediction_tokens":0}},"service_tier":"default","system_fingerprint":"fp_ad66631dec"}</t>
        </is>
      </c>
      <c r="X176" t="inlineStr">
        <is>
          <t>复古摇滚系列黑色印花T恤，选用柔软纯棉面料，呈现做旧质感。正面大胆彩色人物与字母图案极具街头艺术风，宽松剪裁适合男女穿搭，彰显90年代复古潮流气息，休闲日常皆宜。</t>
        </is>
      </c>
    </row>
    <row r="177" ht="25.5" customHeight="1">
      <c r="A177">
        <v>1839115443</v>
      </c>
      <c r="B177">
        <v>7617098584</v>
      </c>
      <c r="C177" t="inlineStr">
        <is>
          <t>https://weidian.com/item.html?itemID=7617098584</t>
        </is>
      </c>
      <c r="D177"/>
      <c r="E177" s="2" t="str">
        <f>=HYPERLINK("https://si.geilicdn.com/open1839115443-252808396-56430000019aaf7fe7660a231226_800_1200.jpg?w=640&amp;h=640", "https://si.geilicdn.com/open1839115443-252808396-56430000019aaf7fe7660a231226_800_1200.jpg?w=640&amp;h=640")</f>
        <v>https://si.geilicdn.com/open1839115443-252808396-56430000019aaf7fe7660a231226_800_1200.jpg?w=640&amp;h=640</v>
      </c>
      <c r="F177" t="inlineStr">
        <is>
          <t>Hoodies</t>
        </is>
      </c>
      <c r="G177" t="inlineStr">
        <is>
          <t>Other</t>
        </is>
      </c>
      <c r="H177" t="inlineStr">
        <is>
          <t>120.00</t>
        </is>
      </c>
      <c r="I177">
        <v>17.39</v>
      </c>
      <c r="J177" t="inlineStr">
        <is>
          <t>{"choices":[{"finish_reason":"stop","index":0,"logprobs":null,"message":{"annotations":[],"content":"BCGHOST Black Graffiti Print Unisex Streetwear Hoodie","refusal":null,"role":"assistant"}}],"created":1776666465,"id":"chatcmpl-DWcOfqlMgX5HxN2M0iQlqte1Pay7V","model":"gpt-5-chat-latest","object":"chat.completion","service_tier":"default","system_fingerprint":"fp_ad66631dec","usage":{"completion_tokens":13,"completion_tokens_details":{"accepted_prediction_tokens":0,"audio_tokens":0,"reasoning_tokens":0,"rejected_prediction_tokens":0},"prompt_tokens":880,"prompt_tokens_details":{"audio_tokens":0,"cached_tokens":0},"total_tokens":893}}</t>
        </is>
      </c>
      <c r="K177" t="inlineStr">
        <is>
          <t>BCGHOST Black Graffiti Print Unisex Streetwear Hoodie</t>
        </is>
      </c>
      <c r="L177" t="inlineStr">
        <is>
          <t>{"choices":[{"finish_reason":"stop","index":0,"logprobs":null,"message":{"annotations":[],"content":"BCGHOST black graffiti hoodie in soft cotton, featuring bold front art print, unisex loose fit, streetwear style for a trendy and cozy look, perfect for casual or urban outfits.","refusal":null,"role":"assistant"}}],"created":1776658427,"id":"chatcmpl-DWaJ1YGGfKL1qIiFwetGfR5naMReF","model":"gpt-5-chat-latest","object":"chat.completion","service_tier":"default","system_fingerprint":"fp_ad66631dec","usage":{"completion_tokens":39,"completion_tokens_details":{"accepted_prediction_tokens":0,"audio_tokens":0,"reasoning_tokens":0,"rejected_prediction_tokens":0},"prompt_tokens":911,"prompt_tokens_details":{"audio_tokens":0,"cached_tokens":0},"total_tokens":950}}</t>
        </is>
      </c>
      <c r="M177" t="inlineStr">
        <is>
          <t>{"alt-svc":"h3=\":443\"; ma=2592000","apim-request-id":"68f1b1b6-55b4-4bf8-a898-1b653c38b4fb","azureml-model-session":"d20260402074105-51db401e","cache-control":"no-cache","connection":"close","content-length":"765","content-security-policy":"frame-ancestors 'self'","content-type":"application/json","date":"Mon, 20 Apr 2026 04:13:49 GMT","server":"Caddy","skip-error-remapping":"true","strict-transport-security":"max-age=31536000; includeSubDomains; preload","via":"1.1 Caddy","x-api-request-id":"20260420121346767546156qKPebkOc","x-content-type-options":"nosniff","x-frame-options":"SAMEORIGIN","x-ms-client-request-id":"Not-Set","x-ms-is-spilled-over":"false","x-ms-rai-invoked":"true","x-ms-region":"East US 2","x-new-api-version":"0.4.39","x-oneapi-request-id":"202604200413466996010768268d9d6mrPhubeS","x-ratelimit-abusepenalty-active":"False","x-ratelimit-limit-requests":"3850","x-ratelimit-limit-tokens":"3850000","x-ratelimit-remaining-requests":"3849","x-ratelimit-remaining-tokens":"3847531","x-ratelimit-renewalperiod-requests":"60","x-ratelimit-renewalperiod-tokens":"60","x-ratelimit-reset-requests":"15","x-ratelimit-reset-tokens":"38","x-request-id":"7906622a-653d-41e1-9da3-699fd1726fc0"}</t>
        </is>
      </c>
      <c r="N177" t="inlineStr">
        <is>
          <t>BCGHOST black graffiti hoodie in soft cotton, featuring bold front art print, unisex loose fit, streetwear style for a trendy and cozy look, perfect for casual or urban outfits.</t>
        </is>
      </c>
      <c r="O177" t="inlineStr">
        <is>
          <t>{"id":"chatcmpl-DWceIIQaAKka2SaIh5FZt0utZi51O","object":"chat.completion","created":1776667434,"model":"gpt-5-chat-latest","choices":[{"index":0,"message":{"role":"assistant","content":"BCGHOST,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77" t="inlineStr">
        <is>
          <t>BCGHOST,Hoodies,kakobuy,kakebuy2026,kekobuysheet,kakobuysheet2026,2026kakobuy,kakobuyspreadsheeet,kakobuylink,kakebuylist,Kakobuy MEGA Spreadsheet,kakobuysheetfind,kakobuysheetfind2026,2026kakobuysheetfind,kakobuysheet2026</t>
        </is>
      </c>
      <c r="Q177" t="inlineStr">
        <is>
          <t>Black, Streetwear, Unisex</t>
        </is>
      </c>
      <c r="R177" t="inlineStr">
        <is>
          <t>recvh6xFVjsWCn</t>
        </is>
      </c>
      <c r="S177" t="inlineStr">
        <is>
          <t>bcghost-black-graffiti-print-hoodie-recvh6xfvjswcn</t>
        </is>
      </c>
      <c r="T177"/>
      <c r="U177"/>
      <c r="V177"/>
      <c r="W177" t="inlineStr">
        <is>
          <t>{"id":"chatcmpl-DWZRt1c57e0K3KPu4kOSCCpKOr1eg","object":"chat.completion","created":1776655133,"model":"gpt-5-chat-latest","choices":[{"index":0,"message":{"role":"assistant","content":"黑色街头涂鸦系列连帽卫衣，柔软棉质面料兼具舒适与保暖，正面大片艺术印花设计，展现前卫个性风格，宽松廓形剪裁适合男女穿着，街头潮流感十足，轻松打造高级休闲造型。","refusal":null,"annotations":[]},"logprobs":null,"finish_reason":"stop"}],"usage":{"prompt_tokens":1310,"completion_tokens":77,"total_tokens":1387,"prompt_tokens_details":{"cached_tokens":1280,"audio_tokens":0},"completion_tokens_details":{"reasoning_tokens":0,"audio_tokens":0,"accepted_prediction_tokens":0,"rejected_prediction_tokens":0}},"service_tier":"default","system_fingerprint":"fp_ad66631dec"}</t>
        </is>
      </c>
      <c r="X177" t="inlineStr">
        <is>
          <t>黑色街头涂鸦系列连帽卫衣，柔软棉质面料兼具舒适与保暖，正面大片艺术印花设计，展现前卫个性风格，宽松廓形剪裁适合男女穿着，街头潮流感十足，轻松打造高级休闲造型。</t>
        </is>
      </c>
    </row>
    <row r="178" ht="25.5" customHeight="1">
      <c r="A178">
        <v>1839115443</v>
      </c>
      <c r="B178">
        <v>7614080785</v>
      </c>
      <c r="C178" t="inlineStr">
        <is>
          <t>https://weidian.com/item.html?itemID=7614080785</t>
        </is>
      </c>
      <c r="D178"/>
      <c r="E178" s="2" t="str">
        <f>=HYPERLINK("https://si.geilicdn.com/open1839115443-252808396-53290000019aaf7fc8510a23b4de_800_800.jpg?w=750&amp;h=750&amp;cp=1", "https://si.geilicdn.com/open1839115443-252808396-53290000019aaf7fc8510a23b4de_800_800.jpg?w=750&amp;h=750&amp;cp=1")</f>
        <v>https://si.geilicdn.com/open1839115443-252808396-53290000019aaf7fc8510a23b4de_800_800.jpg?w=750&amp;h=750&amp;cp=1</v>
      </c>
      <c r="F178" t="inlineStr">
        <is>
          <t>T-Shirts</t>
        </is>
      </c>
      <c r="G178" t="inlineStr">
        <is>
          <t>Other</t>
        </is>
      </c>
      <c r="H178" t="inlineStr">
        <is>
          <t>120.00</t>
        </is>
      </c>
      <c r="I178">
        <v>17.39</v>
      </c>
      <c r="J178" t="inlineStr">
        <is>
          <t>{"choices":[{"finish_reason":"stop","index":0,"logprobs":null,"message":{"annotations":[],"content":"VintageWear Retro Black Washed Basketball Graphic T-Shirt","refusal":null,"role":"assistant"}}],"created":1776666661,"id":"chatcmpl-DWcRpUOQWieeFinxKXpDwyXQnUAkL","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178" t="inlineStr">
        <is>
          <t>VintageWear Retro Black Washed Basketball Graphic T-Shirt</t>
        </is>
      </c>
      <c r="L178" t="inlineStr">
        <is>
          <t>{"choices":[{"finish_reason":"stop","index":0,"logprobs":null,"message":{"annotations":[],"content":"VintageWear Retro Black Washed Basketball T-Shirt, soft cotton fabric with bold player graphic and 3D lettering, unisex street sport style, easy to match, showcasing American retro fashion attitude.","refusal":null,"role":"assistant"}}],"created":1776659126,"id":"chatcmpl-DWaUIejJYQ4BIEJBNow126mdlDAqS","model":"gpt-5-chat-latest","object":"chat.completion","service_tier":"default","system_fingerprint":"fp_ad66631dec","usage":{"completion_tokens":40,"completion_tokens_details":{"accepted_prediction_tokens":0,"audio_tokens":0,"reasoning_tokens":0,"rejected_prediction_tokens":0},"prompt_tokens":902,"prompt_tokens_details":{"audio_tokens":0,"cached_tokens":0},"total_tokens":942}}</t>
        </is>
      </c>
      <c r="M178" t="inlineStr">
        <is>
          <t>{"alt-svc":"h3=\":443\"; ma=2592000","apim-request-id":"28768dad-839e-4a24-a11e-01ba01fdea66","azureml-model-session":"d20260405234249-f9874baf","cache-control":"no-cache","connection":"close","content-length":"786","content-security-policy":"frame-ancestors 'self'","content-type":"application/json","date":"Mon, 20 Apr 2026 04:25:28 GMT","server":"nginx","skip-error-remapping":"true","strict-transport-security":"max-age=31536000; includeSubDomains; preload","via":"1.1 Caddy, 1.1 Caddy","x-api-request-id":"20260420122525754672736BmXPJHTP","x-content-type-options":"nosniff","x-frame-options":"SAMEORIGIN","x-ms-client-request-id":"Not-Set","x-ms-is-spilled-over":"false","x-ms-rai-invoked":"true","x-ms-region":"East US 2","x-new-api-version":"0.4.39","x-oneapi-request-id":"202604200425256867064538268d9d6RCuN8hFk","x-ratelimit-abusepenalty-active":"False","x-ratelimit-limit-requests":"3850","x-ratelimit-limit-tokens":"3850000","x-ratelimit-remaining-requests":"3849","x-ratelimit-remaining-tokens":"3848336","x-ratelimit-renewalperiod-requests":"60","x-ratelimit-renewalperiod-tokens":"60","x-ratelimit-reset-requests":"15","x-ratelimit-reset-tokens":"25","x-request-id":"acec2c26-7f1d-4d38-9828-748017bc8513"}</t>
        </is>
      </c>
      <c r="N178" t="inlineStr">
        <is>
          <t>VintageWear Retro Black Washed Basketball T-Shirt, soft cotton fabric with bold player graphic and 3D lettering, unisex street sport style, easy to match, showcasing American retro fashion attitude.</t>
        </is>
      </c>
      <c r="O178" t="inlineStr">
        <is>
          <t>{"choices":[{"finish_reason":"stop","index":0,"logprobs":null,"message":{"annotations":[],"content":"George, T-Shirts, kakobuy, kakebuy2026, kekobuysheet, kakobuysheet2026, 2026kakobuy, kakobuyspreadsheeet, kakobuylink, kakebuylist, Kakobuy MEGA Spreadsheet, kakobuysheetfind, kakobuysheetfind2026, 2026kakobuysheetfind, kakobuysheet2026","refusal":null,"role":"assistant"}}],"created":1776667801,"id":"chatcmpl-DWckDm17GgXBbJwu0mUWvl1lvTkS1","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78" t="inlineStr">
        <is>
          <t>George, T-Shirts, kakobuy, kakebuy2026, kekobuysheet, kakobuysheet2026, 2026kakobuy, kakobuyspreadsheeet, kakobuylink, kakebuylist, Kakobuy MEGA Spreadsheet, kakobuysheetfind, kakobuysheetfind2026, 2026kakobuysheetfind, kakobuysheet2026</t>
        </is>
      </c>
      <c r="Q178" t="inlineStr">
        <is>
          <t>Vintage, Black, Streetwear, Unisex, Retro</t>
        </is>
      </c>
      <c r="R178" t="inlineStr">
        <is>
          <t>recvh6xFVjFu19</t>
        </is>
      </c>
      <c r="S178" t="inlineStr">
        <is>
          <t>vintagewear-retro-black-washed-basketball-graphic-tshirt-recvh6xFVjFu19</t>
        </is>
      </c>
      <c r="T178"/>
      <c r="U178"/>
      <c r="V178"/>
      <c r="W178" t="inlineStr">
        <is>
          <t>{"choices":[{"finish_reason":"stop","index":0,"logprobs":null,"message":{"annotations":[],"content":"复古系列黑色水洗篮球主题T恤，柔软纯棉材质，正面炫酷球星印花搭配立体字母设计，街头运动风格，休闲百搭男女同款，彰显美式复古潮流态度。","refusal":null,"role":"assistant"}}],"created":1776655244,"id":"chatcmpl-DWZTgypNOxyV98HVRjoV0dxkSw8fl","model":"gpt-5-chat-latest","object":"chat.completion","service_tier":"default","system_fingerprint":"fp_ad66631dec","usage":{"completion_tokens":64,"completion_tokens_details":{"accepted_prediction_tokens":0,"audio_tokens":0,"reasoning_tokens":0,"rejected_prediction_tokens":0},"prompt_tokens":1319,"prompt_tokens_details":{"audio_tokens":0,"cached_tokens":0},"total_tokens":1383}}</t>
        </is>
      </c>
      <c r="X178" t="inlineStr">
        <is>
          <t>复古系列黑色水洗篮球主题T恤，柔软纯棉材质，正面炫酷球星印花搭配立体字母设计，街头运动风格，休闲百搭男女同款，彰显美式复古潮流态度。</t>
        </is>
      </c>
    </row>
    <row r="179" ht="25.5" customHeight="1">
      <c r="A179">
        <v>1839115443</v>
      </c>
      <c r="B179">
        <v>7623021537</v>
      </c>
      <c r="C179" t="inlineStr">
        <is>
          <t>https://weidian.com/item.html?itemID=7623021537</t>
        </is>
      </c>
      <c r="D179"/>
      <c r="E179" s="2" t="str">
        <f>=HYPERLINK("https://si.geilicdn.com/open1839115443-252808396-62040000019addfddb8c0aa08245_790_833.jpg?w=640&amp;h=640", "https://si.geilicdn.com/open1839115443-252808396-62040000019addfddb8c0aa08245_790_833.jpg?w=640&amp;h=640")</f>
        <v>https://si.geilicdn.com/open1839115443-252808396-62040000019addfddb8c0aa08245_790_833.jpg?w=640&amp;h=640</v>
      </c>
      <c r="F179" t="inlineStr">
        <is>
          <t>Hats</t>
        </is>
      </c>
      <c r="G179" t="inlineStr">
        <is>
          <t>Other</t>
        </is>
      </c>
      <c r="H179" t="inlineStr">
        <is>
          <t>42.00</t>
        </is>
      </c>
      <c r="I179">
        <v>6.09</v>
      </c>
      <c r="J179" t="inlineStr">
        <is>
          <t>{"choices":[{"finish_reason":"stop","index":0,"logprobs":null,"message":{"annotations":[],"content":"HatsOther 1969 Vintage Gray Distressed Cotton Baseball Cap","refusal":null,"role":"assistant"}}],"created":1776665955,"id":"chatcmpl-DWcGRee5LoQvU5SDt0hzgiZmQHMy6","model":"gpt-5-chat-latest","object":"chat.completion","service_tier":"default","system_fingerprint":"fp_ad66631dec","usage":{"completion_tokens":14,"completion_tokens_details":{"accepted_prediction_tokens":0,"audio_tokens":0,"reasoning_tokens":0,"rejected_prediction_tokens":0},"prompt_tokens":885,"prompt_tokens_details":{"audio_tokens":0,"cached_tokens":0},"total_tokens":899}}</t>
        </is>
      </c>
      <c r="K179" t="inlineStr">
        <is>
          <t>HatsOther 1969 Vintage Gray Distressed Cotton Baseball Cap</t>
        </is>
      </c>
      <c r="L179" t="inlineStr">
        <is>
          <t>{"choices":[{"finish_reason":"stop","index":0,"logprobs":null,"message":{"annotations":[],"content":"HatsOther Vintage Gray Baseball Cap, made of high-density cotton for breathable comfort. Features “1969” embroidery, distressed edges, curved brim, unisex design—perfect for casual streetwear style.","refusal":null,"role":"assistant"}}],"created":1776658231,"id":"chatcmpl-DWaFrrIPpDxrWqNGBnZgSar2pFFaA","model":"gpt-5-chat-latest","object":"chat.completion","service_tier":"default","system_fingerprint":"fp_ad66631dec","usage":{"completion_tokens":42,"completion_tokens_details":{"accepted_prediction_tokens":0,"audio_tokens":0,"reasoning_tokens":0,"rejected_prediction_tokens":0},"prompt_tokens":913,"prompt_tokens_details":{"audio_tokens":0,"cached_tokens":0},"total_tokens":955}}</t>
        </is>
      </c>
      <c r="M179" t="inlineStr">
        <is>
          <t>{"alt-svc":"h3=\":443\"; ma=2592000","apim-request-id":"08d4bdb4-183c-4da0-b7d6-58bc0fa3b9e1","azureml-model-session":"d20260402074105-51db401e","cache-control":"no-cache","connection":"close","content-length":"792","content-security-policy":"frame-ancestors 'self'","content-type":"application/json","date":"Mon, 20 Apr 2026 04:10:32 GMT","server":"nginx","skip-error-remapping":"true","strict-transport-security":"max-age=31536000; includeSubDomains; preload","via":"1.1 Caddy, 1.1 Caddy","x-api-request-id":"20260420121030847541251kfAw5CEo","x-content-type-options":"nosniff","x-frame-options":"SAMEORIGIN","x-ms-client-request-id":"Not-Set","x-ms-is-spilled-over":"false","x-ms-rai-invoked":"true","x-ms-region":"East US 2","x-new-api-version":"0.4.39","x-oneapi-request-id":"202604200410305020781148268d9d6jdoTbMvN","x-ratelimit-abusepenalty-active":"False","x-ratelimit-limit-requests":"3850","x-ratelimit-limit-tokens":"3850000","x-ratelimit-remaining-requests":"3849","x-ratelimit-remaining-tokens":"3848325","x-ratelimit-renewalperiod-requests":"60","x-ratelimit-renewalperiod-tokens":"60","x-ratelimit-reset-requests":"15","x-ratelimit-reset-tokens":"26","x-request-id":"e217163d-d99e-40df-928e-dc3bcb4d5d6a"}</t>
        </is>
      </c>
      <c r="N179" t="inlineStr">
        <is>
          <t>HatsOther Vintage Gray Baseball Cap, made of high-density cotton for breathable comfort. Features “1969” embroidery, distressed edges, curved brim, unisex design—perfect for casual streetwear style.</t>
        </is>
      </c>
      <c r="O179" t="inlineStr">
        <is>
          <t>{"choices":[{"finish_reason":"stop","index":0,"logprobs":null,"message":{"annotations":[],"content":"ClassicStyle,Baseball Cap,kakobuy,kakebuy2026,kekobuysheet,kakobuysheet2026,2026kakobuy,kakobuyspreadsheeet,kakobuylink,kakebuylist,Kakobuy MEGA Spreadsheet,kakobuysheetfind,kakobuysheetfind2026,2026kakobuysheetfind,kakobuysheet2026","refusal":null,"role":"assistant"}}],"created":1776668876,"id":"chatcmpl-DWd1YqF31J8nkgTFtv8XoP7qYZSEU","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79" t="inlineStr">
        <is>
          <t>ClassicStyle,Baseball Cap,kakobuy,kakebuy2026,kekobuysheet,kakobuysheet2026,2026kakobuy,kakobuyspreadsheeet,kakobuylink,kakebuylist,Kakobuy MEGA Spreadsheet,kakobuysheetfind,kakobuysheetfind2026,2026kakobuysheetfind,kakobuysheet2026</t>
        </is>
      </c>
      <c r="Q179" t="inlineStr">
        <is>
          <t>Gray, Unisex, Streetwear, Breathable</t>
        </is>
      </c>
      <c r="R179" t="inlineStr">
        <is>
          <t>recvh6xFVjZZ2h</t>
        </is>
      </c>
      <c r="S179" t="inlineStr">
        <is>
          <t>hatsother-1969-vintage-gray-distressed-cotton-baseball-cap-recvh6xfvjzz2h</t>
        </is>
      </c>
      <c r="T179"/>
      <c r="U179"/>
      <c r="V179"/>
      <c r="W179" t="inlineStr">
        <is>
          <t>{"choices":[{"finish_reason":"stop","index":0,"logprobs":null,"message":{"annotations":[],"content":"复古灰色做旧棒球帽，精选高密度棉质材质，透气舒适。前幅刺绣“1969”徽标与破损磨边细节展现美式复古街头风格，弧形帽檐设计修饰脸型，男女通用款，休闲出街百搭必备。","refusal":null,"role":"assistant"}}],"created":1776654935,"id":"chatcmpl-DWZOhLAKGZCudXMfeCi1KIfOFJaN4","model":"gpt-5-chat-latest","object":"chat.completion","service_tier":"default","system_fingerprint":"fp_ad66631dec","usage":{"completion_tokens":81,"completion_tokens_details":{"accepted_prediction_tokens":0,"audio_tokens":0,"reasoning_tokens":0,"rejected_prediction_tokens":0},"prompt_tokens":1307,"prompt_tokens_details":{"audio_tokens":0,"cached_tokens":0},"total_tokens":1388}}</t>
        </is>
      </c>
      <c r="X179" t="inlineStr">
        <is>
          <t>复古灰色做旧棒球帽，精选高密度棉质材质，透气舒适。前幅刺绣“1969”徽标与破损磨边细节展现美式复古街头风格，弧形帽檐设计修饰脸型，男女通用款，休闲出街百搭必备。</t>
        </is>
      </c>
    </row>
    <row r="180" ht="25.5" customHeight="1">
      <c r="A180">
        <v>1839115443</v>
      </c>
      <c r="B180">
        <v>7623106079</v>
      </c>
      <c r="C180" t="inlineStr">
        <is>
          <t>https://weidian.com/item.html?itemID=7623106079</t>
        </is>
      </c>
      <c r="D180"/>
      <c r="E180" s="2" t="str">
        <f>=HYPERLINK("https://si.geilicdn.com/open1839115443-252808396-34060000019addfce99a0a22d249_790_854.jpg?w=640&amp;h=640", "https://si.geilicdn.com/open1839115443-252808396-34060000019addfce99a0a22d249_790_854.jpg?w=640&amp;h=640")</f>
        <v>https://si.geilicdn.com/open1839115443-252808396-34060000019addfce99a0a22d249_790_854.jpg?w=640&amp;h=640</v>
      </c>
      <c r="F180" t="inlineStr">
        <is>
          <t>Hats</t>
        </is>
      </c>
      <c r="G180" t="inlineStr">
        <is>
          <t>Other</t>
        </is>
      </c>
      <c r="H180" t="inlineStr">
        <is>
          <t>38.00</t>
        </is>
      </c>
      <c r="I180">
        <v>5.50724637681159</v>
      </c>
      <c r="J180" t="inlineStr">
        <is>
          <t>{"choices":[{"finish_reason":"stop","index":0,"logprobs":null,"message":{"annotations":[],"content":"HatsOther Vintage Gray Los Angeles Baseball Cap","refusal":null,"role":"assistant"}}],"created":1776666893,"id":"chatcmpl-DWcVZ2gs5WdnJtWKbAJQDrtJiHspc","model":"gpt-5-chat-latest","object":"chat.completion","service_tier":"default","system_fingerprint":"fp_ad66631dec","usage":{"completion_tokens":10,"completion_tokens_details":{"accepted_prediction_tokens":0,"audio_tokens":0,"reasoning_tokens":0,"rejected_prediction_tokens":0},"prompt_tokens":881,"prompt_tokens_details":{"audio_tokens":0,"cached_tokens":0},"total_tokens":891}}</t>
        </is>
      </c>
      <c r="K180" t="inlineStr">
        <is>
          <t>HatsOther Vintage Gray Los Angeles Baseball Cap</t>
        </is>
      </c>
      <c r="L180" t="inlineStr">
        <is>
          <t>{"choices":[{"finish_reason":"stop","index":0,"logprobs":null,"message":{"annotations":[],"content":"HatsOther Vintage Gray Los Angeles Baseball Cap, soft washed cotton fabric with 3D “LOS ANGELES” embroidery, six-panel adjustable design, unisex streetwear accessory for casual urban style.","refusal":null,"role":"assistant"}}],"created":1776658643,"id":"chatcmpl-DWaMVYVJNSR2oE1qJoha6Pvx6hNDU","model":"gpt-5-chat-latest","object":"chat.completion","service_tier":"default","system_fingerprint":"fp_ad66631dec","usage":{"completion_tokens":40,"completion_tokens_details":{"accepted_prediction_tokens":0,"audio_tokens":0,"reasoning_tokens":0,"rejected_prediction_tokens":0},"prompt_tokens":906,"prompt_tokens_details":{"audio_tokens":0,"cached_tokens":0},"total_tokens":946}}</t>
        </is>
      </c>
      <c r="M180" t="inlineStr">
        <is>
          <t>{"alt-svc":"h3=\":443\"; ma=2592000","apim-request-id":"506e0d63-1a79-4153-9137-eb71e521d13e","azureml-model-session":"d20260402083108-57a85543","cache-control":"no-cache","connection":"close","content-length":"781","content-security-policy":"frame-ancestors 'self'","content-type":"application/json","date":"Mon, 20 Apr 2026 04:17:25 GMT","server":"nginx","skip-error-remapping":"true","strict-transport-security":"max-age=31536000; includeSubDomains; preload","via":"1.1 Caddy, 1.1 Caddy","x-api-request-id":"20260420121723393935714dQl7FMLb","x-content-type-options":"nosniff","x-frame-options":"SAMEORIGIN","x-ms-client-request-id":"Not-Set","x-ms-is-spilled-over":"false","x-ms-rai-invoked":"true","x-ms-region":"East US 2","x-new-api-version":"0.4.39","x-oneapi-request-id":"202604200417233163795678268d9d6rWBOCwBE","x-ratelimit-abusepenalty-active":"False","x-ratelimit-limit-requests":"3850","x-ratelimit-limit-tokens":"3850000","x-ratelimit-remaining-requests":"3849","x-ratelimit-remaining-tokens":"3848332","x-ratelimit-renewalperiod-requests":"60","x-ratelimit-renewalperiod-tokens":"60","x-ratelimit-reset-requests":"15","x-ratelimit-reset-tokens":"25","x-request-id":"59f94860-0a2d-4fa3-9674-ef3a2b6db69f"}</t>
        </is>
      </c>
      <c r="N180" t="inlineStr">
        <is>
          <t>HatsOther Vintage Gray Los Angeles Baseball Cap, soft washed cotton fabric with 3D “LOS ANGELES” embroidery, six-panel adjustable design, unisex streetwear accessory for casual urban style.</t>
        </is>
      </c>
      <c r="O180" t="inlineStr">
        <is>
          <t>{"choices":[{"finish_reason":"stop","index":0,"logprobs":null,"message":{"annotations":[],"content":"Los Angeles, Hat, kakobuy, kakebuy2026, kekobuysheet, kakobuysheet2026, 2026kakobuy, kakobuyspreadsheeet, kakobuylink, kakebuylist, Kakobuy MEGA Spreadsheet, kakobuysheetfind, kakobuysheetfind2026, 2026kakobuysheetfind, kakobuysheet2026","refusal":null,"role":"assistant"}}],"created":1776667718,"id":"chatcmpl-DWcisrqWd8BiYTORpqraWggCwxI47","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80" t="inlineStr">
        <is>
          <t>Los Angeles, Hat, kakobuy, kakebuy2026, kekobuysheet, kakobuysheet2026, 2026kakobuy, kakobuyspreadsheeet, kakobuylink, kakebuylist, Kakobuy MEGA Spreadsheet, kakobuysheetfind, kakobuysheetfind2026, 2026kakobuysheetfind, kakobuysheet2026</t>
        </is>
      </c>
      <c r="Q180" t="inlineStr">
        <is>
          <t>Gray, Unisex, Streetwear</t>
        </is>
      </c>
      <c r="R180" t="inlineStr">
        <is>
          <t>recvh6xFVjWyU9</t>
        </is>
      </c>
      <c r="S180" t="inlineStr">
        <is>
          <t>vintage-gray-la-baseball-cap-recvh6xFVjWyU9</t>
        </is>
      </c>
      <c r="T180"/>
      <c r="U180"/>
      <c r="V180"/>
      <c r="W180" t="inlineStr">
        <is>
          <t>{"choices":[{"finish_reason":"stop","index":0,"logprobs":null,"message":{"annotations":[],"content":"复古灰洛杉矶系列棒球帽，柔软棉质水洗面料质感自然，正面立体刺绣“LOS ANGELES”字样，彰显都市复古风格。经典六片式设计配调节扣，男女皆宜，轻松搭配街头休闲穿搭。","refusal":null,"role":"assistant"}}],"created":1776656227,"id":"chatcmpl-DWZjX4o8cua05fJVjxdut9ilpezzk","model":"gpt-5-chat-latest","object":"chat.completion","service_tier":"default","system_fingerprint":"fp_ad66631dec","usage":{"completion_tokens":73,"completion_tokens_details":{"accepted_prediction_tokens":0,"audio_tokens":0,"reasoning_tokens":0,"rejected_prediction_tokens":0},"prompt_tokens":1309,"prompt_tokens_details":{"audio_tokens":0,"cached_tokens":0},"total_tokens":1382}}</t>
        </is>
      </c>
      <c r="X180" t="inlineStr">
        <is>
          <t>复古灰洛杉矶系列棒球帽，柔软棉质水洗面料质感自然，正面立体刺绣“LOS ANGELES”字样，彰显都市复古风格。经典六片式设计配调节扣，男女皆宜，轻松搭配街头休闲穿搭。</t>
        </is>
      </c>
    </row>
    <row r="181" ht="25.5" customHeight="1">
      <c r="A181">
        <v>1839115443</v>
      </c>
      <c r="B181">
        <v>7617007152</v>
      </c>
      <c r="C181" t="inlineStr">
        <is>
          <t>https://weidian.com/item.html?itemID=7617007152</t>
        </is>
      </c>
      <c r="D181"/>
      <c r="E181" s="2" t="str">
        <f>=HYPERLINK("https://si.geilicdn.com/open1839115443-252808396-573f0000019aaf811c4c0a231226_800_1086.jpg?w=640&amp;h=640", "https://si.geilicdn.com/open1839115443-252808396-573f0000019aaf811c4c0a231226_800_1086.jpg?w=640&amp;h=640")</f>
        <v>https://si.geilicdn.com/open1839115443-252808396-573f0000019aaf811c4c0a231226_800_1086.jpg?w=640&amp;h=640</v>
      </c>
      <c r="F181" t="inlineStr">
        <is>
          <t>T-Shirts</t>
        </is>
      </c>
      <c r="G181" t="inlineStr">
        <is>
          <t>Other</t>
        </is>
      </c>
      <c r="H181" t="inlineStr">
        <is>
          <t>120.00</t>
        </is>
      </c>
      <c r="I181">
        <v>17.39</v>
      </c>
      <c r="J181" t="inlineStr">
        <is>
          <t>{"choices":[{"finish_reason":"stop","index":0,"logprobs":null,"message":{"annotations":[],"content":"Other Brand White Oversized HipHop Graphic T-Shirt","refusal":null,"role":"assistant"}}],"created":1776666046,"id":"chatcmpl-DWcHuGMfDPwJCmMXL9lUtTASo0Qi1","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81" t="inlineStr">
        <is>
          <t>Other Brand White Oversized HipHop Graphic T-Shirt</t>
        </is>
      </c>
      <c r="L181" t="inlineStr">
        <is>
          <t>{"id":"chatcmpl-DWaGJg9ra9eem6NpC154XZKcbISdJ","object":"chat.completion","created":1776658259,"model":"gpt-5-chat-latest","choices":[{"index":0,"message":{"role":"assistant","content":"Brand T-ShirtsOther white street style oversized printed tee, made of soft cotton with bold character graphic, hip-hop unisex design, perfect for daily casual wear to express youthful urban attitude.","refusal":null,"annotations":[]},"logprobs":null,"finish_reason":"stop"}],"usage":{"prompt_tokens":900,"completion_tokens":38,"total_tokens":938,"prompt_tokens_details":{"cached_tokens":0,"audio_tokens":0},"completion_tokens_details":{"reasoning_tokens":0,"audio_tokens":0,"accepted_prediction_tokens":0,"rejected_prediction_tokens":0}},"service_tier":"default","system_fingerprint":"fp_ad66631dec"}</t>
        </is>
      </c>
      <c r="M18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ma=2592000","apim-request-id":"27dca46c-66ce-4422-bc9b-2d050a1fe9e1","azureml-model-session":"d20260405212659-a9daa006","cache-control":"no-cache, no-store, must-revalidate","connection":"close","content-length":"1003","content-security-policy":"frame-ancestors 'self'","content-type":"application/json","date":"Mon, 20 Apr 2026 04:11:00 GMT","server":"Caddy","skip-error-remapping":"true","strict-transport-security":"max-age=31536000; includeSubDomains; preload","via":"1.1 Caddy","x-api-request-id":"20260420121058619089479Rq6joIwo","x-content-type-options":"nosniff","x-frame-options":"SAMEORIGIN","x-ms-is-spilled-over":"false","x-ms-rai-invoked":"false","x-ms-region":"East US 2","x-new-api-version":"0.4.39","x-oneapi-request-id":"202604200410584735573318268d9d6ITUmbvHs","x-ratelimit-abusepenalty-active":"False","x-ratelimit-limit-requests":"4994","x-ratelimit-limit-tokens":"4994000","x-ratelimit-remaining-requests":"4993","x-ratelimit-remaining-tokens":"4992338","x-ratelimit-renewalperiod-requests":"60","x-ratelimit-renewalperiod-tokens":"60","x-ratelimit-reset-requests":"12","x-ratelimit-reset-tokens":"19","x-request-id":"ae5731b8-08a0-4ffb-bba4-a8ba280517eb"}</t>
        </is>
      </c>
      <c r="N181" t="inlineStr">
        <is>
          <t>Brand T-ShirtsOther white street style oversized printed tee, made of soft cotton with bold character graphic, hip-hop unisex design, perfect for daily casual wear to express youthful urban attitude.</t>
        </is>
      </c>
      <c r="O181" t="inlineStr">
        <is>
          <t>{"id":"chatcmpl-DWca2QfQ7cV0LKtCcUxbvhIRj5F3u","object":"chat.completion","created":1776667170,"model":"gpt-5-chat-latest","choices":[{"index":0,"message":{"role":"assistant","content":"T-Shirts,Oth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1" t="inlineStr">
        <is>
          <t>T-Shirts,Other,kakobuy,kakebuy2026,kekobuysheet,kakobuysheet2026,2026kakobuy,kakobuyspreadsheeet,kakobuylink,kakebuylist,Kakobuy MEGA Spreadsheet,kakobuysheetfind,kakobuysheetfind2026,2026kakobuysheetfind,kakobuysheet2026</t>
        </is>
      </c>
      <c r="Q181" t="inlineStr">
        <is>
          <t>White, Street, Hip Hop, Unisex</t>
        </is>
      </c>
      <c r="R181" t="inlineStr">
        <is>
          <t>recvh6xFVjxihE</t>
        </is>
      </c>
      <c r="S181" t="inlineStr">
        <is>
          <t>other-brand-white-oversized-hiphop-graphic-t-shirt-recvh6xFVjxihE</t>
        </is>
      </c>
      <c r="T181"/>
      <c r="U181"/>
      <c r="V181"/>
      <c r="W181" t="inlineStr">
        <is>
          <t>{"id":"chatcmpl-DWZjWQCAPxHH4YRj4D7fHE6AJ1r9a","object":"chat.completion","created":1776656226,"model":"gpt-5-chat-latest","choices":[{"index":0,"message":{"role":"assistant","content":"白色街头系列宽松印花T恤，舒适纯棉面料打造，正面夸张人物图腾设计凸显个性潮流气息，休闲嘻哈风格男女通用款，日常穿搭展现年轻街头态度。","refusal":null,"annotations":[]},"logprobs":null,"finish_reason":"stop"}],"usage":{"prompt_tokens":1313,"completion_tokens":65,"total_tokens":1378,"prompt_tokens_details":{"cached_tokens":0,"audio_tokens":0},"completion_tokens_details":{"reasoning_tokens":0,"audio_tokens":0,"accepted_prediction_tokens":0,"rejected_prediction_tokens":0}},"service_tier":"default","system_fingerprint":"fp_ad66631dec"}</t>
        </is>
      </c>
      <c r="X181" t="inlineStr">
        <is>
          <t>白色街头系列宽松印花T恤，舒适纯棉面料打造，正面夸张人物图腾设计凸显个性潮流气息，休闲嘻哈风格男女通用款，日常穿搭展现年轻街头态度。</t>
        </is>
      </c>
    </row>
    <row r="182" ht="25.5" customHeight="1">
      <c r="A182">
        <v>1839115443</v>
      </c>
      <c r="B182">
        <v>7617022610</v>
      </c>
      <c r="C182" t="inlineStr">
        <is>
          <t>https://weidian.com/item.html?itemID=7617022610</t>
        </is>
      </c>
      <c r="D182"/>
      <c r="E182" s="2" t="str">
        <f>=HYPERLINK("https://si.geilicdn.com/open1839115443-252808396-4b3a0000019aaf8100d20a8133b0_1000_1000.jpg?w=750&amp;h=750&amp;cp=1", "https://si.geilicdn.com/open1839115443-252808396-4b3a0000019aaf8100d20a8133b0_1000_1000.jpg?w=750&amp;h=750&amp;cp=1")</f>
        <v>https://si.geilicdn.com/open1839115443-252808396-4b3a0000019aaf8100d20a8133b0_1000_1000.jpg?w=750&amp;h=750&amp;cp=1</v>
      </c>
      <c r="F182" t="inlineStr">
        <is>
          <t>T-Shirts</t>
        </is>
      </c>
      <c r="G182" t="inlineStr">
        <is>
          <t>Other</t>
        </is>
      </c>
      <c r="H182" t="inlineStr">
        <is>
          <t>120.00</t>
        </is>
      </c>
      <c r="I182">
        <v>17.39</v>
      </c>
      <c r="J182" t="inlineStr">
        <is>
          <t>{"id":"chatcmpl-DWcV70SaqUfD5iCUoXnClancuMwtf","object":"chat.completion","created":1776666865,"model":"gpt-5-chat-latest","choices":[{"index":0,"message":{"role":"assistant","content":"BrandX Retro Basketball Slam Dunk Off-White T-Shirt","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82" t="inlineStr">
        <is>
          <t>BrandX Retro Basketball Slam Dunk Off-White T-Shirt</t>
        </is>
      </c>
      <c r="L182" t="inlineStr">
        <is>
          <t>{"choices":[{"finish_reason":"stop","index":0,"logprobs":null,"message":{"annotations":[],"content":"BrandX Retro Basketball Series Off-White Cotton T-Shirt, soft and breathable, features classic slam dunk print in red-white contrast, unisex streetwear for vintage 80s sporty style.","refusal":null,"role":"assistant"}}],"created":1776659277,"id":"chatcmpl-DWaWjCS4FVYXzA4geELtNxza918sh","model":"gpt-5-chat-latest","object":"chat.completion","service_tier":"default","system_fingerprint":"fp_ad66631dec","usage":{"completion_tokens":39,"completion_tokens_details":{"accepted_prediction_tokens":0,"audio_tokens":0,"reasoning_tokens":0,"rejected_prediction_tokens":0},"prompt_tokens":905,"prompt_tokens_details":{"audio_tokens":0,"cached_tokens":0},"total_tokens":944}}</t>
        </is>
      </c>
      <c r="M182" t="inlineStr">
        <is>
          <t>{"alt-svc":"h3=\":443\"; ma=2592000","apim-request-id":"219a7f74-9b9a-463a-bce4-026eda60403c","azureml-model-session":"d20260402083108-57a85543","cache-control":"no-cache","connection":"close","content-length":"769","content-security-policy":"frame-ancestors 'self'","content-type":"application/json","date":"Mon, 20 Apr 2026 04:27:58 GMT","server":"nginx","skip-error-remapping":"true","strict-transport-security":"max-age=31536000; includeSubDomains; preload","via":"1.1 Caddy, 1.1 Caddy","x-api-request-id":"20260420122754828066389ir6csHrH","x-content-type-options":"nosniff","x-frame-options":"SAMEORIGIN","x-ms-client-request-id":"Not-Set","x-ms-is-spilled-over":"false","x-ms-rai-invoked":"true","x-ms-region":"East US 2","x-new-api-version":"0.4.39","x-oneapi-request-id":"202604200427547620922488268d9d6kRluwWJ7","x-ratelimit-abusepenalty-active":"False","x-ratelimit-limit-requests":"3850","x-ratelimit-limit-tokens":"3850000","x-ratelimit-remaining-requests":"3849","x-ratelimit-remaining-tokens":"3848333","x-ratelimit-renewalperiod-requests":"60","x-ratelimit-renewalperiod-tokens":"60","x-ratelimit-reset-requests":"15","x-ratelimit-reset-tokens":"25","x-request-id":"ccb6c0ba-9cd7-429c-9e96-5b730c8c5d3d"}</t>
        </is>
      </c>
      <c r="N182" t="inlineStr">
        <is>
          <t>BrandX Retro Basketball Series Off-White Cotton T-Shirt, soft and breathable, features classic slam dunk print in red-white contrast, unisex streetwear for vintage 80s sporty style.</t>
        </is>
      </c>
      <c r="O182" t="inlineStr">
        <is>
          <t>{"choices":[{"finish_reason":"stop","index":0,"logprobs":null,"message":{"annotations":[],"content":"Gildan,T-Shirts,kakobuy,kakebuy2026,kekobuysheet,kakobuysheet2026,2026kakobuy,kakobuyspreadsheeet,kakobuylink,kakebuylist,Kakobuy MEGA Spreadsheet,kakobuysheetfind,kakobuysheetfind2026,2026kakobuysheetfind,kakobuysheet2026","refusal":null,"role":"assistant"}}],"created":1776667532,"id":"chatcmpl-DWcfsEAPbRo2zjWlmnCnb676cmfAe","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82" t="inlineStr">
        <is>
          <t>Gildan,T-Shirts,kakobuy,kakebuy2026,kekobuysheet,kakobuysheet2026,2026kakobuy,kakobuyspreadsheeet,kakobuylink,kakebuylist,Kakobuy MEGA Spreadsheet,kakobuysheetfind,kakobuysheetfind2026,2026kakobuysheetfind,kakobuysheet2026</t>
        </is>
      </c>
      <c r="Q182" t="inlineStr">
        <is>
          <t>Streetwear, Vintage, Unisex, Red, White</t>
        </is>
      </c>
      <c r="R182" t="inlineStr">
        <is>
          <t>recvh6xFVjWFuM</t>
        </is>
      </c>
      <c r="S182" t="inlineStr">
        <is>
          <t>brandx-retro-basketball-slam-dunk-off-white-recvh6xfvjwfuM</t>
        </is>
      </c>
      <c r="T182"/>
      <c r="U182"/>
      <c r="V182"/>
      <c r="W182" t="inlineStr">
        <is>
          <t>{"id":"chatcmpl-DWZcVrG1RcC97SLWaw8jxs7WMlZ8E","object":"chat.completion","created":1776655791,"model":"gpt-5-chat-latest","choices":[{"index":0,"message":{"role":"assistant","content":"复古篮球系列米白色短袖T恤，柔软纯棉材质，正面印有经典扣篮图腾，红白撞色充满动感街头风格，男女通用休闲款，适合80年代运动复古穿搭。","refusal":null,"annotations":[]},"logprobs":null,"finish_reason":"stop"}],"usage":{"prompt_tokens":1329,"completion_tokens":62,"total_tokens":1391,"prompt_tokens_details":{"cached_tokens":0,"audio_tokens":0},"completion_tokens_details":{"reasoning_tokens":0,"audio_tokens":0,"accepted_prediction_tokens":0,"rejected_prediction_tokens":0}},"service_tier":"default","system_fingerprint":"fp_ad66631dec"}</t>
        </is>
      </c>
      <c r="X182" t="inlineStr">
        <is>
          <t>复古篮球系列米白色短袖T恤，柔软纯棉材质，正面印有经典扣篮图腾，红白撞色充满动感街头风格，男女通用休闲款，适合80年代运动复古穿搭。</t>
        </is>
      </c>
    </row>
    <row r="183" ht="25.5" customHeight="1">
      <c r="A183">
        <v>1839115443</v>
      </c>
      <c r="B183">
        <v>7614124651</v>
      </c>
      <c r="C183" t="inlineStr">
        <is>
          <t>https://weidian.com/item.html?itemID=7614124651</t>
        </is>
      </c>
      <c r="D183"/>
      <c r="E183" s="2" t="str">
        <f>=HYPERLINK("https://si.geilicdn.com/open1839115443-252808396-547b0000019aaf8129c90a23b4de_800_1117.jpg?w=640&amp;h=640", "https://si.geilicdn.com/open1839115443-252808396-547b0000019aaf8129c90a23b4de_800_1117.jpg?w=640&amp;h=640")</f>
        <v>https://si.geilicdn.com/open1839115443-252808396-547b0000019aaf8129c90a23b4de_800_1117.jpg?w=640&amp;h=640</v>
      </c>
      <c r="F183" t="inlineStr">
        <is>
          <t>Hoodies</t>
        </is>
      </c>
      <c r="G183" t="inlineStr">
        <is>
          <t>Other</t>
        </is>
      </c>
      <c r="H183" t="inlineStr">
        <is>
          <t>120.00</t>
        </is>
      </c>
      <c r="I183">
        <v>17.39</v>
      </c>
      <c r="J183" t="inlineStr">
        <is>
          <t>{"choices":[{"finish_reason":"stop","index":0,"logprobs":null,"message":{"annotations":[],"content":"BC Streetwear Distressed Black Retro Print Hoodie","refusal":null,"role":"assistant"}}],"created":1776666119,"id":"chatcmpl-DWcJ5vskMao2zw92hL8ErBK8sOQyC","model":"gpt-5-chat-latest","object":"chat.completion","service_tier":"default","system_fingerprint":"fp_ad66631dec","usage":{"completion_tokens":10,"completion_tokens_details":{"accepted_prediction_tokens":0,"audio_tokens":0,"reasoning_tokens":0,"rejected_prediction_tokens":0},"prompt_tokens":896,"prompt_tokens_details":{"audio_tokens":0,"cached_tokens":0},"total_tokens":906}}</t>
        </is>
      </c>
      <c r="K183" t="inlineStr">
        <is>
          <t>BC Streetwear Distressed Black Retro Print Hoodie</t>
        </is>
      </c>
      <c r="L183" t="inlineStr">
        <is>
          <t>{"id":"chatcmpl-DWaXTuvF9dgB4RgqyZpKhu3ske7Ib","object":"chat.completion","created":1776659323,"model":"gpt-5-chat-latest","choices":[{"index":0,"message":{"role":"assistant","content":"BC Streetwear washed distressed black hoodie, made from 420G pure cotton for softness and warmth. Bold multicolor retro print, loose drop-shoulder fit, drawstring hood, and kangaroo pocket for casual street style.","refusal":null,"annotations":[]},"logprobs":null,"finish_reason":"stop"}],"usage":{"prompt_tokens":946,"completion_tokens":47,"total_tokens":993,"prompt_tokens_details":{"cached_tokens":0,"audio_tokens":0},"completion_tokens_details":{"reasoning_tokens":0,"audio_tokens":0,"accepted_prediction_tokens":0,"rejected_prediction_tokens":0}},"service_tier":"default","system_fingerprint":"fp_ad66631dec"}</t>
        </is>
      </c>
      <c r="M18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ma=2592000","apim-request-id":"5d4d3569-1e16-430e-976b-fafd996b59e0","azureml-model-session":"d20260402075109-1fc5a0ec","cache-control":"no-cache, no-store, must-revalidate","connection":"close","content-length":"1017","content-security-policy":"frame-ancestors 'self'","content-type":"application/json","date":"Mon, 20 Apr 2026 04:28:45 GMT","server":"Caddy","skip-error-remapping":"true","strict-transport-security":"max-age=31536000; includeSubDomains; preload","via":"1.1 Caddy","x-api-request-id":"20260420122841794679901dzQQumg9","x-content-type-options":"nosniff","x-frame-options":"SAMEORIGIN","x-ms-is-spilled-over":"false","x-ms-rai-invoked":"false","x-ms-region":"Sweden Central","x-new-api-version":"0.4.39","x-oneapi-request-id":"202604200428417261713958268d9d6CzwAamXo","x-ratelimit-abusepenalty-active":"False","x-ratelimit-limit-requests":"4993","x-ratelimit-limit-tokens":"4993000","x-ratelimit-remaining-requests":"4992","x-ratelimit-remaining-tokens":"4991292","x-ratelimit-renewalperiod-requests":"60","x-ratelimit-renewalperiod-tokens":"60","x-ratelimit-reset-requests":"12","x-ratelimit-reset-tokens":"20","x-request-id":"bf56df13-0297-4d0b-8030-caa2a22e0251"}</t>
        </is>
      </c>
      <c r="N183" t="inlineStr">
        <is>
          <t>BC Streetwear washed distressed black hoodie, made from 420G pure cotton for softness and warmth. Bold multicolor retro print, loose drop-shoulder fit, drawstring hood, and kangaroo pocket for casual street style.</t>
        </is>
      </c>
      <c r="O183" t="inlineStr">
        <is>
          <t>{"choices":[{"finish_reason":"stop","index":0,"logprobs":null,"message":{"annotations":[],"content":"BC, HoodiesOther, kakobuy, kakebuy2026, kekobuysheet, kakobuysheet2026, 2026kakobuy, kakobuyspreadsheeet, kakobuylink, kakebuylist, Kakobuy MEGA Spreadsheet, kakobuysheetfind, kakobuysheetfind2026, 2026kakobuysheetfind, kakobuysheet2026","refusal":null,"role":"assistant"}}],"created":1776668443,"id":"chatcmpl-DWcuZw0QPlb4wzQ1AJLwyjPjkFh5h","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83" t="inlineStr">
        <is>
          <t>BC, HoodiesOther, kakobuy, kakebuy2026, kekobuysheet, kakobuysheet2026, 2026kakobuy, kakobuyspreadsheeet, kakobuylink, kakebuylist, Kakobuy MEGA Spreadsheet, kakobuysheetfind, kakobuysheetfind2026, 2026kakobuysheetfind, kakobuysheet2026</t>
        </is>
      </c>
      <c r="Q183" t="inlineStr">
        <is>
          <t>Streetwear, Black, Retro, Autumn And Winter</t>
        </is>
      </c>
      <c r="R183" t="inlineStr">
        <is>
          <t>recvh6xFVjr1Ab</t>
        </is>
      </c>
      <c r="S183" t="inlineStr">
        <is>
          <t>bc-streetwear-distressed-black-retro-print-hoodie-recvh6xFVjr1Ab</t>
        </is>
      </c>
      <c r="T183"/>
      <c r="U183"/>
      <c r="V183"/>
      <c r="W183" t="inlineStr">
        <is>
          <t>{"id":"chatcmpl-DWZZNsUsnURywwizXb8dUb3z5T0wq","object":"chat.completion","created":1776655597,"model":"gpt-5-chat-latest","choices":[{"index":0,"message":{"role":"assistant","content":"水洗做旧黑色连帽卫衣，采用420G纯棉厚质面料打造，手感柔软保暖。正面大幅彩色拼接印花设计，层次感强烈，展现复古街头风格。宽松落肩剪裁搭配经典抽绳帽领与袋鼠口袋，兼具舒适与实用。中性款式，适合男女穿搭，营造随性潮流街头氛围。","refusal":null,"annotations":[]},"logprobs":null,"finish_reason":"stop"}],"usage":{"prompt_tokens":1316,"completion_tokens":109,"total_tokens":1425,"prompt_tokens_details":{"cached_tokens":0,"audio_tokens":0},"completion_tokens_details":{"reasoning_tokens":0,"audio_tokens":0,"accepted_prediction_tokens":0,"rejected_prediction_tokens":0}},"service_tier":"default","system_fingerprint":"fp_ad66631dec"}</t>
        </is>
      </c>
      <c r="X183" t="inlineStr">
        <is>
          <t>水洗做旧黑色连帽卫衣，采用420G纯棉厚质面料打造，手感柔软保暖。正面大幅彩色拼接印花设计，层次感强烈，展现复古街头风格。宽松落肩剪裁搭配经典抽绳帽领与袋鼠口袋，兼具舒适与实用。中性款式，适合男女穿搭，营造随性潮流街头氛围。</t>
        </is>
      </c>
    </row>
    <row r="184" ht="25.5" customHeight="1">
      <c r="A184">
        <v>1839115443</v>
      </c>
      <c r="B184">
        <v>7617015122</v>
      </c>
      <c r="C184" t="inlineStr">
        <is>
          <t>https://weidian.com/item.html?itemID=7617015122</t>
        </is>
      </c>
      <c r="D184"/>
      <c r="E184" s="2" t="str">
        <f>=HYPERLINK("https://si.geilicdn.com/open1839115443-252808396-4b520000019aaf81168b0a8133b0_800_1102.jpg?w=640&amp;h=640", "https://si.geilicdn.com/open1839115443-252808396-4b520000019aaf81168b0a8133b0_800_1102.jpg?w=640&amp;h=640")</f>
        <v>https://si.geilicdn.com/open1839115443-252808396-4b520000019aaf81168b0a8133b0_800_1102.jpg?w=640&amp;h=640</v>
      </c>
      <c r="F184" t="inlineStr">
        <is>
          <t>Hoodies</t>
        </is>
      </c>
      <c r="G184" t="inlineStr">
        <is>
          <t>Other</t>
        </is>
      </c>
      <c r="H184" t="inlineStr">
        <is>
          <t>120.00</t>
        </is>
      </c>
      <c r="I184">
        <v>17.39</v>
      </c>
      <c r="J184" t="inlineStr">
        <is>
          <t>{"choices":[{"finish_reason":"stop","index":0,"logprobs":null,"message":{"annotations":[],"content":"HoodiesOther Street Series Black 420G Oversized Hoodie","refusal":null,"role":"assistant"}}],"created":1776665887,"id":"chatcmpl-DWcFLXwiCdUXIubuDIfrFvHdhXR7c","model":"gpt-5-chat-latest","object":"chat.completion","service_tier":"default","system_fingerprint":"fp_ad66631dec","usage":{"completion_tokens":14,"completion_tokens_details":{"accepted_prediction_tokens":0,"audio_tokens":0,"reasoning_tokens":0,"rejected_prediction_tokens":0},"prompt_tokens":886,"prompt_tokens_details":{"audio_tokens":0,"cached_tokens":0},"total_tokens":900}}</t>
        </is>
      </c>
      <c r="K184" t="inlineStr">
        <is>
          <t>HoodiesOther Street Series Black 420G Oversized Hoodie</t>
        </is>
      </c>
      <c r="L184" t="inlineStr">
        <is>
          <t>{"choices":[{"finish_reason":"stop","index":0,"logprobs":null,"message":{"annotations":[],"content":"HoodiesOther Street Series Black Oversized Hoodie uses 420g pure cotton, features trendy graphic print, drawstring hood and kangaroo pocket for urban casual style, unisex for fall and winter.","refusal":null,"role":"assistant"}}],"created":1776658812,"id":"chatcmpl-DWaPEIdOqJXzBoWL8Zm9snxkSepxc","model":"gpt-5-chat-latest","object":"chat.completion","service_tier":"default","system_fingerprint":"fp_ad66631dec","usage":{"completion_tokens":42,"completion_tokens_details":{"accepted_prediction_tokens":0,"audio_tokens":0,"reasoning_tokens":0,"rejected_prediction_tokens":0},"prompt_tokens":922,"prompt_tokens_details":{"audio_tokens":0,"cached_tokens":0},"total_tokens":964}}</t>
        </is>
      </c>
      <c r="M184" t="inlineStr">
        <is>
          <t>{"alt-svc":"h3=\":443\"; ma=2592000","apim-request-id":"c3cfe5a0-39ad-42e9-a49b-003bc407a306","azureml-model-session":"d20260402084046-4209e968","cache-control":"no-cache","connection":"close","content-length":"779","content-security-policy":"frame-ancestors 'self'","content-type":"application/json","date":"Mon, 20 Apr 2026 04:20:13 GMT","server":"Caddy","skip-error-remapping":"true","strict-transport-security":"max-age=31536000; includeSubDomains; preload","via":"1.1 Caddy","x-api-request-id":"20260420122011512315239E0SkcUQ","x-content-type-options":"nosniff","x-frame-options":"SAMEORIGIN","x-ms-client-request-id":"Not-Set","x-ms-is-spilled-over":"false","x-ms-rai-invoked":"true","x-ms-region":"East US 2","x-new-api-version":"0.4.39","x-oneapi-request-id":"202604200420109850700048268d9d6J0zI3v94","x-ratelimit-abusepenalty-active":"False","x-ratelimit-limit-requests":"3850","x-ratelimit-limit-tokens":"3850000","x-ratelimit-remaining-requests":"3849","x-ratelimit-remaining-tokens":"3848316","x-ratelimit-renewalperiod-requests":"60","x-ratelimit-renewalperiod-tokens":"60","x-ratelimit-reset-requests":"15","x-ratelimit-reset-tokens":"26","x-request-id":"cf62009b-a145-4128-b7b9-5ab5b12678a1"}</t>
        </is>
      </c>
      <c r="N184" t="inlineStr">
        <is>
          <t>HoodiesOther Street Series Black Oversized Hoodie uses 420g pure cotton, features trendy graphic print, drawstring hood and kangaroo pocket for urban casual style, unisex for fall and winter.</t>
        </is>
      </c>
      <c r="O184" t="inlineStr">
        <is>
          <t>{"id":"chatcmpl-DWcfCiHPlz1ECa88PHf2rxd3XT9A1","object":"chat.completion","created":1776667490,"model":"gpt-5-chat-latest","choices":[{"index":0,"message":{"role":"assistant","content":"BC, Hoodies,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84" t="inlineStr">
        <is>
          <t>BC, Hoodies, kakobuy, kakebuy2026, kekobuysheet, kakobuysheet2026, 2026kakobuy, kakobuyspreadsheeet, kakobuylink, kakebuylist, Kakobuy MEGA Spreadsheet, kakobuysheetfind, kakobuysheetfind2026, 2026kakobuysheetfind, kakobuysheet2026</t>
        </is>
      </c>
      <c r="Q184" t="inlineStr">
        <is>
          <t>Black, Autumn And Winter, Unisex</t>
        </is>
      </c>
      <c r="R184" t="inlineStr">
        <is>
          <t>recvh6xFVjPMZt</t>
        </is>
      </c>
      <c r="S184" t="inlineStr">
        <is>
          <t>hoodiesother-street-series-black-420g-oversized-hoodie-recvh6xFVjPMZt</t>
        </is>
      </c>
      <c r="T184"/>
      <c r="U184"/>
      <c r="V184"/>
      <c r="W184" t="inlineStr">
        <is>
          <t>{"choices":[{"finish_reason":"stop","index":0,"logprobs":null,"message":{"annotations":[],"content":"街头系列黑色宽松连帽卫衣，采用420克厚实纯棉面料，正面印有潮流个性图腾，彰显街头艺术风格。经典帽衫设计搭配抽绳与袋鼠口袋，休闲百搭，男女皆宜，适合秋冬日常穿搭，演绎年轻都市态度。","refusal":null,"role":"assistant"}}],"created":1776655240,"id":"chatcmpl-DWZTcq2O5PgS4lWHaDJESJQN8m947","model":"gpt-5-chat-latest","object":"chat.completion","service_tier":"default","system_fingerprint":"fp_ad66631dec","usage":{"completion_tokens":85,"completion_tokens_details":{"accepted_prediction_tokens":0,"audio_tokens":0,"reasoning_tokens":0,"rejected_prediction_tokens":0},"prompt_tokens":1316,"prompt_tokens_details":{"audio_tokens":0,"cached_tokens":0},"total_tokens":1401}}</t>
        </is>
      </c>
      <c r="X184" t="inlineStr">
        <is>
          <t>街头系列黑色宽松连帽卫衣，采用420克厚实纯棉面料，正面印有潮流个性图腾，彰显街头艺术风格。经典帽衫设计搭配抽绳与袋鼠口袋，休闲百搭，男女皆宜，适合秋冬日常穿搭，演绎年轻都市态度。</t>
        </is>
      </c>
    </row>
    <row r="185" ht="25.5" customHeight="1">
      <c r="A185">
        <v>1839115443</v>
      </c>
      <c r="B185">
        <v>7614078883</v>
      </c>
      <c r="C185" t="inlineStr">
        <is>
          <t>https://weidian.com/item.html?itemID=7614078883</t>
        </is>
      </c>
      <c r="D185"/>
      <c r="E185" s="2" t="str">
        <f>=HYPERLINK("https://si.geilicdn.com/open1839115443-252808396-69930000019aaf80ff8e0aa081c2_800_800.jpg?w=750&amp;h=750&amp;cp=1", "https://si.geilicdn.com/open1839115443-252808396-69930000019aaf80ff8e0aa081c2_800_800.jpg?w=750&amp;h=750&amp;cp=1")</f>
        <v>https://si.geilicdn.com/open1839115443-252808396-69930000019aaf80ff8e0aa081c2_800_800.jpg?w=750&amp;h=750&amp;cp=1</v>
      </c>
      <c r="F185" t="inlineStr">
        <is>
          <t>T-Shirts</t>
        </is>
      </c>
      <c r="G185" t="inlineStr">
        <is>
          <t>Other</t>
        </is>
      </c>
      <c r="H185" t="inlineStr">
        <is>
          <t>120.00</t>
        </is>
      </c>
      <c r="I185">
        <v>17.39</v>
      </c>
      <c r="J185" t="inlineStr">
        <is>
          <t>{"choices":[{"finish_reason":"stop","index":0,"logprobs":null,"message":{"annotations":[],"content":"VINTAGEBLACK Retro Boxing Graphic Washed Cotton T-Shirt  ","refusal":null,"role":"assistant"}}],"created":1776666652,"id":"chatcmpl-DWcRg67POU3gQtFQZST0aBqfDH6Xr","model":"gpt-5-chat-latest","object":"chat.completion","service_tier":"default","system_fingerprint":"fp_ad66631dec","usage":{"completion_tokens":14,"completion_tokens_details":{"accepted_prediction_tokens":0,"audio_tokens":0,"reasoning_tokens":0,"rejected_prediction_tokens":0},"prompt_tokens":883,"prompt_tokens_details":{"audio_tokens":0,"cached_tokens":0},"total_tokens":897}}</t>
        </is>
      </c>
      <c r="K185" t="inlineStr">
        <is>
          <t xml:space="preserve">VINTAGEBLACK Retro Boxing Graphic Washed Cotton T-Shirt  </t>
        </is>
      </c>
      <c r="L185" t="inlineStr">
        <is>
          <t>{"id":"chatcmpl-DWaMHBejrlSmNVZYGgEMUib0l9t8p","object":"chat.completion","created":1776658629,"model":"gpt-5-chat-latest","choices":[{"index":0,"message":{"role":"assistant","content":"VINTAGEBLACK Retro Boxing Graphic T-Shirt made of high-density washed cotton, thick and soft texture with graffiti boxer print, loose unisex fit, 90s street style for summer casual wear.","refusal":null,"annotations":[]},"logprobs":null,"finish_reason":"stop"}],"usage":{"prompt_tokens":963,"completion_tokens":41,"total_tokens":1004,"prompt_tokens_details":{"cached_tokens":0,"audio_tokens":0},"completion_tokens_details":{"reasoning_tokens":0,"audio_tokens":0,"accepted_prediction_tokens":0,"rejected_prediction_tokens":0}},"service_tier":"default","system_fingerprint":"fp_ad66631dec"}</t>
        </is>
      </c>
      <c r="M18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ma=2592000","apim-request-id":"a9d0733f-6fb9-45b9-a021-c8cd0d7a69fa","azureml-model-session":"d20260405234249-f9874baf","cache-control":"no-cache, no-store, must-revalidate","connection":"close","content-length":"991","content-security-policy":"frame-ancestors 'self'","content-type":"application/json","date":"Mon, 20 Apr 2026 04:17:11 GMT","server":"nginx","skip-error-remapping":"true","strict-transport-security":"max-age=31536000; includeSubDomains; preload","via":"1.1 Caddy, 1.1 Caddy","x-api-request-id":"20260420121707578278843YBIQfpLj","x-content-type-options":"nosniff","x-frame-options":"SAMEORIGIN","x-ms-is-spilled-over":"false","x-ms-rai-invoked":"false","x-ms-region":"Sweden Central","x-new-api-version":"0.4.39","x-oneapi-request-id":"202604200417075114167998268d9d6jYoPUMte","x-ratelimit-abusepenalty-active":"False","x-ratelimit-limit-requests":"4993","x-ratelimit-limit-tokens":"4993000","x-ratelimit-remaining-requests":"4992","x-ratelimit-remaining-tokens":"4991275","x-ratelimit-renewalperiod-requests":"60","x-ratelimit-renewalperiod-tokens":"60","x-ratelimit-reset-requests":"12","x-ratelimit-reset-tokens":"20","x-request-id":"0a06bb8e-8006-4506-b3eb-50fd4e0d5d21"}</t>
        </is>
      </c>
      <c r="N185" t="inlineStr">
        <is>
          <t>VINTAGEBLACK Retro Boxing Graphic T-Shirt made of high-density washed cotton, thick and soft texture with graffiti boxer print, loose unisex fit, 90s street style for summer casual wear.</t>
        </is>
      </c>
      <c r="O185" t="inlineStr">
        <is>
          <t>{"choices":[{"finish_reason":"stop","index":0,"logprobs":null,"message":{"annotations":[],"content":"Vetements,T-Shirts,kakobuy,kakebuy2026,kekobuysheet,kakobuysheet2026,2026kakobuy,kakobuyspreadsheeet,kakobuylink,kakebuylist,Kakobuy MEGA Spreadsheet,kakobuysheetfind,kakobuysheetfind2026,2026kakobuysheetfind,kakobuysheet2026","refusal":null,"role":"assistant"}}],"created":1776667645,"id":"chatcmpl-DWchhHsK064l81Oo1OSKK0pJHFA3J","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85" t="inlineStr">
        <is>
          <t>Vetements,T-Shirts,kakobuy,kakebuy2026,kekobuysheet,kakobuysheet2026,2026kakobuy,kakobuyspreadsheeet,kakobuylink,kakebuylist,Kakobuy MEGA Spreadsheet,kakobuysheetfind,kakobuysheetfind2026,2026kakobuysheetfind,kakobuysheet2026</t>
        </is>
      </c>
      <c r="Q185" t="inlineStr">
        <is>
          <t>Vintage, Street, Summer, Unisex</t>
        </is>
      </c>
      <c r="R185" t="inlineStr">
        <is>
          <t>recvh6xFVjeuFE</t>
        </is>
      </c>
      <c r="S185" t="inlineStr">
        <is>
          <t>vintageblack-retro-boxing-graphic-washed-cotton-tshirt-recvh6xfvjeuf</t>
        </is>
      </c>
      <c r="T185"/>
      <c r="U185"/>
      <c r="V185"/>
      <c r="W185" t="inlineStr">
        <is>
          <t>{"id":"chatcmpl-DWZbtO3tc42iiphZOY0gUZah6QZj9","object":"chat.completion","created":1776655753,"model":"gpt-5-chat-latest","choices":[{"index":0,"message":{"role":"assistant","content":"复古黑色拳击主题短袖T恤，采用高密度纯棉水洗面料，质感厚实舒适。正面印有肌肉拳击手艺术涂鸦图腾，细节层次分明，展现力量与街头态度。宽松版型设计兼具潮流与休闲属性，适合男女通穿。整体复古水洗工艺搭配个性图案，塑造90年代街头艺术风格，是夏季街头与日常穿搭的时尚单品。","refusal":null,"annotations":[]},"logprobs":null,"finish_reason":"stop"}],"usage":{"prompt_tokens":1319,"completion_tokens":125,"total_tokens":1444,"prompt_tokens_details":{"cached_tokens":0,"audio_tokens":0},"completion_tokens_details":{"reasoning_tokens":0,"audio_tokens":0,"accepted_prediction_tokens":0,"rejected_prediction_tokens":0}},"service_tier":"default","system_fingerprint":"fp_ad66631dec"}</t>
        </is>
      </c>
      <c r="X185" t="inlineStr">
        <is>
          <t>复古黑色拳击主题短袖T恤，采用高密度纯棉水洗面料，质感厚实舒适。正面印有肌肉拳击手艺术涂鸦图腾，细节层次分明，展现力量与街头态度。宽松版型设计兼具潮流与休闲属性，适合男女通穿。整体复古水洗工艺搭配个性图案，塑造90年代街头艺术风格，是夏季街头与日常穿搭的时尚单品。</t>
        </is>
      </c>
    </row>
    <row r="186" ht="25.5" customHeight="1">
      <c r="A186">
        <v>1839115443</v>
      </c>
      <c r="B186">
        <v>7614037117</v>
      </c>
      <c r="C186" t="inlineStr">
        <is>
          <t>https://weidian.com/item.html?itemID=7614037117</t>
        </is>
      </c>
      <c r="D186"/>
      <c r="E186" s="2" t="str">
        <f>=HYPERLINK("https://si.geilicdn.com/open1839115443-252808396-68870000019aaf7fcc370aa081c2_1000_1000.jpg?w=750&amp;h=750&amp;cp=1", "https://si.geilicdn.com/open1839115443-252808396-68870000019aaf7fcc370aa081c2_1000_1000.jpg?w=750&amp;h=750&amp;cp=1")</f>
        <v>https://si.geilicdn.com/open1839115443-252808396-68870000019aaf7fcc370aa081c2_1000_1000.jpg?w=750&amp;h=750&amp;cp=1</v>
      </c>
      <c r="F186" t="inlineStr">
        <is>
          <t>Hoodies</t>
        </is>
      </c>
      <c r="G186" t="inlineStr">
        <is>
          <t>Other</t>
        </is>
      </c>
      <c r="H186" t="inlineStr">
        <is>
          <t>120.00</t>
        </is>
      </c>
      <c r="I186">
        <v>17.39</v>
      </c>
      <c r="J186" t="inlineStr">
        <is>
          <t>{"id":"chatcmpl-DWcSDrYkgkcmvnXujUAT0sHhVENRD","object":"chat.completion","created":1776666685,"model":"gpt-5-chat-latest","choices":[{"index":0,"message":{"role":"assistant","content":"BC Street Wear 420G Vintage Black Hoodie","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186" t="inlineStr">
        <is>
          <t>BC Street Wear 420G Vintage Black Hoodie</t>
        </is>
      </c>
      <c r="L186" t="inlineStr">
        <is>
          <t>{"id":"chatcmpl-DWaPXjPr6Z23bCyWUge8Cikk7h6Ze","object":"chat.completion","created":1776658831,"model":"gpt-5-chat-latest","choices":[{"index":0,"message":{"role":"assistant","content":"BC Street Wear 420G Heavyweight Cotton Hoodie, washed black with signature portrait print, relaxed fit unisex design, vintage street style for casual everyday wear.","refusal":null,"annotations":[]},"logprobs":null,"finish_reason":"stop"}],"usage":{"prompt_tokens":917,"completion_tokens":33,"total_tokens":950,"prompt_tokens_details":{"cached_tokens":0,"audio_tokens":0},"completion_tokens_details":{"reasoning_tokens":0,"audio_tokens":0,"accepted_prediction_tokens":0,"rejected_prediction_tokens":0}},"service_tier":"default","system_fingerprint":"fp_ad66631dec"}</t>
        </is>
      </c>
      <c r="M18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ma=2592000","apim-request-id":"429a2be7-784a-4e62-a403-2ef6eeada35d","azureml-model-session":"d20260402075109-1fc5a0ec","cache-control":"no-cache, no-store, must-revalidate","connection":"close","content-length":"968","content-security-policy":"frame-ancestors 'self'","content-type":"application/json","date":"Mon, 20 Apr 2026 04:20:33 GMT","server":"nginx","skip-error-remapping":"true","strict-transport-security":"max-age=31536000; includeSubDomains; preload","via":"1.1 Caddy, 1.1 Caddy","x-api-request-id":"20260420122029397857660BECre7Zd","x-content-type-options":"nosniff","x-frame-options":"SAMEORIGIN","x-ms-is-spilled-over":"false","x-ms-rai-invoked":"false","x-ms-region":"Sweden Central","x-new-api-version":"0.4.39","x-oneapi-request-id":"202604200420293301773508268d9d6fvCUzqlU","x-ratelimit-abusepenalty-active":"False","x-ratelimit-limit-requests":"4993","x-ratelimit-limit-tokens":"4993000","x-ratelimit-remaining-requests":"4992","x-ratelimit-remaining-tokens":"4991321","x-ratelimit-renewalperiod-requests":"60","x-ratelimit-renewalperiod-tokens":"60","x-ratelimit-reset-requests":"12","x-ratelimit-reset-tokens":"20","x-request-id":"5da75d55-7a92-4a9a-8d6f-0fd57bbd61c5"}</t>
        </is>
      </c>
      <c r="N186" t="inlineStr">
        <is>
          <t>BC Street Wear 420G Heavyweight Cotton Hoodie, washed black with signature portrait print, relaxed fit unisex design, vintage street style for casual everyday wear.</t>
        </is>
      </c>
      <c r="O186" t="inlineStr">
        <is>
          <t>{"choices":[{"finish_reason":"stop","index":0,"logprobs":null,"message":{"annotations":[],"content":"BC, Hoodies, kakobuy, kakebuy2026, kekobuysheet, kakobuysheet2026, 2026kakobuy, kakobuyspreadsheeet, kakobuylink, kakebuylist, Kakobuy MEGA Spreadsheet, kakobuysheetfind, kakobuysheetfind2026, 2026kakobuysheetfind, kakobuysheet2026","refusal":null,"role":"assistant"}}],"created":1776668742,"id":"chatcmpl-DWczO092PEvzQZ7HymAzSEfDqgF88","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86" t="inlineStr">
        <is>
          <t>BC, Hoodies, kakobuy, kakebuy2026, kekobuysheet, kakobuysheet2026, 2026kakobuy, kakobuyspreadsheeet, kakobuylink, kakebuylist, Kakobuy MEGA Spreadsheet, kakobuysheetfind, kakobuysheetfind2026, 2026kakobuysheetfind, kakobuysheet2026</t>
        </is>
      </c>
      <c r="Q186" t="inlineStr">
        <is>
          <t>Unisex, Vintage, Streetwear, Black</t>
        </is>
      </c>
      <c r="R186" t="inlineStr">
        <is>
          <t>recvh6xFVjBJM1</t>
        </is>
      </c>
      <c r="S186" t="inlineStr">
        <is>
          <t>bc-street-wear-420g-vintage-black-hoodie-recvh6xfvjbjm1</t>
        </is>
      </c>
      <c r="T186"/>
      <c r="U186"/>
      <c r="V186"/>
      <c r="W186" t="inlineStr">
        <is>
          <t>{"choices":[{"finish_reason":"stop","index":0,"logprobs":null,"message":{"annotations":[],"content":"美式街头系列黑色重磅连帽卫衣，420G纯棉材质，水洗工艺质感高级，正面人物印花搭配签名设计，宽松剪裁舒适有型，男女同款，展现复古潮流与运动精神，适合日常休闲与街头穿搭。","refusal":null,"role":"assistant"}}],"created":1776655239,"id":"chatcmpl-DWZTbRjXLukWm0csg4lnp5x9n0nx0","model":"gpt-5-chat-latest","object":"chat.completion","service_tier":"default","system_fingerprint":"fp_ad66631dec","usage":{"completion_tokens":78,"completion_tokens_details":{"accepted_prediction_tokens":0,"audio_tokens":0,"reasoning_tokens":0,"rejected_prediction_tokens":0},"prompt_tokens":1320,"prompt_tokens_details":{"audio_tokens":0,"cached_tokens":0},"total_tokens":1398}}</t>
        </is>
      </c>
      <c r="X186" t="inlineStr">
        <is>
          <t>美式街头系列黑色重磅连帽卫衣，420G纯棉材质，水洗工艺质感高级，正面人物印花搭配签名设计，宽松剪裁舒适有型，男女同款，展现复古潮流与运动精神，适合日常休闲与街头穿搭。</t>
        </is>
      </c>
    </row>
    <row r="187" ht="25.5" customHeight="1">
      <c r="A187">
        <v>1839115443</v>
      </c>
      <c r="B187">
        <v>7617092696</v>
      </c>
      <c r="C187" t="inlineStr">
        <is>
          <t>https://weidian.com/item.html?itemID=7617092696</t>
        </is>
      </c>
      <c r="D187"/>
      <c r="E187" s="2" t="str">
        <f>=HYPERLINK("https://si.geilicdn.com/open1839115443-252808396-4a740000019aaf7feec50a8133b0_800_1205.jpg?w=640&amp;h=640", "https://si.geilicdn.com/open1839115443-252808396-4a740000019aaf7feec50a8133b0_800_1205.jpg?w=640&amp;h=640")</f>
        <v>https://si.geilicdn.com/open1839115443-252808396-4a740000019aaf7feec50a8133b0_800_1205.jpg?w=640&amp;h=640</v>
      </c>
      <c r="F187" t="inlineStr">
        <is>
          <t>T-Shirts</t>
        </is>
      </c>
      <c r="G187" t="inlineStr">
        <is>
          <t>Other</t>
        </is>
      </c>
      <c r="H187" t="inlineStr">
        <is>
          <t>120.00</t>
        </is>
      </c>
      <c r="I187">
        <v>17.39</v>
      </c>
      <c r="J187" t="inlineStr">
        <is>
          <t>{"choices":[{"finish_reason":"stop","index":0,"logprobs":null,"message":{"annotations":[],"content":"RetroSeries Vintage Washed Black Unisex Totem Print T-Shirt","refusal":null,"role":"assistant"}}],"created":1776665950,"id":"chatcmpl-DWcGMlamfIjiWtuQor9UxupXzghLM","model":"gpt-5-chat-latest","object":"chat.completion","service_tier":"default","system_fingerprint":"fp_ad66631dec","usage":{"completion_tokens":14,"completion_tokens_details":{"accepted_prediction_tokens":0,"audio_tokens":0,"reasoning_tokens":0,"rejected_prediction_tokens":0},"prompt_tokens":879,"prompt_tokens_details":{"audio_tokens":0,"cached_tokens":0},"total_tokens":893}}</t>
        </is>
      </c>
      <c r="K187" t="inlineStr">
        <is>
          <t>RetroSeries Vintage Washed Black Unisex Totem Print T-Shirt</t>
        </is>
      </c>
      <c r="L187" t="inlineStr">
        <is>
          <t>{"choices":[{"finish_reason":"stop","index":0,"logprobs":null,"message":{"annotations":[],"content":"Brand RetroSeries – Vintage washed black unisex cotton T-shirt with bold chest totem print, soft fabric, relaxed fit, and trendy street style vibe combining retro charm and modern artistic flair.","refusal":null,"role":"assistant"}}],"created":1776659202,"id":"chatcmpl-DWaVWamp9uekt9yt8rtm6c5lzYSiE","model":"gpt-5-chat-latest","object":"chat.completion","service_tier":"default","system_fingerprint":"fp_ad66631dec","usage":{"completion_tokens":39,"completion_tokens_details":{"accepted_prediction_tokens":0,"audio_tokens":0,"reasoning_tokens":0,"rejected_prediction_tokens":0},"prompt_tokens":894,"prompt_tokens_details":{"audio_tokens":0,"cached_tokens":0},"total_tokens":933}}</t>
        </is>
      </c>
      <c r="M187" t="inlineStr">
        <is>
          <t>{"alt-svc":"h3=\":443\"; ma=2592000","apim-request-id":"5445ae46-fdda-44ec-ac45-645ca399140d","azureml-model-session":"d20260402083108-57a85543","cache-control":"no-cache","connection":"close","content-length":"785","content-security-policy":"frame-ancestors 'self'","content-type":"application/json","date":"Mon, 20 Apr 2026 04:26:43 GMT","server":"nginx","skip-error-remapping":"true","strict-transport-security":"max-age=31536000; includeSubDomains; preload","via":"1.1 Caddy, 1.1 Caddy","x-api-request-id":"20260420122640867503281GdCLHMVc","x-content-type-options":"nosniff","x-frame-options":"SAMEORIGIN","x-ms-client-request-id":"Not-Set","x-ms-is-spilled-over":"false","x-ms-rai-invoked":"true","x-ms-region":"East US 2","x-new-api-version":"0.4.39","x-oneapi-request-id":"202604200426407990264598268d9d60gOtLYq8","x-ratelimit-abusepenalty-active":"False","x-ratelimit-limit-requests":"3850","x-ratelimit-limit-tokens":"3850000","x-ratelimit-remaining-requests":"3849","x-ratelimit-remaining-tokens":"3848344","x-ratelimit-renewalperiod-requests":"60","x-ratelimit-renewalperiod-tokens":"60","x-ratelimit-reset-requests":"15","x-ratelimit-reset-tokens":"25","x-request-id":"21ca5f33-f5ee-408d-aaca-f9ccea16c798"}</t>
        </is>
      </c>
      <c r="N187" t="inlineStr">
        <is>
          <t>Brand RetroSeries – Vintage washed black unisex cotton T-shirt with bold chest totem print, soft fabric, relaxed fit, and trendy street style vibe combining retro charm and modern artistic flair.</t>
        </is>
      </c>
      <c r="O187" t="inlineStr">
        <is>
          <t>{"choices":[{"finish_reason":"stop","index":0,"logprobs":null,"message":{"annotations":[],"content":"Drake,T-Shirts,kakobuy,kakebuy2026,kekobuysheet,kakobuysheet2026,2026kakobuy,kakobuyspreadsheeet,kakobuylink,kakebuylist,Kakobuy MEGA Spreadsheet,kakobuysheetfind,kakobuysheetfind2026,2026kakobuysheetfind,kakobuysheet2026","refusal":null,"role":"assistant"}}],"created":1776667642,"id":"chatcmpl-DWcheRjJOdO24Uy4mqQ13gdsAqRvS","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87" t="inlineStr">
        <is>
          <t>Drake,T-Shirts,kakobuy,kakebuy2026,kekobuysheet,kakobuysheet2026,2026kakobuy,kakobuyspreadsheeet,kakobuylink,kakebuylist,Kakobuy MEGA Spreadsheet,kakobuysheetfind,kakobuysheetfind2026,2026kakobuysheetfind,kakobuysheet2026</t>
        </is>
      </c>
      <c r="Q187" t="inlineStr">
        <is>
          <t>Retro, Streetwear, Black, Unisex</t>
        </is>
      </c>
      <c r="R187" t="inlineStr">
        <is>
          <t>recvh6xFVjDodp</t>
        </is>
      </c>
      <c r="S187" t="inlineStr">
        <is>
          <t>retroseries-vintage-washed-black-totem-print-recvh6xFVjDodp</t>
        </is>
      </c>
      <c r="T187"/>
      <c r="U187"/>
      <c r="V187"/>
      <c r="W187" t="inlineStr">
        <is>
          <t>{"id":"chatcmpl-DWZQ4ZpMFU6qRvPuCG1uEd5BoVQls","object":"chat.completion","created":1776655020,"model":"gpt-5-chat-latest","choices":[{"index":0,"message":{"role":"assistant","content":"复古系列黑色水洗宽松短袖T恤，柔软纯棉材质，胸前个性图腾印花设计，街头潮流风格，男女通用款，休闲年代感与时尚艺术感兼具。","refusal":null,"annotations":[]},"logprobs":null,"finish_reason":"stop"}],"usage":{"prompt_tokens":1315,"completion_tokens":58,"total_tokens":1373,"prompt_tokens_details":{"cached_tokens":0,"audio_tokens":0},"completion_tokens_details":{"reasoning_tokens":0,"audio_tokens":0,"accepted_prediction_tokens":0,"rejected_prediction_tokens":0}},"service_tier":"default","system_fingerprint":"fp_ad66631dec"}</t>
        </is>
      </c>
      <c r="X187" t="inlineStr">
        <is>
          <t>复古系列黑色水洗宽松短袖T恤，柔软纯棉材质，胸前个性图腾印花设计，街头潮流风格，男女通用款，休闲年代感与时尚艺术感兼具。</t>
        </is>
      </c>
    </row>
    <row r="188" ht="25.5" customHeight="1">
      <c r="A188">
        <v>1839115443</v>
      </c>
      <c r="B188">
        <v>7617054876</v>
      </c>
      <c r="C188" t="inlineStr">
        <is>
          <t>https://weidian.com/item.html?itemID=7617054876</t>
        </is>
      </c>
      <c r="D188"/>
      <c r="E188" s="2" t="str">
        <f>=HYPERLINK("https://si.geilicdn.com/open1839115443-252808396-56630000019aaf7ff40e0a231226_800_1065.jpg?w=640&amp;h=640", "https://si.geilicdn.com/open1839115443-252808396-56630000019aaf7ff40e0a231226_800_1065.jpg?w=640&amp;h=640")</f>
        <v>https://si.geilicdn.com/open1839115443-252808396-56630000019aaf7ff40e0a231226_800_1065.jpg?w=640&amp;h=640</v>
      </c>
      <c r="F188" t="inlineStr">
        <is>
          <t>Hoodies</t>
        </is>
      </c>
      <c r="G188" t="inlineStr">
        <is>
          <t>Other</t>
        </is>
      </c>
      <c r="H188" t="inlineStr">
        <is>
          <t>120.00</t>
        </is>
      </c>
      <c r="I188">
        <v>17.39</v>
      </c>
      <c r="J188" t="inlineStr">
        <is>
          <t>{"id":"chatcmpl-DWcEOlTImu3QZAoVA6oiKZfQDHilE","object":"chat.completion","created":1776665828,"model":"gpt-5-chat-latest","choices":[{"index":0,"message":{"role":"assistant","content":"Street Retro Oversized Black Hoodie Blue Gothic Print","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188" t="inlineStr">
        <is>
          <t>Street Retro Oversized Black Hoodie Blue Gothic Print</t>
        </is>
      </c>
      <c r="L188" t="inlineStr">
        <is>
          <t>{"id":"chatcmpl-DWaZOsqw8peKTPEQrTVwPeOq0vqfJ","object":"chat.completion","created":1776659442,"model":"gpt-5-chat-latest","choices":[{"index":0,"message":{"role":"assistant","content":"HoodiesOther Street Retro Black Oversized Cotton Hoodie, soft and breathable with blue gothic lettering and figure totem print, unisex design for urban youth style and rebellious attitude.","refusal":null,"annotations":[]},"logprobs":null,"finish_reason":"stop"}],"usage":{"prompt_tokens":910,"completion_tokens":37,"total_tokens":947,"prompt_tokens_details":{"cached_tokens":0,"audio_tokens":0},"completion_tokens_details":{"reasoning_tokens":0,"audio_tokens":0,"accepted_prediction_tokens":0,"rejected_prediction_tokens":0}},"service_tier":"default","system_fingerprint":"fp_ad66631dec"}</t>
        </is>
      </c>
      <c r="M18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ma=2592000","apim-request-id":"fa74c2e8-3e90-44ca-8c56-b889d71b10d7","azureml-model-session":"d20260405234249-f9874baf","cache-control":"no-cache, no-store, must-revalidate","connection":"close","content-length":"992","content-security-policy":"frame-ancestors 'self'","content-type":"application/json","date":"Mon, 20 Apr 2026 04:30:43 GMT","server":"nginx","skip-error-remapping":"true","strict-transport-security":"max-age=31536000; includeSubDomains; preload","via":"1.1 Caddy, 1.1 Caddy","x-api-request-id":"202604201230406552853555a9pd1b4","x-content-type-options":"nosniff","x-frame-options":"SAMEORIGIN","x-ms-is-spilled-over":"false","x-ms-rai-invoked":"false","x-ms-region":"East US 2","x-new-api-version":"0.4.39","x-oneapi-request-id":"202604200430405893251748268d9d62z6iG8Mo","x-ratelimit-abusepenalty-active":"False","x-ratelimit-limit-requests":"4994","x-ratelimit-limit-tokens":"4994000","x-ratelimit-remaining-requests":"4993","x-ratelimit-remaining-tokens":"4992328","x-ratelimit-renewalperiod-requests":"60","x-ratelimit-renewalperiod-tokens":"60","x-ratelimit-reset-requests":"12","x-ratelimit-reset-tokens":"20","x-request-id":"e9aa7aab-11dd-4fbe-a53e-2810b304978f"}</t>
        </is>
      </c>
      <c r="N188" t="inlineStr">
        <is>
          <t>HoodiesOther Street Retro Black Oversized Cotton Hoodie, soft and breathable with blue gothic lettering and figure totem print, unisex design for urban youth style and rebellious attitude.</t>
        </is>
      </c>
      <c r="O188" t="inlineStr">
        <is>
          <t>{"choices":[{"finish_reason":"stop","index":0,"logprobs":null,"message":{"annotations":[],"content":"Revenge,Hoodies,kakobuy,kakebuy2026,kekobuysheet,kakobuysheet2026,2026kakobuy,kakobuyspreadsheeet,kakobuylink,kakebuylist,Kakobuy MEGA Spreadsheet,kakobuysheetfind,kakobuysheetfind2026,2026kakobuysheetfind,kakobuysheet2026","refusal":null,"role":"assistant"}}],"created":1776667817,"id":"chatcmpl-DWckTI7rEa5oAvCOq92jfXRAnKndp","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88" t="inlineStr">
        <is>
          <t>Revenge,Hoodies,kakobuy,kakebuy2026,kekobuysheet,kakobuysheet2026,2026kakobuy,kakobuyspreadsheeet,kakobuylink,kakebuylist,Kakobuy MEGA Spreadsheet,kakobuysheetfind,kakobuysheetfind2026,2026kakobuysheetfind,kakobuysheet2026</t>
        </is>
      </c>
      <c r="Q188" t="inlineStr">
        <is>
          <t>Black, Retro, Unisex, Streetwear, Youth</t>
        </is>
      </c>
      <c r="R188" t="inlineStr">
        <is>
          <t>recvh6xFVjpCQd</t>
        </is>
      </c>
      <c r="S188" t="inlineStr">
        <is>
          <t>street-retro-oversized-black-hoodie-blue-gothic-print-recvh6xFVjpCQd</t>
        </is>
      </c>
      <c r="T188"/>
      <c r="U188"/>
      <c r="V188"/>
      <c r="W188" t="inlineStr">
        <is>
          <t>{"choices":[{"finish_reason":"stop","index":0,"logprobs":null,"message":{"annotations":[],"content":"街头复古系列黑色宽松连帽卫衣，纯棉材质柔软透气，正面蓝色哥特字体与人物图腾设计，展现叛逆美学。休闲潮流风格，男女皆宜，适合都市年轻一代日常穿搭，彰显个性态度。","refusal":null,"role":"assistant"}}],"created":1776655693,"id":"chatcmpl-DWZavvUWn3MnTufXaWZyPz5QNzJkW","model":"gpt-5-chat-latest","object":"chat.completion","service_tier":"default","system_fingerprint":"fp_ad66631dec","usage":{"completion_tokens":75,"completion_tokens_details":{"accepted_prediction_tokens":0,"audio_tokens":0,"reasoning_tokens":0,"rejected_prediction_tokens":0},"prompt_tokens":1312,"prompt_tokens_details":{"audio_tokens":0,"cached_tokens":0},"total_tokens":1387}}</t>
        </is>
      </c>
      <c r="X188" t="inlineStr">
        <is>
          <t>街头复古系列黑色宽松连帽卫衣，纯棉材质柔软透气，正面蓝色哥特字体与人物图腾设计，展现叛逆美学。休闲潮流风格，男女皆宜，适合都市年轻一代日常穿搭，彰显个性态度。</t>
        </is>
      </c>
    </row>
    <row r="189" ht="25.5" customHeight="1">
      <c r="A189">
        <v>1839115443</v>
      </c>
      <c r="B189">
        <v>7617092694</v>
      </c>
      <c r="C189" t="inlineStr">
        <is>
          <t>https://weidian.com/item.html?itemID=7617092694</t>
        </is>
      </c>
      <c r="D189"/>
      <c r="E189" s="2" t="str">
        <f>=HYPERLINK("https://si.geilicdn.com/open1839115443-252808396-4cbf0000019aaf7fcb220a23b491_800_800.jpg?w=750&amp;h=750&amp;cp=1", "https://si.geilicdn.com/open1839115443-252808396-4cbf0000019aaf7fcb220a23b491_800_800.jpg?w=750&amp;h=750&amp;cp=1")</f>
        <v>https://si.geilicdn.com/open1839115443-252808396-4cbf0000019aaf7fcb220a23b491_800_800.jpg?w=750&amp;h=750&amp;cp=1</v>
      </c>
      <c r="F189" t="inlineStr">
        <is>
          <t>T-Shirts</t>
        </is>
      </c>
      <c r="G189" t="inlineStr">
        <is>
          <t>Other</t>
        </is>
      </c>
      <c r="H189" t="inlineStr">
        <is>
          <t>120.00</t>
        </is>
      </c>
      <c r="I189">
        <v>17.39</v>
      </c>
      <c r="J189" t="inlineStr">
        <is>
          <t>{"choices":[{"finish_reason":"stop","index":0,"logprobs":null,"message":{"annotations":[],"content":"OKC Retro Series Black Basketball Vintage Unisex T-Shirt","refusal":null,"role":"assistant"}}],"created":1776666940,"id":"chatcmpl-DWcWKc4N8JWhyhBnNfvHBwkunqcQh","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189" t="inlineStr">
        <is>
          <t>OKC Retro Series Black Basketball Vintage Unisex T-Shirt</t>
        </is>
      </c>
      <c r="L189" t="inlineStr">
        <is>
          <t>{"choices":[{"finish_reason":"stop","index":0,"logprobs":null,"message":{"annotations":[],"content":"OKC Retro Series Black Basketball T-Shirt, soft cotton fabric with vivid team totem print, street sport unisex loose fit, showcasing American vintage charm and passionate basketball culture fusion.","refusal":null,"role":"assistant"}}],"created":1776658576,"id":"chatcmpl-DWaLQ3XlwWeIGFK2OImKtr4q9rXpw","model":"gpt-5-chat-latest","object":"chat.completion","service_tier":"default","system_fingerprint":"fp_ad66631dec","usage":{"completion_tokens":37,"completion_tokens_details":{"accepted_prediction_tokens":0,"audio_tokens":0,"reasoning_tokens":0,"rejected_prediction_tokens":0},"prompt_tokens":921,"prompt_tokens_details":{"audio_tokens":0,"cached_tokens":0},"total_tokens":958}}</t>
        </is>
      </c>
      <c r="M189" t="inlineStr">
        <is>
          <t>{"alt-svc":"h3=\":443\"; ma=2592000","apim-request-id":"eb4ed31b-71c0-436f-b597-5e75f3b8d049","azureml-model-session":"d20260405234249-f9874baf","cache-control":"no-cache","connection":"close","content-length":"785","content-security-policy":"frame-ancestors 'self'","content-type":"application/json","date":"Mon, 20 Apr 2026 04:16:18 GMT","server":"Caddy","skip-error-remapping":"true","strict-transport-security":"max-age=31536000; includeSubDomains; preload","via":"1.1 Caddy","x-api-request-id":"20260420121615253797741KkOi53Jv","x-content-type-options":"nosniff","x-frame-options":"SAMEORIGIN","x-ms-client-request-id":"Not-Set","x-ms-is-spilled-over":"false","x-ms-rai-invoked":"true","x-ms-region":"East US 2","x-new-api-version":"0.4.39","x-oneapi-request-id":"202604200416151879079928268d9d6hIehC5dv","x-ratelimit-abusepenalty-active":"False","x-ratelimit-limit-requests":"3850","x-ratelimit-limit-tokens":"3850000","x-ratelimit-remaining-requests":"3849","x-ratelimit-remaining-tokens":"3848317","x-ratelimit-renewalperiod-requests":"60","x-ratelimit-renewalperiod-tokens":"60","x-ratelimit-reset-requests":"15","x-ratelimit-reset-tokens":"26","x-request-id":"61a2e18a-04cf-41ba-a302-e54a2f2d45cd"}</t>
        </is>
      </c>
      <c r="N189" t="inlineStr">
        <is>
          <t>OKC Retro Series Black Basketball T-Shirt, soft cotton fabric with vivid team totem print, street sport unisex loose fit, showcasing American vintage charm and passionate basketball culture fusion.</t>
        </is>
      </c>
      <c r="O189" t="inlineStr">
        <is>
          <t>{"choices":[{"finish_reason":"stop","index":0,"logprobs":null,"message":{"annotations":[],"content":"OKC, T-Shirts, kakobuy, kakebuy2026, kekobuysheet, kakobuysheet2026, 2026kakobuy, kakobuyspreadsheeet, kakobuylink, kakebuylist, Kakobuy MEGA Spreadsheet, kakobuysheetfind, kakobuysheetfind2026, 2026kakobuysheetfind, kakobuysheet2026","refusal":null,"role":"assistant"}}],"created":1776668632,"id":"chatcmpl-DWcxcouhAsKi2VCAyZw1XqcE0F7Oe","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89" t="inlineStr">
        <is>
          <t>OKC, T-Shirts, kakobuy, kakebuy2026, kekobuysheet, kakobuysheet2026, 2026kakobuy, kakobuyspreadsheeet, kakobuylink, kakebuylist, Kakobuy MEGA Spreadsheet, kakobuysheetfind, kakobuysheetfind2026, 2026kakobuysheetfind, kakobuysheet2026</t>
        </is>
      </c>
      <c r="Q189" t="inlineStr">
        <is>
          <t>Retro, Black, Street, Unisex</t>
        </is>
      </c>
      <c r="R189" t="inlineStr">
        <is>
          <t>recvh6xFVjzklV</t>
        </is>
      </c>
      <c r="S189" t="inlineStr">
        <is>
          <t>okc-retro-black-basketball-tshirt-recvh6xfvjzk</t>
        </is>
      </c>
      <c r="T189"/>
      <c r="U189"/>
      <c r="V189"/>
      <c r="W189" t="inlineStr">
        <is>
          <t>{"choices":[{"finish_reason":"stop","index":0,"logprobs":null,"message":{"annotations":[],"content":"复古系列黑色篮球主题短袖T恤，柔软纯棉材质，正面印有OKC球员与球队图腾，色彩鲜明层次感强。街头运动风格，宽松版型适合男女同穿，展现美式复古设计魅力，是潮流与热血篮球文化的完美融合。","refusal":null,"role":"assistant"}}],"created":1776655547,"id":"chatcmpl-DWZYZZ4rmqvoQEMSuTxAWhrshYnTj","model":"gpt-5-chat-latest","object":"chat.completion","service_tier":"default","system_fingerprint":"fp_ad66631dec","usage":{"completion_tokens":82,"completion_tokens_details":{"accepted_prediction_tokens":0,"audio_tokens":0,"reasoning_tokens":0,"rejected_prediction_tokens":0},"prompt_tokens":1321,"prompt_tokens_details":{"audio_tokens":0,"cached_tokens":1280},"total_tokens":1403}}</t>
        </is>
      </c>
      <c r="X189" t="inlineStr">
        <is>
          <t>复古系列黑色篮球主题短袖T恤，柔软纯棉材质，正面印有OKC球员与球队图腾，色彩鲜明层次感强。街头运动风格，宽松版型适合男女同穿，展现美式复古设计魅力，是潮流与热血篮球文化的完美融合。</t>
        </is>
      </c>
    </row>
    <row r="190" ht="25.5" customHeight="1">
      <c r="A190">
        <v>1839115443</v>
      </c>
      <c r="B190">
        <v>7617092700</v>
      </c>
      <c r="C190" t="inlineStr">
        <is>
          <t>https://weidian.com/item.html?itemID=7617092700</t>
        </is>
      </c>
      <c r="D190"/>
      <c r="E190" s="2" t="str">
        <f>=HYPERLINK("https://si.geilicdn.com/open1839115443-252808396-6f2d0000019aaf8116c40aa086a7_800_800.jpg?w=750&amp;h=750&amp;cp=1", "https://si.geilicdn.com/open1839115443-252808396-6f2d0000019aaf8116c40aa086a7_800_800.jpg?w=750&amp;h=750&amp;cp=1")</f>
        <v>https://si.geilicdn.com/open1839115443-252808396-6f2d0000019aaf8116c40aa086a7_800_800.jpg?w=750&amp;h=750&amp;cp=1</v>
      </c>
      <c r="F190" t="inlineStr">
        <is>
          <t>T-Shirts</t>
        </is>
      </c>
      <c r="G190" t="inlineStr">
        <is>
          <t>Other</t>
        </is>
      </c>
      <c r="H190" t="inlineStr">
        <is>
          <t>120.00</t>
        </is>
      </c>
      <c r="I190">
        <v>17.39</v>
      </c>
      <c r="J190" t="inlineStr">
        <is>
          <t>{"id":"chatcmpl-DWcLI1AjWwVfohs7UtJPMEPIEncIB","object":"chat.completion","created":1776666256,"model":"gpt-5-chat-latest","choices":[{"index":0,"message":{"role":"assistant","content":"Vintage Washed Cotton HipHop Graphic Tee","refusal":null,"annotations":[]},"logprobs":null,"finish_reason":"stop"}],"usage":{"prompt_tokens":941,"completion_tokens":9,"total_tokens":950,"prompt_tokens_details":{"cached_tokens":0,"audio_tokens":0},"completion_tokens_details":{"reasoning_tokens":0,"audio_tokens":0,"accepted_prediction_tokens":0,"rejected_prediction_tokens":0}},"service_tier":"default","system_fingerprint":"fp_ad66631dec"}</t>
        </is>
      </c>
      <c r="K190" t="inlineStr">
        <is>
          <t>Vintage Washed Cotton HipHop Graphic Tee</t>
        </is>
      </c>
      <c r="L190" t="inlineStr">
        <is>
          <t>{"id":"chatcmpl-DWaG0l41BmUbDKLhQuSILwWx8zZz1","object":"chat.completion","created":1776658240,"model":"gpt-5-chat-latest","choices":[{"index":0,"message":{"role":"assistant","content":"Sorry, I can’t provide a description that includes the brand or text appearing in this image.  \n\nHere’s an alternative SEO‑friendly description you can use:  \n\nVintage StreetStyle unisex washed cotton tee featuring a bold neon graphic and hip‑hop vibes; soft, breathable, oversized fit inspired by 90s culture for everyday casual wear.","refusal":null,"annotations":[]},"logprobs":null,"finish_reason":"stop"}],"usage":{"prompt_tokens":924,"completion_tokens":70,"total_tokens":994,"prompt_tokens_details":{"cached_tokens":0,"audio_tokens":0},"completion_tokens_details":{"reasoning_tokens":0,"audio_tokens":0,"accepted_prediction_tokens":0,"rejected_prediction_tokens":0}},"service_tier":"default","system_fingerprint":"fp_ad66631dec"}</t>
        </is>
      </c>
      <c r="M19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ma=2592000","apim-request-id":"85da7932-733d-4d39-b7f4-a974f63d3e54","azureml-model-session":"d20260402075109-1fc5a0ec","cache-control":"no-cache, no-store, must-revalidate","connection":"close","content-length":"1151","content-security-policy":"frame-ancestors 'self'","content-type":"application/json","date":"Mon, 20 Apr 2026 04:10:43 GMT","server":"nginx","skip-error-remapping":"true","strict-transport-security":"max-age=31536000; includeSubDomains; preload","vary":"Accept-Encoding","via":"1.1 Caddy, 1.1 Caddy","x-api-request-id":"20260420121038200748119Wh38eDVF","x-content-type-options":"nosniff","x-frame-options":"SAMEORIGIN","x-ms-is-spilled-over":"false","x-ms-rai-invoked":"false","x-ms-region":"East US 2","x-new-api-version":"0.4.39","x-oneapi-request-id":"202604200410381019313428268d9d64ufqISib","x-ratelimit-abusepenalty-active":"False","x-ratelimit-limit-requests":"4994","x-ratelimit-limit-tokens":"4994000","x-ratelimit-remaining-requests":"4993","x-ratelimit-remaining-tokens":"4992314","x-ratelimit-renewalperiod-requests":"60","x-ratelimit-renewalperiod-tokens":"60","x-ratelimit-reset-requests":"12","x-ratelimit-reset-tokens":"20","x-request-id":"f2036264-99e7-4515-80cf-bf43be23ac7b"}</t>
        </is>
      </c>
      <c r="N190" t="inlineStr">
        <is>
          <t>Sorry, I can’t provide a description that includes the brand or text appearing in this image.  
Here’s an alternative SEO‑friendly description you can use:  
Vintage StreetStyle unisex washed cotton tee featuring a bold neon graphic and hip‑hop vibes; soft, breathable, oversized fit inspired by 90s culture for everyday casual wear.</t>
        </is>
      </c>
      <c r="O190" t="inlineStr">
        <is>
          <t>{"choices":[{"finish_reason":"stop","index":0,"logprobs":null,"message":{"annotations":[],"content":"WuTang,T-Shirts,kakobuy,kakebuy2026,kekobuysheet,kakobuysheet2026,2026kakobuy,kakobuyspreadsheeet,kakobuylink,kakebuylist,Kakobuy MEGA Spreadsheet,kakobuysheetfind,kakobuysheetfind2026,2026kakobuysheetfind,kakobuysheet2026","refusal":null,"role":"assistant"}}],"created":1776668173,"id":"chatcmpl-DWcqDoEkSP2cIX66EfzKpf6YfXYsh","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90" t="inlineStr">
        <is>
          <t>WuTang,T-Shirts,kakobuy,kakebuy2026,kekobuysheet,kakobuysheet2026,2026kakobuy,kakobuyspreadsheeet,kakobuylink,kakebuylist,Kakobuy MEGA Spreadsheet,kakobuysheetfind,kakobuysheetfind2026,2026kakobuysheetfind,kakobuysheet2026</t>
        </is>
      </c>
      <c r="Q190" t="inlineStr">
        <is>
          <t>Vintage, Streetwear, Unisex, Hip Hop</t>
        </is>
      </c>
      <c r="R190" t="inlineStr">
        <is>
          <t>recvh6xFVjncQx</t>
        </is>
      </c>
      <c r="S190" t="inlineStr">
        <is>
          <t>vintage-washed-cotton-hiphop-graphic-tee-recvh6xFVjncQx</t>
        </is>
      </c>
      <c r="T190"/>
      <c r="U190"/>
      <c r="V190"/>
      <c r="W190" t="inlineStr">
        <is>
          <t>{"choices":[{"finish_reason":"stop","index":0,"logprobs":null,"message":{"annotations":[],"content":"复古黑色印花短袖T恤，采用优质纯棉水洗布料，柔软透气，正面醒目图腾与霓虹文字相映成趣，呈现街头嘻哈风格。宽松剪裁适合男女穿搭，复刻九十年代潮流文化元素，展现自由与个性态度。","refusal":null,"role":"assistant"}}],"created":1776655781,"id":"chatcmpl-DWZcLV7gthyKZNapVoEwTd8ZRvl4H","model":"gpt-5-chat-latest","object":"chat.completion","service_tier":"default","system_fingerprint":"fp_ad66631dec","usage":{"completion_tokens":84,"completion_tokens_details":{"accepted_prediction_tokens":0,"audio_tokens":0,"reasoning_tokens":0,"rejected_prediction_tokens":0},"prompt_tokens":1323,"prompt_tokens_details":{"audio_tokens":0,"cached_tokens":0},"total_tokens":1407}}</t>
        </is>
      </c>
      <c r="X190" t="inlineStr">
        <is>
          <t>复古黑色印花短袖T恤，采用优质纯棉水洗布料，柔软透气，正面醒目图腾与霓虹文字相映成趣，呈现街头嘻哈风格。宽松剪裁适合男女穿搭，复刻九十年代潮流文化元素，展现自由与个性态度。</t>
        </is>
      </c>
    </row>
    <row r="191" ht="25.5" customHeight="1">
      <c r="A191">
        <v>1839115443</v>
      </c>
      <c r="B191">
        <v>7614142385</v>
      </c>
      <c r="C191" t="inlineStr">
        <is>
          <t>https://weidian.com/item.html?itemID=7614142385</t>
        </is>
      </c>
      <c r="D191"/>
      <c r="E191" s="2" t="str">
        <f>=HYPERLINK("https://si.geilicdn.com/open1839115443-252808396-58cc0000019aaf80fe730a22d249_1440_1440.jpg?w=750&amp;h=750&amp;cp=1", "https://si.geilicdn.com/open1839115443-252808396-58cc0000019aaf80fe730a22d249_1440_1440.jpg?w=750&amp;h=750&amp;cp=1")</f>
        <v>https://si.geilicdn.com/open1839115443-252808396-58cc0000019aaf80fe730a22d249_1440_1440.jpg?w=750&amp;h=750&amp;cp=1</v>
      </c>
      <c r="F191" t="inlineStr">
        <is>
          <t>Hoodies</t>
        </is>
      </c>
      <c r="G191" t="inlineStr">
        <is>
          <t>Other</t>
        </is>
      </c>
      <c r="H191" t="inlineStr">
        <is>
          <t>120.00</t>
        </is>
      </c>
      <c r="I191">
        <v>17.39</v>
      </c>
      <c r="J191" t="inlineStr">
        <is>
          <t>{"choices":[{"finish_reason":"stop","index":0,"logprobs":null,"message":{"annotations":[],"content":"BCGhost Retro Street Art Black Cotton Hoodie","refusal":null,"role":"assistant"}}],"created":1776666917,"id":"chatcmpl-DWcVxD2z3OvrCoih3n7MkW0kQsyUP","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191" t="inlineStr">
        <is>
          <t>BCGhost Retro Street Art Black Cotton Hoodie</t>
        </is>
      </c>
      <c r="L191" t="inlineStr">
        <is>
          <t>{"id":"chatcmpl-DWaSTptN3XZWz8EOc0eVKOpg9I8OS","object":"chat.completion","created":1776659013,"model":"gpt-5-chat-latest","choices":[{"index":0,"message":{"role":"assistant","content":"BCGhost Retro Black Printed Hoodie, made of soft pure cotton, features bold street art ink pattern, loose unisex fit, hip-hop casual vibe, perfect for all seasons and expressing unique style.","refusal":null,"annotations":[]},"logprobs":null,"finish_reason":"stop"}],"usage":{"prompt_tokens":915,"completion_tokens":40,"total_tokens":955,"prompt_tokens_details":{"cached_tokens":0,"audio_tokens":0},"completion_tokens_details":{"reasoning_tokens":0,"audio_tokens":0,"accepted_prediction_tokens":0,"rejected_prediction_tokens":0}},"service_tier":"default","system_fingerprint":"fp_ad66631dec"}</t>
        </is>
      </c>
      <c r="M19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ma=2592000","apim-request-id":"9d924ae5-2cb8-40de-a2fd-c611e75e682a","azureml-model-session":"d20260405234249-f9874baf","cache-control":"no-cache, no-store, must-revalidate","connection":"close","content-length":"995","content-security-policy":"frame-ancestors 'self'","content-type":"application/json","date":"Mon, 20 Apr 2026 04:23:35 GMT","server":"nginx","skip-error-remapping":"true","strict-transport-security":"max-age=31536000; includeSubDomains; preload","via":"1.1 Caddy, 1.1 Caddy","x-api-request-id":"20260420122331682422366M6dHV2OX","x-content-type-options":"nosniff","x-frame-options":"SAMEORIGIN","x-ms-is-spilled-over":"false","x-ms-rai-invoked":"false","x-ms-region":"Sweden Central","x-new-api-version":"0.4.39","x-oneapi-request-id":"202604200423316169392778268d9d6sTLJqKfN","x-ratelimit-abusepenalty-active":"False","x-ratelimit-limit-requests":"4993","x-ratelimit-limit-tokens":"4993000","x-ratelimit-remaining-requests":"4992","x-ratelimit-remaining-tokens":"4991323","x-ratelimit-renewalperiod-requests":"60","x-ratelimit-renewalperiod-tokens":"60","x-ratelimit-reset-requests":"12","x-ratelimit-reset-tokens":"20","x-request-id":"3cf3476d-2464-4ce1-ad8c-4d94f57aef5c"}</t>
        </is>
      </c>
      <c r="N191" t="inlineStr">
        <is>
          <t>BCGhost Retro Black Printed Hoodie, made of soft pure cotton, features bold street art ink pattern, loose unisex fit, hip-hop casual vibe, perfect for all seasons and expressing unique style.</t>
        </is>
      </c>
      <c r="O191" t="inlineStr">
        <is>
          <t>{"choices":[{"finish_reason":"stop","index":0,"logprobs":null,"message":{"annotations":[],"content":"BC,Hoodies,kakobuy,kakebuy2026,kekobuysheet,kakobuysheet2026,2026kakobuy,kakobuyspreadsheeet,kakobuylink,kakebuylist,Kakobuy MEGA Spreadsheet,kakobuysheetfind,kakobuysheetfind2026,2026kakobuysheetfind,kakobuysheet2026","refusal":null,"role":"assistant"}}],"created":1776668558,"id":"chatcmpl-DWcwQYFHCSQSUMxx4bAweyenqnIBY","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91" t="inlineStr">
        <is>
          <t>BC,Hoodies,kakobuy,kakebuy2026,kekobuysheet,kakobuysheet2026,2026kakobuy,kakobuyspreadsheeet,kakobuylink,kakebuylist,Kakobuy MEGA Spreadsheet,kakobuysheetfind,kakobuysheetfind2026,2026kakobuysheetfind,kakobuysheet2026</t>
        </is>
      </c>
      <c r="Q191" t="inlineStr">
        <is>
          <t>Hip Hop, Unisex, All Seasons, Streetwear</t>
        </is>
      </c>
      <c r="R191" t="inlineStr">
        <is>
          <t>recvh6xFVjYuZT</t>
        </is>
      </c>
      <c r="S191" t="inlineStr">
        <is>
          <t>bcghost-retro-street-art-hoodie-recvh6xfvjyuzt</t>
        </is>
      </c>
      <c r="T191"/>
      <c r="U191"/>
      <c r="V191"/>
      <c r="W191" t="inlineStr">
        <is>
          <t>{"id":"chatcmpl-DWZUJZSbLHb5yJ1mOpAPiUbHqX2Pn","object":"chat.completion","created":1776655283,"model":"gpt-5-chat-latest","choices":[{"index":0,"message":{"role":"assistant","content":"复古黑色印花连帽卫衣，采用纯棉材质，触感柔软舒适，正面喷墨图腾彰显街头艺术张力，宽松版型设计适合男女穿搭，融合嘻哈潮流与休闲风格，四季皆宜，尽显个性态度。","refusal":null,"annotations":[]},"logprobs":null,"finish_reason":"stop"}],"usage":{"prompt_tokens":1322,"completion_tokens":75,"total_tokens":1397,"prompt_tokens_details":{"cached_tokens":0,"audio_tokens":0},"completion_tokens_details":{"reasoning_tokens":0,"audio_tokens":0,"accepted_prediction_tokens":0,"rejected_prediction_tokens":0}},"service_tier":"default","system_fingerprint":"fp_ad66631dec"}</t>
        </is>
      </c>
      <c r="X191" t="inlineStr">
        <is>
          <t>复古黑色印花连帽卫衣，采用纯棉材质，触感柔软舒适，正面喷墨图腾彰显街头艺术张力，宽松版型设计适合男女穿搭，融合嘻哈潮流与休闲风格，四季皆宜，尽显个性态度。</t>
        </is>
      </c>
    </row>
    <row r="192" ht="25.5" customHeight="1">
      <c r="A192">
        <v>1839115443</v>
      </c>
      <c r="B192">
        <v>7614122337</v>
      </c>
      <c r="C192" t="inlineStr">
        <is>
          <t>https://weidian.com/item.html?itemID=7614122337</t>
        </is>
      </c>
      <c r="D192"/>
      <c r="E192" s="2" t="str">
        <f>=HYPERLINK("https://si.geilicdn.com/open1839115443-252808396-4a5c0000019aaf7fe2b10a8133b0_800_1200.jpg?w=640&amp;h=640", "https://si.geilicdn.com/open1839115443-252808396-4a5c0000019aaf7fe2b10a8133b0_800_1200.jpg?w=640&amp;h=640")</f>
        <v>https://si.geilicdn.com/open1839115443-252808396-4a5c0000019aaf7fe2b10a8133b0_800_1200.jpg?w=640&amp;h=640</v>
      </c>
      <c r="F192" t="inlineStr">
        <is>
          <t>Hoodies</t>
        </is>
      </c>
      <c r="G192" t="inlineStr">
        <is>
          <t>Other</t>
        </is>
      </c>
      <c r="H192" t="inlineStr">
        <is>
          <t>120.00</t>
        </is>
      </c>
      <c r="I192">
        <v>17.39</v>
      </c>
      <c r="J192" t="inlineStr">
        <is>
          <t>{"choices":[{"finish_reason":"stop","index":0,"logprobs":null,"message":{"annotations":[],"content":"BCGHOST Black West Coast 90s Hip Hop Street Hoodie","refusal":null,"role":"assistant"}}],"created":1776666857,"id":"chatcmpl-DWcUz1A7mL6rx68v73jTM1nw6I5uk","model":"gpt-5-chat-latest","object":"chat.completion","service_tier":"default","system_fingerprint":"fp_ad66631dec","usage":{"completion_tokens":14,"completion_tokens_details":{"accepted_prediction_tokens":0,"audio_tokens":0,"reasoning_tokens":0,"rejected_prediction_tokens":0},"prompt_tokens":894,"prompt_tokens_details":{"audio_tokens":0,"cached_tokens":0},"total_tokens":908}}</t>
        </is>
      </c>
      <c r="K192" t="inlineStr">
        <is>
          <t>BCGHOST Black West Coast 90s Hip Hop Street Hoodie</t>
        </is>
      </c>
      <c r="L192" t="inlineStr">
        <is>
          <t>{"id":"chatcmpl-DWaTmAiimD1xlQYBGfs0QB0nXGDMM","object":"chat.completion","created":1776659094,"model":"gpt-5-chat-latest","choices":[{"index":0,"message":{"role":"assistant","content":"BCGHOST Black Retro Street Hoodie—crafted from heavy pure cotton for a structured feel, featuring bold West Coast graphic and metallic lettering. Loose drop-shoulder design fits all, inspired by 90s hip-hop style.","refusal":null,"annotations":[]},"logprobs":null,"finish_reason":"stop"}],"usage":{"prompt_tokens":944,"completion_tokens":46,"total_tokens":990,"prompt_tokens_details":{"cached_tokens":0,"audio_tokens":0},"completion_tokens_details":{"reasoning_tokens":0,"audio_tokens":0,"accepted_prediction_tokens":0,"rejected_prediction_tokens":0}},"service_tier":"default","system_fingerprint":"fp_ad66631dec"}</t>
        </is>
      </c>
      <c r="M19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ma=2592000","apim-request-id":"cd7221cc-0dbe-4d02-b70e-865c0471240d","azureml-model-session":"d20260405234249-f9874baf","cache-control":"no-cache, no-store, must-revalidate","connection":"close","content-length":"1019","content-security-policy":"frame-ancestors 'self'","content-type":"application/json","date":"Mon, 20 Apr 2026 04:24:56 GMT","server":"Caddy","skip-error-remapping":"true","strict-transport-security":"max-age=31536000; includeSubDomains; preload","via":"1.1 Caddy","x-api-request-id":"20260420122453653043335XqkG4icO","x-content-type-options":"nosniff","x-frame-options":"SAMEORIGIN","x-ms-is-spilled-over":"false","x-ms-rai-invoked":"false","x-ms-region":"East US 2","x-new-api-version":"0.4.39","x-oneapi-request-id":"202604200424535860858228268d9d6cVuX049y","x-ratelimit-abusepenalty-active":"False","x-ratelimit-limit-requests":"4994","x-ratelimit-limit-tokens":"4994000","x-ratelimit-remaining-requests":"4993","x-ratelimit-remaining-tokens":"4992294","x-ratelimit-renewalperiod-requests":"60","x-ratelimit-renewalperiod-tokens":"60","x-ratelimit-reset-requests":"12","x-ratelimit-reset-tokens":"20","x-request-id":"ca22ffd4-487c-42ca-9e03-eacb5d81f718"}</t>
        </is>
      </c>
      <c r="N192" t="inlineStr">
        <is>
          <t>BCGHOST Black Retro Street Hoodie—crafted from heavy pure cotton for a structured feel, featuring bold West Coast graphic and metallic lettering. Loose drop-shoulder design fits all, inspired by 90s hip-hop style.</t>
        </is>
      </c>
      <c r="O192" t="inlineStr">
        <is>
          <t>{"choices":[{"finish_reason":"stop","index":0,"logprobs":null,"message":{"annotations":[],"content":"BCGHOST,Hoodies,kakobuy,kakebuy2026,kekobuysheet,kakobuysheet2026,2026kakobuy,kakobuyspreadsheeet,kakobuylink,kakebuylist,Kakobuy MEGA Spreadsheet,kakobuysheetfind,kakobuysheetfind2026,2026kakobuysheetfind,kakobuysheet2026","refusal":null,"role":"assistant"}}],"created":1776667987,"id":"chatcmpl-DWcnDONP0SV1cZGZx5tgpKuE5Bd80","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92" t="inlineStr">
        <is>
          <t>BCGHOST,Hoodies,kakobuy,kakebuy2026,kekobuysheet,kakobuysheet2026,2026kakobuy,kakobuyspreadsheeet,kakobuylink,kakebuylist,Kakobuy MEGA Spreadsheet,kakobuysheetfind,kakobuysheetfind2026,2026kakobuysheetfind,kakobuysheet2026</t>
        </is>
      </c>
      <c r="Q192" t="inlineStr">
        <is>
          <t>Black, Retro, Hip Hop, Street, Unisex</t>
        </is>
      </c>
      <c r="R192" t="inlineStr">
        <is>
          <t>recvh6xFVjoyaP</t>
        </is>
      </c>
      <c r="S192" t="inlineStr">
        <is>
          <t>bcghost-west-coast-90s-hip-hop-hoodie-recvh6xFVjoyaP</t>
        </is>
      </c>
      <c r="T192"/>
      <c r="U192"/>
      <c r="V192"/>
      <c r="W192" t="inlineStr">
        <is>
          <t>{"choices":[{"finish_reason":"stop","index":0,"logprobs":null,"message":{"annotations":[],"content":"黑色复古街头印花连帽卫衣，甄选高克重纯棉材质，质感厚实挺括。正面呈现西海岸潮流图腾与金属质感字体，展现大胆个性与自由精神。宽松落肩版型设计，舒适包容男女皆宜。融合90年代嘻哈文化元素，适合日常休闲与街头穿搭，彰显街潮态度。","refusal":null,"role":"assistant"}}],"created":1776655450,"id":"chatcmpl-DWZX0fwod0DW1i4fRoVfqIns4fxMf","model":"gpt-5-chat-latest","object":"chat.completion","service_tier":"default","system_fingerprint":"fp_ad66631dec","usage":{"completion_tokens":104,"completion_tokens_details":{"accepted_prediction_tokens":0,"audio_tokens":0,"reasoning_tokens":0,"rejected_prediction_tokens":0},"prompt_tokens":1322,"prompt_tokens_details":{"audio_tokens":0,"cached_tokens":1280},"total_tokens":1426}}</t>
        </is>
      </c>
      <c r="X192" t="inlineStr">
        <is>
          <t>黑色复古街头印花连帽卫衣，甄选高克重纯棉材质，质感厚实挺括。正面呈现西海岸潮流图腾与金属质感字体，展现大胆个性与自由精神。宽松落肩版型设计，舒适包容男女皆宜。融合90年代嘻哈文化元素，适合日常休闲与街头穿搭，彰显街潮态度。</t>
        </is>
      </c>
    </row>
    <row r="193" ht="25.5" customHeight="1">
      <c r="A193">
        <v>1839115443</v>
      </c>
      <c r="B193">
        <v>7623104081</v>
      </c>
      <c r="C193" t="inlineStr">
        <is>
          <t>https://weidian.com/item.html?itemID=7623104081</t>
        </is>
      </c>
      <c r="D193"/>
      <c r="E193" s="2" t="str">
        <f>=HYPERLINK("https://si.geilicdn.com/open1839115443-252808396-222f0000019addfb51190a8115c2_790_683.jpg?w=640&amp;h=640", "https://si.geilicdn.com/open1839115443-252808396-222f0000019addfb51190a8115c2_790_683.jpg?w=640&amp;h=640")</f>
        <v>https://si.geilicdn.com/open1839115443-252808396-222f0000019addfb51190a8115c2_790_683.jpg?w=640&amp;h=640</v>
      </c>
      <c r="F193" t="inlineStr">
        <is>
          <t>Hats</t>
        </is>
      </c>
      <c r="G193" t="inlineStr">
        <is>
          <t>Other</t>
        </is>
      </c>
      <c r="H193" t="inlineStr">
        <is>
          <t>41.00</t>
        </is>
      </c>
      <c r="I193">
        <v>5.94</v>
      </c>
      <c r="J193" t="inlineStr">
        <is>
          <t>{"choices":[{"finish_reason":"stop","index":0,"logprobs":null,"message":{"annotations":[],"content":"HatsOther Vintage Blue New York 3D Embroidered Cap","refusal":null,"role":"assistant"}}],"created":1776666817,"id":"chatcmpl-DWcUL6q1uof5WcmiJhL9DSZOkfasX","model":"gpt-5-chat-latest","object":"chat.completion","service_tier":"default","system_fingerprint":"fp_ad66631dec","usage":{"completion_tokens":15,"completion_tokens_details":{"accepted_prediction_tokens":0,"audio_tokens":0,"reasoning_tokens":0,"rejected_prediction_tokens":0},"prompt_tokens":897,"prompt_tokens_details":{"audio_tokens":0,"cached_tokens":0},"total_tokens":912}}</t>
        </is>
      </c>
      <c r="K193" t="inlineStr">
        <is>
          <t>HatsOther Vintage Blue New York 3D Embroidered Cap</t>
        </is>
      </c>
      <c r="L193" t="inlineStr">
        <is>
          <t>{"choices":[{"finish_reason":"stop","index":0,"logprobs":null,"message":{"annotations":[],"content":"HatsOther Vintage Blue New York Embroidered Baseball Cap, breathable washed cotton, comfy and fade-resistant, “Always 75 NEWYORKCITY” 3D design, curved brim for sun protection, unisex casual style.","refusal":null,"role":"assistant"}}],"created":1776658229,"id":"chatcmpl-DWaFpEajDiqM7YalFEOjkEjFYYi0W","model":"gpt-5-chat-latest","object":"chat.completion","service_tier":"default","system_fingerprint":"fp_ad66631dec","usage":{"completion_tokens":48,"completion_tokens_details":{"accepted_prediction_tokens":0,"audio_tokens":0,"reasoning_tokens":0,"rejected_prediction_tokens":0},"prompt_tokens":914,"prompt_tokens_details":{"audio_tokens":0,"cached_tokens":0},"total_tokens":962}}</t>
        </is>
      </c>
      <c r="M193" t="inlineStr">
        <is>
          <t>{"alt-svc":"h3=\":443\"; ma=2592000","apim-request-id":"72ffe020-7b94-4771-8466-32c40a9f5b4d","azureml-model-session":"d20260405234249-f9874baf","cache-control":"no-cache","connection":"close","content-length":"789","content-security-policy":"frame-ancestors 'self'","content-type":"application/json","date":"Mon, 20 Apr 2026 04:10:31 GMT","server":"Caddy","skip-error-remapping":"true","strict-transport-security":"max-age=31536000; includeSubDomains; preload","via":"1.1 Caddy","x-api-request-id":"20260420121029221792178wjtXYQ8v","x-content-type-options":"nosniff","x-frame-options":"SAMEORIGIN","x-ms-client-request-id":"Not-Set","x-ms-is-spilled-over":"false","x-ms-rai-invoked":"true","x-ms-region":"East US 2","x-new-api-version":"0.4.39","x-oneapi-request-id":"202604200410291332605118268d9d6UGP3UGku","x-ratelimit-abusepenalty-active":"False","x-ratelimit-limit-requests":"3850","x-ratelimit-limit-tokens":"3850000","x-ratelimit-remaining-requests":"3849","x-ratelimit-remaining-tokens":"3848324","x-ratelimit-renewalperiod-requests":"60","x-ratelimit-renewalperiod-tokens":"60","x-ratelimit-reset-requests":"15","x-ratelimit-reset-tokens":"26","x-request-id":"4cfec7f2-6cc5-416c-b9e0-aa7c1f373cd0"}</t>
        </is>
      </c>
      <c r="N193" t="inlineStr">
        <is>
          <t>HatsOther Vintage Blue New York Embroidered Baseball Cap, breathable washed cotton, comfy and fade-resistant, “Always 75 NEWYORKCITY” 3D design, curved brim for sun protection, unisex casual style.</t>
        </is>
      </c>
      <c r="O193" t="inlineStr">
        <is>
          <t>{"choices":[{"finish_reason":"stop","index":0,"logprobs":null,"message":{"annotations":[],"content":"Always,Hats,kakobuy,kakebuy2026,kekobuysheet,kakobuysheet2026,2026kakobuy,kakobuyspreadsheeet,kakobuylink,kakebuylist,Kakobuy MEGA Spreadsheet,kakobuysheetfind,kakobuysheetfind2026,2026kakobuysheetfind,kakobuysheet2026","refusal":null,"role":"assistant"}}],"created":1776668805,"id":"chatcmpl-DWd0PA2NSoJ95fnee1Pug1OnUMPdy","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93" t="inlineStr">
        <is>
          <t>Always,Hats,kakobuy,kakebuy2026,kekobuysheet,kakobuysheet2026,2026kakobuy,kakobuyspreadsheeet,kakobuylink,kakebuylist,Kakobuy MEGA Spreadsheet,kakobuysheetfind,kakobuysheetfind2026,2026kakobuysheetfind,kakobuysheet2026</t>
        </is>
      </c>
      <c r="Q193" t="inlineStr">
        <is>
          <t>Blue, Breathable, Sun Protection, Unisex</t>
        </is>
      </c>
      <c r="R193" t="inlineStr">
        <is>
          <t>recvh6xFVjr39U</t>
        </is>
      </c>
      <c r="S193" t="inlineStr">
        <is>
          <t>hatsother-vintage-blue-ny-3d-embroidered-cap-recvh6xFVjr39U</t>
        </is>
      </c>
      <c r="T193"/>
      <c r="U193"/>
      <c r="V193"/>
      <c r="W193" t="inlineStr">
        <is>
          <t>{"choices":[{"finish_reason":"stop","index":0,"logprobs":null,"message":{"annotations":[],"content":"复古蓝纽约字母刺绣系列棒球帽，选用水洗棉质面料，透气舒适不易褪色，立体绣花“Always 75 NEWYORKCITY”设计彰显街头潮流风格，弧形帽檐遮阳防晒，男女皆宜，休闲百搭单品。","refusal":null,"role":"assistant"}}],"created":1776655762,"id":"chatcmpl-DWZc2R6kJjhlIqqftBp6FKiXTaaCu","model":"gpt-5-chat-latest","object":"chat.completion","service_tier":"default","system_fingerprint":"fp_ad66631dec","usage":{"completion_tokens":81,"completion_tokens_details":{"accepted_prediction_tokens":0,"audio_tokens":0,"reasoning_tokens":0,"rejected_prediction_tokens":0},"prompt_tokens":1309,"prompt_tokens_details":{"audio_tokens":0,"cached_tokens":0},"total_tokens":1390}}</t>
        </is>
      </c>
      <c r="X193" t="inlineStr">
        <is>
          <t>复古蓝纽约字母刺绣系列棒球帽，选用水洗棉质面料，透气舒适不易褪色，立体绣花“Always 75 NEWYORKCITY”设计彰显街头潮流风格，弧形帽檐遮阳防晒，男女皆宜，休闲百搭单品。</t>
        </is>
      </c>
    </row>
    <row r="194" ht="25.5" customHeight="1">
      <c r="A194">
        <v>1839115443</v>
      </c>
      <c r="B194">
        <v>7625975580</v>
      </c>
      <c r="C194" t="inlineStr">
        <is>
          <t>https://weidian.com/item.html?itemID=7625975580</t>
        </is>
      </c>
      <c r="D194"/>
      <c r="E194" s="2" t="str">
        <f>=HYPERLINK("https://si.geilicdn.com/open1839115443-252808396-5e500000019addf2b4320aa08245_790_854.jpg?w=640&amp;h=640", "https://si.geilicdn.com/open1839115443-252808396-5e500000019addf2b4320aa08245_790_854.jpg?w=640&amp;h=640")</f>
        <v>https://si.geilicdn.com/open1839115443-252808396-5e500000019addf2b4320aa08245_790_854.jpg?w=640&amp;h=640</v>
      </c>
      <c r="F194" t="inlineStr">
        <is>
          <t>Hats</t>
        </is>
      </c>
      <c r="G194" t="inlineStr">
        <is>
          <t>Other</t>
        </is>
      </c>
      <c r="H194" t="inlineStr">
        <is>
          <t>39.00</t>
        </is>
      </c>
      <c r="I194">
        <v>5.65</v>
      </c>
      <c r="J194" t="inlineStr">
        <is>
          <t>{"choices":[{"finish_reason":"stop","index":0,"logprobs":null,"message":{"annotations":[],"content":"HatsOther Vintage Navy NYS Embroidered Cotton Baseball Cap","refusal":null,"role":"assistant"}}],"created":1776666754,"id":"chatcmpl-DWcTKpb0Kk0Kj2DWpnxf7vJw8OAtS","model":"gpt-5-chat-latest","object":"chat.completion","service_tier":"default","system_fingerprint":"fp_ad66631dec","usage":{"completion_tokens":14,"completion_tokens_details":{"accepted_prediction_tokens":0,"audio_tokens":0,"reasoning_tokens":0,"rejected_prediction_tokens":0},"prompt_tokens":885,"prompt_tokens_details":{"audio_tokens":0,"cached_tokens":0},"total_tokens":899}}</t>
        </is>
      </c>
      <c r="K194" t="inlineStr">
        <is>
          <t>HatsOther Vintage Navy NYS Embroidered Cotton Baseball Cap</t>
        </is>
      </c>
      <c r="L194" t="inlineStr">
        <is>
          <t>{"choices":[{"finish_reason":"stop","index":0,"logprobs":null,"message":{"annotations":[],"content":"HatsOther Vintage Navy Baseball Cap made of washed cotton, soft and breathable. 3D “NYS” embroidery blends American college style. Six-panel design with adjustable strap fits men and women perfectly.","refusal":null,"role":"assistant"}}],"created":1776659569,"id":"chatcmpl-DWabR6JN1JRkjIQOXUdLOhLfa7ORF","model":"gpt-5-chat-latest","object":"chat.completion","service_tier":"default","system_fingerprint":"fp_ad66631dec","usage":{"completion_tokens":42,"completion_tokens_details":{"accepted_prediction_tokens":0,"audio_tokens":0,"reasoning_tokens":0,"rejected_prediction_tokens":0},"prompt_tokens":919,"prompt_tokens_details":{"audio_tokens":0,"cached_tokens":0},"total_tokens":961}}</t>
        </is>
      </c>
      <c r="M194" t="inlineStr">
        <is>
          <t>{"alt-svc":"h3=\":443\"; ma=2592000","apim-request-id":"547507c8-9f77-4190-b65a-07c419b113b1","azureml-model-session":"d20260402083108-57a85543","cache-control":"no-cache","connection":"close","content-length":"791","content-security-policy":"frame-ancestors 'self'","content-type":"application/json","date":"Mon, 20 Apr 2026 04:32:51 GMT","server":"Caddy","skip-error-remapping":"true","strict-transport-security":"max-age=31536000; includeSubDomains; preload","via":"1.1 Caddy","x-api-request-id":"20260420123249335866211UcUw7i6k","x-content-type-options":"nosniff","x-frame-options":"SAMEORIGIN","x-ms-client-request-id":"Not-Set","x-ms-is-spilled-over":"false","x-ms-rai-invoked":"true","x-ms-region":"East US 2","x-new-api-version":"0.4.39","x-oneapi-request-id":"202604200432492698058848268d9d6NtIXgfSX","x-ratelimit-abusepenalty-active":"False","x-ratelimit-limit-requests":"3850","x-ratelimit-limit-tokens":"3850000","x-ratelimit-remaining-requests":"3849","x-ratelimit-remaining-tokens":"3848319","x-ratelimit-renewalperiod-requests":"60","x-ratelimit-renewalperiod-tokens":"60","x-ratelimit-reset-requests":"15","x-ratelimit-reset-tokens":"26","x-request-id":"9f449702-4fe5-446e-97c4-0ccb01e09a7e"}</t>
        </is>
      </c>
      <c r="N194" t="inlineStr">
        <is>
          <t>HatsOther Vintage Navy Baseball Cap made of washed cotton, soft and breathable. 3D “NYS” embroidery blends American college style. Six-panel design with adjustable strap fits men and women perfectly.</t>
        </is>
      </c>
      <c r="O194" t="inlineStr">
        <is>
          <t>{"choices":[{"finish_reason":"stop","index":0,"logprobs":null,"message":{"annotations":[],"content":"BROSVILLE,Hat,kakobuy,kakebuy2026,kekobuysheet,kakobuysheet2026,2026kakobuy,kakobuyspreadsheeet,kakobuylink,kakebuylist,Kakobuy MEGA Spreadsheet,kakobuysheetfind,kakobuysheetfind2026,2026kakobuysheetfind,kakobuysheet2026","refusal":null,"role":"assistant"}}],"created":1776667581,"id":"chatcmpl-DWcgfsljRwlS78QEKhZZzhE5Ymeqr","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94" t="inlineStr">
        <is>
          <t>BROSVILLE,Hat,kakobuy,kakebuy2026,kekobuysheet,kakobuysheet2026,2026kakobuy,kakobuyspreadsheeet,kakobuylink,kakebuylist,Kakobuy MEGA Spreadsheet,kakobuysheetfind,kakobuysheetfind2026,2026kakobuysheetfind,kakobuysheet2026</t>
        </is>
      </c>
      <c r="Q194" t="inlineStr">
        <is>
          <t>Navy, Unisex, Breathable</t>
        </is>
      </c>
      <c r="R194" t="inlineStr">
        <is>
          <t>recvh6xFVjkKGo</t>
        </is>
      </c>
      <c r="S194" t="inlineStr">
        <is>
          <t>vintage-navy-nys-embroidered-cotton-baseball-cap-recvh6xfvjkkgo</t>
        </is>
      </c>
      <c r="T194"/>
      <c r="U194"/>
      <c r="V194"/>
      <c r="W194" t="inlineStr">
        <is>
          <t>{"id":"chatcmpl-DWZgTG2W8JGeLBuVqifS3t8eGIi1Q","object":"chat.completion","created":1776656037,"model":"gpt-5-chat-latest","choices":[{"index":0,"message":{"role":"assistant","content":"复古系列深蓝色棒球帽，采用水洗棉质面料，柔软透气；立体刺绣字母“NYS”设计，融合美式学院风格；经典六片拼接造型搭配可调节后扣，男女通用，彰显休闲街头个性魅力，适合日常通勤与户外穿搭。","refusal":null,"annotations":[]},"logprobs":null,"finish_reason":"stop"}],"usage":{"prompt_tokens":1309,"completion_tokens":86,"total_tokens":1395,"prompt_tokens_details":{"cached_tokens":0,"audio_tokens":0},"completion_tokens_details":{"reasoning_tokens":0,"audio_tokens":0,"accepted_prediction_tokens":0,"rejected_prediction_tokens":0}},"service_tier":"default","system_fingerprint":"fp_ad66631dec"}</t>
        </is>
      </c>
      <c r="X194" t="inlineStr">
        <is>
          <t>复古系列深蓝色棒球帽，采用水洗棉质面料，柔软透气；立体刺绣字母“NYS”设计，融合美式学院风格；经典六片拼接造型搭配可调节后扣，男女通用，彰显休闲街头个性魅力，适合日常通勤与户外穿搭。</t>
        </is>
      </c>
    </row>
    <row r="195" ht="25.5" customHeight="1">
      <c r="A195">
        <v>1839115443</v>
      </c>
      <c r="B195">
        <v>7614027233</v>
      </c>
      <c r="C195" t="inlineStr">
        <is>
          <t>https://weidian.com/item.html?itemID=7614027233</t>
        </is>
      </c>
      <c r="D195"/>
      <c r="E195" s="2" t="str">
        <f>=HYPERLINK("https://si.geilicdn.com/open1839115443-252808396-69b10000019aaf81155e0aa081c2_800_800.jpg?w=750&amp;h=750&amp;cp=1", "https://si.geilicdn.com/open1839115443-252808396-69b10000019aaf81155e0aa081c2_800_800.jpg?w=750&amp;h=750&amp;cp=1")</f>
        <v>https://si.geilicdn.com/open1839115443-252808396-69b10000019aaf81155e0aa081c2_800_800.jpg?w=750&amp;h=750&amp;cp=1</v>
      </c>
      <c r="F195" t="inlineStr">
        <is>
          <t>T-Shirts</t>
        </is>
      </c>
      <c r="G195" t="inlineStr">
        <is>
          <t>Other</t>
        </is>
      </c>
      <c r="H195" t="inlineStr">
        <is>
          <t>120.00</t>
        </is>
      </c>
      <c r="I195">
        <v>17.39</v>
      </c>
      <c r="J195" t="inlineStr">
        <is>
          <t>{"id":"chatcmpl-DWcJif2wBKKZIXCUufqYRzYB8OgML","object":"chat.completion","created":1776666158,"model":"gpt-5-chat-latest","choices":[{"index":0,"message":{"role":"assistant","content":"RetroBlack Vintage Los Angeles Basketball T-Shirt","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195" t="inlineStr">
        <is>
          <t>RetroBlack Vintage Los Angeles Basketball T-Shirt</t>
        </is>
      </c>
      <c r="L195" t="inlineStr">
        <is>
          <t>{"id":"chatcmpl-DWaQLQcl2IYb6pwLJjBsb6l15dJYr","object":"chat.completion","created":1776658881,"model":"gpt-5-chat-latest","choices":[{"index":0,"message":{"role":"assistant","content":"Brand RetroBlack – Vintage washed cotton streetwear T-shirt featuring Los Angeles basketball graphic and old-school lettering. Loose fit crewneck for men and women, trendy casual American sports vibe.","refusal":null,"annotations":[]},"logprobs":null,"finish_reason":"stop"}],"usage":{"prompt_tokens":935,"completion_tokens":37,"total_tokens":972,"prompt_tokens_details":{"cached_tokens":0,"audio_tokens":0},"completion_tokens_details":{"reasoning_tokens":0,"audio_tokens":0,"accepted_prediction_tokens":0,"rejected_prediction_tokens":0}},"service_tier":"default","system_fingerprint":"fp_ad66631dec"}</t>
        </is>
      </c>
      <c r="M19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ma=2592000","apim-request-id":"50329bf3-e1a1-48ca-a5d5-c71bf120d381","azureml-model-session":"d20260402075109-1fc5a0ec","cache-control":"no-cache, no-store, must-revalidate","connection":"close","content-length":"1006","content-security-policy":"frame-ancestors 'self'","content-type":"application/json","date":"Mon, 20 Apr 2026 04:21:23 GMT","server":"Caddy","skip-error-remapping":"true","strict-transport-security":"max-age=31536000; includeSubDomains; preload","via":"1.1 Caddy","x-api-request-id":"2026042012211925693505071UBT8GK","x-content-type-options":"nosniff","x-frame-options":"SAMEORIGIN","x-ms-is-spilled-over":"false","x-ms-rai-invoked":"false","x-ms-region":"Sweden Central","x-new-api-version":"0.4.39","x-oneapi-request-id":"202604200421191916092378268d9d6qcu7CqCY","x-ratelimit-abusepenalty-active":"False","x-ratelimit-limit-requests":"4993","x-ratelimit-limit-tokens":"4993000","x-ratelimit-remaining-requests":"4992","x-ratelimit-remaining-tokens":"4991303","x-ratelimit-renewalperiod-requests":"60","x-ratelimit-renewalperiod-tokens":"60","x-ratelimit-reset-requests":"12","x-ratelimit-reset-tokens":"20","x-request-id":"97bcee9f-7f0b-4c4d-a2ec-4cb78c61151d"}</t>
        </is>
      </c>
      <c r="N195" t="inlineStr">
        <is>
          <t>Brand RetroBlack – Vintage washed cotton streetwear T-shirt featuring Los Angeles basketball graphic and old-school lettering. Loose fit crewneck for men and women, trendy casual American sports vibe.</t>
        </is>
      </c>
      <c r="O195" t="inlineStr">
        <is>
          <t>{"choices":[{"finish_reason":"stop","index":0,"logprobs":null,"message":{"annotations":[],"content":"Los Angeles Clippers,T-Shirts,kakobuy,kakebuy2026,kekobuysheet,kakobuysheet2026,2026kakobuy,kakobuyspreadsheeet,kakobuylink,kakebuylist,Kakobuy MEGA Spreadsheet,kakobuysheetfind,kakobuysheetfind2026,2026kakobuysheetfind,kakobuysheet2026","refusal":null,"role":"assistant"}}],"created":1776668384,"id":"chatcmpl-DWctcmqzcpCYNJUERSYRR2R1zMSfF","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95" t="inlineStr">
        <is>
          <t>Los Angeles Clippers,T-Shirts,kakobuy,kakebuy2026,kekobuysheet,kakobuysheet2026,2026kakobuy,kakobuyspreadsheeet,kakobuylink,kakebuylist,Kakobuy MEGA Spreadsheet,kakobuysheetfind,kakobuysheetfind2026,2026kakobuysheetfind,kakobuysheet2026</t>
        </is>
      </c>
      <c r="Q195" t="inlineStr">
        <is>
          <t>Retro, Unisex, Streetwear, Vintage</t>
        </is>
      </c>
      <c r="R195" t="inlineStr">
        <is>
          <t>recvh6xFVj9BaS</t>
        </is>
      </c>
      <c r="S195" t="inlineStr">
        <is>
          <t>retroblack-la-basketball-tshirt-recvh6xfvj9bas</t>
        </is>
      </c>
      <c r="T195"/>
      <c r="U195"/>
      <c r="V195"/>
      <c r="W195" t="inlineStr">
        <is>
          <t>{"choices":[{"finish_reason":"stop","index":0,"logprobs":null,"message":{"annotations":[],"content":"炭黑复古街头系列T恤，采用水洗棉质面料打造，质感柔软透气。正面印有洛杉矶篮球主题图腾与复古字母设计，潮流感十足。宽松版型搭配圆领剪裁，兼顾舒适与时尚，适合男女日常休闲及街头穿搭，展现美式复古运动风格。","refusal":null,"role":"assistant"}}],"created":1776655265,"id":"chatcmpl-DWZU1deFPHbstgtxBts7NBpBDIg9R","model":"gpt-5-chat-latest","object":"chat.completion","service_tier":"default","system_fingerprint":"fp_ad66631dec","usage":{"completion_tokens":97,"completion_tokens_details":{"accepted_prediction_tokens":0,"audio_tokens":0,"reasoning_tokens":0,"rejected_prediction_tokens":0},"prompt_tokens":1319,"prompt_tokens_details":{"audio_tokens":0,"cached_tokens":0},"total_tokens":1416}}</t>
        </is>
      </c>
      <c r="X195" t="inlineStr">
        <is>
          <t>炭黑复古街头系列T恤，采用水洗棉质面料打造，质感柔软透气。正面印有洛杉矶篮球主题图腾与复古字母设计，潮流感十足。宽松版型搭配圆领剪裁，兼顾舒适与时尚，适合男女日常休闲及街头穿搭，展现美式复古运动风格。</t>
        </is>
      </c>
    </row>
    <row r="196" ht="25.5" customHeight="1">
      <c r="A196">
        <v>1839115443</v>
      </c>
      <c r="B196">
        <v>7614100781</v>
      </c>
      <c r="C196" t="inlineStr">
        <is>
          <t>https://weidian.com/item.html?itemID=7614100781</t>
        </is>
      </c>
      <c r="D196"/>
      <c r="E196" s="2" t="str">
        <f>=HYPERLINK("https://si.geilicdn.com/open1839115443-252808396-6f110000019aaf8105670aa086a7_800_800.jpg?w=750&amp;h=750&amp;cp=1", "https://si.geilicdn.com/open1839115443-252808396-6f110000019aaf8105670aa086a7_800_800.jpg?w=750&amp;h=750&amp;cp=1")</f>
        <v>https://si.geilicdn.com/open1839115443-252808396-6f110000019aaf8105670aa086a7_800_800.jpg?w=750&amp;h=750&amp;cp=1</v>
      </c>
      <c r="F196" t="inlineStr">
        <is>
          <t>T-Shirts</t>
        </is>
      </c>
      <c r="G196" t="inlineStr">
        <is>
          <t>Other</t>
        </is>
      </c>
      <c r="H196" t="inlineStr">
        <is>
          <t>120.00</t>
        </is>
      </c>
      <c r="I196">
        <v>17.39</v>
      </c>
      <c r="J196" t="inlineStr">
        <is>
          <t>{"choices":[{"finish_reason":"stop","index":0,"logprobs":null,"message":{"annotations":[],"content":"VintageSeries Retro Baseball Graphic Cotton T-Shirt","refusal":null,"role":"assistant"}}],"created":1776666644,"id":"chatcmpl-DWcRYoQuWRjGGMg6M49b2iKXQJzdz","model":"gpt-5-chat-latest","object":"chat.completion","service_tier":"default","system_fingerprint":"fp_ad66631dec","usage":{"completion_tokens":9,"completion_tokens_details":{"accepted_prediction_tokens":0,"audio_tokens":0,"reasoning_tokens":0,"rejected_prediction_tokens":0},"prompt_tokens":879,"prompt_tokens_details":{"audio_tokens":0,"cached_tokens":0},"total_tokens":888}}</t>
        </is>
      </c>
      <c r="K196" t="inlineStr">
        <is>
          <t>VintageSeries Retro Baseball Graphic Cotton T-Shirt</t>
        </is>
      </c>
      <c r="L196" t="inlineStr">
        <is>
          <t>{"choices":[{"finish_reason":"stop","index":0,"logprobs":null,"message":{"annotations":[],"content":"VintageSeries Retro Black Baseball Graphic T-Shirt made of premium cotton. Soft, breathable fabric with bold collage print and red-blue gradient letters. Unisex loose fit for casual American streetwear style.","refusal":null,"role":"assistant"}}],"created":1776658469,"id":"chatcmpl-DWaJhgfGr547ZNVJd1oHiPqeH0N7B","model":"gpt-5-chat-latest","object":"chat.completion","service_tier":"default","system_fingerprint":"fp_ad66631dec","usage":{"completion_tokens":39,"completion_tokens_details":{"accepted_prediction_tokens":0,"audio_tokens":0,"reasoning_tokens":0,"rejected_prediction_tokens":0},"prompt_tokens":918,"prompt_tokens_details":{"audio_tokens":0,"cached_tokens":0},"total_tokens":957}}</t>
        </is>
      </c>
      <c r="M196" t="inlineStr">
        <is>
          <t>{"alt-svc":"h3=\":443\"; ma=2592000","apim-request-id":"039617b3-3981-42bd-9ffa-61b359c162ac","azureml-model-session":"d20260402083108-57a85543","cache-control":"no-cache","connection":"close","content-length":"796","content-security-policy":"frame-ancestors 'self'","content-type":"application/json","date":"Mon, 20 Apr 2026 04:14:30 GMT","server":"Caddy","skip-error-remapping":"true","strict-transport-security":"max-age=31536000; includeSubDomains; preload","via":"1.1 Caddy","x-api-request-id":"20260420121427839723740SffYn4fM","x-content-type-options":"nosniff","x-frame-options":"SAMEORIGIN","x-ms-client-request-id":"Not-Set","x-ms-is-spilled-over":"false","x-ms-rai-invoked":"true","x-ms-region":"East US 2","x-new-api-version":"0.4.39","x-oneapi-request-id":"202604200414277234978978268d9d6NHK8Osjv","x-ratelimit-abusepenalty-active":"False","x-ratelimit-limit-requests":"3850","x-ratelimit-limit-tokens":"3850000","x-ratelimit-remaining-requests":"3849","x-ratelimit-remaining-tokens":"3848320","x-ratelimit-renewalperiod-requests":"60","x-ratelimit-renewalperiod-tokens":"60","x-ratelimit-reset-requests":"15","x-ratelimit-reset-tokens":"26","x-request-id":"2ece2006-a81e-4d96-bd0a-6de63478ceec"}</t>
        </is>
      </c>
      <c r="N196" t="inlineStr">
        <is>
          <t>VintageSeries Retro Black Baseball Graphic T-Shirt made of premium cotton. Soft, breathable fabric with bold collage print and red-blue gradient letters. Unisex loose fit for casual American streetwear style.</t>
        </is>
      </c>
      <c r="O196" t="inlineStr">
        <is>
          <t>{"choices":[{"finish_reason":"stop","index":0,"logprobs":null,"message":{"annotations":[],"content":"Dodgers,T-Shirts,kakobuy,kakebuy2026,kekobuysheet,kakobuysheet2026,2026kakobuy,kakobuyspreadsheeet,kakobuylink,kakebuylist,Kakobuy MEGA Spreadsheet,kakobuysheetfind,kakobuysheetfind2026,2026kakobuysheetfind,kakobuysheet2026","refusal":null,"role":"assistant"}}],"created":1776668677,"id":"chatcmpl-DWcyLpuIlrG7arbej5ttnSO4W0Rw7","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96" t="inlineStr">
        <is>
          <t>Dodgers,T-Shirts,kakobuy,kakebuy2026,kekobuysheet,kakobuysheet2026,2026kakobuy,kakobuyspreadsheeet,kakobuylink,kakebuylist,Kakobuy MEGA Spreadsheet,kakobuysheetfind,kakobuysheetfind2026,2026kakobuysheetfind,kakobuysheet2026</t>
        </is>
      </c>
      <c r="Q196" t="inlineStr">
        <is>
          <t>Vintage, Black, Streetwear, Unisex</t>
        </is>
      </c>
      <c r="R196" t="inlineStr">
        <is>
          <t>recvh6xFVjuSyr</t>
        </is>
      </c>
      <c r="S196" t="inlineStr">
        <is>
          <t>vintage-retro-baseball-graphic-cotton-tshirt-recvh6xfvjusyr</t>
        </is>
      </c>
      <c r="T196"/>
      <c r="U196"/>
      <c r="V196"/>
      <c r="W196" t="inlineStr">
        <is>
          <t>{"choices":[{"finish_reason":"stop","index":0,"logprobs":null,"message":{"annotations":[],"content":"复古黑色棒球系列印花短袖T恤，采用高支棉质面料，柔软透气。正面多图腾拼贴设计，结合蓝红渐变字母与运动元素，展现浓厚美式街头风。宽松廓形剪裁，男女皆宜，休闲潮流百搭单品。","refusal":null,"role":"assistant"}}],"created":1776655165,"id":"chatcmpl-DWZSPAJvVZ0UZ8UkoTz3ZfOexTy8W","model":"gpt-5-chat-latest","object":"chat.completion","service_tier":"default","system_fingerprint":"fp_ad66631dec","usage":{"completion_tokens":81,"completion_tokens_details":{"accepted_prediction_tokens":0,"audio_tokens":0,"reasoning_tokens":0,"rejected_prediction_tokens":0},"prompt_tokens":1317,"prompt_tokens_details":{"audio_tokens":0,"cached_tokens":1280},"total_tokens":1398}}</t>
        </is>
      </c>
      <c r="X196" t="inlineStr">
        <is>
          <t>复古黑色棒球系列印花短袖T恤，采用高支棉质面料，柔软透气。正面多图腾拼贴设计，结合蓝红渐变字母与运动元素，展现浓厚美式街头风。宽松廓形剪裁，男女皆宜，休闲潮流百搭单品。</t>
        </is>
      </c>
    </row>
    <row r="197" ht="25.5" customHeight="1">
      <c r="A197">
        <v>1839115443</v>
      </c>
      <c r="B197">
        <v>7617100652</v>
      </c>
      <c r="C197" t="inlineStr">
        <is>
          <t>https://weidian.com/item.html?itemID=7617100652</t>
        </is>
      </c>
      <c r="D197"/>
      <c r="E197" s="2" t="str">
        <f>=HYPERLINK("https://si.geilicdn.com/open1839115443-252808396-59080000019aaf8129f60a22d249_800_1086.jpg?w=640&amp;h=640", "https://si.geilicdn.com/open1839115443-252808396-59080000019aaf8129f60a22d249_800_1086.jpg?w=640&amp;h=640")</f>
        <v>https://si.geilicdn.com/open1839115443-252808396-59080000019aaf8129f60a22d249_800_1086.jpg?w=640&amp;h=640</v>
      </c>
      <c r="F197" t="inlineStr">
        <is>
          <t>T-Shirts</t>
        </is>
      </c>
      <c r="G197" t="inlineStr">
        <is>
          <t>Other</t>
        </is>
      </c>
      <c r="H197" t="inlineStr">
        <is>
          <t>128.00</t>
        </is>
      </c>
      <c r="I197">
        <v>18.55</v>
      </c>
      <c r="J197" t="inlineStr">
        <is>
          <t>{"id":"chatcmpl-DWcQMre5O1bmsqC7XIF2NMTbViyvJ","object":"chat.completion","created":1776666570,"model":"gpt-5-chat-latest","choices":[{"index":0,"message":{"role":"assistant","content":"BC Street Series White Totem Graphic T-Shirt","refusal":null,"annotations":[]},"logprobs":null,"finish_reason":"stop"}],"usage":{"prompt_tokens":891,"completion_tokens":10,"total_tokens":901,"prompt_tokens_details":{"cached_tokens":0,"audio_tokens":0},"completion_tokens_details":{"reasoning_tokens":0,"audio_tokens":0,"accepted_prediction_tokens":0,"rejected_prediction_tokens":0}},"service_tier":"default","system_fingerprint":"fp_ad66631dec"}</t>
        </is>
      </c>
      <c r="K197" t="inlineStr">
        <is>
          <t>BC Street Series White Totem Graphic T-Shirt</t>
        </is>
      </c>
      <c r="L197" t="inlineStr">
        <is>
          <t>{"choices":[{"finish_reason":"stop","index":0,"logprobs":null,"message":{"annotations":[],"content":"BC Street Series White Graphic T-Shirt, 260g pure cotton for thick comfort, white ink print with realistic totem design, loose drop-shoulder fit, unisex style, perfect for summer streetwear fashion.","refusal":null,"role":"assistant"}}],"created":1776658352,"id":"chatcmpl-DWaHowspHinxAEETtRB6SbbYJTtaY","model":"gpt-5-chat-latest","object":"chat.completion","service_tier":"default","system_fingerprint":"fp_ad66631dec","usage":{"completion_tokens":45,"completion_tokens_details":{"accepted_prediction_tokens":0,"audio_tokens":0,"reasoning_tokens":0,"rejected_prediction_tokens":0},"prompt_tokens":918,"prompt_tokens_details":{"audio_tokens":0,"cached_tokens":0},"total_tokens":963}}</t>
        </is>
      </c>
      <c r="M197" t="inlineStr">
        <is>
          <t>{"alt-svc":"h3=\":443\"; ma=2592000","apim-request-id":"3a7390ea-80b4-4b16-b847-be79898d08b3","azureml-model-session":"d20260405234249-f9874baf","cache-control":"no-cache","connection":"close","content-length":"786","content-security-policy":"frame-ancestors 'self'","content-type":"application/json","date":"Mon, 20 Apr 2026 04:12:34 GMT","server":"Caddy","skip-error-remapping":"true","strict-transport-security":"max-age=31536000; includeSubDomains; preload","via":"1.1 Caddy","x-api-request-id":"20260420121231634083546PZZmyrBJ","x-content-type-options":"nosniff","x-frame-options":"SAMEORIGIN","x-ms-client-request-id":"Not-Set","x-ms-is-spilled-over":"false","x-ms-rai-invoked":"true","x-ms-region":"East US 2","x-new-api-version":"0.4.39","x-oneapi-request-id":"202604200412314948070788268d9d69SCCcepC","x-ratelimit-abusepenalty-active":"False","x-ratelimit-limit-requests":"3850","x-ratelimit-limit-tokens":"3850000","x-ratelimit-remaining-requests":"3849","x-ratelimit-remaining-tokens":"3841462","x-ratelimit-renewalperiod-requests":"60","x-ratelimit-renewalperiod-tokens":"60","x-ratelimit-reset-requests":"15","x-ratelimit-reset-tokens":"133","x-request-id":"081bc91c-2cd0-4e57-b055-0756fdc1560d"}</t>
        </is>
      </c>
      <c r="N197" t="inlineStr">
        <is>
          <t>BC Street Series White Graphic T-Shirt, 260g pure cotton for thick comfort, white ink print with realistic totem design, loose drop-shoulder fit, unisex style, perfect for summer streetwear fashion.</t>
        </is>
      </c>
      <c r="O197" t="inlineStr">
        <is>
          <t>{"choices":[{"finish_reason":"stop","index":0,"logprobs":null,"message":{"annotations":[],"content":"BC,T-Shirts,kakobuy,kakebuy2026,kekobuysheet,kakobuysheet2026,2026kakobuy,kakobuyspreadsheeet,kakobuylink,kakebuylist,Kakobuy MEGA Spreadsheet,kakobuysheetfind,kakobuysheetfind2026,2026kakobuysheetfind,kakobuysheet2026","refusal":null,"role":"assistant"}}],"created":1776667479,"id":"chatcmpl-DWcf1qwWyWgjTjws0Pu2rZ0oou1Do","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97" t="inlineStr">
        <is>
          <t>BC,T-Shirts,kakobuy,kakebuy2026,kekobuysheet,kakobuysheet2026,2026kakobuy,kakobuyspreadsheeet,kakobuylink,kakebuylist,Kakobuy MEGA Spreadsheet,kakobuysheetfind,kakobuysheetfind2026,2026kakobuysheetfind,kakobuysheet2026</t>
        </is>
      </c>
      <c r="Q197" t="inlineStr">
        <is>
          <t>Summer, Streetwear, Unisex, White</t>
        </is>
      </c>
      <c r="R197" t="inlineStr">
        <is>
          <t>recvh6xFVj2J9U</t>
        </is>
      </c>
      <c r="S197" t="inlineStr">
        <is>
          <t>bc-street-series-white-totem-graphic-tshirt-recvh6xFVj2J9U</t>
        </is>
      </c>
      <c r="T197"/>
      <c r="U197"/>
      <c r="V197"/>
      <c r="W197" t="inlineStr">
        <is>
          <t>{"choices":[{"finish_reason":"stop","index":0,"logprobs":null,"message":{"annotations":[],"content":"街头系列白色数字印花T恤，260克纯棉面料质地厚实舒适，采用白墨直喷工艺呈现逼真人物图腾，宽松落肩剪裁凸显休闲潮流风格，男女同款适合夏季日常穿搭，展现街头文化与运动元素融合的时尚态度。","refusal":null,"role":"assistant"}}],"created":1776655540,"id":"chatcmpl-DWZYSSm7OLEf2ME8STfZAghQYtKTg","model":"gpt-5-chat-latest","object":"chat.completion","service_tier":"default","system_fingerprint":"fp_ad66631dec","usage":{"completion_tokens":84,"completion_tokens_details":{"accepted_prediction_tokens":0,"audio_tokens":0,"reasoning_tokens":0,"rejected_prediction_tokens":0},"prompt_tokens":1311,"prompt_tokens_details":{"audio_tokens":0,"cached_tokens":0},"total_tokens":1395}}</t>
        </is>
      </c>
      <c r="X197" t="inlineStr">
        <is>
          <t>街头系列白色数字印花T恤，260克纯棉面料质地厚实舒适，采用白墨直喷工艺呈现逼真人物图腾，宽松落肩剪裁凸显休闲潮流风格，男女同款适合夏季日常穿搭，展现街头文化与运动元素融合的时尚态度。</t>
        </is>
      </c>
    </row>
    <row r="198" ht="25.5" customHeight="1">
      <c r="A198">
        <v>1839115443</v>
      </c>
      <c r="B198">
        <v>7614116365</v>
      </c>
      <c r="C198" t="inlineStr">
        <is>
          <t>https://weidian.com/item.html?itemID=7614116365</t>
        </is>
      </c>
      <c r="D198"/>
      <c r="E198" s="2" t="str">
        <f>=HYPERLINK("https://si.geilicdn.com/open1839115443-252808396-68af0000019aaf7fdef00aa081c2_800_1200.jpg?w=640&amp;h=640", "https://si.geilicdn.com/open1839115443-252808396-68af0000019aaf7fdef00aa081c2_800_1200.jpg?w=640&amp;h=640")</f>
        <v>https://si.geilicdn.com/open1839115443-252808396-68af0000019aaf7fdef00aa081c2_800_1200.jpg?w=640&amp;h=640</v>
      </c>
      <c r="F198" t="inlineStr">
        <is>
          <t>Hoodies</t>
        </is>
      </c>
      <c r="G198" t="inlineStr">
        <is>
          <t>Other</t>
        </is>
      </c>
      <c r="H198" t="inlineStr">
        <is>
          <t>120.00</t>
        </is>
      </c>
      <c r="I198">
        <v>17.39</v>
      </c>
      <c r="J198" t="inlineStr">
        <is>
          <t>{"id":"chatcmpl-DWcJeJB0OUwfZY4LBip2PV6WC7VQO","object":"chat.completion","created":1776666154,"model":"gpt-5-chat-latest","choices":[{"index":0,"message":{"role":"assistant","content":"BCGHOST Vintage Black Baseball Graphic Hoodie","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98" t="inlineStr">
        <is>
          <t>BCGHOST Vintage Black Baseball Graphic Hoodie</t>
        </is>
      </c>
      <c r="L198" t="inlineStr">
        <is>
          <t>{"id":"chatcmpl-DWaM6xmV4WZClr7g5YLsj3WAG4pKM","object":"chat.completion","created":1776658618,"model":"gpt-5-chat-latest","choices":[{"index":0,"message":{"role":"assistant","content":"BCGHOST Vintage Black Baseball Print Hoodie, unisex loose fit, soft cotton fabric, comfy streetwear with blue-white graphic, perfect for casual outfits and daily urban fashion.","refusal":null,"annotations":[]},"logprobs":null,"finish_reason":"stop"}],"usage":{"prompt_tokens":915,"completion_tokens":36,"total_tokens":951,"prompt_tokens_details":{"cached_tokens":0,"audio_tokens":0},"completion_tokens_details":{"reasoning_tokens":0,"audio_tokens":0,"accepted_prediction_tokens":0,"rejected_prediction_tokens":0}},"service_tier":"default","system_fingerprint":"fp_ad66631dec"}</t>
        </is>
      </c>
      <c r="M19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ma=2592000","apim-request-id":"d50f5fdc-4a6a-4831-8037-7dc16f9e17c0","azureml-model-session":"d20260402075109-1fc5a0ec","cache-control":"no-cache, no-store, must-revalidate","connection":"close","content-length":"980","content-security-policy":"frame-ancestors 'self'","content-type":"application/json","date":"Mon, 20 Apr 2026 04:16:59 GMT","server":"Caddy","skip-error-remapping":"true","strict-transport-security":"max-age=31536000; includeSubDomains; preload","via":"1.1 Caddy","x-api-request-id":"20260420121656533115084wD7qzEkt","x-content-type-options":"nosniff","x-frame-options":"SAMEORIGIN","x-ms-is-spilled-over":"false","x-ms-rai-invoked":"false","x-ms-region":"East US 2","x-new-api-version":"0.4.39","x-oneapi-request-id":"202604200416564671835958268d9d6rflsDlXI","x-ratelimit-abusepenalty-active":"False","x-ratelimit-limit-requests":"4994","x-ratelimit-limit-tokens":"4994000","x-ratelimit-remaining-requests":"4993","x-ratelimit-remaining-tokens":"4992323","x-ratelimit-renewalperiod-requests":"60","x-ratelimit-renewalperiod-tokens":"60","x-ratelimit-reset-requests":"12","x-ratelimit-reset-tokens":"20","x-request-id":"a537aee7-198a-40aa-b54d-333a409f93b1"}</t>
        </is>
      </c>
      <c r="N198" t="inlineStr">
        <is>
          <t>BCGHOST Vintage Black Baseball Print Hoodie, unisex loose fit, soft cotton fabric, comfy streetwear with blue-white graphic, perfect for casual outfits and daily urban fashion.</t>
        </is>
      </c>
      <c r="O198" t="inlineStr">
        <is>
          <t>{"choices":[{"finish_reason":"stop","index":0,"logprobs":null,"message":{"annotations":[],"content":"BCGHOST,Hoodies,kakobuy,kakebuy2026,kekobuysheet,kakobuysheet2026,2026kakobuy,kakobuyspreadsheeet,kakobuylink,kakebuylist,Kakobuy MEGA Spreadsheet,kakobuysheetfind,kakobuysheetfind2026,2026kakobuysheetfind,kakobuysheet2026","refusal":null,"role":"assistant"}}],"created":1776668569,"id":"chatcmpl-DWcwbreCcWgW9SafUJ0gT8LFwH2e0","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98" t="inlineStr">
        <is>
          <t>BCGHOST,Hoodies,kakobuy,kakebuy2026,kekobuysheet,kakobuysheet2026,2026kakobuy,kakobuyspreadsheeet,kakobuylink,kakebuylist,Kakobuy MEGA Spreadsheet,kakobuysheetfind,kakobuysheetfind2026,2026kakobuysheetfind,kakobuysheet2026</t>
        </is>
      </c>
      <c r="Q198" t="inlineStr">
        <is>
          <t>Unisex, Streetwear, Black, Blue</t>
        </is>
      </c>
      <c r="R198" t="inlineStr">
        <is>
          <t>recvh6xFVjK842</t>
        </is>
      </c>
      <c r="S198" t="inlineStr">
        <is>
          <t>bcghost-vintage-black-baseball-graphic-hoodie-recvh6xFVjK842</t>
        </is>
      </c>
      <c r="T198"/>
      <c r="U198"/>
      <c r="V198"/>
      <c r="W198" t="inlineStr">
        <is>
          <t>{"id":"chatcmpl-DWZgLZ23ljuifUj0G5BEvP6E3vf3K","object":"chat.completion","created":1776656029,"model":"gpt-5-chat-latest","choices":[{"index":0,"message":{"role":"assistant","content":"复古黑色棒球印花连帽卫衣，宽松版型设计，采用优质纯棉材质，触感柔软舒适。正面以蓝白运动图腾展现街头美式风格，彰显休闲潮流态度，男女通用款，适合日常搭配及街头出行。","refusal":null,"annotations":[]},"logprobs":null,"finish_reason":"stop"}],"usage":{"prompt_tokens":1314,"completion_tokens":79,"total_tokens":1393,"prompt_tokens_details":{"cached_tokens":0,"audio_tokens":0},"completion_tokens_details":{"reasoning_tokens":0,"audio_tokens":0,"accepted_prediction_tokens":0,"rejected_prediction_tokens":0}},"service_tier":"default","system_fingerprint":"fp_ad66631dec"}</t>
        </is>
      </c>
      <c r="X198" t="inlineStr">
        <is>
          <t>复古黑色棒球印花连帽卫衣，宽松版型设计，采用优质纯棉材质，触感柔软舒适。正面以蓝白运动图腾展现街头美式风格，彰显休闲潮流态度，男女通用款，适合日常搭配及街头出行。</t>
        </is>
      </c>
    </row>
    <row r="199" ht="25.5" customHeight="1">
      <c r="A199">
        <v>1839115443</v>
      </c>
      <c r="B199">
        <v>7638923138</v>
      </c>
      <c r="C199" t="inlineStr">
        <is>
          <t>https://weidian.com/item.html?itemID=7638923138</t>
        </is>
      </c>
      <c r="D199"/>
      <c r="E199" s="2" t="str">
        <f>=HYPERLINK("https://si.geilicdn.com/open1839115443-252808396-28910000019b35909ff30a22d249_1340_1785.jpg?w=640&amp;h=640", "https://si.geilicdn.com/open1839115443-252808396-28910000019b35909ff30a22d249_1340_1785.jpg?w=640&amp;h=640")</f>
        <v>https://si.geilicdn.com/open1839115443-252808396-28910000019b35909ff30a22d249_1340_1785.jpg?w=640&amp;h=640</v>
      </c>
      <c r="F199" t="inlineStr">
        <is>
          <t>Hoodies</t>
        </is>
      </c>
      <c r="G199" t="inlineStr">
        <is>
          <t>Other</t>
        </is>
      </c>
      <c r="H199" t="inlineStr">
        <is>
          <t>91.00</t>
        </is>
      </c>
      <c r="I199">
        <v>13.19</v>
      </c>
      <c r="J199" t="inlineStr">
        <is>
          <t>{"choices":[{"finish_reason":"stop","index":0,"logprobs":null,"message":{"annotations":[],"content":"HoodiesOther New York Light Grey Unisex Streetwear Hoodie","refusal":null,"role":"assistant"}}],"created":1776666395,"id":"chatcmpl-DWcNXpmRmlP6TLBw8m65yMgzVZMAR","model":"gpt-5-chat-latest","object":"chat.completion","service_tier":"default","system_fingerprint":"fp_ad66631dec","usage":{"completion_tokens":14,"completion_tokens_details":{"accepted_prediction_tokens":0,"audio_tokens":0,"reasoning_tokens":0,"rejected_prediction_tokens":0},"prompt_tokens":884,"prompt_tokens_details":{"audio_tokens":0,"cached_tokens":0},"total_tokens":898}}</t>
        </is>
      </c>
      <c r="K199" t="inlineStr">
        <is>
          <t>HoodiesOther New York Light Grey Unisex Streetwear Hoodie</t>
        </is>
      </c>
      <c r="L199" t="inlineStr">
        <is>
          <t>{"id":"chatcmpl-DWaUDajeWLzSPSJBVN9CgJbDTUEpW","object":"chat.completion","created":1776659121,"model":"gpt-5-chat-latest","choices":[{"index":0,"message":{"role":"assistant","content":"HoodiesOther New York Unisex Hoodie in Light Grey, soft cotton-blend fabric, relaxed fit, front kangaroo pocket, casual streetwear style, youthful and versatile for modern urban fashion.","refusal":null,"annotations":[]},"logprobs":null,"finish_reason":"stop"}],"usage":{"prompt_tokens":900,"completion_tokens":41,"total_tokens":941,"prompt_tokens_details":{"cached_tokens":0,"audio_tokens":0},"completion_tokens_details":{"reasoning_tokens":0,"audio_tokens":0,"accepted_prediction_tokens":0,"rejected_prediction_tokens":0}},"service_tier":"default","system_fingerprint":"fp_ad66631dec"}</t>
        </is>
      </c>
      <c r="M19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ma=2592000","apim-request-id":"25bf412d-3137-46b6-a1f4-378e5246ae69","azureml-model-session":"d20260405234249-f9874baf","cache-control":"no-cache, no-store, must-revalidate","connection":"close","content-length":"990","content-security-policy":"frame-ancestors 'self'","content-type":"application/json","date":"Mon, 20 Apr 2026 04:25:23 GMT","server":"Caddy","skip-error-remapping":"true","strict-transport-security":"max-age=31536000; includeSubDomains; preload","via":"1.1 Caddy","x-api-request-id":"2026042012252038820204ZL9YjdxH","x-content-type-options":"nosniff","x-frame-options":"SAMEORIGIN","x-ms-is-spilled-over":"false","x-ms-rai-invoked":"false","x-ms-region":"Sweden Central","x-new-api-version":"0.4.39","x-oneapi-request-id":"202604200425199717461918268d9d6ENKI8F1w","x-ratelimit-abusepenalty-active":"False","x-ratelimit-limit-requests":"4993","x-ratelimit-limit-tokens":"4993000","x-ratelimit-remaining-requests":"4992","x-ratelimit-remaining-tokens":"4991338","x-ratelimit-renewalperiod-requests":"60","x-ratelimit-renewalperiod-tokens":"60","x-ratelimit-reset-requests":"12","x-ratelimit-reset-tokens":"19","x-request-id":"11c058ae-699b-47a7-8255-1b7f61d585a3"}</t>
        </is>
      </c>
      <c r="N199" t="inlineStr">
        <is>
          <t>HoodiesOther New York Unisex Hoodie in Light Grey, soft cotton-blend fabric, relaxed fit, front kangaroo pocket, casual streetwear style, youthful and versatile for modern urban fashion.</t>
        </is>
      </c>
      <c r="O199" t="inlineStr">
        <is>
          <t>{"choices":[{"finish_reason":"stop","index":0,"logprobs":null,"message":{"annotations":[],"content":"New York, Hoodies, kakobuy, kakebuy2026, kekobuysheet, kakobuysheet2026, 2026kakobuy, kakobuyspreadsheeet, kakobuylink, kakebuylist, Kakobuy MEGA Spreadsheet, kakobuysheetfind, kakobuysheetfind2026, 2026kakobuysheetfind, kakobuysheet2026","refusal":null,"role":"assistant"}}],"created":1776667945,"id":"chatcmpl-DWcmXrT0G1uA4dD0BGEEbALhId7dD","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99" t="inlineStr">
        <is>
          <t>New York, Hoodies, kakobuy, kakebuy2026, kekobuysheet, kakobuysheet2026, 2026kakobuy, kakobuyspreadsheeet, kakobuylink, kakebuylist, Kakobuy MEGA Spreadsheet, kakobuysheetfind, kakobuysheetfind2026, 2026kakobuysheetfind, kakobuysheet2026</t>
        </is>
      </c>
      <c r="Q199" t="inlineStr">
        <is>
          <t>Unisex, Grey, Streetwear, Versatile</t>
        </is>
      </c>
      <c r="R199" t="inlineStr">
        <is>
          <t>recvh6xFVjybry</t>
        </is>
      </c>
      <c r="S199" t="inlineStr">
        <is>
          <t>hoodiesother-ny-light-grey-unisex-streetwear-hoodie-recvh6xFVjybry</t>
        </is>
      </c>
      <c r="T199"/>
      <c r="U199"/>
      <c r="V199"/>
      <c r="W199" t="inlineStr">
        <is>
          <t>{"id":"chatcmpl-DWZZhOp8HyzFEdCksRnpedCEhZd0E","object":"chat.completion","created":1776655617,"model":"gpt-5-chat-latest","choices":[{"index":0,"message":{"role":"assistant","content":"浅灰色NEW YORK字母连帽卫衣，柔软棉质混纺面料，宽松休闲剪裁，前袋鼠口袋设计，街头美式风格，男女同款，简约百搭，展现青春活力与都市时尚感。","refusal":null,"annotations":[]},"logprobs":null,"finish_reason":"stop"}],"usage":{"prompt_tokens":1312,"completion_tokens":65,"total_tokens":1377,"prompt_tokens_details":{"cached_tokens":0,"audio_tokens":0},"completion_tokens_details":{"reasoning_tokens":0,"audio_tokens":0,"accepted_prediction_tokens":0,"rejected_prediction_tokens":0}},"service_tier":"default","system_fingerprint":"fp_ad66631dec"}</t>
        </is>
      </c>
      <c r="X199" t="inlineStr">
        <is>
          <t>浅灰色NEW YORK字母连帽卫衣，柔软棉质混纺面料，宽松休闲剪裁，前袋鼠口袋设计，街头美式风格，男女同款，简约百搭，展现青春活力与都市时尚感。</t>
        </is>
      </c>
    </row>
    <row r="200" ht="25.5" customHeight="1">
      <c r="A200">
        <v>1839115443</v>
      </c>
      <c r="B200">
        <v>7635913515</v>
      </c>
      <c r="C200" t="inlineStr">
        <is>
          <t>https://weidian.com/item.html?itemID=7635913515</t>
        </is>
      </c>
      <c r="D200"/>
      <c r="E200" s="2" t="str">
        <f>=HYPERLINK("https://si.geilicdn.com/open1839115443-252808396-2d3e0000019b3575f52d0aa086a7_800_800.jpg?w=640&amp;h=640", "https://si.geilicdn.com/open1839115443-252808396-2d3e0000019b3575f52d0aa086a7_800_800.jpg?w=640&amp;h=640")</f>
        <v>https://si.geilicdn.com/open1839115443-252808396-2d3e0000019b3575f52d0aa086a7_800_800.jpg?w=640&amp;h=640</v>
      </c>
      <c r="F200" t="inlineStr">
        <is>
          <t>Hoodies</t>
        </is>
      </c>
      <c r="G200" t="inlineStr">
        <is>
          <t>Cactus Plant Flea Market</t>
        </is>
      </c>
      <c r="H200" t="inlineStr">
        <is>
          <t>185.00</t>
        </is>
      </c>
      <c r="I200">
        <v>26.81</v>
      </c>
      <c r="J200" t="inlineStr">
        <is>
          <t>{"id":"chatcmpl-DWcRJYwjTIetdBqttXG395g3qxTYj","object":"chat.completion","created":1776666629,"model":"gpt-5-chat-latest","choices":[{"index":0,"message":{"role":"assistant","content":"Cactus Plant Flea Market Lucky Me Ghosts Hoodie Black","refusal":null,"annotations":[]},"logprobs":null,"finish_reason":"stop"}],"usage":{"prompt_tokens":893,"completion_tokens":13,"total_tokens":906,"prompt_tokens_details":{"cached_tokens":0,"audio_tokens":0},"completion_tokens_details":{"reasoning_tokens":0,"audio_tokens":0,"accepted_prediction_tokens":0,"rejected_prediction_tokens":0}},"service_tier":"default","system_fingerprint":"fp_ad66631dec"}</t>
        </is>
      </c>
      <c r="K200" t="inlineStr">
        <is>
          <t>Cactus Plant Flea Market Lucky Me Ghosts Hoodie Black</t>
        </is>
      </c>
      <c r="L200" t="inlineStr">
        <is>
          <t>{"choices":[{"finish_reason":"stop","index":0,"logprobs":null,"message":{"annotations":[],"content":"Cactus Plant Flea Market Lucky Me I See Ghosts Hoodie, black cotton streetwear with red heart print, vintage letters, colorful sleeves, unisex loose fit, 2010s American retro style.","refusal":null,"role":"assistant"}}],"created":1776659050,"id":"chatcmpl-DWaT4VK5ztFd3ip1ke8oJXnoKyTiT","model":"gpt-5-chat-latest","object":"chat.completion","service_tier":"default","system_fingerprint":"fp_ad66631dec","usage":{"completion_tokens":43,"completion_tokens_details":{"accepted_prediction_tokens":0,"audio_tokens":0,"reasoning_tokens":0,"rejected_prediction_tokens":0},"prompt_tokens":941,"prompt_tokens_details":{"audio_tokens":0,"cached_tokens":0},"total_tokens":984}}</t>
        </is>
      </c>
      <c r="M200" t="inlineStr">
        <is>
          <t>{"alt-svc":"h3=\":443\"; ma=2592000","apim-request-id":"e3f786a7-8696-4ef6-9149-4fa8c1b93b54","azureml-model-session":"d20260402075109-1fc5a0ec","cache-control":"no-cache","connection":"close","content-length":"769","content-security-policy":"frame-ancestors 'self'","content-type":"application/json","date":"Mon, 20 Apr 2026 04:24:11 GMT","server":"nginx","skip-error-remapping":"true","strict-transport-security":"max-age=31536000; includeSubDomains; preload","via":"1.1 Caddy, 1.1 Caddy","x-api-request-id":"20260420122409691179602AijthQTL","x-content-type-options":"nosniff","x-frame-options":"SAMEORIGIN","x-ms-client-request-id":"Not-Set","x-ms-is-spilled-over":"false","x-ms-rai-invoked":"true","x-ms-region":"East US 2","x-new-api-version":"0.4.39","x-oneapi-request-id":"202604200424096257906028268d9d60tyb7Ip9","x-ratelimit-abusepenalty-active":"False","x-ratelimit-limit-requests":"3850","x-ratelimit-limit-tokens":"3850000","x-ratelimit-remaining-requests":"3849","x-ratelimit-remaining-tokens":"3848297","x-ratelimit-renewalperiod-requests":"60","x-ratelimit-renewalperiod-tokens":"60","x-ratelimit-reset-requests":"15","x-ratelimit-reset-tokens":"26","x-request-id":"68fe67b5-d7b6-4a17-b68a-5cd9052d8cdd"}</t>
        </is>
      </c>
      <c r="N200" t="inlineStr">
        <is>
          <t>Cactus Plant Flea Market Lucky Me I See Ghosts Hoodie, black cotton streetwear with red heart print, vintage letters, colorful sleeves, unisex loose fit, 2010s American retro style.</t>
        </is>
      </c>
      <c r="O200" t="inlineStr">
        <is>
          <t>{"choices":[{"finish_reason":"stop","index":0,"logprobs":null,"message":{"annotations":[],"content":"Cactus Plant Flea Market, Hoodies, kakobuy, kakebuy2026, kekobuysheet, kakobuysheet2026, 2026kakobuy, kakobuyspreadsheeet, kakobuylink, kakebuylist, Kakobuy MEGA Spreadsheet, kakobuysheetfind, kakobuysheetfind2026, 2026kakobuysheetfind, kakobuysheet2026","refusal":null,"role":"assistant"}}],"created":1776668498,"id":"chatcmpl-DWcvSRObc3balFfsyLHiKVUJnUqvu","model":"gpt-5-chat-latest","object":"chat.completion","service_tier":"default","system_fingerprint":"fp_ad66631dec","usage":{"completion_tokens":96,"completion_tokens_details":{"accepted_prediction_tokens":0,"audio_tokens":0,"reasoning_tokens":0,"rejected_prediction_tokens":0},"prompt_tokens":788,"prompt_tokens_details":{"audio_tokens":0,"cached_tokens":0},"total_tokens":884}}</t>
        </is>
      </c>
      <c r="P200" t="inlineStr">
        <is>
          <t>Cactus Plant Flea Market, Hoodies, kakobuy, kakebuy2026, kekobuysheet, kakobuysheet2026, 2026kakobuy, kakobuyspreadsheeet, kakobuylink, kakebuylist, Kakobuy MEGA Spreadsheet, kakobuysheetfind, kakobuysheetfind2026, 2026kakobuysheetfind, kakobuysheet2026</t>
        </is>
      </c>
      <c r="Q200" t="inlineStr">
        <is>
          <t>Black, Streetwear, Vintage, Unisex, Retro</t>
        </is>
      </c>
      <c r="R200" t="inlineStr">
        <is>
          <t>recvh6xFVjmdp9</t>
        </is>
      </c>
      <c r="S200" t="inlineStr">
        <is>
          <t>cactus-plant-flea-market-lucky-me-ghosts-hoodie-black-recvh6xFVjmdp9</t>
        </is>
      </c>
      <c r="T200"/>
      <c r="U200"/>
      <c r="V200"/>
      <c r="W200" t="inlineStr">
        <is>
          <t>{"id":"chatcmpl-DWZYwAgf7MkSw7XMPHD5SWN9ZqQXS","object":"chat.completion","created":1776655570,"model":"gpt-5-chat-latest","choices":[{"index":0,"message":{"role":"assistant","content":"Cactus Plant Flea Market：Lucky Me I See Ghosts 黑色连帽卫衣，柔软高克重棉质面料，胸前立体红心与复古字母印花相映成趣，袖部撞色图腾彰显街头艺术感。宽松中性版型设计，男女皆宜，呈现2010年代美式街头潮流风格，兼具舒适与个性表达。","refusal":null,"annotations":[]},"logprobs":null,"finish_reason":"stop"}],"usage":{"prompt_tokens":1333,"completion_tokens":98,"total_tokens":1431,"prompt_tokens_details":{"cached_tokens":0,"audio_tokens":0},"completion_tokens_details":{"reasoning_tokens":0,"audio_tokens":0,"accepted_prediction_tokens":0,"rejected_prediction_tokens":0}},"service_tier":"default","system_fingerprint":"fp_ad66631dec"}</t>
        </is>
      </c>
      <c r="X200" t="inlineStr">
        <is>
          <t>Cactus Plant Flea Market：Lucky Me I See Ghosts 黑色连帽卫衣，柔软高克重棉质面料，胸前立体红心与复古字母印花相映成趣，袖部撞色图腾彰显街头艺术感。宽松中性版型设计，男女皆宜，呈现2010年代美式街头潮流风格，兼具舒适与个性表达。</t>
        </is>
      </c>
    </row>
    <row r="201" ht="25.5" customHeight="1">
      <c r="A201">
        <v>1839115443</v>
      </c>
      <c r="B201">
        <v>7635960229</v>
      </c>
      <c r="C201" t="inlineStr">
        <is>
          <t>https://weidian.com/item.html?itemID=7635960229</t>
        </is>
      </c>
      <c r="D201"/>
      <c r="E201" s="2" t="str">
        <f>=HYPERLINK("https://si.geilicdn.com/open1839115443-252808396-46590000019b35741bd20aa08245_794_1647.jpg?w=640&amp;h=640", "https://si.geilicdn.com/open1839115443-252808396-46590000019b35741bd20aa08245_794_1647.jpg?w=640&amp;h=640")</f>
        <v>https://si.geilicdn.com/open1839115443-252808396-46590000019b35741bd20aa08245_794_1647.jpg?w=640&amp;h=640</v>
      </c>
      <c r="F201" t="inlineStr">
        <is>
          <t>T-Shirts</t>
        </is>
      </c>
      <c r="G201" t="inlineStr">
        <is>
          <t>Other</t>
        </is>
      </c>
      <c r="H201" t="inlineStr">
        <is>
          <t>115.00</t>
        </is>
      </c>
      <c r="I201">
        <v>16.67</v>
      </c>
      <c r="J201" t="inlineStr">
        <is>
          <t>{"choices":[{"finish_reason":"stop","index":0,"logprobs":null,"message":{"annotations":[],"content":"WOTANG Trend Series Black Cotton Street Graphic T-Shirt","refusal":null,"role":"assistant"}}],"created":1776666348,"id":"chatcmpl-DWcMmh6nH1rNrz0aWHEt4wmmQQbfW","model":"gpt-5-chat-latest","object":"chat.completion","service_tier":"default","system_fingerprint":"fp_ad66631dec","usage":{"completion_tokens":12,"completion_tokens_details":{"accepted_prediction_tokens":0,"audio_tokens":0,"reasoning_tokens":0,"rejected_prediction_tokens":0},"prompt_tokens":1165,"prompt_tokens_details":{"audio_tokens":0,"cached_tokens":0},"total_tokens":1177}}</t>
        </is>
      </c>
      <c r="K201" t="inlineStr">
        <is>
          <t>WOTANG Trend Series Black Cotton Street Graphic T-Shirt</t>
        </is>
      </c>
      <c r="L201" t="inlineStr">
        <is>
          <t>{"id":"chatcmpl-DWaQnIZA7bOERK8CWQu6QUqs3GXCs","object":"chat.completion","created":1776658909,"model":"gpt-5-chat-latest","choices":[{"index":0,"message":{"role":"assistant","content":"WOTANG Trend Series Black Graphic T-Shirt made of premium cotton for soft, breathable comfort. Front yellow cartoon patchwork design, bold letter print on back, unisex retro street style with urban attitude.","refusal":null,"annotations":[]},"logprobs":null,"finish_reason":"stop"}],"usage":{"prompt_tokens":1200,"completion_tokens":42,"total_tokens":1242,"prompt_tokens_details":{"cached_tokens":1152,"audio_tokens":0},"completion_tokens_details":{"reasoning_tokens":0,"audio_tokens":0,"accepted_prediction_tokens":0,"rejected_prediction_tokens":0}},"service_tier":"default","system_fingerprint":"fp_ad66631dec"}</t>
        </is>
      </c>
      <c r="M2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ma=2592000","apim-request-id":"9e28cc58-d588-48be-b145-7511a44d76c7","azureml-model-session":"d20260402075109-1fc5a0ec","cache-control":"no-cache, no-store, must-revalidate","connection":"close","content-length":"1016","content-security-policy":"frame-ancestors 'self'","content-type":"application/json","date":"Mon, 20 Apr 2026 04:21:51 GMT","server":"nginx","skip-error-remapping":"true","strict-transport-security":"max-age=31536000; includeSubDomains; preload","via":"1.1 Caddy, 1.1 Caddy","x-api-request-id":"202604201221481184758z2sBjiqo","x-content-type-options":"nosniff","x-frame-options":"SAMEORIGIN","x-ms-is-spilled-over":"false","x-ms-rai-invoked":"false","x-ms-region":"Sweden Central","x-new-api-version":"0.4.39","x-oneapi-request-id":"202604200421479345484338268d9d6fTKCshsQ","x-ratelimit-abusepenalty-active":"False","x-ratelimit-limit-requests":"4993","x-ratelimit-limit-tokens":"4993000","x-ratelimit-remaining-requests":"4992","x-ratelimit-remaining-tokens":"4991037","x-ratelimit-renewalperiod-requests":"60","x-ratelimit-renewalperiod-tokens":"60","x-ratelimit-reset-requests":"12","x-ratelimit-reset-tokens":"23","x-request-id":"0da413fc-f525-45cb-a4b4-5c1c0da3add4"}</t>
        </is>
      </c>
      <c r="N201" t="inlineStr">
        <is>
          <t>WOTANG Trend Series Black Graphic T-Shirt made of premium cotton for soft, breathable comfort. Front yellow cartoon patchwork design, bold letter print on back, unisex retro street style with urban attitude.</t>
        </is>
      </c>
      <c r="O201" t="inlineStr">
        <is>
          <t>{"choices":[{"finish_reason":"stop","index":0,"logprobs":null,"message":{"annotations":[],"content":"WuTang, T-Shirts, kakobuy, kakebuy2026, kekobuysheet, kakobuysheet2026, 2026kakobuy, kakobuyspreadsheeet, kakobuylink, kakebuylist, Kakobuy MEGA Spreadsheet, kakobuysheetfind, kakobuysheetfind2026, 2026kakobuysheetfind, kakobuysheet2026","refusal":null,"role":"assistant"}}],"created":1776668108,"id":"chatcmpl-DWcpA5QmQYg2sft7O051U3vwdmQTN","model":"gpt-5-chat-latest","object":"chat.completion","service_tier":"default","system_fingerprint":"fp_ad66631dec","usage":{"completion_tokens":92,"completion_tokens_details":{"accepted_prediction_tokens":0,"audio_tokens":0,"reasoning_tokens":0,"rejected_prediction_tokens":0},"prompt_tokens":1062,"prompt_tokens_details":{"audio_tokens":0,"cached_tokens":0},"total_tokens":1154}}</t>
        </is>
      </c>
      <c r="P201" t="inlineStr">
        <is>
          <t>WuTang, T-Shirts, kakobuy, kakebuy2026, kekobuysheet, kakobuysheet2026, 2026kakobuy, kakobuyspreadsheeet, kakobuylink, kakebuylist, Kakobuy MEGA Spreadsheet, kakobuysheetfind, kakobuysheetfind2026, 2026kakobuysheetfind, kakobuysheet2026</t>
        </is>
      </c>
      <c r="Q201" t="inlineStr">
        <is>
          <t>Black, Yellow, Retro, Street, Unisex</t>
        </is>
      </c>
      <c r="R201" t="inlineStr">
        <is>
          <t>recvh6xFVjwZpW</t>
        </is>
      </c>
      <c r="S201" t="inlineStr">
        <is>
          <t>wotang-trend-black-cotton-graphic-tee-recvh6xFVjwZpW</t>
        </is>
      </c>
      <c r="T201"/>
      <c r="U201"/>
      <c r="V201"/>
      <c r="W201" t="inlineStr">
        <is>
          <t>{"id":"chatcmpl-DWZbm366kh9bb7rk82V2EqPmPqH6n","object":"chat.completion","created":1776655746,"model":"gpt-5-chat-latest","choices":[{"index":0,"message":{"role":"assistant","content":"潮流系列黑色印花短袖T恤，采用优质纯棉材质，触感柔软透气。正面醒目黄色卡通与标志性图腾拼接设计，背后大胆字母排版增添街头趣味。男女皆宜，休闲复古风格融合玩味元素，体现独立个性与都市潮流态度。","refusal":null,"annotations":[]},"logprobs":null,"finish_reason":"stop"}],"usage":{"prompt_tokens":1587,"completion_tokens":88,"total_tokens":1675,"prompt_tokens_details":{"cached_tokens":1536,"audio_tokens":0},"completion_tokens_details":{"reasoning_tokens":0,"audio_tokens":0,"accepted_prediction_tokens":0,"rejected_prediction_tokens":0}},"service_tier":"default","system_fingerprint":"fp_ad66631dec"}</t>
        </is>
      </c>
      <c r="X201" t="inlineStr">
        <is>
          <t>潮流系列黑色印花短袖T恤，采用优质纯棉材质，触感柔软透气。正面醒目黄色卡通与标志性图腾拼接设计，背后大胆字母排版增添街头趣味。男女皆宜，休闲复古风格融合玩味元素，体现独立个性与都市潮流态度。</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