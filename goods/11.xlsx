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ExplorerToys商品导入042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7627486410</v>
      </c>
      <c r="C2" s="2" t="str">
        <f>=HYPERLINK("https://weidian.com/item.html?itemID=7627486410", "https://weidian.com/item.html?itemID=7627486410")</f>
        <v>https://weidian.com/item.html?itemID=7627486410</v>
      </c>
      <c r="D2"/>
      <c r="E2" s="2" t="str">
        <f>=HYPERLINK("https://si.geilicdn.com/pcitem2014204438-1a880000019ae7cec9d40a23038e_3770_2876.jpg?w=640&amp;h=640", "https://si.geilicdn.com/pcitem2014204438-1a880000019ae7cec9d40a23038e_3770_2876.jpg?w=640&amp;h=640")</f>
        <v>https://si.geilicdn.com/pcitem2014204438-1a880000019ae7cec9d40a23038e_3770_2876.jpg?w=640&amp;h=640</v>
      </c>
      <c r="F2" t="inlineStr">
        <is>
          <t>Socks &amp; Hosiery</t>
        </is>
      </c>
      <c r="G2" t="inlineStr">
        <is>
          <t>Louis Vuitton</t>
        </is>
      </c>
      <c r="H2">
        <v>120</v>
      </c>
      <c r="I2">
        <v>17.39</v>
      </c>
      <c r="J2" t="inlineStr">
        <is>
          <t>{"id":"chatcmpl-DaAI2pzGK0lMDuulRlTGguWfVU3RF","object":"chat.completion","created":1777511734,"model":"gpt-5-chat-2025-10-03","choices":[{"index":0,"message":{"role":"assistant","content":"Louis Vuitton Classic Cotton Mid Calf Knit Socks","refusal":null,"annotations":[]},"logprobs":null,"finish_reason":"stop"}],"usage":{"prompt_tokens":603,"completion_tokens":10,"total_tokens":613,"prompt_tokens_details":{"cached_tokens":0,"audio_tokens":0},"completion_tokens_details":{"reasoning_tokens":0,"audio_tokens":0,"accepted_prediction_tokens":0,"rejected_prediction_tokens":0}},"service_tier":"default","system_fingerprint":"fp_fd471178c5"}</t>
        </is>
      </c>
      <c r="K2" t="inlineStr">
        <is>
          <t>Louis Vuitton Classic Cotton Mid Calf Knit Socks</t>
        </is>
      </c>
      <c r="L2" t="inlineStr">
        <is>
          <t>{"id":"chatcmpl-DaA5baqRQ3RTvVJckEwbekPxaVEiC","object":"chat.completion","created":1777510963,"model":"gpt-5-chat-2025-10-03","choices":[{"index":0,"message":{"role":"assistant","content":"Louis Vuitton classic mid-calf knit socks, crafted from soft cotton and spandex blend. Ribbed texture adds comfort and flexibility. Unisex design for daily wear and business casual luxury style.","refusal":null,"annotations":[]},"logprobs":null,"finish_reason":"stop"}],"usage":{"prompt_tokens":654,"completion_tokens":39,"total_tokens":693,"prompt_tokens_details":{"cached_tokens":0,"audio_tokens":0},"completion_tokens_details":{"reasoning_tokens":0,"audio_tokens":0,"accepted_prediction_tokens":0,"rejected_prediction_tokens":0}},"service_tier":"default","system_fingerprint":"fp_fd471178c5"}</t>
        </is>
      </c>
      <c r="M2" t="inlineStr">
        <is>
          <t>{"alt-svc":"h3=\":443\"; ma=2592000","apim-request-id":"a8d68e0d-6a50-46fd-92e2-ee6b37ee3dda","azureml-model-session":"d20260428174121-807d9cc5","cache-control":"no-cache","connection":"close","content-length":"1002","content-type":"application/json","date":"Thu, 30 Apr 2026 01:02:44 GMT","server":"Caddy","skip-error-remapping":"true","strict-transport-security":"max-age=31536000; includeSubDomains; preload","x-content-type-options":"nosniff","x-ms-client-request-id":"Not-Set","x-ms-is-spilled-over":"false","x-ms-rai-invoked":"false","x-ms-region":"East US 2","x-new-api-version":"0.4.35","x-oneapi-request-id":"202604300102426262128438268d9d6at9LNK8K","x-ratelimit-abusepenalty-active":"False","x-ratelimit-key":"gpt-5-chat-global","x-ratelimit-limit-requests":"1000","x-ratelimit-limit-tokens":"1000000","x-ratelimit-remaining-requests":"999","x-ratelimit-remaining-tokens":"998582","x-ratelimit-renewalperiod-requests":"60","x-ratelimit-renewalperiod-tokens":"60","x-ratelimit-reset-requests":"60","x-ratelimit-reset-tokens":"85","x-request-id":"f2e1148b-3bd8-486b-85a0-8678c103f80d"}</t>
        </is>
      </c>
      <c r="N2" t="inlineStr">
        <is>
          <t>Louis Vuitton classic mid-calf knit socks, crafted from soft cotton and spandex blend. Ribbed texture adds comfort and flexibility. Unisex design for daily wear and business casual luxury style.</t>
        </is>
      </c>
      <c r="O2" t="inlineStr">
        <is>
          <t>{"id":"chatcmpl-DaAQcFaQC80nRqhm8aTJMHVlffy9w","object":"chat.completion","created":1777512266,"model":"gpt-5-chat-2025-10-03","choices":[{"index":0,"message":{"role":"assistant","content":"Louis Vuitton,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506,"completion_tokens":94,"total_tokens":600,"prompt_tokens_details":{"cached_tokens":0,"audio_tokens":0},"completion_tokens_details":{"reasoning_tokens":0,"audio_tokens":0,"accepted_prediction_tokens":0,"rejected_prediction_tokens":0}},"service_tier":"default","system_fingerprint":"fp_fd471178c5"}</t>
        </is>
      </c>
      <c r="P2" t="inlineStr">
        <is>
          <t>Louis Vuitton, Socks &amp; Hosiery, kakobuy, kakebuy2026, kekobuysheet, kakobuysheet2026, 2026kakobuy, kakobuyspreadsheeet, kakobuylink, kakebuylist, Kakobuy MEGA Spreadsheet, kakobuysheetfind, kakobuysheetfind2026, 2026kakobuysheetfind, kakobuysheet2026</t>
        </is>
      </c>
      <c r="Q2" t="inlineStr">
        <is>
          <t>LV, Unisex, Business Casual, Knit</t>
        </is>
      </c>
      <c r="R2" t="inlineStr">
        <is>
          <t>recvhju1Cr3art</t>
        </is>
      </c>
      <c r="S2" t="inlineStr">
        <is>
          <t>louis-vuitton-classic-cotton-mid-calf-knit-socks-recvhju1cr3art</t>
        </is>
      </c>
      <c r="T2"/>
      <c r="U2"/>
      <c r="V2"/>
      <c r="W2" t="inlineStr">
        <is>
          <t>{"id":"chatcmpl-Da9tSuvHDJLXxH8Md4VkJPejuqtir","object":"chat.completion","created":1777510210,"model":"gpt-5-chat-2025-10-03","choices":[{"index":0,"message":{"role":"assistant","content":"Louis Vuitton：经典中筒针织袜，黑色简约设计，甄选柔软棉质与氨纶混纺面料，舒适贴合不紧绷。细腻罗纹织造提升弹性与质感，低调彰显品牌典雅格调。男女皆宜，适合日常穿搭与商务休闲风格，展现现代奢华品味。","refusal":null,"annotations":[]},"logprobs":null,"finish_reason":"stop"}],"usage":{"prompt_tokens":1025,"completion_tokens":96,"total_tokens":1121,"prompt_tokens_details":{"cached_tokens":0,"audio_tokens":0},"completion_tokens_details":{"reasoning_tokens":0,"audio_tokens":0,"accepted_prediction_tokens":0,"rejected_prediction_tokens":0}},"service_tier":"default","system_fingerprint":"fp_ad66631dec"}</t>
        </is>
      </c>
      <c r="X2" t="inlineStr">
        <is>
          <t>Louis Vuitton：经典中筒针织袜，黑色简约设计，甄选柔软棉质与氨纶混纺面料，舒适贴合不紧绷。细腻罗纹织造提升弹性与质感，低调彰显品牌典雅格调。男女皆宜，适合日常穿搭与商务休闲风格，展现现代奢华品味。</t>
        </is>
      </c>
    </row>
    <row r="3" ht="25.5" customHeight="1">
      <c r="A3">
        <v>1654975475</v>
      </c>
      <c r="B3">
        <v>7624516279</v>
      </c>
      <c r="C3" s="2" t="str">
        <f>=HYPERLINK("https://weidian.com/item.html?itemID=7624516279", "https://weidian.com/item.html?itemID=7624516279")</f>
        <v>https://weidian.com/item.html?itemID=7624516279</v>
      </c>
      <c r="D3"/>
      <c r="E3" s="2" t="str">
        <f>=HYPERLINK("https://si.geilicdn.com/pcitem2014204438-16a70000019ae7cd9ad00a2301b4_3748_2907.jpg?w=640&amp;h=640", "https://si.geilicdn.com/pcitem2014204438-16a70000019ae7cd9ad00a2301b4_3748_2907.jpg?w=640&amp;h=640")</f>
        <v>https://si.geilicdn.com/pcitem2014204438-16a70000019ae7cd9ad00a2301b4_3748_2907.jpg?w=640&amp;h=640</v>
      </c>
      <c r="F3" t="inlineStr">
        <is>
          <t>Socks &amp; Hosiery</t>
        </is>
      </c>
      <c r="G3" t="inlineStr">
        <is>
          <t>Chanel</t>
        </is>
      </c>
      <c r="H3">
        <v>120</v>
      </c>
      <c r="I3">
        <v>17.39</v>
      </c>
      <c r="J3" t="inlineStr">
        <is>
          <t>{"id":"chatcmpl-DaAH00TWldWPqAXtkSu6jm0yMs5u7","object":"chat.completion","created":1777511670,"model":"gpt-5-chat-2025-10-03","choices":[{"index":0,"message":{"role":"assistant","content":"Chanel Classic Black Wool Knit Mid Calf Socks","refusal":null,"annotations":[]},"logprobs":null,"finish_reason":"stop"}],"usage":{"prompt_tokens":605,"completion_tokens":11,"total_tokens":616,"prompt_tokens_details":{"cached_tokens":0,"audio_tokens":0},"completion_tokens_details":{"reasoning_tokens":0,"audio_tokens":0,"accepted_prediction_tokens":0,"rejected_prediction_tokens":0}},"service_tier":"default","system_fingerprint":"fp_fd471178c5"}</t>
        </is>
      </c>
      <c r="K3" t="inlineStr">
        <is>
          <t>Chanel Classic Black Wool Knit Mid Calf Socks</t>
        </is>
      </c>
      <c r="L3" t="inlineStr">
        <is>
          <t>{"id":"chatcmpl-DaABKVTsOcaGLaivLdzBdbiDJZF5X","object":"chat.completion","created":1777511318,"model":"gpt-5-chat-2025-10-03","choices":[{"index":0,"message":{"role":"assistant","content":"Chanel Classic Black Knit Mid-Calf Socks, crafted from soft wool blend with signature Double C pattern, unisex, warm and breathable, perfect for fall-winter casual or elegant daily wear.","refusal":null,"annotations":[]},"logprobs":null,"finish_reason":"stop"}],"usage":{"prompt_tokens":641,"completion_tokens":40,"total_tokens":681,"prompt_tokens_details":{"cached_tokens":0,"audio_tokens":0},"completion_tokens_details":{"reasoning_tokens":0,"audio_tokens":0,"accepted_prediction_tokens":0,"rejected_prediction_tokens":0}},"service_tier":"default","system_fingerprint":"fp_ad66631dec"}</t>
        </is>
      </c>
      <c r="M3" t="inlineStr">
        <is>
          <t>{"alt-svc":"h3=\":443\"; ma=2592000","apim-request-id":"e75fcae8-97ae-4553-b421-83f8777913c8","azureml-model-session":"d20260402075109-1fc5a0ec","cache-control":"no-cache","connection":"close","content-length":"994","content-type":"application/json","date":"Thu, 30 Apr 2026 01:08:39 GMT","server":"Caddy","skip-error-remapping":"true","strict-transport-security":"max-age=31536000; includeSubDomains; preload","x-content-type-options":"nosniff","x-ms-client-request-id":"Not-Set","x-ms-is-spilled-over":"false","x-ms-rai-invoked":"false","x-ms-region":"Central US","x-new-api-version":"0.4.35","x-oneapi-request-id":"202604300108379143204738268d9d61iYcTba3","x-ratelimit-abusepenalty-active":"False","x-ratelimit-key":"gpt-5-chat-global","x-ratelimit-limit-requests":"1000","x-ratelimit-limit-tokens":"1000000","x-ratelimit-remaining-requests":"999","x-ratelimit-remaining-tokens":"998595","x-ratelimit-renewalperiod-requests":"60","x-ratelimit-renewalperiod-tokens":"60","x-ratelimit-reset-requests":"60","x-ratelimit-reset-tokens":"84","x-request-id":"d55fa6c4-1b52-42ca-8c80-c18e63fe412d"}</t>
        </is>
      </c>
      <c r="N3" t="inlineStr">
        <is>
          <t>Chanel Classic Black Knit Mid-Calf Socks, crafted from soft wool blend with signature Double C pattern, unisex, warm and breathable, perfect for fall-winter casual or elegant daily wear.</t>
        </is>
      </c>
      <c r="O3" t="inlineStr">
        <is>
          <t>{"id":"chatcmpl-DaASEfoX9tjsNZb9AHae9cKHjXhHE","object":"chat.completion","created":1777512366,"model":"gpt-5-chat-2025-10-03","choices":[{"index":0,"message":{"role":"assistant","content":"Chanel,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506,"completion_tokens":94,"total_tokens":600,"prompt_tokens_details":{"cached_tokens":0,"audio_tokens":0},"completion_tokens_details":{"reasoning_tokens":0,"audio_tokens":0,"accepted_prediction_tokens":0,"rejected_prediction_tokens":0}},"service_tier":"default","system_fingerprint":"fp_ad66631dec"}</t>
        </is>
      </c>
      <c r="P3" t="inlineStr">
        <is>
          <t>Chanel, Socks &amp; Hosiery, kakobuy, kakebuy2026, kekobuysheet, kakobuysheet2026, 2026kakobuy, kakobuyspreadsheeet, kakobuylink, kakebuylist, Kakobuy MEGA Spreadsheet, kakobuysheetfind, kakobuysheetfind2026, 2026kakobuysheetfind, kakobuysheet2026</t>
        </is>
      </c>
      <c r="Q3" t="inlineStr">
        <is>
          <t>Chanel, Black, Knit, Unisex, Autumn And Winter, Wool</t>
        </is>
      </c>
      <c r="R3" t="inlineStr">
        <is>
          <t>recvhju1CrzNzL</t>
        </is>
      </c>
      <c r="S3" t="inlineStr">
        <is>
          <t>chanel-classic-black-wool-knit-mid-calf-socks-recvhju1crz-nzl</t>
        </is>
      </c>
      <c r="T3"/>
      <c r="U3"/>
      <c r="V3"/>
      <c r="W3" t="inlineStr">
        <is>
          <t>{"id":"chatcmpl-Da9tHTLN5LbPcwgV0P4jxwr40q8rs","object":"chat.completion","created":1777510199,"model":"gpt-5-chat-2025-10-03","choices":[{"index":0,"message":{"role":"assistant","content":"Chanel：经典黑色针织中筒袜，甄选柔软羊毛混纺材质，织入双C标志纹理，温暖亲肤。简约优雅设计契合现代法式风格，男女皆宜，适配秋冬休闲或精致通勤造型，展现低调奢华质感。","refusal":null,"annotations":[]},"logprobs":null,"finish_reason":"stop"}],"usage":{"prompt_tokens":1027,"completion_tokens":82,"total_tokens":1109,"prompt_tokens_details":{"cached_tokens":0,"audio_tokens":0},"completion_tokens_details":{"reasoning_tokens":0,"audio_tokens":0,"accepted_prediction_tokens":0,"rejected_prediction_tokens":0}},"service_tier":"default","system_fingerprint":"fp_ad66631dec"}</t>
        </is>
      </c>
      <c r="X3" t="inlineStr">
        <is>
          <t>Chanel：经典黑色针织中筒袜，甄选柔软羊毛混纺材质，织入双C标志纹理，温暖亲肤。简约优雅设计契合现代法式风格，男女皆宜，适配秋冬休闲或精致通勤造型，展现低调奢华质感。</t>
        </is>
      </c>
    </row>
    <row r="4" ht="25.5" customHeight="1">
      <c r="A4">
        <v>1654975475</v>
      </c>
      <c r="B4">
        <v>7624476395</v>
      </c>
      <c r="C4" s="2" t="str">
        <f>=HYPERLINK("https://weidian.com/item.html?itemID=7624476395", "https://weidian.com/item.html?itemID=7624476395")</f>
        <v>https://weidian.com/item.html?itemID=7624476395</v>
      </c>
      <c r="D4"/>
      <c r="E4" s="2" t="str">
        <f>=HYPERLINK("https://si.geilicdn.com/pcitem2014204438-194f0000019ae7c5718f0a8133cc_3012_3473.jpg?w=640&amp;h=640", "https://si.geilicdn.com/pcitem2014204438-194f0000019ae7c5718f0a8133cc_3012_3473.jpg?w=640&amp;h=640")</f>
        <v>https://si.geilicdn.com/pcitem2014204438-194f0000019ae7c5718f0a8133cc_3012_3473.jpg?w=640&amp;h=640</v>
      </c>
      <c r="F4" t="inlineStr">
        <is>
          <t>Socks &amp; Hosiery</t>
        </is>
      </c>
      <c r="G4" t="inlineStr">
        <is>
          <t>Alo</t>
        </is>
      </c>
      <c r="H4">
        <v>136</v>
      </c>
      <c r="I4">
        <v>19.71</v>
      </c>
      <c r="J4" t="inlineStr">
        <is>
          <t>{"id":"chatcmpl-DaAL96GaOcI6BUgwyeNxHZp65neXM","object":"chat.completion","created":1777511927,"model":"gpt-5-chat-2025-10-03","choices":[{"index":0,"message":{"role":"assistant","content":"Alo Basic Khaki Green Unisex Sport Short Socks","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fd471178c5"}</t>
        </is>
      </c>
      <c r="K4" t="inlineStr">
        <is>
          <t>Alo Basic Khaki Green Unisex Sport Short Socks</t>
        </is>
      </c>
      <c r="L4" t="inlineStr">
        <is>
          <t>{"id":"chatcmpl-DaABaOE37TbSXVqsA1Crn3vclvOZw","object":"chat.completion","created":1777511334,"model":"gpt-5-chat-2025-10-03","choices":[{"index":0,"message":{"role":"assistant","content":"Alo Basic Series Khaki Green Short Socks – soft cotton blend, breathable and sweat-absorbing fabric, stylish double-stripe ribbed design, unisex, perfect for daily wear and workout training.","refusal":null,"annotations":[]},"logprobs":null,"finish_reason":"stop"}],"usage":{"prompt_tokens":897,"completion_tokens":42,"total_tokens":939,"prompt_tokens_details":{"cached_tokens":0,"audio_tokens":0},"completion_tokens_details":{"reasoning_tokens":0,"audio_tokens":0,"accepted_prediction_tokens":0,"rejected_prediction_tokens":0}},"service_tier":"default","system_fingerprint":"fp_fd471178c5"}</t>
        </is>
      </c>
      <c r="M4" t="inlineStr">
        <is>
          <t>{"alt-svc":"h3=\":443\"; ma=2592000","apim-request-id":"d335b631-5c6e-4989-ac50-60bfa5e1bfaa","azureml-model-session":"d20260428165144-a78ba574","cache-control":"no-cache","connection":"close","content-length":"1000","content-type":"application/json","date":"Thu, 30 Apr 2026 01:08:57 GMT","server":"nginx","skip-error-remapping":"true","strict-transport-security":"max-age=31536000; includeSubDomains; preload","via":"1.1 Caddy","x-content-type-options":"nosniff","x-ms-client-request-id":"Not-Set","x-ms-is-spilled-over":"false","x-ms-rai-invoked":"false","x-ms-region":"Poland Central","x-new-api-version":"0.4.35","x-oneapi-request-id":"202604300108535949600948268d9d6m1YWANrx","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fd468e33-8141-4684-9937-8f14efb1af2c"}</t>
        </is>
      </c>
      <c r="N4" t="inlineStr">
        <is>
          <t>Alo Basic Series Khaki Green Short Socks – soft cotton blend, breathable and sweat-absorbing fabric, stylish double-stripe ribbed design, unisex, perfect for daily wear and workout training.</t>
        </is>
      </c>
      <c r="O4" t="inlineStr">
        <is>
          <t>{"id":"chatcmpl-DaAQCAXqvWtG5gdwQSgXC6JTzMFFo","object":"chat.completion","created":1777512240,"model":"gpt-5-chat-2025-10-03","choices":[{"index":0,"message":{"role":"assistant","content":"Alo,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4" t="inlineStr">
        <is>
          <t>Alo, Socks &amp; Hosiery, kakobuy, kakebuy2026, kekobuysheet, kakobuysheet2026, 2026kakobuy, kakobuyspreadsheeet, kakobuylink, kakebuylist, Kakobuy MEGA Spreadsheet, kakobuysheetfind, kakobuysheetfind2026, 2026kakobuysheetfind, kakobuysheet2026</t>
        </is>
      </c>
      <c r="Q4" t="inlineStr">
        <is>
          <t>Basic Style, Green, Unisex, Breathable</t>
        </is>
      </c>
      <c r="R4" t="inlineStr">
        <is>
          <t>recvhju1CrrrK0</t>
        </is>
      </c>
      <c r="S4" t="inlineStr">
        <is>
          <t>alo-basic-khaki-green-unisex-sport-short-socks-recvhju1crrrk0</t>
        </is>
      </c>
      <c r="T4"/>
      <c r="U4"/>
      <c r="V4"/>
      <c r="W4" t="inlineStr">
        <is>
          <t>{"id":"chatcmpl-Da9stEr1nWeZmKKVaBlCRbJcNUH9O","object":"chat.completion","created":1777510175,"model":"gpt-5-chat-2025-10-03","choices":[{"index":0,"message":{"role":"assistant","content":"Alo：基础系列卡其绿短袜，柔软棉质混纺面料，透气吸汗，简约双杠罗纹设计，休闲运动风格，男女皆宜，适合日常穿搭与健身训练。","refusal":null,"annotations":[]},"logprobs":null,"finish_reason":"stop"}],"usage":{"prompt_tokens":1307,"completion_tokens":58,"total_tokens":1365,"prompt_tokens_details":{"cached_tokens":0,"audio_tokens":0},"completion_tokens_details":{"reasoning_tokens":0,"audio_tokens":0,"accepted_prediction_tokens":0,"rejected_prediction_tokens":0}},"service_tier":"default","system_fingerprint":"fp_ad66631dec"}</t>
        </is>
      </c>
      <c r="X4" t="inlineStr">
        <is>
          <t>Alo：基础系列卡其绿短袜，柔软棉质混纺面料，透气吸汗，简约双杠罗纹设计，休闲运动风格，男女皆宜，适合日常穿搭与健身训练。</t>
        </is>
      </c>
    </row>
    <row r="5" ht="25.5" customHeight="1">
      <c r="A5">
        <v>1654975475</v>
      </c>
      <c r="B5">
        <v>7627132286</v>
      </c>
      <c r="C5" s="2" t="str">
        <f>=HYPERLINK("https://weidian.com/item.html?itemID=7627132286", "https://weidian.com/item.html?itemID=7627132286")</f>
        <v>https://weidian.com/item.html?itemID=7627132286</v>
      </c>
      <c r="D5"/>
      <c r="E5" s="2" t="str">
        <f>=HYPERLINK("https://si.geilicdn.com/pcitem902014207253-6a3b0000019ae74a65a30a2102c5_1242_1527.jpg?w=640&amp;h=640", "https://si.geilicdn.com/pcitem902014207253-6a3b0000019ae74a65a30a2102c5_1242_1527.jpg?w=640&amp;h=640")</f>
        <v>https://si.geilicdn.com/pcitem902014207253-6a3b0000019ae74a65a30a2102c5_1242_1527.jpg?w=640&amp;h=640</v>
      </c>
      <c r="F5" t="inlineStr">
        <is>
          <t>Accessories</t>
        </is>
      </c>
      <c r="G5" t="inlineStr">
        <is>
          <t>FILA</t>
        </is>
      </c>
      <c r="H5">
        <v>460</v>
      </c>
      <c r="I5">
        <v>66.67</v>
      </c>
      <c r="J5" t="inlineStr">
        <is>
          <t>{"id":"chatcmpl-DaAGPCHLKHV9Mg2rerMktViRhLoES","object":"chat.completion","created":1777511633,"model":"gpt-5-chat-2025-10-03","choices":[{"index":0,"message":{"role":"assistant","content":"FILA Black Nylon Backpack Plush Doll Water-Resistant Unisex","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5" t="inlineStr">
        <is>
          <t>FILA Black Nylon Backpack Plush Doll Water-Resistant Unisex</t>
        </is>
      </c>
      <c r="L5" t="inlineStr">
        <is>
          <t>{"id":"chatcmpl-DaACXawrhZj3rq8nvda9vWoLTJMP6","object":"chat.completion","created":1777511393,"model":"gpt-5-chat-2025-10-03","choices":[{"index":0,"message":{"role":"assistant","content":"FILA Black Trendy Backpack – Water-Resistant Nylon, Cute Plush Doll Decoration, Multi-Compartment Design for Urban Sport Style, Unisex, Stylish and Functional for Everyday Use.","refusal":null,"annotations":[]},"logprobs":null,"finish_reason":"stop"}],"usage":{"prompt_tokens":896,"completion_tokens":39,"total_tokens":935,"prompt_tokens_details":{"cached_tokens":0,"audio_tokens":0},"completion_tokens_details":{"reasoning_tokens":0,"audio_tokens":0,"accepted_prediction_tokens":0,"rejected_prediction_tokens":0}},"service_tier":"default","system_fingerprint":"fp_fd471178c5"}</t>
        </is>
      </c>
      <c r="M5" t="inlineStr">
        <is>
          <t>{"alt-svc":"h3=\":443\"; ma=2592000","apim-request-id":"0d762032-3757-4e1d-9c46-43d1b7b371a0","azureml-model-session":"d20260428205641-55ca9797","cache-control":"no-cache","connection":"close","content-length":"986","content-type":"application/json","date":"Thu, 30 Apr 2026 01:09:55 GMT","server":"Caddy","skip-error-remapping":"true","strict-transport-security":"max-age=31536000; includeSubDomains; preload","x-content-type-options":"nosniff","x-ms-client-request-id":"Not-Set","x-ms-is-spilled-over":"false","x-ms-rai-invoked":"false","x-ms-region":"Poland Central","x-new-api-version":"0.4.35","x-oneapi-request-id":"202604300109528429341718268d9d6GZykp7ev","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b4ed7479-7cd2-4073-aecc-3d0ccdf74e2c"}</t>
        </is>
      </c>
      <c r="N5" t="inlineStr">
        <is>
          <t>FILA Black Trendy Backpack – Water-Resistant Nylon, Cute Plush Doll Decoration, Multi-Compartment Design for Urban Sport Style, Unisex, Stylish and Functional for Everyday Use.</t>
        </is>
      </c>
      <c r="O5" t="inlineStr">
        <is>
          <t>{"id":"chatcmpl-DaAVIM3SXh6l7fmSZ3zVgy8V5nNDi","object":"chat.completion","created":1777512556,"model":"gpt-5-chat-2025-10-03","choices":[{"index":0,"message":{"role":"assistant","content":"FILA,Backpac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fd471178c5"}</t>
        </is>
      </c>
      <c r="P5" t="inlineStr">
        <is>
          <t>FILA,Backpack,kakobuy,kakebuy2026,kekobuysheet,kakobuysheet2026,2026kakobuy,kakobuyspreadsheeet,kakobuylink,kakebuylist,Kakobuy MEGA Spreadsheet,kakobuysheetfind,kakobuysheetfind2026,2026kakobuysheetfind,kakobuysheet2026</t>
        </is>
      </c>
      <c r="Q5" t="inlineStr">
        <is>
          <t>FILA, Backpack, Nylon, Unisex, Waterproof</t>
        </is>
      </c>
      <c r="R5" t="inlineStr">
        <is>
          <t>recvhju1CrKSFt</t>
        </is>
      </c>
      <c r="S5" t="inlineStr">
        <is>
          <t>fila-black-nylon-backpack-plush-doll-recvhju1crksft</t>
        </is>
      </c>
      <c r="T5"/>
      <c r="U5"/>
      <c r="V5"/>
      <c r="W5" t="inlineStr">
        <is>
          <t>{"id":"chatcmpl-Da9oWX2jj4P2y9W6I3rVLy5SKio3j","object":"chat.completion","created":1777509904,"model":"gpt-5-chat-2025-10-03","choices":[{"index":0,"message":{"role":"assistant","content":"FILA：黑色潮流双肩包，尼龙防泼水面料，搭配萌趣玩偶装饰，简约实用多隔层设计，展现都市运动休闲风格，男女皆宜，兼具时尚与功能性。","refusal":null,"annotations":[]},"logprobs":null,"finish_reason":"stop"}],"usage":{"prompt_tokens":1307,"completion_tokens":60,"total_tokens":1367,"prompt_tokens_details":{"cached_tokens":0,"audio_tokens":0},"completion_tokens_details":{"reasoning_tokens":0,"audio_tokens":0,"accepted_prediction_tokens":0,"rejected_prediction_tokens":0}},"service_tier":"default","system_fingerprint":"fp_ad66631dec"}</t>
        </is>
      </c>
      <c r="X5" t="inlineStr">
        <is>
          <t>FILA：黑色潮流双肩包，尼龙防泼水面料，搭配萌趣玩偶装饰，简约实用多隔层设计，展现都市运动休闲风格，男女皆宜，兼具时尚与功能性。</t>
        </is>
      </c>
    </row>
    <row r="6" ht="25.5" customHeight="1">
      <c r="A6">
        <v>1654975475</v>
      </c>
      <c r="B6">
        <v>7627143808</v>
      </c>
      <c r="C6" s="2" t="str">
        <f>=HYPERLINK("https://weidian.com/item.html?itemID=7627143808", "https://weidian.com/item.html?itemID=7627143808")</f>
        <v>https://weidian.com/item.html?itemID=7627143808</v>
      </c>
      <c r="D6"/>
      <c r="E6" s="2" t="str">
        <f>=HYPERLINK("https://si.geilicdn.com/pcitem902014207253-37ee0000019ae74a20130a231316_1442_1922.jpg?w=640&amp;h=640", "https://si.geilicdn.com/pcitem902014207253-37ee0000019ae74a20130a231316_1442_1922.jpg?w=640&amp;h=640")</f>
        <v>https://si.geilicdn.com/pcitem902014207253-37ee0000019ae74a20130a231316_1442_1922.jpg?w=640&amp;h=640</v>
      </c>
      <c r="F6" t="inlineStr">
        <is>
          <t>Glasses</t>
        </is>
      </c>
      <c r="G6" t="inlineStr">
        <is>
          <t>Gentle Monster</t>
        </is>
      </c>
      <c r="H6">
        <v>420</v>
      </c>
      <c r="I6">
        <v>60.87</v>
      </c>
      <c r="J6" t="inlineStr">
        <is>
          <t>{"id":"chatcmpl-DaAHmhIUwcDDxnopybX24NVF3jxo9","object":"chat.completion","created":1777511718,"model":"gpt-5-chat-2025-10-03","choices":[{"index":0,"message":{"role":"assistant","content":"Gentle Monster Lago Gray Black Unisex UV Sunglasses","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6" t="inlineStr">
        <is>
          <t>Gentle Monster Lago Gray Black Unisex UV Sunglasses</t>
        </is>
      </c>
      <c r="L6" t="inlineStr">
        <is>
          <t>{"id":"chatcmpl-DaA9diYaEjmFoHPyAGCzlRBXBsQX1","object":"chat.completion","created":1777511213,"model":"gpt-5-chat-2025-10-03","choices":[{"index":0,"message":{"role":"assistant","content":"Gentle Monster Lago Series gray-black acetate sunglasses feature UV protection, futuristic square frames, and a minimalist unisex design that highlights modern style and individuality.","refusal":null,"annotations":[]},"logprobs":null,"finish_reason":"stop"}],"usage":{"prompt_tokens":899,"completion_tokens":31,"total_tokens":930,"prompt_tokens_details":{"cached_tokens":0,"audio_tokens":0},"completion_tokens_details":{"reasoning_tokens":0,"audio_tokens":0,"accepted_prediction_tokens":0,"rejected_prediction_tokens":0}},"service_tier":"default","system_fingerprint":"fp_ad66631dec"}</t>
        </is>
      </c>
      <c r="M6" t="inlineStr">
        <is>
          <t>{"alt-svc":"h3=\":443\"; ma=2592000","apim-request-id":"26f2396d-911d-4981-841a-5e139ee70a9b","azureml-model-session":"d20260402084046-4209e968","cache-control":"no-cache","connection":"close","content-length":"992","content-type":"application/json","date":"Thu, 30 Apr 2026 01:06:54 GMT","server":"Caddy","skip-error-remapping":"true","strict-transport-security":"max-age=31536000; includeSubDomains; preload","x-content-type-options":"nosniff","x-ms-client-request-id":"Not-Set","x-ms-is-spilled-over":"false","x-ms-rai-invoked":"false","x-ms-region":"East US","x-new-api-version":"0.4.35","x-oneapi-request-id":"202604300106528938512138268d9d6NtSXvqpp","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db60b228-c738-4aff-b5dd-45a69d4ae990"}</t>
        </is>
      </c>
      <c r="N6" t="inlineStr">
        <is>
          <t>Gentle Monster Lago Series gray-black acetate sunglasses feature UV protection, futuristic square frames, and a minimalist unisex design that highlights modern style and individuality.</t>
        </is>
      </c>
      <c r="O6" t="inlineStr">
        <is>
          <t>{"id":"chatcmpl-DaAVfpXEgCIrz5CmgnH5DcfU6s77C","object":"chat.completion","created":1777512579,"model":"gpt-5-chat-2025-10-03","choices":[{"index":0,"message":{"role":"assistant","content":"Gentle Monster,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6" t="inlineStr">
        <is>
          <t>Gentle Monster, Glasses, kakobuy, kakebuy2026, kekobuysheet, kakobuysheet2026, 2026kakobuy, kakobuyspreadsheeet, kakobuylink, kakebuylist, Kakobuy MEGA Spreadsheet, kakobuysheetfind, kakobuysheetfind2026, 2026kakobuysheetfind, kakobuysheet2026</t>
        </is>
      </c>
      <c r="Q6" t="inlineStr">
        <is>
          <t>Acetate Fiber, Anti-Ultraviolet, Minimalist, Modern, Unisex, Grey</t>
        </is>
      </c>
      <c r="R6" t="inlineStr">
        <is>
          <t>recvhju1CrcPQ8</t>
        </is>
      </c>
      <c r="S6" t="inlineStr">
        <is>
          <t>gentle-monster-lago-gray-black-uv-sunglasses-recvhju1crcpq8</t>
        </is>
      </c>
      <c r="T6"/>
      <c r="U6"/>
      <c r="V6"/>
      <c r="W6" t="inlineStr">
        <is>
          <t>{"id":"chatcmpl-Da9s4DZrnKlOjeftZ8dHlDkTqMVl9","object":"chat.completion","created":1777510124,"model":"gpt-5-chat-2025-10-03","choices":[{"index":0,"message":{"role":"assistant","content":"Gentle Monster：Lago系列灰黑色方框太阳镜，采用高级醋酸纤维材质，镜面防紫外线设计，线条简约呈现未来感造型，男女皆宜，展现现代极简美学与独立个性风格。","refusal":null,"annotations":[]},"logprobs":null,"finish_reason":"stop"}],"usage":{"prompt_tokens":1300,"completion_tokens":65,"total_tokens":1365,"prompt_tokens_details":{"cached_tokens":0,"audio_tokens":0},"completion_tokens_details":{"reasoning_tokens":0,"audio_tokens":0,"accepted_prediction_tokens":0,"rejected_prediction_tokens":0}},"service_tier":"default","system_fingerprint":"fp_ad66631dec"}</t>
        </is>
      </c>
      <c r="X6" t="inlineStr">
        <is>
          <t>Gentle Monster：Lago系列灰黑色方框太阳镜，采用高级醋酸纤维材质，镜面防紫外线设计，线条简约呈现未来感造型，男女皆宜，展现现代极简美学与独立个性风格。</t>
        </is>
      </c>
    </row>
    <row r="7" ht="25.5" customHeight="1">
      <c r="A7">
        <v>1654975475</v>
      </c>
      <c r="B7">
        <v>7623855145</v>
      </c>
      <c r="C7" s="2" t="str">
        <f>=HYPERLINK("https://weidian.com/item.html?itemID=7623855145", "https://weidian.com/item.html?itemID=7623855145")</f>
        <v>https://weidian.com/item.html?itemID=7623855145</v>
      </c>
      <c r="D7"/>
      <c r="E7" s="2" t="str">
        <f>=HYPERLINK("https://si.geilicdn.com/pcitem2014204438-77e00000019ae49f81ab0a23038e_1080_1080.jpg?w=750&amp;h=750&amp;cp=1", "https://si.geilicdn.com/pcitem2014204438-77e00000019ae49f81ab0a23038e_1080_1080.jpg?w=750&amp;h=750&amp;cp=1")</f>
        <v>https://si.geilicdn.com/pcitem2014204438-77e00000019ae49f81ab0a23038e_1080_1080.jpg?w=750&amp;h=750&amp;cp=1</v>
      </c>
      <c r="F7" t="inlineStr">
        <is>
          <t>Accessories</t>
        </is>
      </c>
      <c r="G7" t="inlineStr">
        <is>
          <t>Issey Miyake</t>
        </is>
      </c>
      <c r="H7">
        <v>370</v>
      </c>
      <c r="I7">
        <v>53.62</v>
      </c>
      <c r="J7" t="inlineStr">
        <is>
          <t>{"id":"chatcmpl-DaALNTNWiVqZ6RKpEOTWfeD9pd7bA","object":"chat.completion","created":1777511941,"model":"gpt-5-chat-2025-10-03","choices":[{"index":0,"message":{"role":"assistant","content":"Issey Miyake Bao Bao White Gray Geometric Backpack","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fd471178c5"}</t>
        </is>
      </c>
      <c r="K7" t="inlineStr">
        <is>
          <t>Issey Miyake Bao Bao White Gray Geometric Backpack</t>
        </is>
      </c>
      <c r="L7" t="inlineStr">
        <is>
          <t>{"id":"chatcmpl-DaA6V2BpdY1HiO0vMhubc6nBuT0d8","object":"chat.completion","created":1777511019,"model":"gpt-5-chat-2025-10-03","choices":[{"index":0,"message":{"role":"assistant","content":"Issey Miyake BAO BAO white gray geometric backpack featuring flexible mirrored triangles, futuristic reflective design, lightweight and durable, unisex, perfect for modern urban minimalist style.","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7" t="inlineStr">
        <is>
          <t>{"alt-svc":"h3=\":443\"; ma=2592000","apim-request-id":"fccfdbcc-801f-4db7-81d7-73487e433dbc","azureml-model-session":"d20260402075109-1fc5a0ec","cache-control":"no-cache","connection":"close","content-length":"1003","content-type":"application/json","date":"Thu, 30 Apr 2026 01:03:40 GMT","server":"nginx","skip-error-remapping":"true","strict-transport-security":"max-age=31536000; includeSubDomains; preload","via":"1.1 Caddy","x-content-type-options":"nosniff","x-ms-client-request-id":"Not-Set","x-ms-is-spilled-over":"false","x-ms-rai-invoked":"false","x-ms-region":"Central US","x-new-api-version":"0.4.35","x-oneapi-request-id":"202604300103386134750268268d9d69bNVBdKu","x-ratelimit-abusepenalty-active":"False","x-ratelimit-key":"gpt-5-chat-global","x-ratelimit-limit-requests":"1000","x-ratelimit-limit-tokens":"1000000","x-ratelimit-remaining-requests":"999","x-ratelimit-remaining-tokens":"984839","x-ratelimit-renewalperiod-requests":"60","x-ratelimit-renewalperiod-tokens":"60","x-ratelimit-reset-requests":"60","x-ratelimit-reset-tokens":"909","x-request-id":"780091c5-d488-4a17-9003-7c7648239fcb"}</t>
        </is>
      </c>
      <c r="N7" t="inlineStr">
        <is>
          <t>Issey Miyake BAO BAO white gray geometric backpack featuring flexible mirrored triangles, futuristic reflective design, lightweight and durable, unisex, perfect for modern urban minimalist style.</t>
        </is>
      </c>
      <c r="O7" t="inlineStr">
        <is>
          <t>{"id":"chatcmpl-DaAU7oY6Cufe3yAcpQArR7F1qTpGG","object":"chat.completion","created":1777512483,"model":"gpt-5-chat-2025-10-03","choices":[{"index":0,"message":{"role":"assistant","content":"Issey Miyake,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fd471178c5"}</t>
        </is>
      </c>
      <c r="P7" t="inlineStr">
        <is>
          <t>Issey Miyake, Accessories, kakobuy, kakebuy2026, kekobuysheet, kakobuysheet2026, 2026kakobuy, kakobuyspreadsheeet, kakobuylink, kakebuylist, Kakobuy MEGA Spreadsheet, kakobuysheetfind, kakobuysheetfind2026, 2026kakobuysheetfind, kakobuysheet2026</t>
        </is>
      </c>
      <c r="Q7" t="inlineStr">
        <is>
          <t>Backpack, White, Grey, Geometric, Unisex, Minimalist</t>
        </is>
      </c>
      <c r="R7" t="inlineStr">
        <is>
          <t>recvhju1CrATcw</t>
        </is>
      </c>
      <c r="S7" t="inlineStr">
        <is>
          <t>issey-miyake-bao-bao-white-gray-geometric-backpack-recvhju1cratcw</t>
        </is>
      </c>
      <c r="T7"/>
      <c r="U7"/>
      <c r="V7"/>
      <c r="W7" t="inlineStr">
        <is>
          <t>{"id":"chatcmpl-Da9syuMTHBlx8popHPRK3EEuV510k","object":"chat.completion","created":1777510180,"model":"gpt-5-chat-2025-10-03","choices":[{"index":0,"message":{"role":"assistant","content":"Issey Miyake BAO BAO白灰色几何拼接背包，采用柔性镜面材质与三角格设计，呈现未来感折光造型，轻盈耐用，男女皆宜，都市简约风格彰显先锋美学。","refusal":null,"annotations":[]},"logprobs":null,"finish_reason":"stop"}],"usage":{"prompt_tokens":1313,"completion_tokens":61,"total_tokens":1374,"prompt_tokens_details":{"cached_tokens":0,"audio_tokens":0},"completion_tokens_details":{"reasoning_tokens":0,"audio_tokens":0,"accepted_prediction_tokens":0,"rejected_prediction_tokens":0}},"service_tier":"default","system_fingerprint":"fp_fd471178c5"}</t>
        </is>
      </c>
      <c r="X7" t="inlineStr">
        <is>
          <t>Issey Miyake BAO BAO白灰色几何拼接背包，采用柔性镜面材质与三角格设计，呈现未来感折光造型，轻盈耐用，男女皆宜，都市简约风格彰显先锋美学。</t>
        </is>
      </c>
    </row>
    <row r="8" ht="25.5" customHeight="1">
      <c r="A8">
        <v>1654975475</v>
      </c>
      <c r="B8">
        <v>7626850856</v>
      </c>
      <c r="C8" s="2" t="str">
        <f>=HYPERLINK("https://weidian.com/item.html?itemID=7626850856", "https://weidian.com/item.html?itemID=7626850856")</f>
        <v>https://weidian.com/item.html?itemID=7626850856</v>
      </c>
      <c r="D8"/>
      <c r="E8" s="2" t="str">
        <f>=HYPERLINK("https://si.geilicdn.com/pcitem2014204438-61f10000019ae4965b370a239646_1080_1440.jpg?w=640&amp;h=640", "https://si.geilicdn.com/pcitem2014204438-61f10000019ae4965b370a239646_1080_1440.jpg?w=640&amp;h=640")</f>
        <v>https://si.geilicdn.com/pcitem2014204438-61f10000019ae4965b370a239646_1080_1440.jpg?w=640&amp;h=640</v>
      </c>
      <c r="F8" t="inlineStr">
        <is>
          <t>Accessories</t>
        </is>
      </c>
      <c r="G8" t="inlineStr">
        <is>
          <t>The North Face</t>
        </is>
      </c>
      <c r="H8">
        <v>300</v>
      </c>
      <c r="I8">
        <v>43.48</v>
      </c>
      <c r="J8" t="inlineStr">
        <is>
          <t>{"id":"chatcmpl-DaAJ3tWAOzlgm7fSVGjDC3U9G2HFg","object":"chat.completion","created":1777511797,"model":"gpt-5-chat-2025-10-03","choices":[{"index":0,"message":{"role":"assistant","content":"The North Face Stream 12 Black Travel Backpack","refusal":null,"annotations":[]},"logprobs":null,"finish_reason":"stop"}],"usage":{"prompt_tokens":884,"completion_tokens":10,"total_tokens":894,"prompt_tokens_details":{"cached_tokens":0,"audio_tokens":0},"completion_tokens_details":{"reasoning_tokens":0,"audio_tokens":0,"accepted_prediction_tokens":0,"rejected_prediction_tokens":0}},"service_tier":"default","system_fingerprint":"fp_fd471178c5"}</t>
        </is>
      </c>
      <c r="K8" t="inlineStr">
        <is>
          <t>The North Face Stream 12 Black Travel Backpack</t>
        </is>
      </c>
      <c r="L8" t="inlineStr">
        <is>
          <t>{"id":"chatcmpl-DaAC2NZqlRcocHb1HmUGLvNEKjhbw","object":"chat.completion","created":1777511362,"model":"gpt-5-chat-2025-10-03","choices":[{"index":0,"message":{"role":"assistant","content":"The North Face STREAM 12 black backpack, made of durable water-repellent nylon, lightweight and versatile, unisex minimalist design with multi-compartment storage for travel, hiking, and urban adventures.","refusal":null,"annotations":[]},"logprobs":null,"finish_reason":"stop"}],"usage":{"prompt_tokens":895,"completion_tokens":41,"total_tokens":936,"prompt_tokens_details":{"cached_tokens":0,"audio_tokens":0},"completion_tokens_details":{"reasoning_tokens":0,"audio_tokens":0,"accepted_prediction_tokens":0,"rejected_prediction_tokens":0}},"service_tier":"default","system_fingerprint":"fp_ad66631dec"}</t>
        </is>
      </c>
      <c r="M8" t="inlineStr">
        <is>
          <t>{"alt-svc":"h3=\":443\"; ma=2592000","apim-request-id":"cad95d20-2bde-4b88-a269-9b604b66c04f","azureml-model-session":"d20260402084046-4209e968","cache-control":"no-cache","connection":"close","content-length":"1012","content-type":"application/json","date":"Thu, 30 Apr 2026 01:09:24 GMT","server":"Caddy","skip-error-remapping":"true","strict-transport-security":"max-age=31536000; includeSubDomains; preload","x-content-type-options":"nosniff","x-ms-client-request-id":"Not-Set","x-ms-is-spilled-over":"false","x-ms-rai-invoked":"false","x-ms-region":"East US","x-new-api-version":"0.4.35","x-oneapi-request-id":"202604300109217524105528268d9d6rLSH70eV","x-ratelimit-abusepenalty-active":"False","x-ratelimit-key":"gpt-5-chat-global","x-ratelimit-limit-requests":"1000","x-ratelimit-limit-tokens":"1000000","x-ratelimit-remaining-requests":"998","x-ratelimit-remaining-tokens":"989238","x-ratelimit-renewalperiod-requests":"60","x-ratelimit-renewalperiod-tokens":"60","x-ratelimit-reset-requests":"95","x-ratelimit-reset-tokens":"645","x-request-id":"b829b51d-cc05-4ab1-84e4-c6828a4fc705"}</t>
        </is>
      </c>
      <c r="N8" t="inlineStr">
        <is>
          <t>The North Face STREAM 12 black backpack, made of durable water-repellent nylon, lightweight and versatile, unisex minimalist design with multi-compartment storage for travel, hiking, and urban adventures.</t>
        </is>
      </c>
      <c r="O8" t="inlineStr">
        <is>
          <t>{"id":"chatcmpl-DaAWcmB8tRndzDtilt1djymrrPmMa","object":"chat.completion","created":1777512638,"model":"gpt-5-chat-2025-10-03","choices":[{"index":0,"message":{"role":"assistant","content":"The North Face,Backpack,kakobuy,kakebuy2026,kekobuysheet,kakobuysheet2026,2026kakobuy,kakobuyspreadsheeet,kakobuylink,kakebuylist,Kakobuy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fd471178c5"}</t>
        </is>
      </c>
      <c r="P8" t="inlineStr">
        <is>
          <t>The North Face,Backpack,kakobuy,kakebuy2026,kekobuysheet,kakobuysheet2026,2026kakobuy,kakobuyspreadsheeet,kakobuylink,kakebuylist,Kakobuy MEGA Spreadsheet,kakobuysheetfind,kakobuysheetfind2026,2026kakobuysheetfind,kakobuysheet2026</t>
        </is>
      </c>
      <c r="Q8" t="inlineStr">
        <is>
          <t>Backpack, Nylon, Unisex, Minimalist, Lightweight, Versatile</t>
        </is>
      </c>
      <c r="R8" t="inlineStr">
        <is>
          <t>recvhju1Crz7dt</t>
        </is>
      </c>
      <c r="S8" t="inlineStr">
        <is>
          <t>the-north-face-stream-12-black-backpack-recvhju1crz7dt</t>
        </is>
      </c>
      <c r="T8"/>
      <c r="U8"/>
      <c r="V8"/>
      <c r="W8" t="inlineStr">
        <is>
          <t>{"id":"chatcmpl-Da9pk73HndMx9q4EOSDtoHV3G6QCI","object":"chat.completion","created":1777509980,"model":"gpt-5-chat-2025-10-03","choices":[{"index":0,"message":{"role":"assistant","content":"The North Face STREAM 12 黑色户外双肩背包，采用耐磨防泼尼龙材质，轻盈实用设计，极简风格适合男女通用，多层收纳结构方便出行与徒步，彰显都市机能美学。","refusal":null,"annotations":[]},"logprobs":null,"finish_reason":"stop"}],"usage":{"prompt_tokens":1299,"completion_tokens":63,"total_tokens":1362,"prompt_tokens_details":{"cached_tokens":0,"audio_tokens":0},"completion_tokens_details":{"reasoning_tokens":0,"audio_tokens":0,"accepted_prediction_tokens":0,"rejected_prediction_tokens":0}},"service_tier":"default","system_fingerprint":"fp_fd471178c5"}</t>
        </is>
      </c>
      <c r="X8" t="inlineStr">
        <is>
          <t>The North Face STREAM 12 黑色户外双肩背包，采用耐磨防泼尼龙材质，轻盈实用设计，极简风格适合男女通用，多层收纳结构方便出行与徒步，彰显都市机能美学。</t>
        </is>
      </c>
    </row>
    <row r="9" ht="25.5" customHeight="1">
      <c r="A9">
        <v>1654975475</v>
      </c>
      <c r="B9">
        <v>7626835888</v>
      </c>
      <c r="C9" s="2" t="str">
        <f>=HYPERLINK("https://weidian.com/item.html?itemID=7626835888", "https://weidian.com/item.html?itemID=7626835888")</f>
        <v>https://weidian.com/item.html?itemID=7626835888</v>
      </c>
      <c r="D9"/>
      <c r="E9" s="2" t="str">
        <f>=HYPERLINK("https://si.geilicdn.com/pcitem2014204438-48c50000019ae48f6c150a2304aa_1440_1920.jpg?w=640&amp;h=640", "https://si.geilicdn.com/pcitem2014204438-48c50000019ae48f6c150a2304aa_1440_1920.jpg?w=640&amp;h=640")</f>
        <v>https://si.geilicdn.com/pcitem2014204438-48c50000019ae48f6c150a2304aa_1440_1920.jpg?w=640&amp;h=640</v>
      </c>
      <c r="F9" t="inlineStr">
        <is>
          <t>Accessories</t>
        </is>
      </c>
      <c r="G9" t="inlineStr">
        <is>
          <t>Arc teryx</t>
        </is>
      </c>
      <c r="H9">
        <v>240</v>
      </c>
      <c r="I9">
        <v>34.78</v>
      </c>
      <c r="J9" t="inlineStr">
        <is>
          <t>{"id":"chatcmpl-DaAISzUNp0rmUIqzotyacnLs1aJyx","object":"chat.completion","created":1777511760,"model":"gpt-5-chat-2025-10-03","choices":[{"index":0,"message":{"role":"assistant","content":"Arc'teryx Stellar Purple Nylon Crossbody Bag","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fd471178c5"}</t>
        </is>
      </c>
      <c r="K9" t="inlineStr">
        <is>
          <t>Arc'teryx Stellar Purple Nylon Crossbody Bag</t>
        </is>
      </c>
      <c r="L9" t="inlineStr">
        <is>
          <t>{"id":"chatcmpl-DaA5HcFfqzjzfaRF5HHfAN6OdXpPj","object":"chat.completion","created":1777510943,"model":"gpt-5-chat-2025-10-03","choices":[{"index":0,"message":{"role":"assistant","content":"Arc'teryx Stellar Purple Lightweight Crossbody Bag, water-repellent nylon, minimalist design with iconic skeletal logo, unisex style for urban leisure and outdoor commuting, modern functional aesthetics.","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9" t="inlineStr">
        <is>
          <t>{"alt-svc":"h3=\":443\"; ma=2592000","apim-request-id":"ed7431a1-9c4b-4373-b14e-b4da2320c1a2","azureml-model-session":"d20260402075109-1fc5a0ec","cache-control":"no-cache","connection":"close","content-length":"1011","content-type":"application/json","date":"Thu, 30 Apr 2026 01:02:24 GMT","server":"Caddy","skip-error-remapping":"true","strict-transport-security":"max-age=31536000; includeSubDomains; preload","x-content-type-options":"nosniff","x-ms-client-request-id":"Not-Set","x-ms-is-spilled-over":"false","x-ms-rai-invoked":"false","x-ms-region":"North Central US","x-new-api-version":"0.4.35","x-oneapi-request-id":"202604300102223166795588268d9d6U27MPcMW","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a24916cf-178e-4602-82df-a46aa80a1458"}</t>
        </is>
      </c>
      <c r="N9" t="inlineStr">
        <is>
          <t>Arc'teryx Stellar Purple Lightweight Crossbody Bag, water-repellent nylon, minimalist design with iconic skeletal logo, unisex style for urban leisure and outdoor commuting, modern functional aesthetics.</t>
        </is>
      </c>
      <c r="O9" t="inlineStr">
        <is>
          <t>{"id":"chatcmpl-DaATTiz82vPh5CTSJx2K9aa3JRYBq","object":"chat.completion","created":1777512443,"model":"gpt-5-chat-2025-10-03","choices":[{"index":0,"message":{"role":"assistant","content":"Arc'teryx, Accessories, kakobuy, kakebuy2026, kekobuysheet, kakobuysheet2026, 2026kakobuy, kakobuyspreadsheet, kakobuylink, kakebuylist, Kakobuy MEGA Spreadsheet, kakobuysheetfind, kakobuysheetfind2026, 2026kakobuysheetfind, kakobuysheet2026","refusal":null,"annotations":[]},"logprobs":null,"finish_reason":"stop"}],"usage":{"prompt_tokens":784,"completion_tokens":91,"total_tokens":875,"prompt_tokens_details":{"cached_tokens":0,"audio_tokens":0},"completion_tokens_details":{"reasoning_tokens":0,"audio_tokens":0,"accepted_prediction_tokens":0,"rejected_prediction_tokens":0}},"service_tier":"default","system_fingerprint":"fp_fd471178c5"}</t>
        </is>
      </c>
      <c r="P9" t="inlineStr">
        <is>
          <t>Arc'teryx, Accessories, kakobuy, kakebuy2026, kekobuysheet, kakobuysheet2026, 2026kakobuy, kakobuyspreadsheet, kakobuylink, kakebuylist, Kakobuy MEGA Spreadsheet, kakobuysheetfind, kakobuysheetfind2026, 2026kakobuysheetfind, kakobuysheet2026</t>
        </is>
      </c>
      <c r="Q9"/>
      <c r="R9" t="inlineStr">
        <is>
          <t>recvhju1Cr7ShR</t>
        </is>
      </c>
      <c r="S9" t="inlineStr">
        <is>
          <t>arcteryx-stellar-purple-nylon-crossbody-recvhju1cr7shr</t>
        </is>
      </c>
      <c r="T9"/>
      <c r="U9"/>
      <c r="V9"/>
      <c r="W9" t="inlineStr">
        <is>
          <t>{"id":"chatcmpl-Da9uWvyeTFJcq1Wrv5O7cnLzIXf0m","object":"chat.completion","created":1777510276,"model":"gpt-5-chat-2025-10-03","choices":[{"index":0,"message":{"role":"assistant","content":"Arc'teryx 星际紫轻量斜挎包，防泼水尼龙材质，极简线条设计融合品牌标志性骨架图腾，男女皆宜，都市休闲与户外通勤兼备，彰显现代功能美学。","refusal":null,"annotations":[]},"logprobs":null,"finish_reason":"stop"}],"usage":{"prompt_tokens":1305,"completion_tokens":62,"total_tokens":1367,"prompt_tokens_details":{"cached_tokens":1280,"audio_tokens":0},"completion_tokens_details":{"reasoning_tokens":0,"audio_tokens":0,"accepted_prediction_tokens":0,"rejected_prediction_tokens":0}},"service_tier":"default","system_fingerprint":"fp_fd471178c5"}</t>
        </is>
      </c>
      <c r="X9" t="inlineStr">
        <is>
          <t>Arc'teryx 星际紫轻量斜挎包，防泼水尼龙材质，极简线条设计融合品牌标志性骨架图腾，男女皆宜，都市休闲与户外通勤兼备，彰显现代功能美学。</t>
        </is>
      </c>
    </row>
    <row r="10" ht="25.5" customHeight="1">
      <c r="A10">
        <v>1654975475</v>
      </c>
      <c r="B10">
        <v>7626868720</v>
      </c>
      <c r="C10" s="2" t="str">
        <f>=HYPERLINK("https://weidian.com/item.html?itemID=7626868720", "https://weidian.com/item.html?itemID=7626868720")</f>
        <v>https://weidian.com/item.html?itemID=7626868720</v>
      </c>
      <c r="D10"/>
      <c r="E10" s="2" t="str">
        <f>=HYPERLINK("https://si.geilicdn.com/pcitem2014204438-23ea0000019ae489854c0a21146b_1080_1440.jpg?w=640&amp;h=640", "https://si.geilicdn.com/pcitem2014204438-23ea0000019ae489854c0a21146b_1080_1440.jpg?w=640&amp;h=640")</f>
        <v>https://si.geilicdn.com/pcitem2014204438-23ea0000019ae489854c0a21146b_1080_1440.jpg?w=640&amp;h=640</v>
      </c>
      <c r="F10" t="inlineStr">
        <is>
          <t>Accessories</t>
        </is>
      </c>
      <c r="G10" t="inlineStr">
        <is>
          <t>Topologie</t>
        </is>
      </c>
      <c r="H10">
        <v>260</v>
      </c>
      <c r="I10">
        <v>37.68</v>
      </c>
      <c r="J10" t="inlineStr">
        <is>
          <t>{"id":"chatcmpl-DaAJJKAUEpAoIDjGSIUrBBM3hRTuP","object":"chat.completion","created":1777511813,"model":"gpt-5-chat-2025-10-03","choices":[{"index":0,"message":{"role":"assistant","content":"Topologie Lago Black Waterproof Urban Lightweight Backpack","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10" t="inlineStr">
        <is>
          <t>Topologie Lago Black Waterproof Urban Lightweight Backpack</t>
        </is>
      </c>
      <c r="L10" t="inlineStr">
        <is>
          <t>{"id":"chatcmpl-DaAEGhFKgZxEyTRuJTGEZUED6p2hz","object":"chat.completion","created":1777511500,"model":"gpt-5-chat-2025-10-03","choices":[{"index":0,"message":{"role":"assistant","content":"Topologie Lago Series Black Urban Lightweight Backpack—made of waterproof nylon with sleek curved design, unisex and minimalist, combining storage and comfort for modern practical style.","refusal":null,"annotations":[]},"logprobs":null,"finish_reason":"stop"}],"usage":{"prompt_tokens":889,"completion_tokens":33,"total_tokens":922,"prompt_tokens_details":{"cached_tokens":0,"audio_tokens":0},"completion_tokens_details":{"reasoning_tokens":0,"audio_tokens":0,"accepted_prediction_tokens":0,"rejected_prediction_tokens":0}},"service_tier":"default","system_fingerprint":"fp_fd471178c5"}</t>
        </is>
      </c>
      <c r="M10" t="inlineStr">
        <is>
          <t>{"alt-svc":"h3=\":443\"; ma=2592000","apim-request-id":"790b758a-578a-47a2-afc7-f7c740975dfd","azureml-model-session":"d20260428165144-a78ba574","cache-control":"no-cache","connection":"close","content-length":"996","content-type":"application/json","date":"Thu, 30 Apr 2026 01:11:40 GMT","server":"Caddy","skip-error-remapping":"true","strict-transport-security":"max-age=31536000; includeSubDomains; preload","x-content-type-options":"nosniff","x-ms-client-request-id":"Not-Set","x-ms-is-spilled-over":"false","x-ms-rai-invoked":"false","x-ms-region":"North Central US","x-new-api-version":"0.4.35","x-oneapi-request-id":"202604300111389627534818268d9d645BgzSBf","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28a95feb-cec7-4313-a9e7-4cf818aceead"}</t>
        </is>
      </c>
      <c r="N10" t="inlineStr">
        <is>
          <t>Topologie Lago Series Black Urban Lightweight Backpack—made of waterproof nylon with sleek curved design, unisex and minimalist, combining storage and comfort for modern practical style.</t>
        </is>
      </c>
      <c r="O10" t="inlineStr">
        <is>
          <t>{"id":"chatcmpl-DaAUtiSlBzk1AFZCz1RxDtb7Y9a0z","object":"chat.completion","created":1777512531,"model":"gpt-5-chat-2025-10-03","choices":[{"index":0,"message":{"role":"assistant","content":"Topologie,Backpac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fd471178c5"}</t>
        </is>
      </c>
      <c r="P10" t="inlineStr">
        <is>
          <t>Topologie,Backpack,kakobuy,kakebuy2026,kekobuysheet,kakobuysheet2026,2026kakobuy,kakobuyspreadsheeet,kakobuylink,kakebuylist,Kakobuy MEGA Spreadsheet,kakobuysheetfind,kakobuysheetfind2026,2026kakobuysheetfind,kakobuysheet2026</t>
        </is>
      </c>
      <c r="Q10" t="inlineStr">
        <is>
          <t>Backpack, Waterproof, Unisex, Minimalist, Nylon, Lightweight</t>
        </is>
      </c>
      <c r="R10" t="inlineStr">
        <is>
          <t>recvhju1Crphq6</t>
        </is>
      </c>
      <c r="S10" t="inlineStr">
        <is>
          <t>lago-black-waterproof-urban-backpack-recvhju1crphq6</t>
        </is>
      </c>
      <c r="T10"/>
      <c r="U10"/>
      <c r="V10"/>
      <c r="W10" t="inlineStr">
        <is>
          <t>{"id":"chatcmpl-Da9rBJ1hiFfOr2VPYyhy8Ts5TnICj","object":"chat.completion","created":1777510069,"model":"gpt-5-chat-2025-10-03","choices":[{"index":0,"message":{"role":"assistant","content":"Topologie：Lago系列黑色都市轻盈背包，采用防水尼龙材质，简约弧线设计，男女皆宜，现代极简风格，兼具收纳与舒适功能，彰显实用美学。","refusal":null,"annotations":[]},"logprobs":null,"finish_reason":"stop"}],"usage":{"prompt_tokens":1299,"completion_tokens":56,"total_tokens":1355,"prompt_tokens_details":{"cached_tokens":0,"audio_tokens":0},"completion_tokens_details":{"reasoning_tokens":0,"audio_tokens":0,"accepted_prediction_tokens":0,"rejected_prediction_tokens":0}},"service_tier":"default","system_fingerprint":"fp_fd471178c5"}</t>
        </is>
      </c>
      <c r="X10" t="inlineStr">
        <is>
          <t>Topologie：Lago系列黑色都市轻盈背包，采用防水尼龙材质，简约弧线设计，男女皆宜，现代极简风格，兼具收纳与舒适功能，彰显实用美学。</t>
        </is>
      </c>
    </row>
    <row r="11" ht="25.5" customHeight="1">
      <c r="A11">
        <v>1654975475</v>
      </c>
      <c r="B11">
        <v>7623803593</v>
      </c>
      <c r="C11" s="2" t="str">
        <f>=HYPERLINK("https://weidian.com/item.html?itemID=7623803593", "https://weidian.com/item.html?itemID=7623803593")</f>
        <v>https://weidian.com/item.html?itemID=7623803593</v>
      </c>
      <c r="D11"/>
      <c r="E11" s="2" t="str">
        <f>=HYPERLINK("https://si.geilicdn.com/pcitem2014204438-5a2e0000019ae4841b260a20e273_1320_1338.jpg?w=640&amp;h=640", "https://si.geilicdn.com/pcitem2014204438-5a2e0000019ae4841b260a20e273_1320_1338.jpg?w=640&amp;h=640")</f>
        <v>https://si.geilicdn.com/pcitem2014204438-5a2e0000019ae4841b260a20e273_1320_1338.jpg?w=640&amp;h=640</v>
      </c>
      <c r="F11" t="inlineStr">
        <is>
          <t>Accessories</t>
        </is>
      </c>
      <c r="G11" t="inlineStr">
        <is>
          <t>Cotopaxi</t>
        </is>
      </c>
      <c r="H11">
        <v>156</v>
      </c>
      <c r="I11">
        <v>22.61</v>
      </c>
      <c r="J11" t="inlineStr">
        <is>
          <t>{"id":"chatcmpl-DaAIagn5wPXLCwxCTJyHrsJ2OsC5X","object":"chat.completion","created":1777511768,"model":"gpt-5-chat-2025-10-03","choices":[{"index":0,"message":{"role":"assistant","content":"Cotopaxi Lago Waterproof Travel Toiletry Bag","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fd471178c5"}</t>
        </is>
      </c>
      <c r="K11" t="inlineStr">
        <is>
          <t>Cotopaxi Lago Waterproof Travel Toiletry Bag</t>
        </is>
      </c>
      <c r="L11" t="inlineStr">
        <is>
          <t>{"id":"chatcmpl-DaA5HhfYd5JB13pWvlYtcNAwFNns4","object":"chat.completion","created":1777510943,"model":"gpt-5-chat-2025-10-03","choices":[{"index":0,"message":{"role":"assistant","content":"Cotopaxi Lago Toiletry Bag – Lightweight waterproof nylon with vibrant color-block design, perfect for travel, outdoor adventures, and everyday use for men and women.","refusal":null,"annotations":[]},"logprobs":null,"finish_reason":"stop"}],"usage":{"prompt_tokens":881,"completion_tokens":33,"total_tokens":914,"prompt_tokens_details":{"cached_tokens":0,"audio_tokens":0},"completion_tokens_details":{"reasoning_tokens":0,"audio_tokens":0,"accepted_prediction_tokens":0,"rejected_prediction_tokens":0}},"service_tier":"default","system_fingerprint":"fp_ad66631dec"}</t>
        </is>
      </c>
      <c r="M11" t="inlineStr">
        <is>
          <t>{"alt-svc":"h3=\":443\"; ma=2592000","apim-request-id":"dfe545b6-172c-427f-b891-569c5e53a3e8","azureml-model-session":"d20260402083108-57a85543","cache-control":"no-cache","connection":"close","content-length":"976","content-type":"application/json","date":"Thu, 30 Apr 2026 01:02:24 GMT","server":"Caddy","skip-error-remapping":"true","strict-transport-security":"max-age=31536000; includeSubDomains; preload","x-content-type-options":"nosniff","x-ms-client-request-id":"Not-Set","x-ms-is-spilled-over":"false","x-ms-rai-invoked":"false","x-ms-region":"East US 2","x-new-api-version":"0.4.35","x-oneapi-request-id":"202604300102225867997548268d9d6jpjFOxOE","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92344457-2549-47ad-b84d-673afd0700ea"}</t>
        </is>
      </c>
      <c r="N11" t="inlineStr">
        <is>
          <t>Cotopaxi Lago Toiletry Bag – Lightweight waterproof nylon with vibrant color-block design, perfect for travel, outdoor adventures, and everyday use for men and women.</t>
        </is>
      </c>
      <c r="O11" t="inlineStr">
        <is>
          <t>{"id":"chatcmpl-DaAT6sds27dE19IjCZ383XtX8ufwX","object":"chat.completion","created":1777512420,"model":"gpt-5-chat-2025-10-03","choices":[{"index":0,"message":{"role":"assistant","content":"Cotopaxi,Wash bag,kakobuy,kakebuy2026,kekobuysheet,kakobuysheet2026,2026kakobuy,kakobuyspreadsheeet,kakobuylink,kakebuylist,Kakobuy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fd471178c5"}</t>
        </is>
      </c>
      <c r="P11" t="inlineStr">
        <is>
          <t>Cotopaxi,Wash bag,kakobuy,kakebuy2026,kekobuysheet,kakobuysheet2026,2026kakobuy,kakobuyspreadsheeet,kakobuylink,kakebuylist,Kakobuy MEGA Spreadsheet,kakobuysheetfind,kakobuysheetfind2026,2026kakobuysheetfind,kakobuysheet2026</t>
        </is>
      </c>
      <c r="Q11" t="inlineStr">
        <is>
          <t>Waterproof, Nylon, Color Block, Unisex, Lightweight, Outdoor</t>
        </is>
      </c>
      <c r="R11" t="inlineStr">
        <is>
          <t>recvhju1CrWr6C</t>
        </is>
      </c>
      <c r="S11" t="inlineStr">
        <is>
          <t>cotopaxi-lago-waterproof-travel-toiletry-bag-recvhju1crwr6c</t>
        </is>
      </c>
      <c r="T11"/>
      <c r="U11"/>
      <c r="V11"/>
      <c r="W11" t="inlineStr">
        <is>
          <t>{"id":"chatcmpl-Da9nRkE3tflDSUN2OWTHcWf82jlNC","object":"chat.completion","created":1777509837,"model":"gpt-5-chat-2025-10-03","choices":[{"index":0,"message":{"role":"assistant","content":"Cotopaxi：Lago系列多彩尼龙洗漱包，轻盈防水材质，撞色拼接设计，户外旅行男女通用，充满活力与现代感。","refusal":null,"annotations":[]},"logprobs":null,"finish_reason":"stop"}],"usage":{"prompt_tokens":1305,"completion_tokens":45,"total_tokens":1350,"prompt_tokens_details":{"cached_tokens":0,"audio_tokens":0},"completion_tokens_details":{"reasoning_tokens":0,"audio_tokens":0,"accepted_prediction_tokens":0,"rejected_prediction_tokens":0}},"service_tier":"default","system_fingerprint":"fp_fd471178c5"}</t>
        </is>
      </c>
      <c r="X11" t="inlineStr">
        <is>
          <t>Cotopaxi：Lago系列多彩尼龙洗漱包，轻盈防水材质，撞色拼接设计，户外旅行男女通用，充满活力与现代感。</t>
        </is>
      </c>
    </row>
    <row r="12" ht="25.5" customHeight="1">
      <c r="A12">
        <v>1654975475</v>
      </c>
      <c r="B12">
        <v>7626751036</v>
      </c>
      <c r="C12" s="2" t="str">
        <f>=HYPERLINK("https://weidian.com/item.html?itemID=7626751036", "https://weidian.com/item.html?itemID=7626751036")</f>
        <v>https://weidian.com/item.html?itemID=7626751036</v>
      </c>
      <c r="D12"/>
      <c r="E12" s="2" t="str">
        <f>=HYPERLINK("https://si.geilicdn.com/pcitem2014204438-664c0000019ae481fd650a230115_1440_1920.jpg?w=640&amp;h=640", "https://si.geilicdn.com/pcitem2014204438-664c0000019ae481fd650a230115_1440_1920.jpg?w=640&amp;h=640")</f>
        <v>https://si.geilicdn.com/pcitem2014204438-664c0000019ae481fd650a230115_1440_1920.jpg?w=640&amp;h=640</v>
      </c>
      <c r="F12" t="inlineStr">
        <is>
          <t>Accessories</t>
        </is>
      </c>
      <c r="G12" t="inlineStr">
        <is>
          <t>TUMI</t>
        </is>
      </c>
      <c r="H12">
        <v>450</v>
      </c>
      <c r="I12">
        <v>65.22</v>
      </c>
      <c r="J12" t="inlineStr">
        <is>
          <t>{"id":"chatcmpl-DaAL8OmAeW4VgoBSNnBmjk6J080Pi","object":"chat.completion","created":1777511926,"model":"gpt-5-chat-2025-10-03","choices":[{"index":0,"message":{"role":"assistant","content":"TUMI Alpha 3 Black Red Business Travel Backpack","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fd471178c5"}</t>
        </is>
      </c>
      <c r="K12" t="inlineStr">
        <is>
          <t>TUMI Alpha 3 Black Red Business Travel Backpack</t>
        </is>
      </c>
      <c r="L12" t="inlineStr">
        <is>
          <t>{"id":"chatcmpl-DaABo1yaiRFPRdpbeVc5HGpQyg3oi","object":"chat.completion","created":1777511348,"model":"gpt-5-chat-2025-10-03","choices":[{"index":0,"message":{"role":"assistant","content":"TUMI Alpha 3 Black Red Business Backpack, crafted from durable ballistic nylon, features multi-layer storage, padded straps, and a sleek modern design for professional commuting and travel.","refusal":null,"annotations":[]},"logprobs":null,"finish_reason":"stop"}],"usage":{"prompt_tokens":920,"completion_tokens":37,"total_tokens":957,"prompt_tokens_details":{"cached_tokens":0,"audio_tokens":0},"completion_tokens_details":{"reasoning_tokens":0,"audio_tokens":0,"accepted_prediction_tokens":0,"rejected_prediction_tokens":0}},"service_tier":"default","system_fingerprint":"fp_fd471178c5"}</t>
        </is>
      </c>
      <c r="M12" t="inlineStr">
        <is>
          <t>{"alt-svc":"h3=\":443\"; ma=2592000","apim-request-id":"38cdd9d0-447a-45b4-9e18-6e20b0fee60b","azureml-model-session":"d20260428174121-807d9cc5","cache-control":"no-cache","connection":"close","content-length":"997","content-type":"application/json","date":"Thu, 30 Apr 2026 01:09:10 GMT","server":"Caddy","skip-error-remapping":"true","strict-transport-security":"max-age=31536000; includeSubDomains; preload","x-content-type-options":"nosniff","x-ms-client-request-id":"Not-Set","x-ms-is-spilled-over":"false","x-ms-rai-invoked":"false","x-ms-region":"Poland Central","x-new-api-version":"0.4.35","x-oneapi-request-id":"202604300109074050317708268d9d6UPFCvRXO","x-ratelimit-abusepenalty-active":"False","x-ratelimit-key":"gpt-5-chat-global","x-ratelimit-limit-requests":"1000","x-ratelimit-limit-tokens":"1000000","x-ratelimit-remaining-requests":"999","x-ratelimit-remaining-tokens":"998318","x-ratelimit-renewalperiod-requests":"60","x-ratelimit-renewalperiod-tokens":"60","x-ratelimit-reset-requests":"60","x-ratelimit-reset-tokens":"100","x-request-id":"95a57afe-ab2e-489c-838f-a6cfd686a17b"}</t>
        </is>
      </c>
      <c r="N12" t="inlineStr">
        <is>
          <t>TUMI Alpha 3 Black Red Business Backpack, crafted from durable ballistic nylon, features multi-layer storage, padded straps, and a sleek modern design for professional commuting and travel.</t>
        </is>
      </c>
      <c r="O12" t="inlineStr">
        <is>
          <t>{"id":"chatcmpl-DaAWQPvTnFNunZdtWYtllYMeqFbsU","object":"chat.completion","created":1777512626,"model":"gpt-5-chat-2025-10-03","choices":[{"index":0,"message":{"role":"assistant","content":"TUMI,Backpack,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fd471178c5"}</t>
        </is>
      </c>
      <c r="P12" t="inlineStr">
        <is>
          <t>TUMI,Backpack,kakobuy,kakebuy2026,kekobuysheet,kakobuysheet2026,2026kakobuy,kakobuyspreadsheeet,kakobuylink,kakebuylist,Kakobuy MEGA Spreadsheet,kakobuysheetfind,kakobuysheetfind2026,2026kakobuysheetfind,kakobuysheet2026</t>
        </is>
      </c>
      <c r="Q12" t="inlineStr">
        <is>
          <t>Backpack, Business, Black Red, Nylon, Modern, Men's And Women's</t>
        </is>
      </c>
      <c r="R12" t="inlineStr">
        <is>
          <t>recvhju1CrUZn5</t>
        </is>
      </c>
      <c r="S12" t="inlineStr">
        <is>
          <t>tumi-alpha3-black-red-business-travel-backpack-recvhju1cr uzn5</t>
        </is>
      </c>
      <c r="T12"/>
      <c r="U12"/>
      <c r="V12"/>
      <c r="W12" t="inlineStr">
        <is>
          <t>{"id":"chatcmpl-Da9szE1KjSYVicbaaMqMqe70TxgfC","object":"chat.completion","created":1777510181,"model":"gpt-5-chat-2025-10-03","choices":[{"index":0,"message":{"role":"assistant","content":"TUMI：Alpha 3黑红配色商务双肩包，甄选耐磨弹道尼龙材质，结构坚固兼具轻盈质感。多层收纳设计与加厚背带提升实用舒适度，适合男女通勤及旅行。现代简约风格融合品牌标志性精工细节，尽显专业气质与都市格调。","refusal":null,"annotations":[]},"logprobs":null,"finish_reason":"stop"}],"usage":{"prompt_tokens":1297,"completion_tokens":89,"total_tokens":1386,"prompt_tokens_details":{"cached_tokens":0,"audio_tokens":0},"completion_tokens_details":{"reasoning_tokens":0,"audio_tokens":0,"accepted_prediction_tokens":0,"rejected_prediction_tokens":0}},"service_tier":"default","system_fingerprint":"fp_fd471178c5"}</t>
        </is>
      </c>
      <c r="X12" t="inlineStr">
        <is>
          <t>TUMI：Alpha 3黑红配色商务双肩包，甄选耐磨弹道尼龙材质，结构坚固兼具轻盈质感。多层收纳设计与加厚背带提升实用舒适度，适合男女通勤及旅行。现代简约风格融合品牌标志性精工细节，尽显专业气质与都市格调。</t>
        </is>
      </c>
    </row>
    <row r="13" ht="25.5" customHeight="1">
      <c r="A13">
        <v>1654975475</v>
      </c>
      <c r="B13">
        <v>7626064772</v>
      </c>
      <c r="C13" s="2" t="str">
        <f>=HYPERLINK("https://weidian.com/item.html?itemID=7626064772", "https://weidian.com/item.html?itemID=7626064772")</f>
        <v>https://weidian.com/item.html?itemID=7626064772</v>
      </c>
      <c r="D13"/>
      <c r="E13" s="2" t="str">
        <f>=HYPERLINK("https://si.geilicdn.com/pcitem2014204438-52a90000019ade15b0ef0a2315ef_1440_1920.jpg?w=640&amp;h=640", "https://si.geilicdn.com/pcitem2014204438-52a90000019ade15b0ef0a2315ef_1440_1920.jpg?w=640&amp;h=640")</f>
        <v>https://si.geilicdn.com/pcitem2014204438-52a90000019ade15b0ef0a2315ef_1440_1920.jpg?w=640&amp;h=640</v>
      </c>
      <c r="F13" t="inlineStr">
        <is>
          <t>Glasses</t>
        </is>
      </c>
      <c r="G13" t="inlineStr">
        <is>
          <t>Tiffany</t>
        </is>
      </c>
      <c r="H13">
        <v>390</v>
      </c>
      <c r="I13">
        <v>56.52</v>
      </c>
      <c r="J13" t="inlineStr">
        <is>
          <t>{"id":"chatcmpl-DaALDLNsXEOwmY7oEFLkBmpqPGLA9","object":"chat.completion","created":1777511931,"model":"gpt-5-chat-2025-10-03","choices":[{"index":0,"message":{"role":"assistant","content":"Tiffany &amp; Co Black Square Acetate UV Sunglasses","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13" t="inlineStr">
        <is>
          <t>Tiffany &amp; Co Black Square Acetate UV Sunglasses</t>
        </is>
      </c>
      <c r="L13" t="inlineStr">
        <is>
          <t>{"id":"chatcmpl-DaA6oRAx7jBnAxb7zSvGIh5sbnpAF","object":"chat.completion","created":1777511038,"model":"gpt-5-chat-2025-10-03","choices":[{"index":0,"message":{"role":"assistant","content":"Tiffany &amp; Co. Black Square Sunglasses, crafted from premium acetate with UV-protection gray lenses and signature blue metal heart detail, offering timeless elegance and unisex modern luxury.","refusal":null,"annotations":[]},"logprobs":null,"finish_reason":"stop"}],"usage":{"prompt_tokens":916,"completion_tokens":37,"total_tokens":953,"prompt_tokens_details":{"cached_tokens":0,"audio_tokens":0},"completion_tokens_details":{"reasoning_tokens":0,"audio_tokens":0,"accepted_prediction_tokens":0,"rejected_prediction_tokens":0}},"service_tier":"default","system_fingerprint":"fp_fd471178c5"}</t>
        </is>
      </c>
      <c r="M13" t="inlineStr">
        <is>
          <t>{"alt-svc":"h3=\":443\"; ma=2592000","apim-request-id":"2858407c-5579-42bb-9799-a82297def05a","azureml-model-session":"d20260428165144-a78ba574","cache-control":"no-cache","connection":"close","content-length":"998","content-type":"application/json","date":"Thu, 30 Apr 2026 01:03:59 GMT","server":"Caddy","skip-error-remapping":"true","strict-transport-security":"max-age=31536000; includeSubDomains; preload","x-content-type-options":"nosniff","x-ms-client-request-id":"Not-Set","x-ms-is-spilled-over":"false","x-ms-rai-invoked":"false","x-ms-region":"North Central US","x-new-api-version":"0.4.35","x-oneapi-request-id":"202604300103572508154208268d9d64RuCQurT","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b1f475a5-c987-4238-a361-50439bc1920d"}</t>
        </is>
      </c>
      <c r="N13" t="inlineStr">
        <is>
          <t>Tiffany &amp; Co. Black Square Sunglasses, crafted from premium acetate with UV-protection gray lenses and signature blue metal heart detail, offering timeless elegance and unisex modern luxury.</t>
        </is>
      </c>
      <c r="O13" t="inlineStr">
        <is>
          <t>{"id":"chatcmpl-DaASbbrbQVv08J884ZeSnaIPI5ezz","object":"chat.completion","created":1777512389,"model":"gpt-5-chat-2025-10-03","choices":[{"index":0,"message":{"role":"assistant","content":"Tiffany &amp; Co,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93,"total_tokens":876,"prompt_tokens_details":{"cached_tokens":0,"audio_tokens":0},"completion_tokens_details":{"reasoning_tokens":0,"audio_tokens":0,"accepted_prediction_tokens":0,"rejected_prediction_tokens":0}},"service_tier":"default","system_fingerprint":"fp_ad66631dec"}</t>
        </is>
      </c>
      <c r="P13" t="inlineStr">
        <is>
          <t>Tiffany &amp; Co, sunglasses, kakobuy, kakebuy2026, kekobuysheet, kakobuysheet2026, 2026kakobuy, kakobuyspreadsheeet, kakobuylink, kakebuylist, Kakobuy MEGA Spreadsheet, kakobuysheetfind, kakobuysheetfind2026, 2026kakobuysheetfind, kakobuysheet2026</t>
        </is>
      </c>
      <c r="Q13"/>
      <c r="R13" t="inlineStr">
        <is>
          <t>recvhju1Crc36g</t>
        </is>
      </c>
      <c r="S13" t="inlineStr">
        <is>
          <t>tiffany-black-square-acetate-uv-sunglasses-recvhju1crc36g</t>
        </is>
      </c>
      <c r="T13"/>
      <c r="U13"/>
      <c r="V13"/>
      <c r="W13" t="inlineStr">
        <is>
          <t>{"id":"chatcmpl-Da9qBAyilDof2FvzDeZOEKgylflTC","object":"chat.completion","created":1777510007,"model":"gpt-5-chat-2025-10-03","choices":[{"index":0,"message":{"role":"assistant","content":"Tiffany &amp; Co.黑色方框太阳镜，采用高级醋酸纤维镜架与防紫外线灰色镜片，侧边饰以经典蓝色金属心形标识，展现优雅与现代感。简约奢华设计适合男女通用，彰显品牌百年精工与都市时尚品味。","refusal":null,"annotations":[]},"logprobs":null,"finish_reason":"stop"}],"usage":{"prompt_tokens":1302,"completion_tokens":81,"total_tokens":1383,"prompt_tokens_details":{"cached_tokens":0,"audio_tokens":0},"completion_tokens_details":{"reasoning_tokens":0,"audio_tokens":0,"accepted_prediction_tokens":0,"rejected_prediction_tokens":0}},"service_tier":"default","system_fingerprint":"fp_fd471178c5"}</t>
        </is>
      </c>
      <c r="X13" t="inlineStr">
        <is>
          <t>Tiffany &amp; Co.黑色方框太阳镜，采用高级醋酸纤维镜架与防紫外线灰色镜片，侧边饰以经典蓝色金属心形标识，展现优雅与现代感。简约奢华设计适合男女通用，彰显品牌百年精工与都市时尚品味。</t>
        </is>
      </c>
    </row>
    <row r="14" ht="25.5" customHeight="1">
      <c r="A14">
        <v>1654975475</v>
      </c>
      <c r="B14">
        <v>7623115905</v>
      </c>
      <c r="C14" s="2" t="str">
        <f>=HYPERLINK("https://weidian.com/item.html?itemID=7623115905", "https://weidian.com/item.html?itemID=7623115905")</f>
        <v>https://weidian.com/item.html?itemID=7623115905</v>
      </c>
      <c r="D14"/>
      <c r="E14" s="2" t="str">
        <f>=HYPERLINK("https://si.geilicdn.com/pcitem2014204438-45f20000019ade131bb60a20e284_1440_1920.jpg?w=640&amp;h=640", "https://si.geilicdn.com/pcitem2014204438-45f20000019ade131bb60a20e284_1440_1920.jpg?w=640&amp;h=640")</f>
        <v>https://si.geilicdn.com/pcitem2014204438-45f20000019ade131bb60a20e284_1440_1920.jpg?w=640&amp;h=640</v>
      </c>
      <c r="F14" t="inlineStr">
        <is>
          <t>Glasses</t>
        </is>
      </c>
      <c r="G14" t="inlineStr">
        <is>
          <t>Chanel</t>
        </is>
      </c>
      <c r="H14">
        <v>360</v>
      </c>
      <c r="I14">
        <v>52.17</v>
      </c>
      <c r="J14" t="inlineStr">
        <is>
          <t>{"id":"chatcmpl-DaAICU8gHTkgX0nXitv8g9tkJeJ1x","object":"chat.completion","created":1777511744,"model":"gpt-5-chat-2025-10-03","choices":[{"index":0,"message":{"role":"assistant","content":"Chanel Pink Purple Gradient Metal Frame UV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4" t="inlineStr">
        <is>
          <t>Chanel Pink Purple Gradient Metal Frame UV Sunglasses</t>
        </is>
      </c>
      <c r="L14" t="inlineStr">
        <is>
          <t>{"id":"chatcmpl-DaA4qSOusOLQS1BUaiBHzSNx3Fzyu","object":"chat.completion","created":1777510916,"model":"gpt-5-chat-2025-10-03","choices":[{"index":0,"message":{"role":"assistant","content":"Chanel Pink Purple Gradient Metal Frame Sunglasses feature a lightweight design, UV protection, elegant feminine charm, and a blend of modern minimalism with retro chic for city and vacation wear.","refusal":null,"annotations":[]},"logprobs":null,"finish_reason":"stop"}],"usage":{"prompt_tokens":895,"completion_tokens":38,"total_tokens":933,"prompt_tokens_details":{"cached_tokens":0,"audio_tokens":0},"completion_tokens_details":{"reasoning_tokens":0,"audio_tokens":0,"accepted_prediction_tokens":0,"rejected_prediction_tokens":0}},"service_tier":"default","system_fingerprint":"fp_ad66631dec"}</t>
        </is>
      </c>
      <c r="M14" t="inlineStr">
        <is>
          <t>{"alt-svc":"h3=\":443\"; ma=2592000","apim-request-id":"91a89112-2efd-4f02-b1e8-453745fd85a4","azureml-model-session":"d20260402084046-4209e968","cache-control":"no-cache","connection":"close","content-length":"1004","content-type":"application/json","date":"Thu, 30 Apr 2026 01:01:57 GMT","server":"nginx","skip-error-remapping":"true","strict-transport-security":"max-age=31536000; includeSubDomains; preload","via":"1.1 Caddy","x-content-type-options":"nosniff","x-ms-client-request-id":"Not-Set","x-ms-is-spilled-over":"false","x-ms-rai-invoked":"false","x-ms-region":"East US 2","x-new-api-version":"0.4.35","x-oneapi-request-id":"202604300101555286248268d9d6euLhlkXU","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a53e0e69-a296-42fa-b92c-c282af8e712d"}</t>
        </is>
      </c>
      <c r="N14" t="inlineStr">
        <is>
          <t>Chanel Pink Purple Gradient Metal Frame Sunglasses feature a lightweight design, UV protection, elegant feminine charm, and a blend of modern minimalism with retro chic for city and vacation wear.</t>
        </is>
      </c>
      <c r="O14" t="inlineStr">
        <is>
          <t>{"id":"chatcmpl-DaAVxbVRz30s4ZnH186DGBsR0EC1r","object":"chat.completion","created":1777512597,"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4" t="inlineStr">
        <is>
          <t>Chanel,Glasses,kakobuy,kakebuy2026,kekobuysheet,kakobuysheet2026,2026kakobuy,kakobuyspreadsheeet,kakobuylink,kakebuylist,Kakobuy MEGA Spreadsheet,kakobuysheetfind,kakobuysheetfind2026,2026kakobuysheetfind,kakobuysheet2026</t>
        </is>
      </c>
      <c r="Q14" t="inlineStr">
        <is>
          <t>Chanel, Pink, Purple, Gradient, Lightweight, Anti-Ultraviolet</t>
        </is>
      </c>
      <c r="R14" t="inlineStr">
        <is>
          <t>recvhju1CriibL</t>
        </is>
      </c>
      <c r="S14" t="inlineStr">
        <is>
          <t>chanel-pink-purple-gradient-metal-uv-sunglasses-recvhju1criibL</t>
        </is>
      </c>
      <c r="T14"/>
      <c r="U14"/>
      <c r="V14"/>
      <c r="W14" t="inlineStr">
        <is>
          <t>{"id":"chatcmpl-Da9tKShy1oZpQ0cPl1OMXQkjzdFed","object":"chat.completion","created":1777510202,"model":"gpt-5-chat-2025-10-03","choices":[{"index":0,"message":{"role":"assistant","content":"Chanel：紫粉色金属框太阳镜，轻盈镜架搭配渐变镜片设计，彰显优雅女性魅力，融合现代简约与复古时尚，防紫外线功能卓越，适合都市休闲与度假穿搭。","refusal":null,"annotations":[]},"logprobs":null,"finish_reason":"stop"}],"usage":{"prompt_tokens":1298,"completion_tokens":62,"total_tokens":1360,"prompt_tokens_details":{"cached_tokens":0,"audio_tokens":0},"completion_tokens_details":{"reasoning_tokens":0,"audio_tokens":0,"accepted_prediction_tokens":0,"rejected_prediction_tokens":0}},"service_tier":"default","system_fingerprint":"fp_fd471178c5"}</t>
        </is>
      </c>
      <c r="X14" t="inlineStr">
        <is>
          <t>Chanel：紫粉色金属框太阳镜，轻盈镜架搭配渐变镜片设计，彰显优雅女性魅力，融合现代简约与复古时尚，防紫外线功能卓越，适合都市休闲与度假穿搭。</t>
        </is>
      </c>
    </row>
    <row r="15" ht="25.5" customHeight="1">
      <c r="A15">
        <v>1654975475</v>
      </c>
      <c r="B15">
        <v>7626099786</v>
      </c>
      <c r="C15" s="2" t="str">
        <f>=HYPERLINK("https://weidian.com/item.html?itemID=7626099786", "https://weidian.com/item.html?itemID=7626099786")</f>
        <v>https://weidian.com/item.html?itemID=7626099786</v>
      </c>
      <c r="D15"/>
      <c r="E15" s="2" t="str">
        <f>=HYPERLINK("https://si.geilicdn.com/pcitem2014204438-798b0000019ade0737b80a21146b_1440_1920.jpg?w=640&amp;h=640", "https://si.geilicdn.com/pcitem2014204438-798b0000019ade0737b80a21146b_1440_1920.jpg?w=640&amp;h=640")</f>
        <v>https://si.geilicdn.com/pcitem2014204438-798b0000019ade0737b80a21146b_1440_1920.jpg?w=640&amp;h=640</v>
      </c>
      <c r="F15" t="inlineStr">
        <is>
          <t>Glasses</t>
        </is>
      </c>
      <c r="G15" t="inlineStr">
        <is>
          <t>Louis Vuitton</t>
        </is>
      </c>
      <c r="H15">
        <v>350</v>
      </c>
      <c r="I15">
        <v>50.72</v>
      </c>
      <c r="J15" t="inlineStr">
        <is>
          <t>{"id":"chatcmpl-DaAKDLuUd9eoDHe4M7ju8ojxNuhJu","object":"chat.completion","created":1777511869,"model":"gpt-5-chat-2025-10-03","choices":[{"index":0,"message":{"role":"assistant","content":"Louis Vuitton Monogram Square Brown Luxury Sunglass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5" t="inlineStr">
        <is>
          <t>Louis Vuitton Monogram Square Brown Luxury Sunglasses</t>
        </is>
      </c>
      <c r="L15" t="inlineStr">
        <is>
          <t>{"id":"chatcmpl-DaABOtBg5I4zRwfk7NbVOg7joJwpd","object":"chat.completion","created":1777511322,"model":"gpt-5-chat-2025-10-03","choices":[{"index":0,"message":{"role":"assistant","content":"Louis Vuitton Monogram Square Brown Sunglasses feature high-transparency resin lenses and metal temples with iconic LV gold logo, offering a sleek, luxury design for men and women with timeless urban style.","refusal":null,"annotations":[]},"logprobs":null,"finish_reason":"stop"}],"usage":{"prompt_tokens":924,"completion_tokens":39,"total_tokens":963,"prompt_tokens_details":{"cached_tokens":0,"audio_tokens":0},"completion_tokens_details":{"reasoning_tokens":0,"audio_tokens":0,"accepted_prediction_tokens":0,"rejected_prediction_tokens":0}},"service_tier":"default","system_fingerprint":"fp_fd471178c5"}</t>
        </is>
      </c>
      <c r="M15" t="inlineStr">
        <is>
          <t>{"alt-svc":"h3=\":443\"; ma=2592000","apim-request-id":"4b7b44dc-cf3e-4c3e-a085-4c9549ef14cd","azureml-model-session":"d20260428205641-55ca9797","cache-control":"no-cache","connection":"close","content-length":"1014","content-type":"application/json","date":"Thu, 30 Apr 2026 01:08:44 GMT","server":"Caddy","skip-error-remapping":"true","strict-transport-security":"max-age=31536000; includeSubDomains; preload","x-content-type-options":"nosniff","x-ms-client-request-id":"Not-Set","x-ms-is-spilled-over":"false","x-ms-rai-invoked":"false","x-ms-region":"Poland Central","x-new-api-version":"0.4.35","x-oneapi-request-id":"202604300108414093393748268d9d693zXa5mV","x-ratelimit-abusepenalty-active":"False","x-ratelimit-key":"gpt-5-chat-global","x-ratelimit-limit-requests":"1000","x-ratelimit-limit-tokens":"1000000","x-ratelimit-remaining-requests":"999","x-ratelimit-remaining-tokens":"998314","x-ratelimit-renewalperiod-requests":"60","x-ratelimit-renewalperiod-tokens":"60","x-ratelimit-reset-requests":"60","x-ratelimit-reset-tokens":"101","x-request-id":"81705690-db16-441a-bd5f-051f50f3c403"}</t>
        </is>
      </c>
      <c r="N15" t="inlineStr">
        <is>
          <t>Louis Vuitton Monogram Square Brown Sunglasses feature high-transparency resin lenses and metal temples with iconic LV gold logo, offering a sleek, luxury design for men and women with timeless urban style.</t>
        </is>
      </c>
      <c r="O15" t="inlineStr">
        <is>
          <t>{"id":"chatcmpl-DaAWNgrz1UOeBSBaCdzrynfObAk8B","object":"chat.completion","created":1777512623,"model":"gpt-5-chat-2025-10-03","choices":[{"index":0,"message":{"role":"assistant","content":"Louis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 t="inlineStr">
        <is>
          <t>Louis Vuitton,Glasses,kakobuy,kakebuy2026,kekobuysheet,kakobuysheet2026,2026kakobuy,kakobuyspreadsheeet,kakobuylink,kakebuylist,Kakobuy MEGA Spreadsheet,kakobuysheetfind,kakobuysheetfind2026,2026kakobuysheetfind,kakobuysheet2026</t>
        </is>
      </c>
      <c r="Q15" t="inlineStr">
        <is>
          <t>LV, Sleek, High End, Unisex</t>
        </is>
      </c>
      <c r="R15" t="inlineStr">
        <is>
          <t>recvhju1Cr0e88</t>
        </is>
      </c>
      <c r="S15" t="inlineStr">
        <is>
          <t>louis-vuitton-monogram-square-brown-sunglasses-recvhju1cr0e88</t>
        </is>
      </c>
      <c r="T15"/>
      <c r="U15"/>
      <c r="V15"/>
      <c r="W15" t="inlineStr">
        <is>
          <t>{"id":"chatcmpl-Da9t00EbGMjgHdU52uTuVo6lhwySK","object":"chat.completion","created":1777510182,"model":"gpt-5-chat-2025-10-03","choices":[{"index":0,"message":{"role":"assistant","content":"Louis Vuitton：Monogram方框咖啡色太阳眼镜，采用高透树脂镜片与金属镜脚，镜角点缀LV标志性金色字母徽章，设计简约奢华，彰显现代都市格调。男女通用款，融合复古与前卫风格，适合多场景佩戴，尽显高端时尚品味。","refusal":null,"annotations":[]},"logprobs":null,"finish_reason":"stop"}],"usage":{"prompt_tokens":1300,"completion_tokens":90,"total_tokens":1390,"prompt_tokens_details":{"cached_tokens":0,"audio_tokens":0},"completion_tokens_details":{"reasoning_tokens":0,"audio_tokens":0,"accepted_prediction_tokens":0,"rejected_prediction_tokens":0}},"service_tier":"default","system_fingerprint":"fp_fd471178c5"}</t>
        </is>
      </c>
      <c r="X15" t="inlineStr">
        <is>
          <t>Louis Vuitton：Monogram方框咖啡色太阳眼镜，采用高透树脂镜片与金属镜脚，镜角点缀LV标志性金色字母徽章，设计简约奢华，彰显现代都市格调。男女通用款，融合复古与前卫风格，适合多场景佩戴，尽显高端时尚品味。</t>
        </is>
      </c>
    </row>
    <row r="16" ht="25.5" customHeight="1">
      <c r="A16">
        <v>1654975475</v>
      </c>
      <c r="B16">
        <v>7626033144</v>
      </c>
      <c r="C16" s="2" t="str">
        <f>=HYPERLINK("https://weidian.com/item.html?itemID=7626033144", "https://weidian.com/item.html?itemID=7626033144")</f>
        <v>https://weidian.com/item.html?itemID=7626033144</v>
      </c>
      <c r="D16"/>
      <c r="E16" s="2" t="str">
        <f>=HYPERLINK("https://si.geilicdn.com/pcitem2014204438-32340000019adde7bbae0a2102c5_1080_1080.jpg?w=640&amp;h=640", "https://si.geilicdn.com/pcitem2014204438-32340000019adde7bbae0a2102c5_1080_1080.jpg?w=640&amp;h=640")</f>
        <v>https://si.geilicdn.com/pcitem2014204438-32340000019adde7bbae0a2102c5_1080_1080.jpg?w=640&amp;h=640</v>
      </c>
      <c r="F16" t="inlineStr">
        <is>
          <t>Glasses</t>
        </is>
      </c>
      <c r="G16" t="inlineStr">
        <is>
          <t>Zerser</t>
        </is>
      </c>
      <c r="H16">
        <v>168</v>
      </c>
      <c r="I16">
        <v>24.35</v>
      </c>
      <c r="J16" t="inlineStr">
        <is>
          <t>{"id":"chatcmpl-DaAHimSmxBX67AmPqdx9BbokWWslM","object":"chat.completion","created":1777511714,"model":"gpt-5-chat-2025-10-03","choices":[{"index":0,"message":{"role":"assistant","content":"Zerser Black Alloy Polarized Square Sunglasses","refusal":null,"annotations":[]},"logprobs":null,"finish_reason":"stop"}],"usage":{"prompt_tokens":889,"completion_tokens":11,"total_tokens":900,"prompt_tokens_details":{"cached_tokens":0,"audio_tokens":0},"completion_tokens_details":{"reasoning_tokens":0,"audio_tokens":0,"accepted_prediction_tokens":0,"rejected_prediction_tokens":0}},"service_tier":"default","system_fingerprint":"fp_fd471178c5"}</t>
        </is>
      </c>
      <c r="K16" t="inlineStr">
        <is>
          <t>Zerser Black Alloy Polarized Square Sunglasses</t>
        </is>
      </c>
      <c r="L16" t="inlineStr">
        <is>
          <t>{"id":"chatcmpl-DaACRZAdqRPVPFhskOqvSg6mE6qqc","object":"chat.completion","created":1777511387,"model":"gpt-5-chat-2025-10-03","choices":[{"index":0,"message":{"role":"assistant","content":"GlassesZerserZerser Black Polarized Sunglasses – Lightweight alloy frame, HD anti-glare lenses, modern square design, unisex, stylish and comfortable for travel, driving or urban commuting.","refusal":null,"annotations":[]},"logprobs":null,"finish_reason":"stop"}],"usage":{"prompt_tokens":901,"completion_tokens":43,"total_tokens":944,"prompt_tokens_details":{"cached_tokens":0,"audio_tokens":0},"completion_tokens_details":{"reasoning_tokens":0,"audio_tokens":0,"accepted_prediction_tokens":0,"rejected_prediction_tokens":0}},"service_tier":"default","system_fingerprint":"fp_ad66631dec"}</t>
        </is>
      </c>
      <c r="M16" t="inlineStr">
        <is>
          <t>{"alt-svc":"h3=\":443\"; ma=2592000","apim-request-id":"b4f27d00-021f-473a-8cf1-693622a180e2","azureml-model-session":"d20260402084046-4209e968","cache-control":"no-cache","connection":"close","content-length":"999","content-type":"application/json","date":"Thu, 30 Apr 2026 01:09:48 GMT","server":"Caddy","skip-error-remapping":"true","strict-transport-security":"max-age=31536000; includeSubDomains; preload","x-content-type-options":"nosniff","x-ms-client-request-id":"Not-Set","x-ms-is-spilled-over":"false","x-ms-rai-invoked":"false","x-ms-region":"East US 2","x-new-api-version":"0.4.35","x-oneapi-request-id":"202604300109462475585588268d9d6m94JIBnG","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08cf8f87-1eef-41cf-8e12-9ebfebd167db"}</t>
        </is>
      </c>
      <c r="N16" t="inlineStr">
        <is>
          <t>GlassesZerserZerser Black Polarized Sunglasses – Lightweight alloy frame, HD anti-glare lenses, modern square design, unisex, stylish and comfortable for travel, driving or urban commuting.</t>
        </is>
      </c>
      <c r="O16" t="inlineStr">
        <is>
          <t>{"id":"chatcmpl-DaAVH2shtaaiMnwWbdaINwBFv4Xzf","object":"chat.completion","created":1777512555,"model":"gpt-5-chat-2025-10-03","choices":[{"index":0,"message":{"role":"assistant","content":"Zerser,Sun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fd471178c5"}</t>
        </is>
      </c>
      <c r="P16" t="inlineStr">
        <is>
          <t>Zerser,Sunglasses,kakobuy,kakebuy2026,kekobuysheet,kakobuysheet2026,2026kakobuy,kakobuyspreadsheeet,kakobuylink,kakebuylist,Kakobuy MEGA Spreadsheet,kakobuysheetfind,kakobuysheetfind2026,2026kakobuysheetfind,kakobuysheet2026</t>
        </is>
      </c>
      <c r="Q16"/>
      <c r="R16" t="inlineStr">
        <is>
          <t>recvhju1Crla0r</t>
        </is>
      </c>
      <c r="S16" t="inlineStr">
        <is>
          <t>zerser-black-alloy-polarized-square-sunglasses-recvhju1crla0r</t>
        </is>
      </c>
      <c r="T16"/>
      <c r="U16"/>
      <c r="V16"/>
      <c r="W16" t="inlineStr">
        <is>
          <t>{"id":"chatcmpl-Da9rTXlQcKyJpFgznnn8JZ281fdvS","object":"chat.completion","created":1777510087,"model":"gpt-5-chat-2025-10-03","choices":[{"index":0,"message":{"role":"assistant","content":"Zerser：黑色偏光太阳镜，精选轻质合金镜框与高清防眩材质镜片，简约方形设计，展现现代都市风格，男女通用款，兼具舒适与时尚质感，适合通勤与旅行佩戴。","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fd471178c5"}</t>
        </is>
      </c>
      <c r="X16" t="inlineStr">
        <is>
          <t>Zerser：黑色偏光太阳镜，精选轻质合金镜框与高清防眩材质镜片，简约方形设计，展现现代都市风格，男女通用款，兼具舒适与时尚质感，适合通勤与旅行佩戴。</t>
        </is>
      </c>
    </row>
    <row r="17" ht="25.5" customHeight="1">
      <c r="A17">
        <v>1654975475</v>
      </c>
      <c r="B17">
        <v>7623053131</v>
      </c>
      <c r="C17" s="2" t="str">
        <f>=HYPERLINK("https://weidian.com/item.html?itemID=7623053131", "https://weidian.com/item.html?itemID=7623053131")</f>
        <v>https://weidian.com/item.html?itemID=7623053131</v>
      </c>
      <c r="D17"/>
      <c r="E17" s="2" t="str">
        <f>=HYPERLINK("https://si.geilicdn.com/pcitem2014204438-5d590000019adde5ef050a2103bd_1280_1706.jpg?w=640&amp;h=640", "https://si.geilicdn.com/pcitem2014204438-5d590000019adde5ef050a2103bd_1280_1706.jpg?w=640&amp;h=640")</f>
        <v>https://si.geilicdn.com/pcitem2014204438-5d590000019adde5ef050a2103bd_1280_1706.jpg?w=640&amp;h=640</v>
      </c>
      <c r="F17" t="inlineStr">
        <is>
          <t>Glasses</t>
        </is>
      </c>
      <c r="G17" t="inlineStr">
        <is>
          <t>Chanel</t>
        </is>
      </c>
      <c r="H17">
        <v>128</v>
      </c>
      <c r="I17">
        <v>18.55</v>
      </c>
      <c r="J17" t="inlineStr">
        <is>
          <t>{"id":"chatcmpl-DaAG5UY2U1LtLzfrchjC9bAZ1kI7y","object":"chat.completion","created":1777511613,"model":"gpt-5-chat-2025-10-03","choices":[{"index":0,"message":{"role":"assistant","content":"Chanel Black Cat Eye Polarized Sunglasses Unisex","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fd471178c5"}</t>
        </is>
      </c>
      <c r="K17" t="inlineStr">
        <is>
          <t>Chanel Black Cat Eye Polarized Sunglasses Unisex</t>
        </is>
      </c>
      <c r="L17" t="inlineStr">
        <is>
          <t>{"id":"chatcmpl-DaA6JcewduHVymo6bm0kkvJ2I80Fw","object":"chat.completion","created":1777511007,"model":"gpt-5-chat-2025-10-03","choices":[{"index":0,"message":{"role":"assistant","content":"Chanel Black Cat-Eye Sunglasses – High-gloss acetate frame with polarized lenses; UV and blue light protection; unisex design blending French elegance and modern minimalism.","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fd471178c5"}</t>
        </is>
      </c>
      <c r="M17" t="inlineStr">
        <is>
          <t>{"alt-svc":"h3=\":443\"; ma=2592000","apim-request-id":"60866380-3fa5-46d2-922d-e65a830c3db6","azureml-model-session":"d20260428174121-807d9cc5","cache-control":"no-cache","connection":"close","content-length":"983","content-type":"application/json","date":"Thu, 30 Apr 2026 01:03:27 GMT","server":"nginx","skip-error-remapping":"true","strict-transport-security":"max-age=31536000; includeSubDomains; preload","via":"1.1 Caddy","x-content-type-options":"nosniff","x-ms-client-request-id":"Not-Set","x-ms-is-spilled-over":"false","x-ms-rai-invoked":"false","x-ms-region":"Central US","x-new-api-version":"0.4.35","x-oneapi-request-id":"202604300103258683212508268d9d6mMgBP3SA","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171f4676-c823-4ed9-9d38-c052506cca2b"}</t>
        </is>
      </c>
      <c r="N17" t="inlineStr">
        <is>
          <t>Chanel Black Cat-Eye Sunglasses – High-gloss acetate frame with polarized lenses; UV and blue light protection; unisex design blending French elegance and modern minimalism.</t>
        </is>
      </c>
      <c r="O17" t="inlineStr">
        <is>
          <t>{"id":"chatcmpl-DaAXH1BQmywsMURM27JSjO1LF3O5R","object":"chat.completion","created":1777512679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 t="inlineStr">
        <is>
          <t>Chanel,Glasses,kakobuy,kakebuy2026,kekobuysheet,kakobuysheet2026,2026kakobuy,kakobuyspreadsheeet,kakobuylink,kakebuylist,Kakobuy MEGA Spreadsheet,kakobuysheetfind,kakobuysheetfind2026,2026kakobuysheetfind,kakobuysheet2026</t>
        </is>
      </c>
      <c r="Q17" t="inlineStr">
        <is>
          <t>Chanel, Acetate Fiber, Anti-Ultraviolet, Unisex, Elegant, Minimalist</t>
        </is>
      </c>
      <c r="R17" t="inlineStr">
        <is>
          <t>recvhju1Crn19H</t>
        </is>
      </c>
      <c r="S17" t="inlineStr">
        <is>
          <t>chanel-black-cat-eye-polarized-recvhju1crn19h</t>
        </is>
      </c>
      <c r="T17"/>
      <c r="U17"/>
      <c r="V17"/>
      <c r="W17" t="inlineStr">
        <is>
          <t>{"id":"chatcmpl-Da9oDpgJUbQBa7b3qtRCMpSoe1iZU","object":"chat.completion","created":1777509885,"model":"gpt-5-chat-2025-10-03","choices":[{"index":0,"message":{"role":"assistant","content":"Chanel：黑色经典猫眼太阳镜，采用高光泽醋酸纤维镜架与偏光镜片设计，防蓝光防紫外线，融合法式优雅与现代极简美学，适合男女通用佩戴，尽显精致时尚格调。","refusal":null,"annotations":[]},"logprobs":null,"finish_reason":"stop"}],"usage":{"prompt_tokens":1298,"completion_tokens":68,"total_tokens":1366,"prompt_tokens_details":{"cached_tokens":1280,"audio_tokens":0},"completion_tokens_details":{"reasoning_tokens":0,"audio_tokens":0,"accepted_prediction_tokens":0,"rejected_prediction_tokens":0}},"service_tier":"default","system_fingerprint":"fp_fd471178c5"}</t>
        </is>
      </c>
      <c r="X17" t="inlineStr">
        <is>
          <t>Chanel：黑色经典猫眼太阳镜，采用高光泽醋酸纤维镜架与偏光镜片设计，防蓝光防紫外线，融合法式优雅与现代极简美学，适合男女通用佩戴，尽显精致时尚格调。</t>
        </is>
      </c>
    </row>
    <row r="18" ht="25.5" customHeight="1">
      <c r="A18">
        <v>1654975475</v>
      </c>
      <c r="B18">
        <v>7625734216</v>
      </c>
      <c r="C18" s="2" t="str">
        <f>=HYPERLINK("https://weidian.com/item.html?itemID=7625734216", "https://weidian.com/item.html?itemID=7625734216")</f>
        <v>https://weidian.com/item.html?itemID=7625734216</v>
      </c>
      <c r="D18"/>
      <c r="E18" s="2" t="str">
        <f>=HYPERLINK("https://si.geilicdn.com/pcitem2014204438-74690000019add0f4e8f0a81347d_1440_1920.jpg?w=640&amp;h=640", "https://si.geilicdn.com/pcitem2014204438-74690000019add0f4e8f0a81347d_1440_1920.jpg?w=640&amp;h=640")</f>
        <v>https://si.geilicdn.com/pcitem2014204438-74690000019add0f4e8f0a81347d_1440_1920.jpg?w=640&amp;h=640</v>
      </c>
      <c r="F18" t="inlineStr">
        <is>
          <t>Glasses</t>
        </is>
      </c>
      <c r="G18" t="inlineStr">
        <is>
          <t>Louis Vuitton</t>
        </is>
      </c>
      <c r="H18">
        <v>340</v>
      </c>
      <c r="I18">
        <v>49.2898550724637</v>
      </c>
      <c r="J18" t="inlineStr">
        <is>
          <t>{"id":"chatcmpl-DaAKUcoPvg1u2LQhBhAylif87xDcP","object":"chat.completion","created":1777511886,"model":"gpt-5-chat-2025-10-03","choices":[{"index":0,"message":{"role":"assistant","content":"Louis Vuitton Grey Monogram Metal Frame Sunglasses","refusal":null,"annotations":[]},"logprobs":null,"finish_reason":"stop"}],"usage":{"prompt_tokens":866,"completion_tokens":10,"total_tokens":876,"prompt_tokens_details":{"cached_tokens":0,"audio_tokens":0},"completion_tokens_details":{"reasoning_tokens":0,"audio_tokens":0,"accepted_prediction_tokens":0,"rejected_prediction_tokens":0}},"service_tier":"default","system_fingerprint":"fp_ad66631dec"}</t>
        </is>
      </c>
      <c r="K18" t="inlineStr">
        <is>
          <t>Louis Vuitton Grey Monogram Metal Frame Sunglasses</t>
        </is>
      </c>
      <c r="L18" t="inlineStr">
        <is>
          <t>{"id":"chatcmpl-DaABqHwEMd1aP9bHnzrG7GnU4pG9X","object":"chat.completion","created":1777511350,"model":"gpt-5-chat-2025-10-03","choices":[{"index":0,"message":{"role":"assistant","content":"Louis Vuitton Grey Monogram Sunglasses feature lightweight metal frames and iconic LV patterned lenses, offering unisex style with luxury, comfort, and modern urban sophistication.","refusal":null,"annotations":[]},"logprobs":null,"finish_reason":"stop"}],"usage":{"prompt_tokens":894,"completion_tokens":32,"total_tokens":926,"prompt_tokens_details":{"cached_tokens":0,"audio_tokens":0},"completion_tokens_details":{"reasoning_tokens":0,"audio_tokens":0,"accepted_prediction_tokens":0,"rejected_prediction_tokens":0}},"service_tier":"default","system_fingerprint":"fp_ad66631dec"}</t>
        </is>
      </c>
      <c r="M18" t="inlineStr">
        <is>
          <t>{"alt-svc":"h3=\":443\"; ma=2592000","apim-request-id":"25e358f7-6507-4aba-ae70-fac971ffd2e9","azureml-model-session":"d20260402084046-4209e968","cache-control":"no-cache","connection":"close","content-length":"988","content-type":"application/json","date":"Thu, 30 Apr 2026 01:09:12 GMT","server":"Caddy","skip-error-remapping":"true","strict-transport-security":"max-age=31536000; includeSubDomains; preload","x-content-type-options":"nosniff","x-ms-client-request-id":"Not-Set","x-ms-is-spilled-over":"false","x-ms-rai-invoked":"false","x-ms-region":"South Central US","x-new-api-version":"0.4.35","x-oneapi-request-id":"20260430010910101998298268d9d6tPMdjg8n","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1e0ee1a5-4bf5-4a7f-8cf8-14042acdcc62"}</t>
        </is>
      </c>
      <c r="N18" t="inlineStr">
        <is>
          <t>Louis Vuitton Grey Monogram Sunglasses feature lightweight metal frames and iconic LV patterned lenses, offering unisex style with luxury, comfort, and modern urban sophistication.</t>
        </is>
      </c>
      <c r="O18" t="inlineStr">
        <is>
          <t>{"id":"chatcmpl-DaAR3bVeugU6vj0ySjj2jlzClxbJS","object":"chat.completion","created":1777512293,"model":"gpt-5-chat-2025-10-03","choices":[{"index":0,"message":{"role":"assistant","content":"Louis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8" t="inlineStr">
        <is>
          <t>Louis Vuitton, Glasses, kakobuy, kakebuy2026, kekobuysheet, kakobuysheet2026, 2026kakobuy, kakobuyspreadsheeet, kakobuylink, kakebuylist, Kakobuy MEGA Spreadsheet, kakobuysheetfind, kakobuysheetfind2026, 2026kakobuysheetfind, kakobuysheet2026</t>
        </is>
      </c>
      <c r="Q18" t="inlineStr">
        <is>
          <t>LV, Grey, Unisex, Modern</t>
        </is>
      </c>
      <c r="R18" t="inlineStr">
        <is>
          <t>recvhju1CrZBSR</t>
        </is>
      </c>
      <c r="S18" t="inlineStr">
        <is>
          <t>louis-vuitton-grey-monogram-sunglasses-recvhju1crzbsr</t>
        </is>
      </c>
      <c r="T18"/>
      <c r="U18"/>
      <c r="V18"/>
      <c r="W18" t="inlineStr">
        <is>
          <t>{"id":"chatcmpl-Da9scABewtugM8qAo9rroCaV1Hg73","object":"chat.completion","created":1777510158,"model":"gpt-5-chat-2025-10-03","choices":[{"index":0,"message":{"role":"assistant","content":"Louis Vuitton：灰色Monogram花纹太阳镜，轻盈金属镜框搭配标志性LV图腾镜片，展现先锋奢华设计。适合男女佩戴，时尚与功能兼具，尽显现代都市格调。","refusal":null,"annotations":[]},"logprobs":null,"finish_reason":"stop"}],"usage":{"prompt_tokens":1304,"completion_tokens":58,"total_tokens":1362,"prompt_tokens_details":{"cached_tokens":0,"audio_tokens":0},"completion_tokens_details":{"reasoning_tokens":0,"audio_tokens":0,"accepted_prediction_tokens":0,"rejected_prediction_tokens":0}},"service_tier":"default","system_fingerprint":"fp_fd471178c5"}</t>
        </is>
      </c>
      <c r="X18" t="inlineStr">
        <is>
          <t>Louis Vuitton：灰色Monogram花纹太阳镜，轻盈金属镜框搭配标志性LV图腾镜片，展现先锋奢华设计。适合男女佩戴，时尚与功能兼具，尽显现代都市格调。</t>
        </is>
      </c>
    </row>
    <row r="19" ht="25.5" customHeight="1">
      <c r="A19">
        <v>1654975475</v>
      </c>
      <c r="B19">
        <v>7625675322</v>
      </c>
      <c r="C19" s="2" t="str">
        <f>=HYPERLINK("https://weidian.com/item.html?itemID=7625675322", "https://weidian.com/item.html?itemID=7625675322")</f>
        <v>https://weidian.com/item.html?itemID=7625675322</v>
      </c>
      <c r="D19"/>
      <c r="E19" s="2" t="str">
        <f>=HYPERLINK("https://si.geilicdn.com/pcitem2014204438-6f710000019add0c6a1f0a230115_1080_1080.jpg?w=640&amp;h=640", "https://si.geilicdn.com/pcitem2014204438-6f710000019add0c6a1f0a230115_1080_1080.jpg?w=640&amp;h=640")</f>
        <v>https://si.geilicdn.com/pcitem2014204438-6f710000019add0c6a1f0a230115_1080_1080.jpg?w=640&amp;h=640</v>
      </c>
      <c r="F19" t="inlineStr">
        <is>
          <t>Accessories</t>
        </is>
      </c>
      <c r="G19" t="inlineStr">
        <is>
          <t>Louis Vuitton</t>
        </is>
      </c>
      <c r="H19">
        <v>330</v>
      </c>
      <c r="I19">
        <v>47.83</v>
      </c>
      <c r="J19" t="inlineStr">
        <is>
          <t>{"id":"chatcmpl-DaAIWJMTKHtYFU2iDSBYv3RDwbBj8","object":"chat.completion","created":1777511764,"model":"gpt-5-chat-2025-10-03","choices":[{"index":0,"message":{"role":"assistant","content":"Louis Vuitton Monogram Leather Eyeglass Case Brown","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fd471178c5"}</t>
        </is>
      </c>
      <c r="K19" t="inlineStr">
        <is>
          <t>Louis Vuitton Monogram Leather Eyeglass Case Brown</t>
        </is>
      </c>
      <c r="L19" t="inlineStr">
        <is>
          <t>{"id":"chatcmpl-DaACA4MQgQ8IBXugT6VN3gGiBCk4a","object":"chat.completion","created":1777511370,"model":"gpt-5-chat-2025-10-03","choices":[{"index":0,"message":{"role":"assistant","content":"Louis Vuitton Monogram Brown Eyeglass Case, crafted from premium leather with iconic LV pattern, elegant zipper closure, unisex design, timeless French luxury style, perfect for daily use or travel.","refusal":null,"annotations":[]},"logprobs":null,"finish_reason":"stop"}],"usage":{"prompt_tokens":896,"completion_tokens":40,"total_tokens":936,"prompt_tokens_details":{"cached_tokens":0,"audio_tokens":0},"completion_tokens_details":{"reasoning_tokens":0,"audio_tokens":0,"accepted_prediction_tokens":0,"rejected_prediction_tokens":0}},"service_tier":"default","system_fingerprint":"fp_fd471178c5"}</t>
        </is>
      </c>
      <c r="M19" t="inlineStr">
        <is>
          <t>{"alt-svc":"h3=\":443\"; ma=2592000","apim-request-id":"25d741f9-0122-4a71-bc87-122a3d806a14","azureml-model-session":"d20260428205641-55ca9797","cache-control":"no-cache","connection":"close","content-length":"1006","content-type":"application/json","date":"Thu, 30 Apr 2026 01:09:31 GMT","server":"nginx","skip-error-remapping":"true","strict-transport-security":"max-age=31536000; includeSubDomains; preload","via":"1.1 Caddy","x-content-type-options":"nosniff","x-ms-client-request-id":"Not-Set","x-ms-is-spilled-over":"false","x-ms-rai-invoked":"false","x-ms-region":"South Central US","x-new-api-version":"0.4.35","x-oneapi-request-id":"202604300109298578830878268d9d6xpQylBwF","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c9e6b53d-1810-96e6-bbbe-7ccef48dd6fb"}</t>
        </is>
      </c>
      <c r="N19" t="inlineStr">
        <is>
          <t>Louis Vuitton Monogram Brown Eyeglass Case, crafted from premium leather with iconic LV pattern, elegant zipper closure, unisex design, timeless French luxury style, perfect for daily use or travel.</t>
        </is>
      </c>
      <c r="O19" t="inlineStr">
        <is>
          <t>{"id":"chatcmpl-DaAVN8by30AovyDNrQFbm8C8L0SQ9","object":"chat.completion","created":1777512561,"model":"gpt-5-chat-2025-10-03","choices":[{"index":0,"message":{"role":"assistant","content":"Louis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9" t="inlineStr">
        <is>
          <t>Louis Vuitton, Accessories, kakobuy, kakebuy2026, kekobuysheet, kakobuysheet2026, 2026kakobuy, kakobuyspreadsheeet, kakobuylink, kakebuylist, Kakobuy MEGA Spreadsheet, kakobuysheetfind, kakobuysheetfind2026, 2026kakobuysheetfind, kakobuysheet2026</t>
        </is>
      </c>
      <c r="Q19" t="inlineStr">
        <is>
          <t>LV, Leather, Unisex, Elegant</t>
        </is>
      </c>
      <c r="R19" t="inlineStr">
        <is>
          <t>recvhju1Crr3cX</t>
        </is>
      </c>
      <c r="S19" t="inlineStr">
        <is>
          <t>louis-vuitton-monogram-leather-eyeglass-case-brown-recvhju1crr3cx</t>
        </is>
      </c>
      <c r="T19"/>
      <c r="U19"/>
      <c r="V19"/>
      <c r="W19" t="inlineStr">
        <is>
          <t>{"id":"chatcmpl-Da9oE5fmL0UnNw6jPprUlD7XDDv1A","object":"chat.completion","created":1777509886,"model":"gpt-5-chat-2025-10-03","choices":[{"index":0,"message":{"role":"assistant","content":"Louis Vuitton：Monogram经典棕色眼镜盒，甄选优质皮革材质，标志性花纹设计尽显奢华格调，精致拉链开合，男女皆宜，优雅百搭，彰显法式时尚。","refusal":null,"annotations":[]},"logprobs":null,"finish_reason":"stop"}],"usage":{"prompt_tokens":1303,"completion_tokens":61,"total_tokens":1364,"prompt_tokens_details":{"cached_tokens":0,"audio_tokens":0},"completion_tokens_details":{"reasoning_tokens":0,"audio_tokens":0,"accepted_prediction_tokens":0,"rejected_prediction_tokens":0}},"service_tier":"default","system_fingerprint":"fp_fd471178c5"}</t>
        </is>
      </c>
      <c r="X19" t="inlineStr">
        <is>
          <t>Louis Vuitton：Monogram经典棕色眼镜盒，甄选优质皮革材质，标志性花纹设计尽显奢华格调，精致拉链开合，男女皆宜，优雅百搭，彰显法式时尚。</t>
        </is>
      </c>
    </row>
    <row r="20" ht="25.5" customHeight="1">
      <c r="A20">
        <v>1654975475</v>
      </c>
      <c r="B20">
        <v>7625638818</v>
      </c>
      <c r="C20" s="2" t="str">
        <f>=HYPERLINK("https://weidian.com/item.html?itemID=7625638818", "https://weidian.com/item.html?itemID=7625638818")</f>
        <v>https://weidian.com/item.html?itemID=7625638818</v>
      </c>
      <c r="D20"/>
      <c r="E20" s="2" t="str">
        <f>=HYPERLINK("https://si.geilicdn.com/pcitem2014204438-67fd0000019adcfec6130a20e672_1440_1920.jpg?w=640&amp;h=640", "https://si.geilicdn.com/pcitem2014204438-67fd0000019adcfec6130a20e672_1440_1920.jpg?w=640&amp;h=640")</f>
        <v>https://si.geilicdn.com/pcitem2014204438-67fd0000019adcfec6130a20e672_1440_1920.jpg?w=640&amp;h=640</v>
      </c>
      <c r="F20" t="inlineStr">
        <is>
          <t>Glasses</t>
        </is>
      </c>
      <c r="G20" t="inlineStr">
        <is>
          <t>Dior</t>
        </is>
      </c>
      <c r="H20">
        <v>360</v>
      </c>
      <c r="I20">
        <v>52.17</v>
      </c>
      <c r="J20" t="inlineStr">
        <is>
          <t>{"id":"chatcmpl-DaAHdffilwLz7vkV7qD96Xa7xjq3x","object":"chat.completion","created":1777511709,"model":"gpt-5-chat-2025-10-03","choices":[{"index":0,"message":{"role":"assistant","content":"Dior Black Square Hollow Logo Sunglasses","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fd471178c5"}</t>
        </is>
      </c>
      <c r="K20" t="inlineStr">
        <is>
          <t>Dior Black Square Hollow Logo Sunglasses</t>
        </is>
      </c>
      <c r="L20" t="inlineStr">
        <is>
          <t>{"id":"chatcmpl-DaAC36K4Q8b4DasUP2PigESk2peAl","object":"chat.completion","created":1777511363,"model":"gpt-5-chat-2025-10-03","choices":[{"index":0,"message":{"role":"assistant","content":"Dior Black Square Sunglasses feature iconic hollow logo temples, lightweight premium resin frame, blending retro and modern elegance. Unisex design for a chic, urban fashion statement.","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ad66631dec"}</t>
        </is>
      </c>
      <c r="M20" t="inlineStr">
        <is>
          <t>{"alt-svc":"h3=\":443\"; ma=2592000","apim-request-id":"206205e0-de79-42ff-98cc-15e223ec08df","azureml-model-session":"d20260402083108-57a85543","cache-control":"no-cache","connection":"close","content-length":"992","content-type":"application/json","date":"Thu, 30 Apr 2026 01:09:25 GMT","server":"nginx","skip-error-remapping":"true","strict-transport-security":"max-age=31536000; includeSubDomains; preload","via":"1.1 Caddy","x-content-type-options":"nosniff","x-ms-client-request-id":"Not-Set","x-ms-is-spilled-over":"false","x-ms-rai-invoked":"false","x-ms-region":"West US","x-new-api-version":"0.4.35","x-oneapi-request-id":"202604300109223336405788268d9d6hpP2NsXi","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14cced67-ec20-4e7c-85dd-cae04a52d585"}</t>
        </is>
      </c>
      <c r="N20" t="inlineStr">
        <is>
          <t>Dior Black Square Sunglasses feature iconic hollow logo temples, lightweight premium resin frame, blending retro and modern elegance. Unisex design for a chic, urban fashion statement.</t>
        </is>
      </c>
      <c r="O20" t="inlineStr">
        <is>
          <t>{"id":"chatcmpl-DaATXN3FS6ups0OSA5eHxjpDEVPVF","object":"chat.completion","created":1777512447,"model":"gpt-5-chat-2025-10-03","choices":[{"index":0,"message":{"role":"assistant","content":"Dior,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20" t="inlineStr">
        <is>
          <t>Dior, sunglasses, kakobuy, kakebuy2026, kekobuysheet, kakobuysheet2026, 2026kakobuy, kakobuyspreadsheeet, kakobuylink, kakebuylist, Kakobuy MEGA Spreadsheet, kakobuysheetfind, kakobuysheetfind2026, 2026kakobuysheetfind, kakobuysheet2026</t>
        </is>
      </c>
      <c r="Q20" t="inlineStr">
        <is>
          <t>Dior, Black, Retro, Modern, Unisex, Fashion</t>
        </is>
      </c>
      <c r="R20" t="inlineStr">
        <is>
          <t>recvhju1CrlR49</t>
        </is>
      </c>
      <c r="S20" t="inlineStr">
        <is>
          <t>dior-black-square-hollow-logo-sunglasses-recvhju1crlr49</t>
        </is>
      </c>
      <c r="T20"/>
      <c r="U20"/>
      <c r="V20"/>
      <c r="W20" t="inlineStr">
        <is>
          <t>{"id":"chatcmpl-Da9qgt5LdUKGAQCGLpjMK3yAMKI3B","object":"chat.completion","created":1777510038,"model":"gpt-5-chat-2025-10-03","choices":[{"index":0,"message":{"role":"assistant","content":"Dior：黑色方框太阳眼镜，镜腿融入品牌经典镂空字母设计，高级树脂材质轻盈耐用，复古与现代融合的时尚风格，男女皆宜，展现都市优雅格调。","refusal":null,"annotations":[]},"logprobs":null,"finish_reason":"stop"}],"usage":{"prompt_tokens":1300,"completion_tokens":58,"total_tokens":1358,"prompt_tokens_details":{"cached_tokens":0,"audio_tokens":0},"completion_tokens_details":{"reasoning_tokens":0,"audio_tokens":0,"accepted_prediction_tokens":0,"rejected_prediction_tokens":0}},"service_tier":"default","system_fingerprint":"fp_ad66631dec"}</t>
        </is>
      </c>
      <c r="X20" t="inlineStr">
        <is>
          <t>Dior：黑色方框太阳眼镜，镜腿融入品牌经典镂空字母设计，高级树脂材质轻盈耐用，复古与现代融合的时尚风格，男女皆宜，展现都市优雅格调。</t>
        </is>
      </c>
    </row>
    <row r="21" ht="25.5" customHeight="1">
      <c r="A21">
        <v>1654975475</v>
      </c>
      <c r="B21">
        <v>7625636818</v>
      </c>
      <c r="C21" s="2" t="str">
        <f>=HYPERLINK("https://weidian.com/item.html?itemID=7625636818", "https://weidian.com/item.html?itemID=7625636818")</f>
        <v>https://weidian.com/item.html?itemID=7625636818</v>
      </c>
      <c r="D21"/>
      <c r="E21" s="2" t="str">
        <f>=HYPERLINK("https://si.geilicdn.com/pcitem2014204438-6b720000019adcfe20250a23047e_1440_1920.jpg?w=640&amp;h=640", "https://si.geilicdn.com/pcitem2014204438-6b720000019adcfe20250a23047e_1440_1920.jpg?w=640&amp;h=640")</f>
        <v>https://si.geilicdn.com/pcitem2014204438-6b720000019adcfe20250a23047e_1440_1920.jpg?w=640&amp;h=640</v>
      </c>
      <c r="F21" t="inlineStr">
        <is>
          <t>Glasses</t>
        </is>
      </c>
      <c r="G21" t="inlineStr">
        <is>
          <t>Dior</t>
        </is>
      </c>
      <c r="H21">
        <v>350</v>
      </c>
      <c r="I21">
        <v>50.72</v>
      </c>
      <c r="J21" t="inlineStr">
        <is>
          <t>{"id":"chatcmpl-DaAKqmcz54BaS5i72ovAm5NvVZoEM","object":"chat.completion","created":1777511908,"model":"gpt-5-chat-2025-10-03","choices":[{"index":0,"message":{"role":"assistant","content":"Dior Light Brown Rimless Square Metal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fd471178c5"}</t>
        </is>
      </c>
      <c r="K21" t="inlineStr">
        <is>
          <t>Dior Light Brown Rimless Square Metal Sunglasses</t>
        </is>
      </c>
      <c r="L21" t="inlineStr">
        <is>
          <t>{"id":"chatcmpl-DaA8v5Y1N2psnat6LX1T7JRWZQk0D","object":"chat.completion","created":1777511169,"model":"gpt-5-chat-2025-10-03","choices":[{"index":0,"message":{"role":"assistant","content":"Dior Light Brown Rimless Square Sunglasses with Metal Frame and Nylon Lenses, featuring iconic CD logo; modern French elegance, unisex, lightweight and versatile for any fashion styl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fd471178c5"}</t>
        </is>
      </c>
      <c r="M21" t="inlineStr">
        <is>
          <t>{"alt-svc":"h3=\":443\"; ma=2592000","apim-request-id":"6f607544-bfe0-48d3-80a6-e969d17e8c94","azureml-model-session":"d20260428174121-807d9cc5","cache-control":"no-cache","connection":"close","content-length":"992","content-type":"application/json","date":"Thu, 30 Apr 2026 01:06:10 GMT","server":"nginx","skip-error-remapping":"true","strict-transport-security":"max-age=31536000; includeSubDomains; preload","via":"1.1 Caddy","x-content-type-options":"nosniff","x-ms-client-request-id":"Not-Set","x-ms-is-spilled-over":"false","x-ms-rai-invoked":"false","x-ms-region":"Central US","x-new-api-version":"0.4.35","x-oneapi-request-id":"202604300106081963821068268d9d6RoFHAeST","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499b53f1-44b8-4d15-9b47-c793e2a7aa8c"}</t>
        </is>
      </c>
      <c r="N21" t="inlineStr">
        <is>
          <t>Dior Light Brown Rimless Square Sunglasses with Metal Frame and Nylon Lenses, featuring iconic CD logo; modern French elegance, unisex, lightweight and versatile for any fashion style.</t>
        </is>
      </c>
      <c r="O21" t="inlineStr">
        <is>
          <t>{"id":"chatcmpl-DaAREQtlPkyCDfrDEAqZOn4I3DIin","object":"chat.completion","created":1777512304,"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1" t="inlineStr">
        <is>
          <t>Dior,Glasses,kakobuy,kakebuy2026,kekobuysheet,kakobuysheet2026,2026kakobuy,kakobuyspreadsheeet,kakobuylink,kakebuylist,Kakobuy MEGA Spreadsheet,kakobuysheetfind,kakobuysheetfind2026,2026kakobuysheetfind,kakobuysheet2026</t>
        </is>
      </c>
      <c r="Q21" t="inlineStr">
        <is>
          <t>Dior, Brown, Modern, Unisex, Lightweight, Versatile</t>
        </is>
      </c>
      <c r="R21" t="inlineStr">
        <is>
          <t>recvhju1CrCTC7</t>
        </is>
      </c>
      <c r="S21" t="inlineStr">
        <is>
          <t>dior-light-brown-rimless-square-metal-sunglasses-recvhju1crctc7</t>
        </is>
      </c>
      <c r="T21"/>
      <c r="U21"/>
      <c r="V21"/>
      <c r="W21" t="inlineStr">
        <is>
          <t>{"id":"chatcmpl-Da9rL16CvdLYh1pQQwhPslPl2CWHC","object":"chat.completion","created":1777510079,"model":"gpt-5-chat-2025-10-03","choices":[{"index":0,"message":{"role":"assistant","content":"Dior：淡褐色方框无框太阳眼镜，金属镜架搭配轻盈尼龙镜片，镶嵌标志性“CD”徽标装饰，展现现代简约与奢华并存的法式优雅风格，男女皆可佩戴，时尚百搭。","refusal":null,"annotations":[]},"logprobs":null,"finish_reason":"stop"}],"usage":{"prompt_tokens":1298,"completion_tokens":75,"total_tokens":1373,"prompt_tokens_details":{"cached_tokens":0,"audio_tokens":0},"completion_tokens_details":{"reasoning_tokens":0,"audio_tokens":0,"accepted_prediction_tokens":0,"rejected_prediction_tokens":0}},"service_tier":"default","system_fingerprint":"fp_ad66631dec"}</t>
        </is>
      </c>
      <c r="X21" t="inlineStr">
        <is>
          <t>Dior：淡褐色方框无框太阳眼镜，金属镜架搭配轻盈尼龙镜片，镶嵌标志性“CD”徽标装饰，展现现代简约与奢华并存的法式优雅风格，男女皆可佩戴，时尚百搭。</t>
        </is>
      </c>
    </row>
    <row r="22" ht="25.5" customHeight="1">
      <c r="A22">
        <v>1654975475</v>
      </c>
      <c r="B22">
        <v>7620987247</v>
      </c>
      <c r="C22" s="2" t="str">
        <f>=HYPERLINK("https://weidian.com/item.html?itemID=7620987247", "https://weidian.com/item.html?itemID=7620987247")</f>
        <v>https://weidian.com/item.html?itemID=7620987247</v>
      </c>
      <c r="D22"/>
      <c r="E22" s="2" t="str">
        <f>=HYPERLINK("https://si.geilicdn.com/pcitem2014204438-39ff0000019addf09cee0a20e284_1440_1920.jpg?w=640&amp;h=640", "https://si.geilicdn.com/pcitem2014204438-39ff0000019addf09cee0a20e284_1440_1920.jpg?w=640&amp;h=640")</f>
        <v>https://si.geilicdn.com/pcitem2014204438-39ff0000019addf09cee0a20e284_1440_1920.jpg?w=640&amp;h=640</v>
      </c>
      <c r="F22" t="inlineStr">
        <is>
          <t>Glasses</t>
        </is>
      </c>
      <c r="G22" t="inlineStr">
        <is>
          <t>Gucci</t>
        </is>
      </c>
      <c r="H22">
        <v>350</v>
      </c>
      <c r="I22">
        <v>50.72</v>
      </c>
      <c r="J22" t="inlineStr">
        <is>
          <t>{"id":"chatcmpl-DaAJEbMIdnlOCm1dbIPeDPGVCUWbT","object":"chat.completion","created":1777511808,"model":"gpt-5-chat-2025-10-03","choices":[{"index":0,"message":{"role":"assistant","content":"Gucci Classic Square Gradient Gray Metal Sunglasses Unisex","refusal":null,"annotations":[]},"logprobs":null,"finish_reason":"stop"}],"usage":{"prompt_tokens":866,"completion_tokens":12,"total_tokens":878,"prompt_tokens_details":{"cached_tokens":0,"audio_tokens":0},"completion_tokens_details":{"reasoning_tokens":0,"audio_tokens":0,"accepted_prediction_tokens":0,"rejected_prediction_tokens":0}},"service_tier":"default","system_fingerprint":"fp_ad66631dec"}</t>
        </is>
      </c>
      <c r="K22" t="inlineStr">
        <is>
          <t>Gucci Classic Square Gradient Gray Metal Sunglasses Unisex</t>
        </is>
      </c>
      <c r="L22" t="inlineStr">
        <is>
          <t>{"id":"chatcmpl-DaA7Oezxr4uG9gm39kQ9u2GCoae6Z","object":"chat.completion","created":1777511074,"model":"gpt-5-chat-2025-10-03","choices":[{"index":0,"message":{"role":"assistant","content":"Gucci Classic Square Gradient Gray Metal Sunglasses – Lightweight and refined frame blending vintage and modern style, unisex design showcasing Italian luxury and timeless fashion elegance.","refusal":null,"annotations":[]},"logprobs":null,"finish_reason":"stop"}],"usage":{"prompt_tokens":879,"completion_tokens":32,"total_tokens":911,"prompt_tokens_details":{"cached_tokens":0,"audio_tokens":0},"completion_tokens_details":{"reasoning_tokens":0,"audio_tokens":0,"accepted_prediction_tokens":0,"rejected_prediction_tokens":0}},"service_tier":"default","system_fingerprint":"fp_fd471178c5"}</t>
        </is>
      </c>
      <c r="M22" t="inlineStr">
        <is>
          <t>{"alt-svc":"h3=\":443\"; ma=2592000","apim-request-id":"e543154c-03a7-4bd4-8f5b-54557b627c75","azureml-model-session":"d20260428205641-55ca9797","cache-control":"no-cache","connection":"close","content-length":"999","content-type":"application/json","date":"Thu, 30 Apr 2026 01:04:34 GMT","server":"nginx","skip-error-remapping":"true","strict-transport-security":"max-age=31536000; includeSubDomains; preload","via":"1.1 Caddy","x-content-type-options":"nosniff","x-ms-client-request-id":"Not-Set","x-ms-is-spilled-over":"false","x-ms-rai-invoked":"false","x-ms-region":"North Central US","x-new-api-version":"0.4.35","x-oneapi-request-id":"202604300104325980063918268d9d63T1mrMgQ","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80d2e8e0-4654-42c7-88d1-ccf8930b717e"}</t>
        </is>
      </c>
      <c r="N22" t="inlineStr">
        <is>
          <t>Gucci Classic Square Gradient Gray Metal Sunglasses – Lightweight and refined frame blending vintage and modern style, unisex design showcasing Italian luxury and timeless fashion elegance.</t>
        </is>
      </c>
      <c r="O22" t="inlineStr">
        <is>
          <t>{"id":"chatcmpl-DaAPE98MH9yKRuGSxjvFDVsbbKSk6","object":"chat.completion","created":1777512180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2" t="inlineStr">
        <is>
          <t>Gucci,Glasses,kakobuy,kakebuy2026,kekobuysheet,kakobuysheet2026,2026kakobuy,kakobuyspreadsheeet,kakobuylink,kakebuylist,Kakobuy MEGA Spreadsheet,kakobuysheetfind,kakobuysheetfind2026,2026kakobuysheetfind,kakobuysheet2026</t>
        </is>
      </c>
      <c r="Q22" t="inlineStr">
        <is>
          <t>Unisex, Vintage, Modern, Lightweight, Elegant, Gray</t>
        </is>
      </c>
      <c r="R22" t="inlineStr">
        <is>
          <t>recvhju1CrSjws</t>
        </is>
      </c>
      <c r="S22" t="inlineStr">
        <is>
          <t>gucci-classic-square-gradient-gray-sunglasses-recvhju1crsjws</t>
        </is>
      </c>
      <c r="T22"/>
      <c r="U22"/>
      <c r="V22"/>
      <c r="W22" t="inlineStr">
        <is>
          <t>{"id":"chatcmpl-Da9svfRDensVUcav74N9X1fnyDbxa","object":"chat.completion","created":1777510177,"model":"gpt-5-chat-2025-10-03","choices":[{"index":0,"message":{"role":"assistant","content":"Gucci：经典方框渐变灰金属太阳眼镜，精致轻盈镜架融合复古与现代设计，男女皆宜，彰显意式奢华时尚魅力。","refusal":null,"annotations":[]},"logprobs":null,"finish_reason":"stop"}],"usage":{"prompt_tokens":1300,"completion_tokens":45,"total_tokens":1345,"prompt_tokens_details":{"cached_tokens":0,"audio_tokens":0},"completion_tokens_details":{"reasoning_tokens":0,"audio_tokens":0,"accepted_prediction_tokens":0,"rejected_prediction_tokens":0}},"service_tier":"default","system_fingerprint":"fp_ad66631dec"}</t>
        </is>
      </c>
      <c r="X22" t="inlineStr">
        <is>
          <t>Gucci：经典方框渐变灰金属太阳眼镜，精致轻盈镜架融合复古与现代设计，男女皆宜，彰显意式奢华时尚魅力。</t>
        </is>
      </c>
    </row>
    <row r="23" ht="25.5" customHeight="1">
      <c r="A23">
        <v>1654975475</v>
      </c>
      <c r="B23">
        <v>7625824342</v>
      </c>
      <c r="C23" s="2" t="str">
        <f>=HYPERLINK("https://weidian.com/item.html?itemID=7625824342", "https://weidian.com/item.html?itemID=7625824342")</f>
        <v>https://weidian.com/item.html?itemID=7625824342</v>
      </c>
      <c r="D23"/>
      <c r="E23" s="2" t="str">
        <f>=HYPERLINK("https://si.geilicdn.com/pcitem902014207253-0a410000019add4396260a2303ee_1440_1920.jpg?w=640&amp;h=640", "https://si.geilicdn.com/pcitem902014207253-0a410000019add4396260a2303ee_1440_1920.jpg?w=640&amp;h=640")</f>
        <v>https://si.geilicdn.com/pcitem902014207253-0a410000019add4396260a2303ee_1440_1920.jpg?w=640&amp;h=640</v>
      </c>
      <c r="F23" t="inlineStr">
        <is>
          <t>Glasses</t>
        </is>
      </c>
      <c r="G23" t="inlineStr">
        <is>
          <t>Gucci</t>
        </is>
      </c>
      <c r="H23">
        <v>370</v>
      </c>
      <c r="I23">
        <v>53.62</v>
      </c>
      <c r="J23" t="inlineStr">
        <is>
          <t>{"id":"chatcmpl-DaAJgeusM1mNiAqar9P9pl9b1OtwZ","object":"chat.completion","created":1777511836,"model":"gpt-5-chat-2025-10-03","choices":[{"index":0,"message":{"role":"assistant","content":"Gucci Black Brown Square Acetate Sunglasse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fd471178c5"}</t>
        </is>
      </c>
      <c r="K23" t="inlineStr">
        <is>
          <t>Gucci Black Brown Square Acetate Sunglasses</t>
        </is>
      </c>
      <c r="L23" t="inlineStr">
        <is>
          <t>{"id":"chatcmpl-DaAE6dmJhbWSmOFBGsL8CltUIqWqS","object":"chat.completion","created":1777511490,"model":"gpt-5-chat-2025-10-03","choices":[{"index":0,"message":{"role":"assistant","content":"Gucci classic black-brown square sunglasses in premium acetate, gold logo temples, unisex minimalist design blending retro elegance and luxury for daily casual or urban commuting wear.","refusal":null,"annotations":[]},"logprobs":null,"finish_reason":"stop"}],"usage":{"prompt_tokens":899,"completion_tokens":34,"total_tokens":933,"prompt_tokens_details":{"cached_tokens":0,"audio_tokens":0},"completion_tokens_details":{"reasoning_tokens":0,"audio_tokens":0,"accepted_prediction_tokens":0,"rejected_prediction_tokens":0}},"service_tier":"default","system_fingerprint":"fp_fd471178c5"}</t>
        </is>
      </c>
      <c r="M23" t="inlineStr">
        <is>
          <t>{"alt-svc":"h3=\":443\"; ma=2592000","apim-request-id":"491bfcd5-b51f-4835-b8b2-b502eb7d7c32","azureml-model-session":"d20260428205641-55ca9797","cache-control":"no-cache","connection":"close","content-length":"992","content-type":"application/json","date":"Thu, 30 Apr 2026 01:11:32 GMT","server":"Caddy","skip-error-remapping":"true","strict-transport-security":"max-age=31536000; includeSubDomains; preload","x-content-type-options":"nosniff","x-ms-client-request-id":"Not-Set","x-ms-is-spilled-over":"false","x-ms-rai-invoked":"false","x-ms-region":"Poland Central","x-new-api-version":"0.4.35","x-oneapi-request-id":"202604300111279973264048268d9d6pV3iefDH","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fac7483d-bf1a-443b-9b7b-8a964773d248"}</t>
        </is>
      </c>
      <c r="N23" t="inlineStr">
        <is>
          <t>Gucci classic black-brown square sunglasses in premium acetate, gold logo temples, unisex minimalist design blending retro elegance and luxury for daily casual or urban commuting wear.</t>
        </is>
      </c>
      <c r="O23" t="inlineStr">
        <is>
          <t>{"id":"chatcmpl-DaAU4P7sLEM564O3y8WT84YFq5iGq","object":"chat.completion","created":1777512480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23" t="inlineStr">
        <is>
          <t>Gucci,Glasses,kakobuy,kakebuy2026,kekobuysheet,kakobuysheet2026,2026kakobuy,kakobuyspreadsheeet,kakobuylink,kakebuylist,Kakobuy MEGA Spreadsheet,kakobuysheetfind,kakobuysheetfind2026,2026kakobuysheetfind,kakobuysheet2026</t>
        </is>
      </c>
      <c r="Q23" t="inlineStr">
        <is>
          <t>Black, Brown, Unisex, Minimalist, Retro</t>
        </is>
      </c>
      <c r="R23" t="inlineStr">
        <is>
          <t>recvhju1Cr8riZ</t>
        </is>
      </c>
      <c r="S23" t="inlineStr">
        <is>
          <t>gucci-black-brown-square-acetate-sunglasses-recvhju1cr8riz</t>
        </is>
      </c>
      <c r="T23"/>
      <c r="U23"/>
      <c r="V23"/>
      <c r="W23" t="inlineStr">
        <is>
          <t>{"id":"chatcmpl-Da9uBlcU3ujK6d18nfDyNsV0l67xl","object":"chat.completion","created":1777510255,"model":"gpt-5-chat-2025-10-03","choices":[{"index":0,"message":{"role":"assistant","content":"Gucci：经典黑棕色方框太阳镜，高级醋酸纤维材质，镜腿金色标识点缀，简约优雅中性设计，彰显复古奢华格调，适合男女日常休闲与都市通勤佩戴。","refusal":null,"annotations":[]},"logprobs":null,"finish_reason":"stop"}],"usage":{"prompt_tokens":1298,"completion_tokens":66,"total_tokens":1364,"prompt_tokens_details":{"cached_tokens":0,"audio_tokens":0},"completion_tokens_details":{"reasoning_tokens":0,"audio_tokens":0,"accepted_prediction_tokens":0,"rejected_prediction_tokens":0}},"service_tier":"default","system_fingerprint":"fp_fd471178c5"}</t>
        </is>
      </c>
      <c r="X23" t="inlineStr">
        <is>
          <t>Gucci：经典黑棕色方框太阳镜，高级醋酸纤维材质，镜腿金色标识点缀，简约优雅中性设计，彰显复古奢华格调，适合男女日常休闲与都市通勤佩戴。</t>
        </is>
      </c>
    </row>
    <row r="24" ht="25.5" customHeight="1">
      <c r="A24">
        <v>1654975475</v>
      </c>
      <c r="B24">
        <v>7625669360</v>
      </c>
      <c r="C24" s="2" t="str">
        <f>=HYPERLINK("https://weidian.com/item.html?itemID=7625669360", "https://weidian.com/item.html?itemID=7625669360")</f>
        <v>https://weidian.com/item.html?itemID=7625669360</v>
      </c>
      <c r="D24"/>
      <c r="E24" s="2" t="str">
        <f>=HYPERLINK("https://si.geilicdn.com/pcitem2014204438-79760000019add0d9def0a2303ee_1080_1080.jpg?w=640&amp;h=640", "https://si.geilicdn.com/pcitem2014204438-79760000019add0d9def0a2303ee_1080_1080.jpg?w=640&amp;h=640")</f>
        <v>https://si.geilicdn.com/pcitem2014204438-79760000019add0d9def0a2303ee_1080_1080.jpg?w=640&amp;h=640</v>
      </c>
      <c r="F24" t="inlineStr">
        <is>
          <t>Accessories</t>
        </is>
      </c>
      <c r="G24" t="inlineStr">
        <is>
          <t>Louis Vuitton</t>
        </is>
      </c>
      <c r="H24">
        <v>330</v>
      </c>
      <c r="I24">
        <v>47.83</v>
      </c>
      <c r="J24" t="inlineStr">
        <is>
          <t>{"id":"chatcmpl-DaAGNFVkbZwusly9Y5VXsEwExdGkx","object":"chat.completion","created":1777511631,"model":"gpt-5-chat-2025-10-03","choices":[{"index":0,"message":{"role":"assistant","content":"Louis Vuitton Graffiti Monogram Leather Travel Pouch","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fd471178c5"}</t>
        </is>
      </c>
      <c r="K24" t="inlineStr">
        <is>
          <t>Louis Vuitton Graffiti Monogram Leather Travel Pouch</t>
        </is>
      </c>
      <c r="L24" t="inlineStr">
        <is>
          <t>{"id":"chatcmpl-DaA64kvwqu2n2h3RaWdBPIEFCWmSo","object":"chat.completion","created":1777510992,"model":"gpt-5-chat-2025-10-03","choices":[{"index":0,"message":{"role":"assistant","content":"Louis Vuitton Monogram Graffiti Collection Black Multicolor Small Pouch, crafted in embossed leather, features street art design, classic LV motifs, unisex style, sleek lines, ideal for modern urban travel.","refusal":null,"annotations":[]},"logprobs":null,"finish_reason":"stop"}],"usage":{"prompt_tokens":922,"completion_tokens":42,"total_tokens":964,"prompt_tokens_details":{"cached_tokens":0,"audio_tokens":0},"completion_tokens_details":{"reasoning_tokens":0,"audio_tokens":0,"accepted_prediction_tokens":0,"rejected_prediction_tokens":0}},"service_tier":"default","system_fingerprint":"fp_ad66631dec"}</t>
        </is>
      </c>
      <c r="M24" t="inlineStr">
        <is>
          <t>{"alt-svc":"h3=\":443\"; ma=2592000","apim-request-id":"c93b3b0b-777e-48bf-9795-816b423be7cd","azureml-model-session":"d20260402084046-4209e968","cache-control":"no-cache","connection":"close","content-length":"1014","content-type":"application/json","date":"Thu, 30 Apr 2026 01:03:14 GMT","server":"Caddy","skip-error-remapping":"true","strict-transport-security":"max-age=31536000; includeSubDomains; preload","x-content-type-options":"nosniff","x-ms-client-request-id":"Not-Set","x-ms-is-spilled-over":"false","x-ms-rai-invoked":"false","x-ms-region":"Sweden Central","x-new-api-version":"0.4.35","x-oneapi-request-id":"202604300103115720690788268d9d6qtHLvVlj","x-ratelimit-abusepenalty-active":"False","x-ratelimit-key":"gpt-5-chat-global","x-ratelimit-limit-requests":"1000","x-ratelimit-limit-tokens":"1000000","x-ratelimit-remaining-requests":"999","x-ratelimit-remaining-tokens":"998316","x-ratelimit-renewalperiod-requests":"60","x-ratelimit-renewalperiod-tokens":"60","x-ratelimit-reset-requests":"60","x-ratelimit-reset-tokens":"101","x-request-id":"d58e7410-215a-4df3-b8d0-3ed16a796398"}</t>
        </is>
      </c>
      <c r="N24" t="inlineStr">
        <is>
          <t>Louis Vuitton Monogram Graffiti Collection Black Multicolor Small Pouch, crafted in embossed leather, features street art design, classic LV motifs, unisex style, sleek lines, ideal for modern urban travel.</t>
        </is>
      </c>
      <c r="O24" t="inlineStr">
        <is>
          <t>{"id":"chatcmpl-DaAUlmFmXq9mm7lsKp1bvyjuEoh9x","object":"chat.completion","created":1777512523,"model":"gpt-5-chat-2025-10-03","choices":[{"index":0,"message":{"role":"assistant","content":"Louis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24" t="inlineStr">
        <is>
          <t>Louis Vuitton, Accessories, kakobuy, kakebuy2026, kekobuysheet, kakobuysheet2026, 2026kakobuy, kakobuyspreadsheeet, kakobuylink, kakebuylist, Kakobuy MEGA Spreadsheet, kakobuysheetfind, kakobuysheetfind2026, 2026kakobuysheetfind, kakobuysheet2026</t>
        </is>
      </c>
      <c r="Q24" t="inlineStr">
        <is>
          <t>LV, Leather, Streetwear, Unisex, Modern, Black</t>
        </is>
      </c>
      <c r="R24" t="inlineStr">
        <is>
          <t>recvhju1CrueA9</t>
        </is>
      </c>
      <c r="S24" t="inlineStr">
        <is>
          <t>louis-vuitton-graffiti-monogram-leather-travel-pouch-recvhju1CrueA9</t>
        </is>
      </c>
      <c r="T24"/>
      <c r="U24"/>
      <c r="V24"/>
      <c r="W24" t="inlineStr">
        <is>
          <t>{"id":"chatcmpl-Da9ppkErZKil2V3jYkHFNa2JE2IEd","object":"chat.completion","created":1777509985,"model":"gpt-5-chat-2025-10-03","choices":[{"index":0,"message":{"role":"assistant","content":"Louis Vuitton：Monogram涂鸦系列黑色多彩图纹小号收纳包，优选压纹皮革材质，街头艺术风格设计，融入品牌经典花卉徽标与LV标识，线条流畅，质感高级，适合男女皆宜，兼具美观与实用，是现代都市时尚出行的理想配饰之选。","refusal":null,"annotations":[]},"logprobs":null,"finish_reason":"stop"}],"usage":{"prompt_tokens":1299,"completion_tokens":90,"total_tokens":1389,"prompt_tokens_details":{"cached_tokens":0,"audio_tokens":0},"completion_tokens_details":{"reasoning_tokens":0,"audio_tokens":0,"accepted_prediction_tokens":0,"rejected_prediction_tokens":0}},"service_tier":"default","system_fingerprint":"fp_ad66631dec"}</t>
        </is>
      </c>
      <c r="X24" t="inlineStr">
        <is>
          <t>Louis Vuitton：Monogram涂鸦系列黑色多彩图纹小号收纳包，优选压纹皮革材质，街头艺术风格设计，融入品牌经典花卉徽标与LV标识，线条流畅，质感高级，适合男女皆宜，兼具美观与实用，是现代都市时尚出行的理想配饰之选。</t>
        </is>
      </c>
    </row>
    <row r="25" ht="25.5" customHeight="1">
      <c r="A25">
        <v>1654975475</v>
      </c>
      <c r="B25">
        <v>7623041441</v>
      </c>
      <c r="C25" s="2" t="str">
        <f>=HYPERLINK("https://weidian.com/item.html?itemID=7623041441", "https://weidian.com/item.html?itemID=7623041441")</f>
        <v>https://weidian.com/item.html?itemID=7623041441</v>
      </c>
      <c r="D25"/>
      <c r="E25" s="2" t="str">
        <f>=HYPERLINK("https://si.geilicdn.com/pcitem2014204438-3ef90000019ade1286aa0a8134f0_1440_1920.jpg?w=640&amp;h=640", "https://si.geilicdn.com/pcitem2014204438-3ef90000019ade1286aa0a8134f0_1440_1920.jpg?w=640&amp;h=640")</f>
        <v>https://si.geilicdn.com/pcitem2014204438-3ef90000019ade1286aa0a8134f0_1440_1920.jpg?w=640&amp;h=640</v>
      </c>
      <c r="F25" t="inlineStr">
        <is>
          <t>Glasses</t>
        </is>
      </c>
      <c r="G25" t="inlineStr">
        <is>
          <t>Chanel</t>
        </is>
      </c>
      <c r="H25">
        <v>350</v>
      </c>
      <c r="I25">
        <v>50.72</v>
      </c>
      <c r="J25" t="inlineStr">
        <is>
          <t>{"id":"chatcmpl-DaAHBNQ3dgr2TUL0jZONI8LNNe5BE","object":"chat.completion","created":1777511681,"model":"gpt-5-chat-2025-10-03","choices":[{"index":0,"message":{"role":"assistant","content":"Chanel Gradient Purple Rimless Sunglasses Gold Floral Accents","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25" t="inlineStr">
        <is>
          <t>Chanel Gradient Purple Rimless Sunglasses Gold Floral Accents</t>
        </is>
      </c>
      <c r="L25" t="inlineStr">
        <is>
          <t>{"id":"chatcmpl-DaAAKoJZfW7RPjlp2UQuE5YQxsyuS","object":"chat.completion","created":1777511256,"model":"gpt-5-chat-2025-10-03","choices":[{"index":0,"message":{"role":"assistant","content":"Chanel Gradient Purple Rimless Sunglasses with Gold Floral Accents, Ultra-Light Metal &amp; High-Transparency Lenses, Unisex Luxury Design for Modern Urban Style and French Eleganc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fd471178c5"}</t>
        </is>
      </c>
      <c r="M25" t="inlineStr">
        <is>
          <t>{"alt-svc":"h3=\":443\"; ma=2592000","apim-request-id":"abebb5eb-6ee7-48c9-a708-b9f20cfc88eb","azureml-model-session":"d20260428174121-807d9cc5","cache-control":"no-cache","connection":"close","content-length":"986","content-type":"application/json","date":"Thu, 30 Apr 2026 01:07:38 GMT","server":"nginx","skip-error-remapping":"true","strict-transport-security":"max-age=31536000; includeSubDomains; preload","via":"1.1 Caddy","x-content-type-options":"nosniff","x-ms-client-request-id":"Not-Set","x-ms-is-spilled-over":"false","x-ms-rai-invoked":"false","x-ms-region":"Poland Central","x-new-api-version":"0.4.35","x-oneapi-request-id":"202604300107353310115008268d9d63hqBtT7H","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ca2d94a3-2a75-4179-98ac-b73fbea4ab4f"}</t>
        </is>
      </c>
      <c r="N25" t="inlineStr">
        <is>
          <t>Chanel Gradient Purple Rimless Sunglasses with Gold Floral Accents, Ultra-Light Metal &amp; High-Transparency Lenses, Unisex Luxury Design for Modern Urban Style and French Elegance.</t>
        </is>
      </c>
      <c r="O25" t="inlineStr">
        <is>
          <t>{"id":"chatcmpl-DaASXnVn0k4rom7szledUNr8eHuQB","object":"chat.completion","created":1777512385,"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25" t="inlineStr">
        <is>
          <t>Chanel,Glasses,kakobuy,kakebuy2026,kekobuysheet,kakobuysheet2026,2026kakobuy,kakobuyspreadsheeet,kakobuylink,kakebuylist,Kakobuy MEGA Spreadsheet,kakobuysheetfind,kakobuysheetfind2026,2026kakobuysheetfind,kakobuysheet2026</t>
        </is>
      </c>
      <c r="Q25" t="inlineStr">
        <is>
          <t>Chanel, Gradient, Purple, Gold, Unisex, Elegant</t>
        </is>
      </c>
      <c r="R25" t="inlineStr">
        <is>
          <t>recvhju1CriwC2</t>
        </is>
      </c>
      <c r="S25" t="inlineStr">
        <is>
          <t>chanel-gradient-purple-rimless-sunglasses-recvhju1criwc2</t>
        </is>
      </c>
      <c r="T25"/>
      <c r="U25"/>
      <c r="V25"/>
      <c r="W25" t="inlineStr">
        <is>
          <t>{"id":"chatcmpl-Da9rJkjFQXJ9CoB7Ai1OUUSPbhJ2a","object":"chat.completion","created":1777510077,"model":"gpt-5-chat-2025-10-03","choices":[{"index":0,"message":{"role":"assistant","content":"Chanel：渐变紫色大框无边太阳镜，镜角点缀金色花卉图腾，采用轻盈金属与高透镜片材质，简约奢华设计，彰显法式优雅格调，男女皆宜，适合现代都市休闲与时尚出行。","refusal":null,"annotations":[]},"logprobs":null,"finish_reason":"stop"}],"usage":{"prompt_tokens":1302,"completion_tokens":73,"total_tokens":1375,"prompt_tokens_details":{"cached_tokens":1280,"audio_tokens":0},"completion_tokens_details":{"reasoning_tokens":0,"audio_tokens":0,"accepted_prediction_tokens":0,"rejected_prediction_tokens":0}},"service_tier":"default","system_fingerprint":"fp_fd471178c5"}</t>
        </is>
      </c>
      <c r="X25" t="inlineStr">
        <is>
          <t>Chanel：渐变紫色大框无边太阳镜，镜角点缀金色花卉图腾，采用轻盈金属与高透镜片材质，简约奢华设计，彰显法式优雅格调，男女皆宜，适合现代都市休闲与时尚出行。</t>
        </is>
      </c>
    </row>
    <row r="26" ht="25.5" customHeight="1">
      <c r="A26">
        <v>1654975475</v>
      </c>
      <c r="B26">
        <v>7626023088</v>
      </c>
      <c r="C26" s="2" t="str">
        <f>=HYPERLINK("https://weidian.com/item.html?itemID=7626023088", "https://weidian.com/item.html?itemID=7626023088")</f>
        <v>https://weidian.com/item.html?itemID=7626023088</v>
      </c>
      <c r="D26"/>
      <c r="E26" s="2" t="str">
        <f>=HYPERLINK("https://si.geilicdn.com/pcitem2014204438-2a160000019adde65a160a239846_1280_1707.jpg?w=640&amp;h=640", "https://si.geilicdn.com/pcitem2014204438-2a160000019adde65a160a239846_1280_1707.jpg?w=640&amp;h=640")</f>
        <v>https://si.geilicdn.com/pcitem2014204438-2a160000019adde65a160a239846_1280_1707.jpg?w=640&amp;h=640</v>
      </c>
      <c r="F26" t="inlineStr">
        <is>
          <t>Glasses</t>
        </is>
      </c>
      <c r="G26" t="inlineStr">
        <is>
          <t>Celine</t>
        </is>
      </c>
      <c r="H26">
        <v>128</v>
      </c>
      <c r="I26">
        <v>18.55</v>
      </c>
      <c r="J26" t="inlineStr">
        <is>
          <t>{"id":"chatcmpl-DaAJqXxFUMU6kbIlZ1PtCCwoZLbds","object":"chat.completion","created":1777511846,"model":"gpt-5-chat-2025-10-03","choices":[{"index":0,"message":{"role":"assistant","content":"Celine Vintage Black Polarized Square Sunglasses","refusal":null,"annotations":[]},"logprobs":null,"finish_reason":"stop"}],"usage":{"prompt_tokens":864,"completion_tokens":10,"total_tokens":874,"prompt_tokens_details":{"cached_tokens":0,"audio_tokens":0},"completion_tokens_details":{"reasoning_tokens":0,"audio_tokens":0,"accepted_prediction_tokens":0,"rejected_prediction_tokens":0}},"service_tier":"default","system_fingerprint":"fp_fd471178c5"}</t>
        </is>
      </c>
      <c r="K26" t="inlineStr">
        <is>
          <t>Celine Vintage Black Polarized Square Sunglasses</t>
        </is>
      </c>
      <c r="L26" t="inlineStr">
        <is>
          <t>{"id":"chatcmpl-DaAAyr1gdAcCdZqjBfqPLt9CIf6p0","object":"chat.completion","created":1777511296,"model":"gpt-5-chat-2025-10-03","choices":[{"index":0,"message":{"role":"assistant","content":"Celine Vintage Black Square Polarized Sunglasses—HD anti-blue light lenses, lightweight acetate frame, unisex minimalist French design for timeless urban elegance.","refusal":null,"annotations":[]},"logprobs":null,"finish_reason":"stop"}],"usage":{"prompt_tokens":886,"completion_tokens":31,"total_tokens":917,"prompt_tokens_details":{"cached_tokens":0,"audio_tokens":0},"completion_tokens_details":{"reasoning_tokens":0,"audio_tokens":0,"accepted_prediction_tokens":0,"rejected_prediction_tokens":0}},"service_tier":"default","system_fingerprint":"fp_ad66631dec"}</t>
        </is>
      </c>
      <c r="M26" t="inlineStr">
        <is>
          <t>{"alt-svc":"h3=\":443\"; ma=2592000","apim-request-id":"ee5225fd-1eed-4ebb-8843-19059d204d4f","azureml-model-session":"d20260402084046-4209e968","cache-control":"no-cache","connection":"close","content-length":"973","content-type":"application/json","date":"Thu, 30 Apr 2026 01:08:18 GMT","server":"nginx","skip-error-remapping":"true","strict-transport-security":"max-age=31536000; includeSubDomains; preload","via":"1.1 Caddy","x-content-type-options":"nosniff","x-ms-client-request-id":"Not-Set","x-ms-is-spilled-over":"false","x-ms-rai-invoked":"false","x-ms-region":"Poland Central","x-new-api-version":"0.4.35","x-oneapi-request-id":"202604300108149163655838268d9d6DJRcHz3x","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6f93feee-9691-9d00-9aa9-6804db4b32ad"}</t>
        </is>
      </c>
      <c r="N26" t="inlineStr">
        <is>
          <t>Celine Vintage Black Square Polarized Sunglasses—HD anti-blue light lenses, lightweight acetate frame, unisex minimalist French design for timeless urban elegance.</t>
        </is>
      </c>
      <c r="O26" t="inlineStr">
        <is>
          <t>{"id":"chatcmpl-DaAUx0gl1PgxzEp68PuGruIkj3QVi","object":"chat.completion","created":1777512535,"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6" t="inlineStr">
        <is>
          <t>Celine,Glasses,kakobuy,kakebuy2026,kekobuysheet,kakobuysheet2026,2026kakobuy,kakobuyspreadsheeet,kakobuylink,kakebuylist,Kakobuy MEGA Spreadsheet,kakobuysheetfind,kakobuysheetfind2026,2026kakobuysheetfind,kakobuysheet2026</t>
        </is>
      </c>
      <c r="Q26" t="inlineStr">
        <is>
          <t>Celine, Black, Minimalist, Unisex, Acetate Fiber, Vintage</t>
        </is>
      </c>
      <c r="R26" t="inlineStr">
        <is>
          <t>recvhju1CrU56d</t>
        </is>
      </c>
      <c r="S26" t="inlineStr">
        <is>
          <t>celine-vintage-black-polarized-square-sunglasses-recvhju1crU56d</t>
        </is>
      </c>
      <c r="T26"/>
      <c r="U26"/>
      <c r="V26"/>
      <c r="W26" t="inlineStr">
        <is>
          <t>{"id":"chatcmpl-Da9tOQKcXBGCT2eMzWrzwXUSWJ0Ot","object":"chat.completion","created":1777510206,"model":"gpt-5-chat-2025-10-03","choices":[{"index":0,"message":{"role":"assistant","content":"Celine：黑色复古方框偏光太阳镜，高清防蓝光镜片，醋酸纤维镜架质感轻盈，极简法式设计，男女皆宜，彰显现代都市优雅格调。","refusal":null,"annotations":[]},"logprobs":null,"finish_reason":"stop"}],"usage":{"prompt_tokens":1296,"completion_tokens":54,"total_tokens":1350,"prompt_tokens_details":{"cached_tokens":0,"audio_tokens":0},"completion_tokens_details":{"reasoning_tokens":0,"audio_tokens":0,"accepted_prediction_tokens":0,"rejected_prediction_tokens":0}},"service_tier":"default","system_fingerprint":"fp_ad66631dec"}</t>
        </is>
      </c>
      <c r="X26" t="inlineStr">
        <is>
          <t>Celine：黑色复古方框偏光太阳镜，高清防蓝光镜片，醋酸纤维镜架质感轻盈，极简法式设计，男女皆宜，彰显现代都市优雅格调。</t>
        </is>
      </c>
    </row>
    <row r="27" ht="25.5" customHeight="1">
      <c r="A27">
        <v>1654975475</v>
      </c>
      <c r="B27">
        <v>7625744090</v>
      </c>
      <c r="C27" s="2" t="str">
        <f>=HYPERLINK("https://weidian.com/item.html?itemID=7625744090", "https://weidian.com/item.html?itemID=7625744090")</f>
        <v>https://weidian.com/item.html?itemID=7625744090</v>
      </c>
      <c r="D27"/>
      <c r="E27" s="2" t="str">
        <f>=HYPERLINK("https://si.geilicdn.com/pcitem2014204438-6a7e0000019add0bca4a0a2396f4_1080_1080.jpg?w=640&amp;h=640", "https://si.geilicdn.com/pcitem2014204438-6a7e0000019add0bca4a0a2396f4_1080_1080.jpg?w=640&amp;h=640")</f>
        <v>https://si.geilicdn.com/pcitem2014204438-6a7e0000019add0bca4a0a2396f4_1080_1080.jpg?w=640&amp;h=640</v>
      </c>
      <c r="F27" t="inlineStr">
        <is>
          <t>Accessories</t>
        </is>
      </c>
      <c r="G27" t="inlineStr">
        <is>
          <t>Louis Vuitton</t>
        </is>
      </c>
      <c r="H27">
        <v>330</v>
      </c>
      <c r="I27">
        <v>47.83</v>
      </c>
      <c r="J27" t="inlineStr">
        <is>
          <t>{"id":"chatcmpl-DaAMDOtGHNnf7QGukda6TqYujR9jw","object":"chat.completion","created":1777511993,"model":"gpt-5-chat-2025-10-03","choices":[{"index":0,"message":{"role":"assistant","content":"Louis Vuitton Monogram Blue Purple Bandana Sunglasses Case","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27" t="inlineStr">
        <is>
          <t>Louis Vuitton Monogram Blue Purple Bandana Sunglasses Case</t>
        </is>
      </c>
      <c r="L27" t="inlineStr">
        <is>
          <t>{"id":"chatcmpl-DaAC2G2dgBFk4HLk84hfg2vvzGcrW","object":"chat.completion","created":1777511362,"model":"gpt-5-chat-2025-10-03","choices":[{"index":0,"message":{"role":"assistant","content":"Louis Vuitton Monogram Bandana Blue Purple Gradient Sunglasses Case, Paisley print coated canvas, zip closure, unisex design blending street luxury with modern art and classic craftsmanship.","refusal":null,"annotations":[]},"logprobs":null,"finish_reason":"stop"}],"usage":{"prompt_tokens":914,"completion_tokens":36,"total_tokens":950,"prompt_tokens_details":{"cached_tokens":0,"audio_tokens":0},"completion_tokens_details":{"reasoning_tokens":0,"audio_tokens":0,"accepted_prediction_tokens":0,"rejected_prediction_tokens":0}},"service_tier":"default","system_fingerprint":"fp_ad66631dec"}</t>
        </is>
      </c>
      <c r="M27" t="inlineStr">
        <is>
          <t>{"alt-svc":"h3=\":443\"; ma=2592000","apim-request-id":"c4e3c52e-430d-42ce-82e9-e37c47923860","azureml-model-session":"d20260402084046-4209e968","cache-control":"no-cache","connection":"close","content-length":"998","content-type":"application/json","date":"Thu, 30 Apr 2026 01:09:24 GMT","server":"Caddy","skip-error-remapping":"true","strict-transport-security":"max-age=31536000; includeSubDomains; preload","x-content-type-options":"nosniff","x-ms-client-request-id":"Not-Set","x-ms-is-spilled-over":"false","x-ms-rai-invoked":"false","x-ms-region":"West US","x-new-api-version":"0.4.35","x-oneapi-request-id":"202604300109215415385108268d9d6f0TCCAxt","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0cb9fa01-e171-4e4e-a3f6-19297b2c2466"}</t>
        </is>
      </c>
      <c r="N27" t="inlineStr">
        <is>
          <t>Louis Vuitton Monogram Bandana Blue Purple Gradient Sunglasses Case, Paisley print coated canvas, zip closure, unisex design blending street luxury with modern art and classic craftsmanship.</t>
        </is>
      </c>
      <c r="O27" t="inlineStr">
        <is>
          <t>{"id":"chatcmpl-DaAT6jpVSrcyaY8iJk6hIbRiNDc5X","object":"chat.completion","created":1777512420,"model":"gpt-5-chat-2025-10-03","choices":[{"index":0,"message":{"role":"assistant","content":"Louis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7" t="inlineStr">
        <is>
          <t>Louis Vuitton, Accessories, kakobuy, kakebuy2026, kekobuysheet, kakobuysheet2026, 2026kakobuy, kakobuyspreadsheeet, kakobuylink, kakebuylist, Kakobuy MEGA Spreadsheet, kakobuysheetfind, kakobuysheetfind2026, 2026kakobuysheetfind, kakobuysheet2026</t>
        </is>
      </c>
      <c r="Q27" t="inlineStr">
        <is>
          <t>LV, Unisex, Streetwear, High End, Blue, Purple</t>
        </is>
      </c>
      <c r="R27" t="inlineStr">
        <is>
          <t>recvhju1CrEBcG</t>
        </is>
      </c>
      <c r="S27" t="inlineStr">
        <is>
          <t>louis-vuitton-monogram-blue-purple-bandana-sunglasses-case-recvhju1CrEBcG</t>
        </is>
      </c>
      <c r="T27"/>
      <c r="U27"/>
      <c r="V27"/>
      <c r="W27" t="inlineStr">
        <is>
          <t>{"id":"chatcmpl-Da9qRCKEcmnmDTegB2wVXxf90Barq","object":"chat.completion","created":1777510023,"model":"gpt-5-chat-2025-10-03","choices":[{"index":0,"message":{"role":"assistant","content":"Louis Vuitton：Monogram Bandana蓝紫渐变系列眼镜盒，以优质涂层帆布打造，饰以Paisley花纹与品牌标识，彰显街头奢华风格，拉链式设计便携实用，男女皆宜，融合现代艺术与经典工艺，尽显时尚态度。","refusal":null,"annotations":[]},"logprobs":null,"finish_reason":"stop"}],"usage":{"prompt_tokens":1309,"completion_tokens":76,"total_tokens":1385,"prompt_tokens_details":{"cached_tokens":0,"audio_tokens":0},"completion_tokens_details":{"reasoning_tokens":0,"audio_tokens":0,"accepted_prediction_tokens":0,"rejected_prediction_tokens":0}},"service_tier":"default","system_fingerprint":"fp_ad66631dec"}</t>
        </is>
      </c>
      <c r="X27" t="inlineStr">
        <is>
          <t>Louis Vuitton：Monogram Bandana蓝紫渐变系列眼镜盒，以优质涂层帆布打造，饰以Paisley花纹与品牌标识，彰显街头奢华风格，拉链式设计便携实用，男女皆宜，融合现代艺术与经典工艺，尽显时尚态度。</t>
        </is>
      </c>
    </row>
    <row r="28" ht="25.5" customHeight="1">
      <c r="A28">
        <v>1654975475</v>
      </c>
      <c r="B28">
        <v>7625631532</v>
      </c>
      <c r="C28" s="2" t="str">
        <f>=HYPERLINK("https://weidian.com/item.html?itemID=7625631532", "https://weidian.com/item.html?itemID=7625631532")</f>
        <v>https://weidian.com/item.html?itemID=7625631532</v>
      </c>
      <c r="D28"/>
      <c r="E28" s="2" t="str">
        <f>=HYPERLINK("https://si.geilicdn.com/pcitem2014204438-73f10000019add0b37a30a210256_1080_1080.jpg?w=640&amp;h=640", "https://si.geilicdn.com/pcitem2014204438-73f10000019add0b37a30a210256_1080_1080.jpg?w=640&amp;h=640")</f>
        <v>https://si.geilicdn.com/pcitem2014204438-73f10000019add0b37a30a210256_1080_1080.jpg?w=640&amp;h=640</v>
      </c>
      <c r="F28" t="inlineStr">
        <is>
          <t>Accessories</t>
        </is>
      </c>
      <c r="G28" t="inlineStr">
        <is>
          <t>Louis Vuitton</t>
        </is>
      </c>
      <c r="H28">
        <v>330</v>
      </c>
      <c r="I28">
        <v>47.83</v>
      </c>
      <c r="J28" t="inlineStr">
        <is>
          <t>{"id":"chatcmpl-DaAFz1Eko01ulYnORBbsBVuPJHCJb","object":"chat.completion","created":1777511607,"model":"gpt-5-chat-2025-10-03","choices":[{"index":0,"message":{"role":"assistant","content":"Louis Vuitton Monogram Brown Leather Heart Glasses Case","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28" t="inlineStr">
        <is>
          <t>Louis Vuitton Monogram Brown Leather Heart Glasses Case</t>
        </is>
      </c>
      <c r="L28" t="inlineStr">
        <is>
          <t>{"id":"chatcmpl-DaACFD9dUvh1BMkur0NsT4bOSPbxX","object":"chat.completion","created":1777511375,"model":"gpt-5-chat-2025-10-03","choices":[{"index":0,"message":{"role":"assistant","content":"Louis Vuitton Monogram Brown Leather Multi-Function Glasses Case with Heart Logo, Vintage Unisex Design, Stylish Travel Eyewear Holder, Fashion Accessories Gift Idea.","refusal":null,"annotations":[]},"logprobs":null,"finish_reason":"stop"}],"usage":{"prompt_tokens":870,"completion_tokens":34,"total_tokens":904,"prompt_tokens_details":{"cached_tokens":0,"audio_tokens":0},"completion_tokens_details":{"reasoning_tokens":0,"audio_tokens":0,"accepted_prediction_tokens":0,"rejected_prediction_tokens":0}},"service_tier":"default","system_fingerprint":"fp_ad66631dec"}</t>
        </is>
      </c>
      <c r="M28" t="inlineStr">
        <is>
          <t>{"alt-svc":"h3=\":443\"; ma=2592000","apim-request-id":"807597a7-f50b-4c54-b56d-6641dfac1c5f","azureml-model-session":"d20260402084046-4209e968","cache-control":"no-cache","connection":"close","content-length":"974","content-type":"application/json","date":"Thu, 30 Apr 2026 01:09:36 GMT","server":"nginx","skip-error-remapping":"true","strict-transport-security":"max-age=31536000; includeSubDomains; preload","via":"1.1 Caddy","x-content-type-options":"nosniff","x-ms-client-request-id":"Not-Set","x-ms-is-spilled-over":"false","x-ms-rai-invoked":"false","x-ms-region":"Poland Central","x-new-api-version":"0.4.35","x-oneapi-request-id":"202604300109344084313068268d9d6QtZloGez","x-ratelimit-abusepenalty-active":"False","x-ratelimit-key":"gpt-5-chat-global","x-ratelimit-limit-requests":"1000","x-ratelimit-limit-tokens":"1000000","x-ratelimit-remaining-requests":"999","x-ratelimit-remaining-tokens":"998368","x-ratelimit-renewalperiod-requests":"60","x-ratelimit-renewalperiod-tokens":"60","x-ratelimit-reset-requests":"60","x-ratelimit-reset-tokens":"97","x-request-id":"bc6ddc09-866d-44cf-b945-3c500cc1fd11"}</t>
        </is>
      </c>
      <c r="N28" t="inlineStr">
        <is>
          <t>Louis Vuitton Monogram Brown Leather Multi-Function Glasses Case with Heart Logo, Vintage Unisex Design, Stylish Travel Eyewear Holder, Fashion Accessories Gift Idea.</t>
        </is>
      </c>
      <c r="O28" t="inlineStr">
        <is>
          <t>{"id":"chatcmpl-DaAQ60crWQH4jeOGxlsLyL28cR8EH","object":"chat.completion","created":1777512234,"model":"gpt-5-chat-2025-10-03","choices":[{"index":0,"message":{"role":"assistant","content":"Louis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28" t="inlineStr">
        <is>
          <t>Louis Vuitton, Accessories, kakobuy, kakebuy2026, kekobuysheet, kakobuysheet2026, 2026kakobuy, kakobuyspreadsheeet, kakobuylink, kakebuylist, Kakobuy MEGA Spreadsheet, kakobuysheetfind, kakobuysheetfind2026, 2026kakobuysheetfind, kakobuysheet2026</t>
        </is>
      </c>
      <c r="Q28" t="inlineStr">
        <is>
          <t>LV, Leather, Vintage, Unisex, Fashion, Multi-Purpose</t>
        </is>
      </c>
      <c r="R28" t="inlineStr">
        <is>
          <t>recvhju1CroUrW</t>
        </is>
      </c>
      <c r="S28" t="inlineStr">
        <is>
          <t>louis-vuitton-monogram-brown-leather-heart-glasses-case-recvhju1crourw</t>
        </is>
      </c>
      <c r="T28"/>
      <c r="U28"/>
      <c r="V28"/>
      <c r="W28" t="inlineStr">
        <is>
          <t>{"id":"chatcmpl-Da9oxYxUxaLV3amm9oqx1xV3di1e8","object":"chat.completion","created":1777509931,"model":"gpt-5-chat-2025-10-03","choices":[{"index":0,"message":{"role":"assistant","content":"Louis Vuitton：Monogram拼色棕色多功能皮革眼镜盒，心形Logo印花设计，时尚复古风格，男女皆宜。","refusal":null,"annotations":[]},"logprobs":null,"finish_reason":"stop"}],"usage":{"prompt_tokens":1299,"completion_tokens":37,"total_tokens":1336,"prompt_tokens_details":{"cached_tokens":0,"audio_tokens":0},"completion_tokens_details":{"reasoning_tokens":0,"audio_tokens":0,"accepted_prediction_tokens":0,"rejected_prediction_tokens":0}},"service_tier":"default","system_fingerprint":"fp_ad66631dec"}</t>
        </is>
      </c>
      <c r="X28" t="inlineStr">
        <is>
          <t>Louis Vuitton：Monogram拼色棕色多功能皮革眼镜盒，心形Logo印花设计，时尚复古风格，男女皆宜。</t>
        </is>
      </c>
    </row>
    <row r="29" ht="25.5" customHeight="1">
      <c r="A29">
        <v>1654975475</v>
      </c>
      <c r="B29">
        <v>7622657427</v>
      </c>
      <c r="C29" s="2" t="str">
        <f>=HYPERLINK("https://weidian.com/item.html?itemID=7622657427", "https://weidian.com/item.html?itemID=7622657427")</f>
        <v>https://weidian.com/item.html?itemID=7622657427</v>
      </c>
      <c r="D29"/>
      <c r="E29" s="2" t="str">
        <f>=HYPERLINK("https://si.geilicdn.com/pcitem2014204438-721c0000019add080d1e0a2301b4_1440_1920.jpg?w=640&amp;h=640", "https://si.geilicdn.com/pcitem2014204438-721c0000019add080d1e0a2301b4_1440_1920.jpg?w=640&amp;h=640")</f>
        <v>https://si.geilicdn.com/pcitem2014204438-721c0000019add080d1e0a2301b4_1440_1920.jpg?w=640&amp;h=640</v>
      </c>
      <c r="F29" t="inlineStr">
        <is>
          <t>Glasses</t>
        </is>
      </c>
      <c r="G29" t="inlineStr">
        <is>
          <t>Chanel</t>
        </is>
      </c>
      <c r="H29">
        <v>420</v>
      </c>
      <c r="I29">
        <v>60.87</v>
      </c>
      <c r="J29" t="inlineStr">
        <is>
          <t>{"id":"chatcmpl-DaALjDVnRFoScViqHYzen2xpErNfo","object":"chat.completion","created":1777511963,"model":"gpt-5-chat-2025-10-03","choices":[{"index":0,"message":{"role":"assistant","content":"Chanel Classic Black Rectangular Unisex Sunglasses UV Protection","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is>
      </c>
      <c r="K29" t="inlineStr">
        <is>
          <t>Chanel Classic Black Rectangular Unisex Sunglasses UV Protection</t>
        </is>
      </c>
      <c r="L29" t="inlineStr">
        <is>
          <t>{"id":"chatcmpl-DaACEV1MzTdWIQvV6zGXMl9EKYOqD","object":"chat.completion","created":1777511374,"model":"gpt-5-chat-2025-10-03","choices":[{"index":0,"message":{"role":"assistant","content":"Chanel Classic Black Rectangular Sunglasses in lightweight acetate with silver double C logo. Unisex design blending retro charm and modern elegance, offering UV protection and timeless French style.","refusal":null,"annotations":[]},"logprobs":null,"finish_reason":"stop"}],"usage":{"prompt_tokens":920,"completion_tokens":36,"total_tokens":956,"prompt_tokens_details":{"cached_tokens":0,"audio_tokens":0},"completion_tokens_details":{"reasoning_tokens":0,"audio_tokens":0,"accepted_prediction_tokens":0,"rejected_prediction_tokens":0}},"service_tier":"default","system_fingerprint":"fp_ad66631dec"}</t>
        </is>
      </c>
      <c r="M29" t="inlineStr">
        <is>
          <t>{"alt-svc":"h3=\":443\"; ma=2592000","apim-request-id":"1ab485d7-81f0-4bd1-94b2-5f9716167963","azureml-model-session":"d20260402084046-4209e968","cache-control":"no-cache","connection":"close","content-length":"1007","content-type":"application/json","date":"Thu, 30 Apr 2026 01:09:36 GMT","server":"Caddy","skip-error-remapping":"true","strict-transport-security":"max-age=31536000; includeSubDomains; preload","x-content-type-options":"nosniff","x-ms-client-request-id":"Not-Set","x-ms-is-spilled-over":"false","x-ms-rai-invoked":"false","x-ms-region":"Central US","x-new-api-version":"0.4.35","x-oneapi-request-id":"202604300109337425010518268d9d6Q4AfzmKl","x-ratelimit-abusepenalty-active":"False","x-ratelimit-key":"gpt-5-chat-global","x-ratelimit-limit-requests":"1000","x-ratelimit-limit-tokens":"1000000","x-ratelimit-remaining-requests":"999","x-ratelimit-remaining-tokens":"998318","x-ratelimit-renewalperiod-requests":"60","x-ratelimit-renewalperiod-tokens":"60","x-ratelimit-reset-requests":"60","x-ratelimit-reset-tokens":"100","x-request-id":"df638d36-3184-44bd-9619-fd39e77ab627"}</t>
        </is>
      </c>
      <c r="N29" t="inlineStr">
        <is>
          <t>Chanel Classic Black Rectangular Sunglasses in lightweight acetate with silver double C logo. Unisex design blending retro charm and modern elegance, offering UV protection and timeless French style.</t>
        </is>
      </c>
      <c r="O29" t="inlineStr">
        <is>
          <t>{"id":"chatcmpl-DaAPfgytqCnLWKThYRe6aCrMNpQjX","object":"chat.completion","created":1777512207,"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9" t="inlineStr">
        <is>
          <t>Chanel,Glasses,kakobuy,kakebuy2026,kekobuysheet,kakobuysheet2026,2026kakobuy,kakobuyspreadsheeet,kakobuylink,kakebuylist,Kakobuy MEGA Spreadsheet,kakobuysheetfind,kakobuysheetfind2026,2026kakobuysheetfind,kakobuysheet2026</t>
        </is>
      </c>
      <c r="Q29" t="inlineStr">
        <is>
          <t>Chanel, Black, Silver, Retro, Modern, Unisex</t>
        </is>
      </c>
      <c r="R29" t="inlineStr">
        <is>
          <t>recvhju1CrmyWc</t>
        </is>
      </c>
      <c r="S29" t="inlineStr">
        <is>
          <t>chanel-classic-black-rectangular-sunglasses-recvhju1crmywc</t>
        </is>
      </c>
      <c r="T29"/>
      <c r="U29"/>
      <c r="V29"/>
      <c r="W29" t="inlineStr">
        <is>
          <t>{"id":"chatcmpl-Da9pp4Lza0FArRyh1819yqGSZE6vW","object":"chat.completion","created":1777509985,"model":"gpt-5-chat-2025-10-03","choices":[{"index":0,"message":{"role":"assistant","content":"Chanel：经典黑色方框太阳眼镜，醋酸纤维材质质感轻盈，搭配银色双C标识，展现现代优雅格调。简约矩形镜框设计修饰脸型，男女通用款，复古摩登风格与实用防晒功能兼具，尽显法式时尚典雅。","refusal":null,"annotations":[]},"logprobs":null,"finish_reason":"stop"}],"usage":{"prompt_tokens":1304,"completion_tokens":84,"total_tokens":1388,"prompt_tokens_details":{"cached_tokens":0,"audio_tokens":0},"completion_tokens_details":{"reasoning_tokens":0,"audio_tokens":0,"accepted_prediction_tokens":0,"rejected_prediction_tokens":0}},"service_tier":"default","system_fingerprint":"fp_ad66631dec"}</t>
        </is>
      </c>
      <c r="X29" t="inlineStr">
        <is>
          <t>Chanel：经典黑色方框太阳眼镜，醋酸纤维材质质感轻盈，搭配银色双C标识，展现现代优雅格调。简约矩形镜框设计修饰脸型，男女通用款，复古摩登风格与实用防晒功能兼具，尽显法式时尚典雅。</t>
        </is>
      </c>
    </row>
    <row r="30" ht="25.5" customHeight="1">
      <c r="A30">
        <v>1654975475</v>
      </c>
      <c r="B30">
        <v>7622724451</v>
      </c>
      <c r="C30" s="2" t="str">
        <f>=HYPERLINK("https://weidian.com/item.html?itemID=7622724451", "https://weidian.com/item.html?itemID=7622724451")</f>
        <v>https://weidian.com/item.html?itemID=7622724451</v>
      </c>
      <c r="D30"/>
      <c r="E30" s="2" t="str">
        <f>=HYPERLINK("https://si.geilicdn.com/pcitem2014204438-74440000019add0607850a23038e_1080_1080.jpg?w=640&amp;h=640", "https://si.geilicdn.com/pcitem2014204438-74440000019add0607850a23038e_1080_1080.jpg?w=640&amp;h=640")</f>
        <v>https://si.geilicdn.com/pcitem2014204438-74440000019add0607850a23038e_1080_1080.jpg?w=640&amp;h=640</v>
      </c>
      <c r="F30" t="inlineStr">
        <is>
          <t>Accessories</t>
        </is>
      </c>
      <c r="G30" t="inlineStr">
        <is>
          <t>Louis Vuitton</t>
        </is>
      </c>
      <c r="H30">
        <v>330</v>
      </c>
      <c r="I30">
        <v>47.83</v>
      </c>
      <c r="J30" t="inlineStr">
        <is>
          <t>{"id":"chatcmpl-DaAGrWkoFNLfBBlg57t5Gmwq6XiBc","object":"chat.completion","created":1777511661,"model":"gpt-5-chat-2025-10-03","choices":[{"index":0,"message":{"role":"assistant","content":"Louis Vuitton Monogram Pumpkin Embroidered Zip Wallet","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fd471178c5"}</t>
        </is>
      </c>
      <c r="K30" t="inlineStr">
        <is>
          <t>Louis Vuitton Monogram Pumpkin Embroidered Zip Wallet</t>
        </is>
      </c>
      <c r="L30" t="inlineStr">
        <is>
          <t>{"id":"chatcmpl-DaACS2NzoozbLsehHqHRnt7RaTI7g","object":"chat.completion","created":1777511388,"model":"gpt-5-chat-2025-10-03","choices":[{"index":0,"message":{"role":"assistant","content":"Louis Vuitton Monogram Colorful Pumpkin Embroidered Long Zip Wallet – crafted from classic canvas with artistic 3D embroidery, stylish unisex design blending fashion, function, and collectible charm.","refusal":null,"annotations":[]},"logprobs":null,"finish_reason":"stop"}],"usage":{"prompt_tokens":896,"completion_tokens":39,"total_tokens":935,"prompt_tokens_details":{"cached_tokens":0,"audio_tokens":0},"completion_tokens_details":{"reasoning_tokens":0,"audio_tokens":0,"accepted_prediction_tokens":0,"rejected_prediction_tokens":0}},"service_tier":"default","system_fingerprint":"fp_ad66631dec"}</t>
        </is>
      </c>
      <c r="M30" t="inlineStr">
        <is>
          <t>{"alt-svc":"h3=\":443\"; ma=2592000","apim-request-id":"158a7748-9a40-4f92-9182-b2adfd47a7c7","azureml-model-session":"d20260402084046-4209e968","cache-control":"no-cache","connection":"close","content-length":"1009","content-type":"application/json","date":"Thu, 30 Apr 2026 01:09:49 GMT","server":"nginx","skip-error-remapping":"true","strict-transport-security":"max-age=31536000; includeSubDomains; preload","via":"1.1 Caddy","x-content-type-options":"nosniff","x-ms-client-request-id":"Not-Set","x-ms-is-spilled-over":"false","x-ms-rai-invoked":"false","x-ms-region":"East US 2","x-new-api-version":"0.4.35","x-oneapi-request-id":"202604300109464255405068268d9d6mUzCoXQA","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b733eac5-dd68-44c9-bd53-09a0edaf43d4"}</t>
        </is>
      </c>
      <c r="N30" t="inlineStr">
        <is>
          <t>Louis Vuitton Monogram Colorful Pumpkin Embroidered Long Zip Wallet – crafted from classic canvas with artistic 3D embroidery, stylish unisex design blending fashion, function, and collectible charm.</t>
        </is>
      </c>
      <c r="O30" t="inlineStr">
        <is>
          <t>{"id":"chatcmpl-DaAQehplGnMLfcIvuGlQxrSEzPUYb","object":"chat.completion","created":1777512268,"model":"gpt-5-chat-2025-10-03","choices":[{"index":0,"message":{"role":"assistant","content":"Louis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0" t="inlineStr">
        <is>
          <t>Louis Vuitton, Accessories, kakobuy, kakebuy2026, kekobuysheet, kakobuysheet2026, 2026kakobuy, kakobuyspreadsheeet, kakobuylink, kakebuylist, Kakobuy MEGA Spreadsheet, kakobuysheetfind, kakobuysheetfind2026, 2026kakobuysheetfind, kakobuysheet2026</t>
        </is>
      </c>
      <c r="Q30" t="inlineStr">
        <is>
          <t>LV, Canvas, Colorful, Fashion, Function, Unisex</t>
        </is>
      </c>
      <c r="R30" t="inlineStr">
        <is>
          <t>recvhju1CrF015</t>
        </is>
      </c>
      <c r="S30" t="inlineStr">
        <is>
          <t>louis-vuitton-monogram-pumpkin-embroidered-zip-wallet-recvhju1crf015</t>
        </is>
      </c>
      <c r="T30"/>
      <c r="U30"/>
      <c r="V30"/>
      <c r="W30" t="inlineStr">
        <is>
          <t>{"id":"chatcmpl-Da9s8ZTrv8bfPi0q1R2575HixpnlS","object":"chat.completion","created":1777510128,"model":"gpt-5-chat-2025-10-03","choices":[{"index":0,"message":{"role":"assistant","content":"Louis Vuitton：Monogram系列彩色南瓜拼纹长款拉链钱包，经典老花帆布材质搭配立体刺绣图腾设计，展现艺术感与趣味性并存的现代风格，男女皆宜，时尚功能兼具收藏价值。","refusal":null,"annotations":[]},"logprobs":null,"finish_reason":"stop"}],"usage":{"prompt_tokens":1295,"completion_tokens":65,"total_tokens":1360,"prompt_tokens_details":{"cached_tokens":0,"audio_tokens":0},"completion_tokens_details":{"reasoning_tokens":0,"audio_tokens":0,"accepted_prediction_tokens":0,"rejected_prediction_tokens":0}},"service_tier":"default","system_fingerprint":"fp_ad66631dec"}</t>
        </is>
      </c>
      <c r="X30" t="inlineStr">
        <is>
          <t>Louis Vuitton：Monogram系列彩色南瓜拼纹长款拉链钱包，经典老花帆布材质搭配立体刺绣图腾设计，展现艺术感与趣味性并存的现代风格，男女皆宜，时尚功能兼具收藏价值。</t>
        </is>
      </c>
    </row>
    <row r="31" ht="25.5" customHeight="1">
      <c r="A31">
        <v>1654975475</v>
      </c>
      <c r="B31">
        <v>7625879948</v>
      </c>
      <c r="C31" s="2" t="str">
        <f>=HYPERLINK("https://weidian.com/item.html?itemID=7625879948", "https://weidian.com/item.html?itemID=7625879948")</f>
        <v>https://weidian.com/item.html?itemID=7625879948</v>
      </c>
      <c r="D31"/>
      <c r="E31" s="2" t="str">
        <f>=HYPERLINK("https://si.geilicdn.com/pcitem2014204438-35d60000019ade05edd70a20e7c7_1280_1707.jpg?w=640&amp;h=640", "https://si.geilicdn.com/pcitem2014204438-35d60000019ade05edd70a20e7c7_1280_1707.jpg?w=640&amp;h=640")</f>
        <v>https://si.geilicdn.com/pcitem2014204438-35d60000019ade05edd70a20e7c7_1280_1707.jpg?w=640&amp;h=640</v>
      </c>
      <c r="F31" t="inlineStr">
        <is>
          <t>Glasses</t>
        </is>
      </c>
      <c r="G31" t="inlineStr">
        <is>
          <t>Cartier</t>
        </is>
      </c>
      <c r="H31">
        <v>92</v>
      </c>
      <c r="I31">
        <v>13.33</v>
      </c>
      <c r="J31" t="inlineStr">
        <is>
          <t>{"id":"chatcmpl-DaAIyISjngIF8LDS3Wo6AtIoaWaK3","object":"chat.completion","created":1777511792,"model":"gpt-5-chat-2025-10-03","choices":[{"index":0,"message":{"role":"assistant","content":"Cartier Black Square Acetate Unisex Luxury Sunglasses","refusal":null,"annotations":[]},"logprobs":null,"finish_reason":"stop"}],"usage":{"prompt_tokens":860,"completion_tokens":13,"total_tokens":873,"prompt_tokens_details":{"cached_tokens":0,"audio_tokens":0},"completion_tokens_details":{"reasoning_tokens":0,"audio_tokens":0,"accepted_prediction_tokens":0,"rejected_prediction_tokens":0}},"service_tier":"default","system_fingerprint":"fp_ad66631dec"}</t>
        </is>
      </c>
      <c r="K31" t="inlineStr">
        <is>
          <t>Cartier Black Square Acetate Unisex Luxury Sunglasses</t>
        </is>
      </c>
      <c r="L31" t="inlineStr">
        <is>
          <t>{"id":"chatcmpl-DaA4tbSALJ8PwF1lEhL1BeS9NTb9Z","object":"chat.completion","created":1777510919,"model":"gpt-5-chat-2025-10-03","choices":[{"index":0,"message":{"role":"assistant","content":"Cartier black square sunglasses crafted from premium acetate, lightweight frame with gray-black lenses, unisex luxury design combining modern elegance and timeless style.","refusal":null,"annotations":[]},"logprobs":null,"finish_reason":"stop"}],"usage":{"prompt_tokens":896,"completion_tokens":29,"total_tokens":925,"prompt_tokens_details":{"cached_tokens":0,"audio_tokens":0},"completion_tokens_details":{"reasoning_tokens":0,"audio_tokens":0,"accepted_prediction_tokens":0,"rejected_prediction_tokens":0}},"service_tier":"default","system_fingerprint":"fp_fd471178c5"}</t>
        </is>
      </c>
      <c r="M31" t="inlineStr">
        <is>
          <t>{"alt-svc":"h3=\":443\"; ma=2592000","apim-request-id":"b382a2aa-1cf4-482e-9d22-28d47663e66c","azureml-model-session":"d20260428205641-55ca9797","cache-control":"no-cache","connection":"close","content-length":"978","content-type":"application/json","date":"Thu, 30 Apr 2026 01:02:00 GMT","server":"nginx","skip-error-remapping":"true","strict-transport-security":"max-age=31536000; includeSubDomains; preload","via":"1.1 Caddy","x-content-type-options":"nosniff","x-ms-client-request-id":"Not-Set","x-ms-is-spilled-over":"false","x-ms-rai-invoked":"false","x-ms-region":"West US","x-new-api-version":"0.4.35","x-oneapi-request-id":"202604300101583459239528268d9d67JLks7kX","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38bc63ad-9c5f-46fe-92c3-96b3ceb342d7"}</t>
        </is>
      </c>
      <c r="N31" t="inlineStr">
        <is>
          <t>Cartier black square sunglasses crafted from premium acetate, lightweight frame with gray-black lenses, unisex luxury design combining modern elegance and timeless style.</t>
        </is>
      </c>
      <c r="O31" t="inlineStr">
        <is>
          <t>{"id":"chatcmpl-DaASRVKHmcgprp77eUxbzFPVV3eK3","object":"chat.completion","created":1777512379,"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31" t="inlineStr">
        <is>
          <t>Cartier,Glasses,kakobuy,kakebuy2026,kekobuysheet,kakobuysheet2026,2026kakobuy,kakobuyspreadsheeet,kakobuylink,kakebuylist,Kakobuy MEGA Spreadsheet,kakobuysheetfind,kakobuysheetfind2026,2026kakobuysheetfind,kakobuysheet2026</t>
        </is>
      </c>
      <c r="Q31"/>
      <c r="R31" t="inlineStr">
        <is>
          <t>recvhju1CrCvy7</t>
        </is>
      </c>
      <c r="S31" t="inlineStr">
        <is>
          <t>cartier-black-square-acetate-sunglasses-recvhju1cr cvy7</t>
        </is>
      </c>
      <c r="T31"/>
      <c r="U31"/>
      <c r="V31"/>
      <c r="W31" t="inlineStr">
        <is>
          <t>{"id":"chatcmpl-Da9qWkdCHxSZpH3gEqzf6cnzwAoa6","object":"chat.completion","created":1777510028,"model":"gpt-5-chat-2025-10-03","choices":[{"index":0,"message":{"role":"assistant","content":"Cartier：黑色方框太阳眼镜，高级醋酸纤维材质，轻盈镜架搭配灰黑镜片，简约奢华设计风格，男女通用款，彰显现代优雅品味与经典时尚格调。","refusal":null,"annotations":[]},"logprobs":null,"finish_reason":"stop"}],"usage":{"prompt_tokens":1302,"completion_tokens":61,"total_tokens":1363,"prompt_tokens_details":{"cached_tokens":0,"audio_tokens":0},"completion_tokens_details":{"reasoning_tokens":0,"audio_tokens":0,"accepted_prediction_tokens":0,"rejected_prediction_tokens":0}},"service_tier":"default","system_fingerprint":"fp_ad66631dec"}</t>
        </is>
      </c>
      <c r="X31" t="inlineStr">
        <is>
          <t>Cartier：黑色方框太阳眼镜，高级醋酸纤维材质，轻盈镜架搭配灰黑镜片，简约奢华设计风格，男女通用款，彰显现代优雅品味与经典时尚格调。</t>
        </is>
      </c>
    </row>
    <row r="32" ht="25.5" customHeight="1">
      <c r="A32">
        <v>1654975475</v>
      </c>
      <c r="B32">
        <v>7625655402</v>
      </c>
      <c r="C32" s="2" t="str">
        <f>=HYPERLINK("https://weidian.com/item.html?itemID=7625655402", "https://weidian.com/item.html?itemID=7625655402")</f>
        <v>https://weidian.com/item.html?itemID=7625655402</v>
      </c>
      <c r="D32"/>
      <c r="E32" s="2" t="str">
        <f>=HYPERLINK("https://si.geilicdn.com/pcitem2014204438-747a0000019add0ff83f0a207569_1440_1920.jpg?w=640&amp;h=640", "https://si.geilicdn.com/pcitem2014204438-747a0000019add0ff83f0a207569_1440_1920.jpg?w=640&amp;h=640")</f>
        <v>https://si.geilicdn.com/pcitem2014204438-747a0000019add0ff83f0a207569_1440_1920.jpg?w=640&amp;h=640</v>
      </c>
      <c r="F32" t="inlineStr">
        <is>
          <t>Glasses</t>
        </is>
      </c>
      <c r="G32" t="inlineStr">
        <is>
          <t>Miu Miu</t>
        </is>
      </c>
      <c r="H32">
        <v>340</v>
      </c>
      <c r="I32">
        <v>49.2898550724637</v>
      </c>
      <c r="J32" t="inlineStr">
        <is>
          <t>{"id":"chatcmpl-DaAMMBtoMe6pIXhLaK4ciKTT5euJj","object":"chat.completion","created":1777512002,"model":"gpt-5-chat-2025-10-03","choices":[{"index":0,"message":{"role":"assistant","content":"Miu Miu Black Square Women Sunglasses UV Protection","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32" t="inlineStr">
        <is>
          <t>Miu Miu Black Square Women Sunglasses UV Protection</t>
        </is>
      </c>
      <c r="L32" t="inlineStr">
        <is>
          <t>{"id":"chatcmpl-DaA7jbCPvnHetR2HpxVitP6ndb8LZ","object":"chat.completion","created":1777511095,"model":"gpt-5-chat-2025-10-03","choices":[{"index":0,"message":{"role":"assistant","content":"Miu Miu Black Square Sunglasses feature lightweight metal frame and UV-protective lenses, blending modern minimalism with retro elegance for chic women’s daily and leisure wear.","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fd471178c5"}</t>
        </is>
      </c>
      <c r="M32" t="inlineStr">
        <is>
          <t>{"alt-svc":"h3=\":443\"; ma=2592000","apim-request-id":"24a343b4-2290-4eae-a192-692cce3683df","azureml-model-session":"d20260428174121-807d9cc5","cache-control":"no-cache","connection":"close","content-length":"987","content-type":"application/json","date":"Thu, 30 Apr 2026 01:04:56 GMT","server":"Caddy","skip-error-remapping":"true","strict-transport-security":"max-age=31536000; includeSubDomains; preload","x-content-type-options":"nosniff","x-ms-client-request-id":"Not-Set","x-ms-is-spilled-over":"false","x-ms-rai-invoked":"false","x-ms-region":"West US","x-new-api-version":"0.4.35","x-oneapi-request-id":"202604300104539768212058268d9d6aFTheMv7","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525efd88-b3f6-471a-95d9-e40c6f5da1f8"}</t>
        </is>
      </c>
      <c r="N32" t="inlineStr">
        <is>
          <t>Miu Miu Black Square Sunglasses feature lightweight metal frame and UV-protective lenses, blending modern minimalism with retro elegance for chic women’s daily and leisure wear.</t>
        </is>
      </c>
      <c r="O32" t="inlineStr">
        <is>
          <t>{"id":"chatcmpl-DaAW4D8mG8wNBdYoJ7GaPy6ctlyvb","object":"chat.completion","created":1777512604,"model":"gpt-5-chat-2025-10-03","choices":[{"index":0,"message":{"role":"assistant","content":"Miu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fd471178c5"}</t>
        </is>
      </c>
      <c r="P32" t="inlineStr">
        <is>
          <t>Miu Miu,Glasses,kakobuy,kakebuy2026,kekobuysheet,kakobuysheet2026,2026kakobuy,kakobuyspreadsheeet,kakobuylink,kakebuylist,Kakobuy MEGA Spreadsheet,kakobuysheetfind,kakobuysheetfind2026,2026kakobuysheetfind,kakobuysheet2026</t>
        </is>
      </c>
      <c r="Q32" t="inlineStr">
        <is>
          <t>Black, Minimalist, Retro, Elegant, Women</t>
        </is>
      </c>
      <c r="R32" t="inlineStr">
        <is>
          <t>recvhju1CrzZVo</t>
        </is>
      </c>
      <c r="S32" t="inlineStr">
        <is>
          <t>miu-miu-black-square-sunglasses-recvhju1crzzvo</t>
        </is>
      </c>
      <c r="T32"/>
      <c r="U32"/>
      <c r="V32"/>
      <c r="W32" t="inlineStr">
        <is>
          <t>{"id":"chatcmpl-Da9r0eo0N6uE4N9LzZhMZiqLppsD2","object":"chat.completion","created":1777510058,"model":"gpt-5-chat-2025-10-03","choices":[{"index":0,"message":{"role":"assistant","content":"Miu Miu：黑色方框太阳镜，采用轻盈金属与防紫外线镜片设计，线条简约摩登，彰显现代女性优雅格调，时尚复古融合高端工艺，适合日常出行与休闲佩戴。","refusal":null,"annotations":[]},"logprobs":null,"finish_reason":"stop"}],"usage":{"prompt_tokens":1304,"completion_tokens":65,"total_tokens":1369,"prompt_tokens_details":{"cached_tokens":1280,"audio_tokens":0},"completion_tokens_details":{"reasoning_tokens":0,"audio_tokens":0,"accepted_prediction_tokens":0,"rejected_prediction_tokens":0}},"service_tier":"default","system_fingerprint":"fp_fd471178c5"}</t>
        </is>
      </c>
      <c r="X32" t="inlineStr">
        <is>
          <t>Miu Miu：黑色方框太阳镜，采用轻盈金属与防紫外线镜片设计，线条简约摩登，彰显现代女性优雅格调，时尚复古融合高端工艺，适合日常出行与休闲佩戴。</t>
        </is>
      </c>
    </row>
    <row r="33" ht="25.5" customHeight="1">
      <c r="A33">
        <v>1654975475</v>
      </c>
      <c r="B33">
        <v>7625748002</v>
      </c>
      <c r="C33" s="2" t="str">
        <f>=HYPERLINK("https://weidian.com/item.html?itemID=7625748002", "https://weidian.com/item.html?itemID=7625748002")</f>
        <v>https://weidian.com/item.html?itemID=7625748002</v>
      </c>
      <c r="D33"/>
      <c r="E33" s="2" t="str">
        <f>=HYPERLINK("https://si.geilicdn.com/pcitem2014204438-760e0000019add0693e10a8133cc_1080_1080.jpg?w=640&amp;h=640", "https://si.geilicdn.com/pcitem2014204438-760e0000019add0693e10a8133cc_1080_1080.jpg?w=640&amp;h=640")</f>
        <v>https://si.geilicdn.com/pcitem2014204438-760e0000019add0693e10a8133cc_1080_1080.jpg?w=640&amp;h=640</v>
      </c>
      <c r="F33" t="inlineStr">
        <is>
          <t>Accessories</t>
        </is>
      </c>
      <c r="G33" t="inlineStr">
        <is>
          <t>Louis Vuitton</t>
        </is>
      </c>
      <c r="H33">
        <v>330</v>
      </c>
      <c r="I33">
        <v>47.83</v>
      </c>
      <c r="J33" t="inlineStr">
        <is>
          <t>{"id":"chatcmpl-DaAFDjMbXSvfYivzqgmXSNROIQ5Ja","object":"chat.completion","created":1777511559,"model":"gpt-5-chat-2025-10-03","choices":[{"index":0,"message":{"role":"assistant","content":"Louis Vuitton Monogram Purple Gradient Leather Sunglasses Case","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33" t="inlineStr">
        <is>
          <t>Louis Vuitton Monogram Purple Gradient Leather Sunglasses Case</t>
        </is>
      </c>
      <c r="L33" t="inlineStr">
        <is>
          <t>{"id":"chatcmpl-DaAD1JEZrNkzbx2YBwnGzf8lQRsKg","object":"chat.completion","created":1777511423,"model":"gpt-5-chat-2025-10-03","choices":[{"index":0,"message":{"role":"assistant","content":"Louis Vuitton Monogram Pastel Purple Gradient Leather Zip Sunglasses Case, elegant French luxury design, soft premium texture, unisex travel accessory for modern style lovers.","refusal":null,"annotations":[]},"logprobs":null,"finish_reason":"stop"}],"usage":{"prompt_tokens":898,"completion_tokens":33,"total_tokens":931,"prompt_tokens_details":{"cached_tokens":0,"audio_tokens":0},"completion_tokens_details":{"reasoning_tokens":0,"audio_tokens":0,"accepted_prediction_tokens":0,"rejected_prediction_tokens":0}},"service_tier":"default","system_fingerprint":"fp_fd471178c5"}</t>
        </is>
      </c>
      <c r="M33" t="inlineStr">
        <is>
          <t>{"alt-svc":"h3=\":443\"; ma=2592000","apim-request-id":"20449a7d-f7d8-480d-8df9-94e68bc26d6b","azureml-model-session":"d20260428165144-a78ba574","cache-control":"no-cache","connection":"close","content-length":"983","content-type":"application/json","date":"Thu, 30 Apr 2026 01:10:24 GMT","server":"nginx","skip-error-remapping":"true","strict-transport-security":"max-age=31536000; includeSubDomains; preload","via":"1.1 Caddy","x-content-type-options":"nosniff","x-ms-client-request-id":"Not-Set","x-ms-is-spilled-over":"false","x-ms-rai-invoked":"false","x-ms-region":"North Central US","x-new-api-version":"0.4.35","x-oneapi-request-id":"202604300110214733146858268d9d6OQs4VkFk","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dc597cc7-aa83-4610-a4b5-7a71c3c3e0e0"}</t>
        </is>
      </c>
      <c r="N33" t="inlineStr">
        <is>
          <t>Louis Vuitton Monogram Pastel Purple Gradient Leather Zip Sunglasses Case, elegant French luxury design, soft premium texture, unisex travel accessory for modern style lovers.</t>
        </is>
      </c>
      <c r="O33" t="inlineStr">
        <is>
          <t>{"id":"chatcmpl-DaARTYbm9bZ3juD1PzfZENNP2voMa","object":"chat.completion","created":1777512319,"model":"gpt-5-chat-2025-10-03","choices":[{"index":0,"message":{"role":"assistant","content":"Louis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3" t="inlineStr">
        <is>
          <t>Louis Vuitton, Accessories, kakobuy, kakebuy2026, kekobuysheet, kakobuysheet2026, 2026kakobuy, kakobuyspreadsheeet, kakobuylink, kakebuylist, Kakobuy MEGA Spreadsheet, kakobuysheetfind, kakobuysheetfind2026, 2026kakobuysheetfind, kakobuysheet2026</t>
        </is>
      </c>
      <c r="Q33" t="inlineStr">
        <is>
          <t>LV, Elegant, Leather, Unisex, Modern, Purple</t>
        </is>
      </c>
      <c r="R33" t="inlineStr">
        <is>
          <t>recvhju1Crw9e4</t>
        </is>
      </c>
      <c r="S33" t="inlineStr">
        <is>
          <t>louis-vuitton-monogram-purple-gradient-leather-sunglasses-case-recvhju1crw9e4</t>
        </is>
      </c>
      <c r="T33"/>
      <c r="U33"/>
      <c r="V33"/>
      <c r="W33" t="inlineStr">
        <is>
          <t>{"id":"chatcmpl-Da9tPSH2E1bZwvMeDHb3QcYwJrItx","object":"chat.completion","created":1777510207,"model":"gpt-5-chat-2025-10-03","choices":[{"index":0,"message":{"role":"assistant","content":"Louis Vuitton：Monogram Pastel 粉紫渐变皮革拉链眼镜盒，经典老花图腾设计，轻奢优雅风格，细腻皮质触感高档，男女皆宜，现代旅行收纳精品，彰显法式时尚格调。","refusal":null,"annotations":[]},"logprobs":null,"finish_reason":"stop"}],"usage":{"prompt_tokens":1299,"completion_tokens":65,"total_tokens":1364,"prompt_tokens_details":{"cached_tokens":0,"audio_tokens":0},"completion_tokens_details":{"reasoning_tokens":0,"audio_tokens":0,"accepted_prediction_tokens":0,"rejected_prediction_tokens":0}},"service_tier":"default","system_fingerprint":"fp_ad66631dec"}</t>
        </is>
      </c>
      <c r="X33" t="inlineStr">
        <is>
          <t>Louis Vuitton：Monogram Pastel 粉紫渐变皮革拉链眼镜盒，经典老花图腾设计，轻奢优雅风格，细腻皮质触感高档，男女皆宜，现代旅行收纳精品，彰显法式时尚格调。</t>
        </is>
      </c>
    </row>
    <row r="34" ht="25.5" customHeight="1">
      <c r="A34">
        <v>1654975475</v>
      </c>
      <c r="B34">
        <v>7622901949</v>
      </c>
      <c r="C34" s="2" t="str">
        <f>=HYPERLINK("https://weidian.com/item.html?itemID=7622901949", "https://weidian.com/item.html?itemID=7622901949")</f>
        <v>https://weidian.com/item.html?itemID=7622901949</v>
      </c>
      <c r="D34"/>
      <c r="E34" s="2" t="str">
        <f>=HYPERLINK("https://si.geilicdn.com/pcitem2014204438-47c60000019ade06bdd70a2303ee_1280_1707.jpg?w=640&amp;h=640", "https://si.geilicdn.com/pcitem2014204438-47c60000019ade06bdd70a2303ee_1280_1707.jpg?w=640&amp;h=640")</f>
        <v>https://si.geilicdn.com/pcitem2014204438-47c60000019ade06bdd70a2303ee_1280_1707.jpg?w=640&amp;h=640</v>
      </c>
      <c r="F34" t="inlineStr">
        <is>
          <t>Glasses</t>
        </is>
      </c>
      <c r="G34" t="inlineStr">
        <is>
          <t>Cartier</t>
        </is>
      </c>
      <c r="H34">
        <v>92</v>
      </c>
      <c r="I34">
        <v>13.33</v>
      </c>
      <c r="J34" t="inlineStr">
        <is>
          <t>{"id":"chatcmpl-DaAFnVVysibDdtbQzL5xspUCsGv5u","object":"chat.completion","created":1777511595,"model":"gpt-5-chat-2025-10-03","choices":[{"index":0,"message":{"role":"assistant","content":"Cartier Black Square Unisex UV Protection Sunglasse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34" t="inlineStr">
        <is>
          <t>Cartier Black Square Unisex UV Protection Sunglasses</t>
        </is>
      </c>
      <c r="L34" t="inlineStr">
        <is>
          <t>{"id":"chatcmpl-DaA5P6uei3XltDiQopwD7gizqzezi","object":"chat.completion","created":1777510951,"model":"gpt-5-chat-2025-10-03","choices":[{"index":0,"message":{"role":"assistant","content":"Cartier Black Square Sunglasses – crafted from premium acetate with UV protection lenses, offering timeless French elegance, unisex style, and everyday sophistication for modern fashion lovers.","refusal":null,"annotations":[]},"logprobs":null,"finish_reason":"stop"}],"usage":{"prompt_tokens":900,"completion_tokens":34,"total_tokens":934,"prompt_tokens_details":{"cached_tokens":0,"audio_tokens":0},"completion_tokens_details":{"reasoning_tokens":0,"audio_tokens":0,"accepted_prediction_tokens":0,"rejected_prediction_tokens":0}},"service_tier":"default","system_fingerprint":"fp_ad66631dec"}</t>
        </is>
      </c>
      <c r="M34" t="inlineStr">
        <is>
          <t>{"alt-svc":"h3=\":443\"; ma=2592000","apim-request-id":"d5079326-afbf-4e74-98df-071b876ff9b3","azureml-model-session":"d20260402083108-57a85543","cache-control":"no-cache","connection":"close","content-length":"1003","content-type":"application/json","date":"Thu, 30 Apr 2026 01:02:32 GMT","server":"Caddy","skip-error-remapping":"true","strict-transport-security":"max-age=31536000; includeSubDomains; preload","x-content-type-options":"nosniff","x-ms-client-request-id":"Not-Set","x-ms-is-spilled-over":"false","x-ms-rai-invoked":"false","x-ms-region":"North Central US","x-new-api-version":"0.4.35","x-oneapi-request-id":"202604300102301648266618268d9d6XaGdgzMx","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76d799b9-4e60-426e-95ba-ac18b1d429d2"}</t>
        </is>
      </c>
      <c r="N34" t="inlineStr">
        <is>
          <t>Cartier Black Square Sunglasses – crafted from premium acetate with UV protection lenses, offering timeless French elegance, unisex style, and everyday sophistication for modern fashion lovers.</t>
        </is>
      </c>
      <c r="O34" t="inlineStr">
        <is>
          <t>{"id":"chatcmpl-DaAVjAjtN4zqVB3BfTjVgWx48xXEp","object":"chat.completion","created":1777512583,"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34" t="inlineStr">
        <is>
          <t>Cartier,Glasses,kakobuy,kakebuy2026,kekobuysheet,kakobuysheet2026,2026kakobuy,kakobuyspreadsheeet,kakobuylink,kakebuylist,Kakobuy MEGA Spreadsheet,kakobuysheetfind,kakobuysheetfind2026,2026kakobuysheetfind,kakobuysheet2026</t>
        </is>
      </c>
      <c r="Q34"/>
      <c r="R34" t="inlineStr">
        <is>
          <t>recvhju1Cry110</t>
        </is>
      </c>
      <c r="S34" t="inlineStr">
        <is>
          <t>cartier-black-square-uv-sunglasses-recvhju1cry110</t>
        </is>
      </c>
      <c r="T34"/>
      <c r="U34"/>
      <c r="V34"/>
      <c r="W34" t="inlineStr">
        <is>
          <t>{"id":"chatcmpl-Da9qt9meORP6Ef8i8byCcAxexAKs0","object":"chat.completion","created":1777510051,"model":"gpt-5-chat-2025-10-03","choices":[{"index":0,"message":{"role":"assistant","content":"Cartier 黑色方框太阳眼镜，采用高级醋酸纤维材质，镜面防紫外线设计，简约优雅线条彰显法式轻奢格调，男女皆宜，百搭日常出行，尽显知性与时尚魅力。","refusal":null,"annotations":[]},"logprobs":null,"finish_reason":"stop"}],"usage":{"prompt_tokens":1298,"completion_tokens":67,"total_tokens":1365,"prompt_tokens_details":{"cached_tokens":0,"audio_tokens":0},"completion_tokens_details":{"reasoning_tokens":0,"audio_tokens":0,"accepted_prediction_tokens":0,"rejected_prediction_tokens":0}},"service_tier":"default","system_fingerprint":"fp_fd471178c5"}</t>
        </is>
      </c>
      <c r="X34" t="inlineStr">
        <is>
          <t>Cartier 黑色方框太阳眼镜，采用高级醋酸纤维材质，镜面防紫外线设计，简约优雅线条彰显法式轻奢格调，男女皆宜，百搭日常出行，尽显知性与时尚魅力。</t>
        </is>
      </c>
    </row>
    <row r="35" ht="25.5" customHeight="1">
      <c r="A35">
        <v>1654975475</v>
      </c>
      <c r="B35">
        <v>7625879824</v>
      </c>
      <c r="C35" s="2" t="str">
        <f>=HYPERLINK("https://weidian.com/item.html?itemID=7625879824", "https://weidian.com/item.html?itemID=7625879824")</f>
        <v>https://weidian.com/item.html?itemID=7625879824</v>
      </c>
      <c r="D35"/>
      <c r="E35" s="2" t="str">
        <f>=HYPERLINK("https://si.geilicdn.com/pcitem2014204438-0f690000019adde583da0a2304aa_1440_1920.jpg?w=640&amp;h=640", "https://si.geilicdn.com/pcitem2014204438-0f690000019adde583da0a2304aa_1440_1920.jpg?w=640&amp;h=640")</f>
        <v>https://si.geilicdn.com/pcitem2014204438-0f690000019adde583da0a2304aa_1440_1920.jpg?w=640&amp;h=640</v>
      </c>
      <c r="F35" t="inlineStr">
        <is>
          <t>Glasses</t>
        </is>
      </c>
      <c r="G35" t="inlineStr">
        <is>
          <t>Fendi</t>
        </is>
      </c>
      <c r="H35">
        <v>340</v>
      </c>
      <c r="I35">
        <v>49.2898550724637</v>
      </c>
      <c r="J35" t="inlineStr">
        <is>
          <t>{"id":"chatcmpl-DaAM3f6L4JEk0OOpfq46mobgOJ4Tm","object":"chat.completion","created":1777511983,"model":"gpt-5-chat-2025-10-03","choices":[{"index":0,"message":{"role":"assistant","content":"Fendi Black Square UV Protection Sunglasses","refusal":null,"annotations":[]},"logprobs":null,"finish_reason":"stop"}],"usage":{"prompt_tokens":866,"completion_tokens":9,"total_tokens":875,"prompt_tokens_details":{"cached_tokens":0,"audio_tokens":0},"completion_tokens_details":{"reasoning_tokens":0,"audio_tokens":0,"accepted_prediction_tokens":0,"rejected_prediction_tokens":0}},"service_tier":"default","system_fingerprint":"fp_fd471178c5"}</t>
        </is>
      </c>
      <c r="K35" t="inlineStr">
        <is>
          <t>Fendi Black Square UV Protection Sunglasses</t>
        </is>
      </c>
      <c r="L35" t="inlineStr">
        <is>
          <t>{"id":"chatcmpl-DaAEEqPL0ja0hKhzSKp6jmU45QNI6","object":"chat.completion","created":1777511498,"model":"gpt-5-chat-2025-10-03","choices":[{"index":0,"message":{"role":"assistant","content":"Fendi Black Square Sunglasses: Lightweight resin frame with gray-black lenses, unisex modern geometric design, UV protection, chic Italian craftsmanship for urban elegance.","refusal":null,"annotations":[]},"logprobs":null,"finish_reason":"stop"}],"usage":{"prompt_tokens":900,"completion_tokens":32,"total_tokens":932,"prompt_tokens_details":{"cached_tokens":0,"audio_tokens":0},"completion_tokens_details":{"reasoning_tokens":0,"audio_tokens":0,"accepted_prediction_tokens":0,"rejected_prediction_tokens":0}},"service_tier":"default","system_fingerprint":"fp_fd471178c5"}</t>
        </is>
      </c>
      <c r="M35" t="inlineStr">
        <is>
          <t>{"alt-svc":"h3=\":443\"; ma=2592000","apim-request-id":"3db075f4-c4fe-47fc-a6d6-d38a4c3fa745","azureml-model-session":"d20260428205641-55ca9797","cache-control":"no-cache","connection":"close","content-length":"980","content-type":"application/json","date":"Thu, 30 Apr 2026 01:11:40 GMT","server":"nginx","skip-error-remapping":"true","strict-transport-security":"max-age=31536000; includeSubDomains; preload","via":"1.1 Caddy","x-content-type-options":"nosniff","x-ms-client-request-id":"Not-Set","x-ms-is-spilled-over":"false","x-ms-rai-invoked":"false","x-ms-region":"Sweden Central","x-new-api-version":"0.4.35","x-oneapi-request-id":"2026043001113728547688268d9d6CIJaw0vR","x-ratelimit-abusepenalty-active":"False","x-ratelimit-key":"gpt-5-chat-global","x-ratelimit-limit-requests":"1000","x-ratelimit-limit-tokens":"1000000","x-ratelimit-remaining-requests":"998","x-ratelimit-remaining-tokens":"997048","x-ratelimit-renewalperiod-requests":"60","x-ratelimit-renewalperiod-tokens":"60","x-ratelimit-reset-requests":"96","x-ratelimit-reset-tokens":"177","x-request-id":"022b2930-8b43-4d81-81c6-b45c8480442c"}</t>
        </is>
      </c>
      <c r="N35" t="inlineStr">
        <is>
          <t>Fendi Black Square Sunglasses: Lightweight resin frame with gray-black lenses, unisex modern geometric design, UV protection, chic Italian craftsmanship for urban elegance.</t>
        </is>
      </c>
      <c r="O35" t="inlineStr">
        <is>
          <t>{"id":"chatcmpl-DaATzRRqYZn3rpayJMmWBqk87QNAl","object":"chat.completion","created":1777512475,"model":"gpt-5-chat-2025-10-03","choices":[{"index":0,"message":{"role":"assistant","content":"Fend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35" t="inlineStr">
        <is>
          <t>Fendi,Glasses,kakobuy,kakebuy2026,kekobuysheet,kakobuysheet2026,2026kakobuy,kakobuyspreadsheeet,kakobuylink,kakebuylist,Kakobuy MEGA Spreadsheet,kakobuysheetfind,kakobuysheetfind2026,2026kakobuysheetfind,kakobuysheet2026</t>
        </is>
      </c>
      <c r="Q35"/>
      <c r="R35" t="inlineStr">
        <is>
          <t>recvhju1Cri0pL</t>
        </is>
      </c>
      <c r="S35" t="inlineStr">
        <is>
          <t>fendi-black-square-uv-sunglasses-recvhju1cri0pl</t>
        </is>
      </c>
      <c r="T35"/>
      <c r="U35"/>
      <c r="V35"/>
      <c r="W35" t="inlineStr">
        <is>
          <t>{"id":"chatcmpl-Da9tGRNibV5w8Ey3Pw8VCtEa9K5eG","object":"chat.completion","created":1777510198,"model":"gpt-5-chat-2025-10-03","choices":[{"index":0,"message":{"role":"assistant","content":"Fendi：黑色方框太阳眼镜，采用轻质树脂镜架与灰黑镜片，简洁几何设计展现现代都市风格，男女通用款，兼具时尚质感与防紫外线功能，完美演绎意大利精致美学。","refusal":null,"annotations":[]},"logprobs":null,"finish_reason":"stop"}],"usage":{"prompt_tokens":1298,"completion_tokens":67,"total_tokens":1365,"prompt_tokens_details":{"cached_tokens":0,"audio_tokens":0},"completion_tokens_details":{"reasoning_tokens":0,"audio_tokens":0,"accepted_prediction_tokens":0,"rejected_prediction_tokens":0}},"service_tier":"default","system_fingerprint":"fp_ad66631dec"}</t>
        </is>
      </c>
      <c r="X35" t="inlineStr">
        <is>
          <t>Fendi：黑色方框太阳眼镜，采用轻质树脂镜架与灰黑镜片，简洁几何设计展现现代都市风格，男女通用款，兼具时尚质感与防紫外线功能，完美演绎意大利精致美学。</t>
        </is>
      </c>
    </row>
    <row r="36" ht="25.5" customHeight="1">
      <c r="A36">
        <v>1654975475</v>
      </c>
      <c r="B36">
        <v>7623045171</v>
      </c>
      <c r="C36" s="2" t="str">
        <f>=HYPERLINK("https://weidian.com/item.html?itemID=7623045171", "https://weidian.com/item.html?itemID=7623045171")</f>
        <v>https://weidian.com/item.html?itemID=7623045171</v>
      </c>
      <c r="D36"/>
      <c r="E36" s="2" t="str">
        <f>=HYPERLINK("https://si.geilicdn.com/pcitem2014204438-339a0000019addf008830a20e672_1440_1920.jpg?w=640&amp;h=640", "https://si.geilicdn.com/pcitem2014204438-339a0000019addf008830a20e672_1440_1920.jpg?w=640&amp;h=640")</f>
        <v>https://si.geilicdn.com/pcitem2014204438-339a0000019addf008830a20e672_1440_1920.jpg?w=640&amp;h=640</v>
      </c>
      <c r="F36" t="inlineStr">
        <is>
          <t>Glasses</t>
        </is>
      </c>
      <c r="G36" t="inlineStr">
        <is>
          <t>Gucci</t>
        </is>
      </c>
      <c r="H36">
        <v>380</v>
      </c>
      <c r="I36">
        <v>55.07</v>
      </c>
      <c r="J36" t="inlineStr">
        <is>
          <t>{"id":"chatcmpl-DaAHzjprEZayoXSQMZFYK4yHJa8YT","object":"chat.completion","created":1777511731,"model":"gpt-5-chat-2025-10-03","choices":[{"index":0,"message":{"role":"assistant","content":"Gucci Classic Black Square Acetate Unisex Sunglasses","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fd471178c5"}</t>
        </is>
      </c>
      <c r="K36" t="inlineStr">
        <is>
          <t>Gucci Classic Black Square Acetate Unisex Sunglasses</t>
        </is>
      </c>
      <c r="L36" t="inlineStr">
        <is>
          <t>{"id":"chatcmpl-DaACBp3TGQ70flzLIdl3bXAsJx9tG","object":"chat.completion","created":1777511371,"model":"gpt-5-chat-2025-10-03","choices":[{"index":0,"message":{"role":"assistant","content":"Gucci Classic Black Square Sunglasses – Lightweight acetate frame, subtle logo temples, modern minimalist design, unisex style, embodying Italian elegance and timeless fashion.","refusal":null,"annotations":[]},"logprobs":null,"finish_reason":"stop"}],"usage":{"prompt_tokens":891,"completion_tokens":33,"total_tokens":924,"prompt_tokens_details":{"cached_tokens":0,"audio_tokens":0},"completion_tokens_details":{"reasoning_tokens":0,"audio_tokens":0,"accepted_prediction_tokens":0,"rejected_prediction_tokens":0}},"service_tier":"default","system_fingerprint":"fp_fd471178c5"}</t>
        </is>
      </c>
      <c r="M36" t="inlineStr">
        <is>
          <t>{"alt-svc":"h3=\":443\"; ma=2592000","apim-request-id":"7b7298cf-267f-4d41-ac70-5c3c42d70449","azureml-model-session":"d20260428205641-55ca9797","cache-control":"no-cache","connection":"close","content-length":"986","content-type":"application/json","date":"Thu, 30 Apr 2026 01:09:33 GMT","server":"nginx","skip-error-remapping":"true","strict-transport-security":"max-age=31536000; includeSubDomains; preload","via":"1.1 Caddy","x-content-type-options":"nosniff","x-ms-client-request-id":"Not-Set","x-ms-is-spilled-over":"false","x-ms-rai-invoked":"false","x-ms-region":"Sweden Central","x-new-api-version":"0.4.35","x-oneapi-request-id":"202604300109293792966758268d9d6lECfcpFQ","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741cdc06-46d5-4086-9e07-cc52033387fd"}</t>
        </is>
      </c>
      <c r="N36" t="inlineStr">
        <is>
          <t>Gucci Classic Black Square Sunglasses – Lightweight acetate frame, subtle logo temples, modern minimalist design, unisex style, embodying Italian elegance and timeless fashion.</t>
        </is>
      </c>
      <c r="O36" t="inlineStr">
        <is>
          <t>{"id":"chatcmpl-DaAU8jsiyH3BMrLthAez6QFR3g9Oi","object":"chat.completion","created":1777512484,"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36" t="inlineStr">
        <is>
          <t>Gucci,Glasses,kakobuy,kakebuy2026,kekobuysheet,kakobuysheet2026,2026kakobuy,kakobuyspreadsheeet,kakobuylink,kakebuylist,Kakobuy MEGA Spreadsheet,kakobuysheetfind,kakobuysheetfind2026,2026kakobuysheetfind,kakobuysheet2026</t>
        </is>
      </c>
      <c r="Q36" t="inlineStr">
        <is>
          <t>Black, Acetate Fiber, Minimalist, Unisex, Fashion</t>
        </is>
      </c>
      <c r="R36" t="inlineStr">
        <is>
          <t>recvhju1CrhBr4</t>
        </is>
      </c>
      <c r="S36" t="inlineStr">
        <is>
          <t>gucci-classic-black-square-acetate-unisex-sunglasses-recvhju1crhbr4</t>
        </is>
      </c>
      <c r="T36"/>
      <c r="U36"/>
      <c r="V36"/>
      <c r="W36" t="inlineStr">
        <is>
          <t>{"id":"chatcmpl-Da9nNp4M0kZwAz52Eudrms2N1SDyM","object":"chat.completion","created":1777509833,"model":"gpt-5-chat-2025-10-03","choices":[{"index":0,"message":{"role":"assistant","content":"Gucci：经典黑色方框太阳镜，醋酸纤维镜框轻盈耐用，低调镜腿镶嵌品牌标识，现代极简设计，男女皆宜，彰显意大利时尚优雅气质。","refusal":null,"annotations":[]},"logprobs":null,"finish_reason":"stop"}],"usage":{"prompt_tokens":1298,"completion_tokens":58,"total_tokens":1356,"prompt_tokens_details":{"cached_tokens":0,"audio_tokens":0},"completion_tokens_details":{"reasoning_tokens":0,"audio_tokens":0,"accepted_prediction_tokens":0,"rejected_prediction_tokens":0}},"service_tier":"default","system_fingerprint":"fp_ad66631dec"}</t>
        </is>
      </c>
      <c r="X36" t="inlineStr">
        <is>
          <t>Gucci：经典黑色方框太阳镜，醋酸纤维镜框轻盈耐用，低调镜腿镶嵌品牌标识，现代极简设计，男女皆宜，彰显意大利时尚优雅气质。</t>
        </is>
      </c>
    </row>
    <row r="37" ht="25.5" customHeight="1">
      <c r="A37">
        <v>1654975475</v>
      </c>
      <c r="B37">
        <v>7625694774</v>
      </c>
      <c r="C37" s="2" t="str">
        <f>=HYPERLINK("https://weidian.com/item.html?itemID=7625694774", "https://weidian.com/item.html?itemID=7625694774")</f>
        <v>https://weidian.com/item.html?itemID=7625694774</v>
      </c>
      <c r="D37"/>
      <c r="E37" s="2" t="str">
        <f>=HYPERLINK("https://si.geilicdn.com/pcitem2014204438-4ac90000019add0d12c20a20e2c5_1080_1080.jpg?w=640&amp;h=640", "https://si.geilicdn.com/pcitem2014204438-4ac90000019add0d12c20a20e2c5_1080_1080.jpg?w=640&amp;h=640")</f>
        <v>https://si.geilicdn.com/pcitem2014204438-4ac90000019add0d12c20a20e2c5_1080_1080.jpg?w=640&amp;h=640</v>
      </c>
      <c r="F37" t="inlineStr">
        <is>
          <t>Glasses</t>
        </is>
      </c>
      <c r="G37" t="inlineStr">
        <is>
          <t>Louis Vuitton</t>
        </is>
      </c>
      <c r="H37">
        <v>330</v>
      </c>
      <c r="I37">
        <v>47.83</v>
      </c>
      <c r="J37" t="inlineStr">
        <is>
          <t>{"id":"chatcmpl-DaAFSOXE3GhGaVCotMkiz6J7JPfge","object":"chat.completion","created":1777511574,"model":"gpt-5-chat-2025-10-03","choices":[{"index":0,"message":{"role":"assistant","content":"Louis Vuitton Monogram Brown Leather Glasses Case","refusal":null,"annotations":[]},"logprobs":null,"finish_reason":"stop"}],"usage":{"prompt_tokens":862,"completion_tokens":10,"total_tokens":872,"prompt_tokens_details":{"cached_tokens":0,"audio_tokens":0},"completion_tokens_details":{"reasoning_tokens":0,"audio_tokens":0,"accepted_prediction_tokens":0,"rejected_prediction_tokens":0}},"service_tier":"default","system_fingerprint":"fp_ad66631dec"}</t>
        </is>
      </c>
      <c r="K37" t="inlineStr">
        <is>
          <t>Louis Vuitton Monogram Brown Leather Glasses Case</t>
        </is>
      </c>
      <c r="L37" t="inlineStr">
        <is>
          <t>{"id":"chatcmpl-DaAAGUmsGtVXqFV4jiIlgvjuKgWdt","object":"chat.completion","created":1777511252,"model":"gpt-5-chat-2025-10-03","choices":[{"index":0,"message":{"role":"assistant","content":"Louis Vuitton Monogram brown leather glasses case with red zipper and metal charm, blending French luxury, elegance, and practicality for both men and women.","refusal":null,"annotations":[]},"logprobs":null,"finish_reason":"stop"}],"usage":{"prompt_tokens":895,"completion_tokens":30,"total_tokens":925,"prompt_tokens_details":{"cached_tokens":0,"audio_tokens":0},"completion_tokens_details":{"reasoning_tokens":0,"audio_tokens":0,"accepted_prediction_tokens":0,"rejected_prediction_tokens":0}},"service_tier":"default","system_fingerprint":"fp_fd471178c5"}</t>
        </is>
      </c>
      <c r="M37" t="inlineStr">
        <is>
          <t>{"alt-svc":"h3=\":443\"; ma=2592000","apim-request-id":"925d08d6-e7c4-4002-a185-3e5ce96f3e31","azureml-model-session":"d20260428205641-55ca9797","cache-control":"no-cache","connection":"close","content-length":"965","content-type":"application/json","date":"Thu, 30 Apr 2026 01:07:34 GMT","server":"Caddy","skip-error-remapping":"true","strict-transport-security":"max-age=31536000; includeSubDomains; preload","x-content-type-options":"nosniff","x-ms-client-request-id":"Not-Set","x-ms-is-spilled-over":"false","x-ms-rai-invoked":"false","x-ms-region":"Sweden Central","x-new-api-version":"0.4.35","x-oneapi-request-id":"202604300107317739900618268d9d67JN2iJ2W","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dd934c44-3382-4cc4-94c1-d647049ee72f"}</t>
        </is>
      </c>
      <c r="N37" t="inlineStr">
        <is>
          <t>Louis Vuitton Monogram brown leather glasses case with red zipper and metal charm, blending French luxury, elegance, and practicality for both men and women.</t>
        </is>
      </c>
      <c r="O37" t="inlineStr">
        <is>
          <t>{"id":"chatcmpl-DaAQikgY8ZNpIFPHcKix27cbBU3oG","object":"chat.completion","created":1777512272,"model":"gpt-5-chat-2025-10-03","choices":[{"index":0,"message":{"role":"assistant","content":"Louis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37" t="inlineStr">
        <is>
          <t>Louis Vuitton,Glasses,kakobuy,kakebuy2026,kekobuysheet,kakobuysheet2026,2026kakobuy,kakobuyspreadsheeet,kakobuylink,kakebuylist,Kakobuy MEGA Spreadsheet,kakobuysheetfind,kakobuysheetfind2026,2026kakobuysheetfind,kakobuysheet2026</t>
        </is>
      </c>
      <c r="Q37" t="inlineStr">
        <is>
          <t>LV, Leather, Brown, Elegant, Men's And Women's</t>
        </is>
      </c>
      <c r="R37" t="inlineStr">
        <is>
          <t>recvhju1CrfwmO</t>
        </is>
      </c>
      <c r="S37" t="inlineStr">
        <is>
          <t>louis-vuitton-monogram-brown-leather-glasses-case-recvhju1crfwmo</t>
        </is>
      </c>
      <c r="T37"/>
      <c r="U37"/>
      <c r="V37"/>
      <c r="W37" t="inlineStr">
        <is>
          <t>{"id":"chatcmpl-Da9p46M1p0uvwivZlsjNXXjEKUj2P","object":"chat.completion","created":1777509938,"model":"gpt-5-chat-2025-10-03","choices":[{"index":0,"message":{"role":"assistant","content":"Louis Vuitton：Monogram经典老花棕色牛皮眼镜盒，红色拉链搭配金属吊饰设计，展现优雅摩登格调，男女皆宜，彰显法式奢华品味与实用美学。","refusal":null,"annotations":[]},"logprobs":null,"finish_reason":"stop"}],"usage":{"prompt_tokens":1306,"completion_tokens":58,"total_tokens":1364,"prompt_tokens_details":{"cached_tokens":0,"audio_tokens":0},"completion_tokens_details":{"reasoning_tokens":0,"audio_tokens":0,"accepted_prediction_tokens":0,"rejected_prediction_tokens":0}},"service_tier":"default","system_fingerprint":"fp_ad66631dec"}</t>
        </is>
      </c>
      <c r="X37" t="inlineStr">
        <is>
          <t>Louis Vuitton：Monogram经典老花棕色牛皮眼镜盒，红色拉链搭配金属吊饰设计，展现优雅摩登格调，男女皆宜，彰显法式奢华品味与实用美学。</t>
        </is>
      </c>
    </row>
    <row r="38" ht="25.5" customHeight="1">
      <c r="A38">
        <v>1654975475</v>
      </c>
      <c r="B38">
        <v>7622617479</v>
      </c>
      <c r="C38" s="2" t="str">
        <f>=HYPERLINK("https://weidian.com/item.html?itemID=7622617479", "https://weidian.com/item.html?itemID=7622617479")</f>
        <v>https://weidian.com/item.html?itemID=7622617479</v>
      </c>
      <c r="D38"/>
      <c r="E38" s="2" t="str">
        <f>=HYPERLINK("https://si.geilicdn.com/pcitem2014204438-36a40000019adcff6e170a231316_1440_1920.jpg?w=640&amp;h=640", "https://si.geilicdn.com/pcitem2014204438-36a40000019adcff6e170a231316_1440_1920.jpg?w=640&amp;h=640")</f>
        <v>https://si.geilicdn.com/pcitem2014204438-36a40000019adcff6e170a231316_1440_1920.jpg?w=640&amp;h=640</v>
      </c>
      <c r="F38" t="inlineStr">
        <is>
          <t>Glasses</t>
        </is>
      </c>
      <c r="G38" t="inlineStr">
        <is>
          <t>Dior</t>
        </is>
      </c>
      <c r="H38">
        <v>360</v>
      </c>
      <c r="I38">
        <v>52.17</v>
      </c>
      <c r="J38" t="inlineStr">
        <is>
          <t>{"id":"chatcmpl-DaAKYJH0Bgyymtw9JC3jM7MaEPSsg","object":"chat.completion","created":1777511890,"model":"gpt-5-chat-2025-10-03","choices":[{"index":0,"message":{"role":"assistant","content":"Dior Black Acetate Square Unisex Vintage UV Sunglasses","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38" t="inlineStr">
        <is>
          <t>Dior Black Acetate Square Unisex Vintage UV Sunglasses</t>
        </is>
      </c>
      <c r="L38" t="inlineStr">
        <is>
          <t>{"id":"chatcmpl-DaA9LhYRZPdyCWxeOj7XjUaaPXxFc","object":"chat.completion","created":1777511195,"model":"gpt-5-chat-2025-10-03","choices":[{"index":0,"message":{"role":"assistant","content":"Dior Black Acetate Square Sunglasses – lightweight unisex design with metal logo and stud details, UV protection lenses, blending modern minimalism with vintage elegance for a high-fashion look.","refusal":null,"annotations":[]},"logprobs":null,"finish_reason":"stop"}],"usage":{"prompt_tokens":905,"completion_tokens":39,"total_tokens":944,"prompt_tokens_details":{"cached_tokens":0,"audio_tokens":0},"completion_tokens_details":{"reasoning_tokens":0,"audio_tokens":0,"accepted_prediction_tokens":0,"rejected_prediction_tokens":0}},"service_tier":"default","system_fingerprint":"fp_ad66631dec"}</t>
        </is>
      </c>
      <c r="M38" t="inlineStr">
        <is>
          <t>{"alt-svc":"h3=\":443\"; ma=2592000","apim-request-id":"187fcbec-e04b-45d7-8630-16ad5f246b06","azureml-model-session":"d20260402083108-57a85543","cache-control":"no-cache","connection":"close","content-length":"1004","content-type":"application/json","date":"Thu, 30 Apr 2026 01:06:37 GMT","server":"Caddy","skip-error-remapping":"true","strict-transport-security":"max-age=31536000; includeSubDomains; preload","x-content-type-options":"nosniff","x-ms-client-request-id":"Not-Set","x-ms-is-spilled-over":"false","x-ms-rai-invoked":"false","x-ms-region":"West US","x-new-api-version":"0.4.35","x-oneapi-request-id":"202604300106342319155188268d9d6jBVLPD5M","x-ratelimit-abusepenalty-active":"False","x-ratelimit-key":"gpt-5-chat-global","x-ratelimit-limit-requests":"1000","x-ratelimit-limit-tokens":"1000000","x-ratelimit-remaining-requests":"999","x-ratelimit-remaining-tokens":"996981","x-ratelimit-renewalperiod-requests":"60","x-ratelimit-renewalperiod-tokens":"60","x-ratelimit-reset-requests":"78","x-ratelimit-reset-tokens":"181","x-request-id":"355e007c-501d-4e71-a6e7-775f88003ee2"}</t>
        </is>
      </c>
      <c r="N38" t="inlineStr">
        <is>
          <t>Dior Black Acetate Square Sunglasses – lightweight unisex design with metal logo and stud details, UV protection lenses, blending modern minimalism with vintage elegance for a high-fashion look.</t>
        </is>
      </c>
      <c r="O38" t="inlineStr">
        <is>
          <t>{"id":"chatcmpl-DaAT5BNHzVuXmC7WzFUbpXeOdRkuF","object":"chat.completion","created":1777512419,"model":"gpt-5-chat-2025-10-03","choices":[{"index":0,"message":{"role":"assistant","content":"Dior,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38" t="inlineStr">
        <is>
          <t>Dior, sunglasses, kakobuy, kakebuy2026, kekobuysheet, kakobuysheet2026, 2026kakobuy, kakobuyspreadsheeet, kakobuylink, kakebuylist, Kakobuy MEGA Spreadsheet, kakobuysheetfind, kakobuysheetfind2026, 2026kakobuysheetfind, kakobuysheet2026</t>
        </is>
      </c>
      <c r="Q38" t="inlineStr">
        <is>
          <t>Dior, Black, Acetate Fiber, Unisex, Modern, Minimalist</t>
        </is>
      </c>
      <c r="R38" t="inlineStr">
        <is>
          <t>recvhju1CrqBGB</t>
        </is>
      </c>
      <c r="S38" t="inlineStr">
        <is>
          <t>dior-black-acetate-square-vintage-uv-sunglasses-recvhju1crqbgb</t>
        </is>
      </c>
      <c r="T38"/>
      <c r="U38"/>
      <c r="V38"/>
      <c r="W38" t="inlineStr">
        <is>
          <t>{"id":"chatcmpl-Da9qaRNw2XRriti2WiB6rccPJuD7D","object":"chat.completion","created":1777510032,"model":"gpt-5-chat-2025-10-03","choices":[{"index":0,"message":{"role":"assistant","content":"Dior：黑色方框太阳眼镜，采用轻质醋酸纤维材质，镜腿饰以金属徽标与铆钉细节，融合现代极简与复古优雅风格，防紫外线镜片设计，男女皆宜，彰显高级时尚品味。","refusal":null,"annotations":[]},"logprobs":null,"finish_reason":"stop"}],"usage":{"prompt_tokens":1298,"completion_tokens":72,"total_tokens":1370,"prompt_tokens_details":{"cached_tokens":1280,"audio_tokens":0},"completion_tokens_details":{"reasoning_tokens":0,"audio_tokens":0,"accepted_prediction_tokens":0,"rejected_prediction_tokens":0}},"service_tier":"default","system_fingerprint":"fp_fd471178c5"}</t>
        </is>
      </c>
      <c r="X38" t="inlineStr">
        <is>
          <t>Dior：黑色方框太阳眼镜，采用轻质醋酸纤维材质，镜腿饰以金属徽标与铆钉细节，融合现代极简与复古优雅风格，防紫外线镜片设计，男女皆宜，彰显高级时尚品味。</t>
        </is>
      </c>
    </row>
    <row r="39" ht="25.5" customHeight="1">
      <c r="A39">
        <v>1654975475</v>
      </c>
      <c r="B39">
        <v>7623259957</v>
      </c>
      <c r="C39" s="2" t="str">
        <f>=HYPERLINK("https://weidian.com/item.html?itemID=7623259957", "https://weidian.com/item.html?itemID=7623259957")</f>
        <v>https://weidian.com/item.html?itemID=7623259957</v>
      </c>
      <c r="D39"/>
      <c r="E39" s="2" t="str">
        <f>=HYPERLINK("https://si.geilicdn.com/pcitem2014204438-2bb10000019adf6db8320a8134f0_1442_1922.jpg?w=640&amp;h=640", "https://si.geilicdn.com/pcitem2014204438-2bb10000019adf6db8320a8134f0_1442_1922.jpg?w=640&amp;h=640")</f>
        <v>https://si.geilicdn.com/pcitem2014204438-2bb10000019adf6db8320a8134f0_1442_1922.jpg?w=640&amp;h=640</v>
      </c>
      <c r="F39" t="inlineStr">
        <is>
          <t>Glasses</t>
        </is>
      </c>
      <c r="G39" t="inlineStr">
        <is>
          <t>Chanel</t>
        </is>
      </c>
      <c r="H39">
        <v>360</v>
      </c>
      <c r="I39">
        <v>52.17</v>
      </c>
      <c r="J39" t="inlineStr">
        <is>
          <t>{"id":"chatcmpl-DaAFzeMPR1TBTyBWLxnq5NVAtz0XW","object":"chat.completion","created":1777511607,"model":"gpt-5-chat-2025-10-03","choices":[{"index":0,"message":{"role":"assistant","content":"Chanel Square Black Vintage Unisex Sunglass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fd471178c5"}</t>
        </is>
      </c>
      <c r="K39" t="inlineStr">
        <is>
          <t>Chanel Square Black Vintage Unisex Sunglasses</t>
        </is>
      </c>
      <c r="L39" t="inlineStr">
        <is>
          <t>{"id":"chatcmpl-DaA7RuLFJXD8Jp5ASDfTEyUHVpvLg","object":"chat.completion","created":1777511077,"model":"gpt-5-chat-2025-10-03","choices":[{"index":0,"message":{"role":"assistant","content":"Chanel Square Black Vintage Sunglasses – high-transparency resin lenses, lightweight acetate frame, classic double C logo, sleek minimalist lines, unisex design, French modern elegance for urban style.","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fd471178c5"}</t>
        </is>
      </c>
      <c r="M39" t="inlineStr">
        <is>
          <t>{"alt-svc":"h3=\":443\"; ma=2592000","apim-request-id":"380ce614-f1f9-4066-b336-6747d65f89a5","azureml-model-session":"d20260428205641-55ca9797","cache-control":"no-cache","connection":"close","content-length":"1011","content-type":"application/json","date":"Thu, 30 Apr 2026 01:04:38 GMT","server":"nginx","skip-error-remapping":"true","strict-transport-security":"max-age=31536000; includeSubDomains; preload","via":"1.1 Caddy","x-content-type-options":"nosniff","x-ms-client-request-id":"Not-Set","x-ms-is-spilled-over":"false","x-ms-rai-invoked":"false","x-ms-region":"Central US","x-new-api-version":"0.4.35","x-oneapi-request-id":"202604300104369186135308268d9d6E8spV9oL","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e52e2cef-bc91-4729-ac88-e94c53607a39"}</t>
        </is>
      </c>
      <c r="N39" t="inlineStr">
        <is>
          <t>Chanel Square Black Vintage Sunglasses – high-transparency resin lenses, lightweight acetate frame, classic double C logo, sleek minimalist lines, unisex design, French modern elegance for urban style.</t>
        </is>
      </c>
      <c r="O39" t="inlineStr">
        <is>
          <t>{"id":"chatcmpl-DaAXB1hgkneUtgb4KzdRJ1KiUOjyY","object":"chat.completion","created":1777512673,"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39" t="inlineStr">
        <is>
          <t>Chanel,Glasses,kakobuy,kakebuy2026,kekobuysheet,kakobuysheet2026,2026kakobuy,kakobuyspreadsheeet,kakobuylink,kakebuylist,Kakobuy MEGA Spreadsheet,kakobuysheetfind,kakobuysheetfind2026,2026kakobuysheetfind,kakobuysheet2026</t>
        </is>
      </c>
      <c r="Q39" t="inlineStr">
        <is>
          <t>Chanel, Vintage, Sleek, Minimalist, Unisex, Elegant</t>
        </is>
      </c>
      <c r="R39" t="inlineStr">
        <is>
          <t>recvhju1CrVC6b</t>
        </is>
      </c>
      <c r="S39" t="inlineStr">
        <is>
          <t>chanel-square-black-vintage-sunglasses-recvhju1crvc6b</t>
        </is>
      </c>
      <c r="T39"/>
      <c r="U39"/>
      <c r="V39"/>
      <c r="W39" t="inlineStr">
        <is>
          <t>{"id":"chatcmpl-Da9qASqm6pytBWfdamOF07Q5zbcjZ","object":"chat.completion","created":1777510006,"model":"gpt-5-chat-2025-10-03","choices":[{"index":0,"message":{"role":"assistant","content":"香奈儿：方框黑色复古太阳眼镜，精选高透光树脂镜片与轻盈醋酸纤维镜框，线条简约利落，搭配品牌经典双C标识，彰显摩登优雅格调。男女皆宜，法式高级设计感浓厚，尽显都市时尚气质。","refusal":null,"annotations":[]},"logprobs":null,"finish_reason":"stop"}],"usage":{"prompt_tokens":1304,"completion_tokens":80,"total_tokens":1384,"prompt_tokens_details":{"cached_tokens":0,"audio_tokens":0},"completion_tokens_details":{"reasoning_tokens":0,"audio_tokens":0,"accepted_prediction_tokens":0,"rejected_prediction_tokens":0}},"service_tier":"default","system_fingerprint":"fp_ad66631dec"}</t>
        </is>
      </c>
      <c r="X39" t="inlineStr">
        <is>
          <t>香奈儿：方框黑色复古太阳眼镜，精选高透光树脂镜片与轻盈醋酸纤维镜框，线条简约利落，搭配品牌经典双C标识，彰显摩登优雅格调。男女皆宜，法式高级设计感浓厚，尽显都市时尚气质。</t>
        </is>
      </c>
    </row>
    <row r="40" ht="25.5" customHeight="1">
      <c r="A40">
        <v>1654975475</v>
      </c>
      <c r="B40">
        <v>7623252305</v>
      </c>
      <c r="C40" s="2" t="str">
        <f>=HYPERLINK("https://weidian.com/item.html?itemID=7623252305", "https://weidian.com/item.html?itemID=7623252305")</f>
        <v>https://weidian.com/item.html?itemID=7623252305</v>
      </c>
      <c r="D40"/>
      <c r="E40" s="2" t="str">
        <f>=HYPERLINK("https://si.geilicdn.com/pcitem2014204438-2ad60000019adf68f5870a20e672_1080_1440.jpg?w=640&amp;h=640", "https://si.geilicdn.com/pcitem2014204438-2ad60000019adf68f5870a20e672_1080_1440.jpg?w=640&amp;h=640")</f>
        <v>https://si.geilicdn.com/pcitem2014204438-2ad60000019adf68f5870a20e672_1080_1440.jpg?w=640&amp;h=640</v>
      </c>
      <c r="F40" t="inlineStr">
        <is>
          <t>Glasses</t>
        </is>
      </c>
      <c r="G40" t="inlineStr">
        <is>
          <t>Cartier</t>
        </is>
      </c>
      <c r="H40">
        <v>380</v>
      </c>
      <c r="I40">
        <v>55.07</v>
      </c>
      <c r="J40" t="inlineStr">
        <is>
          <t>{"id":"chatcmpl-DaAK0i4DW0ehgF26PWSIC04Af7ivl","object":"chat.completion","created":1777511856,"model":"gpt-5-chat-2025-10-03","choices":[{"index":0,"message":{"role":"assistant","content":"Cartier Santos Blue Green Rimless Luxury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fd471178c5"}</t>
        </is>
      </c>
      <c r="K40" t="inlineStr">
        <is>
          <t>Cartier Santos Blue Green Rimless Luxury Sunglasses</t>
        </is>
      </c>
      <c r="L40" t="inlineStr">
        <is>
          <t>{"id":"chatcmpl-DaACshySA9Oa49l2hVCljQ3Lnh6nW","object":"chat.completion","created":1777511414,"model":"gpt-5-chat-2025-10-03","choices":[{"index":0,"message":{"role":"assistant","content":"Cartier Santos Blue-Green Gradient Sunglasses with Gold-Plated Frame and Wood Temples, Rimless Unisex Design, Blending Vintage Charm and Modern French Luxury Craftsmanship.","refusal":null,"annotations":[]},"logprobs":null,"finish_reason":"stop"}],"usage":{"prompt_tokens":907,"completion_tokens":37,"total_tokens":944,"prompt_tokens_details":{"cached_tokens":0,"audio_tokens":0},"completion_tokens_details":{"reasoning_tokens":0,"audio_tokens":0,"accepted_prediction_tokens":0,"rejected_prediction_tokens":0}},"service_tier":"default","system_fingerprint":"fp_fd471178c5"}</t>
        </is>
      </c>
      <c r="M40" t="inlineStr">
        <is>
          <t>{"alt-svc":"h3=\":443\"; ma=2592000","apim-request-id":"b7fbe005-d458-4b5a-92f7-aa2cb15254c0","azureml-model-session":"d20260428174121-807d9cc5","cache-control":"no-cache","connection":"close","content-length":"980","content-type":"application/json","date":"Thu, 30 Apr 2026 01:10:15 GMT","server":"nginx","skip-error-remapping":"true","strict-transport-security":"max-age=31536000; includeSubDomains; preload","via":"1.1 Caddy","x-content-type-options":"nosniff","x-ms-client-request-id":"Not-Set","x-ms-is-spilled-over":"false","x-ms-rai-invoked":"false","x-ms-region":"Central US","x-new-api-version":"0.4.35","x-oneapi-request-id":"20260430011014816667668268d9d63V2LHmVv","x-ratelimit-abusepenalty-active":"False","x-ratelimit-key":"gpt-5-chat-global","x-ratelimit-limit-requests":"1000","x-ratelimit-limit-tokens":"1000000","x-ratelimit-remaining-requests":"998","x-ratelimit-remaining-tokens":"992297","x-ratelimit-renewalperiod-requests":"60","x-ratelimit-renewalperiod-tokens":"60","x-ratelimit-reset-requests":"108","x-ratelimit-reset-tokens":"462","x-request-id":"f1546960-d8a8-48d8-bb1f-33330e41a550"}</t>
        </is>
      </c>
      <c r="N40" t="inlineStr">
        <is>
          <t>Cartier Santos Blue-Green Gradient Sunglasses with Gold-Plated Frame and Wood Temples, Rimless Unisex Design, Blending Vintage Charm and Modern French Luxury Craftsmanship.</t>
        </is>
      </c>
      <c r="O40" t="inlineStr">
        <is>
          <t>{"id":"chatcmpl-DaAWLN8mEQgB8rtdB94pY0A3EE8S4","object":"chat.completion","created":1777512621,"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40" t="inlineStr">
        <is>
          <t>Cartier,Glasses,kakobuy,kakebuy2026,kekobuysheet,kakobuysheet2026,2026kakobuy,kakobuyspreadsheeet,kakobuylink,kakebuylist,Kakobuy MEGA Spreadsheet,kakobuysheetfind,kakobuysheetfind2026,2026kakobuysheetfind,kakobuysheet2026</t>
        </is>
      </c>
      <c r="Q40"/>
      <c r="R40" t="inlineStr">
        <is>
          <t>recvhju1CrR4n2</t>
        </is>
      </c>
      <c r="S40" t="inlineStr">
        <is>
          <t>cartier-santos-blue-green-rimless-sunglasses-recvhju1crr4n2</t>
        </is>
      </c>
      <c r="T40"/>
      <c r="U40"/>
      <c r="V40"/>
      <c r="W40" t="inlineStr">
        <is>
          <t>{"id":"chatcmpl-Da9mwgyji8O9egBbuwsUOnIkgEAqx","object":"chat.completion","created":1777509806,"model":"gpt-5-chat-2025-10-03","choices":[{"index":0,"message":{"role":"assistant","content":"Cartier：Santos系列蓝绿色渐变太阳眼镜，镀金金属镜框搭配珍贵木质镜腿，展现现代奢华与优雅工艺，轻盈无框设计适合男女佩戴，复古与当代风格融合，彰显法式高定魅力。","refusal":null,"annotations":[]},"logprobs":null,"finish_reason":"stop"}],"usage":{"prompt_tokens":1302,"completion_tokens":72,"total_tokens":1374,"prompt_tokens_details":{"cached_tokens":0,"audio_tokens":0},"completion_tokens_details":{"reasoning_tokens":0,"audio_tokens":0,"accepted_prediction_tokens":0,"rejected_prediction_tokens":0}},"service_tier":"default","system_fingerprint":"fp_ad66631dec"}</t>
        </is>
      </c>
      <c r="X40" t="inlineStr">
        <is>
          <t>Cartier：Santos系列蓝绿色渐变太阳眼镜，镀金金属镜框搭配珍贵木质镜腿，展现现代奢华与优雅工艺，轻盈无框设计适合男女佩戴，复古与当代风格融合，彰显法式高定魅力。</t>
        </is>
      </c>
    </row>
    <row r="41" ht="25.5" customHeight="1">
      <c r="A41">
        <v>1654975475</v>
      </c>
      <c r="B41">
        <v>7623232387</v>
      </c>
      <c r="C41" s="2" t="str">
        <f>=HYPERLINK("https://weidian.com/item.html?itemID=7623232387", "https://weidian.com/item.html?itemID=7623232387")</f>
        <v>https://weidian.com/item.html?itemID=7623232387</v>
      </c>
      <c r="D41"/>
      <c r="E41" s="2" t="str">
        <f>=HYPERLINK("https://si.geilicdn.com/pcitem2014204438-2edc0000019adf63fc950a207569_1074_1074.jpg?w=640&amp;h=640", "https://si.geilicdn.com/pcitem2014204438-2edc0000019adf63fc950a207569_1074_1074.jpg?w=640&amp;h=640")</f>
        <v>https://si.geilicdn.com/pcitem2014204438-2edc0000019adf63fc950a207569_1074_1074.jpg?w=640&amp;h=640</v>
      </c>
      <c r="F41" t="inlineStr">
        <is>
          <t>Glasses</t>
        </is>
      </c>
      <c r="G41" t="inlineStr">
        <is>
          <t>Loewe</t>
        </is>
      </c>
      <c r="H41">
        <v>370</v>
      </c>
      <c r="I41">
        <v>53.62</v>
      </c>
      <c r="J41" t="inlineStr">
        <is>
          <t>{"id":"chatcmpl-DaAKvCS5VNgY2BdADJzCqLxAlckgK","object":"chat.completion","created":1777511913,"model":"gpt-5-chat-2025-10-03","choices":[{"index":0,"message":{"role":"assistant","content":"Loewe Gold Square Gradient Unisex Luxury Sunglasse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41" t="inlineStr">
        <is>
          <t>Loewe Gold Square Gradient Unisex Luxury Sunglasses</t>
        </is>
      </c>
      <c r="L41" t="inlineStr">
        <is>
          <t>{"id":"chatcmpl-DaADefia5FbPBfxroS4yiLElAvK3o","object":"chat.completion","created":1777511462,"model":"gpt-5-chat-2025-10-03","choices":[{"index":0,"message":{"role":"assistant","content":"Loewe Gold Square Sunglasses feature retro gradient lenses, metal logo accents, and a sleek lightweight frame. Unisex luxury eyewear blending modern art style with UV protection and timeless elegance.","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41" t="inlineStr">
        <is>
          <t>{"alt-svc":"h3=\":443\"; ma=2592000","apim-request-id":"dba85cbf-d5b2-41e2-b079-8b6b53d7a448","azureml-model-session":"d20260402084046-4209e968","cache-control":"no-cache","connection":"close","content-length":"1008","content-type":"application/json","date":"Thu, 30 Apr 2026 01:11:04 GMT","server":"nginx","skip-error-remapping":"true","strict-transport-security":"max-age=31536000; includeSubDomains; preload","via":"1.1 Caddy","x-content-type-options":"nosniff","x-ms-client-request-id":"Not-Set","x-ms-is-spilled-over":"false","x-ms-rai-invoked":"false","x-ms-region":"Poland Central","x-new-api-version":"0.4.35","x-oneapi-request-id":"202604300111015582489148268d9d64K4CCrUN","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ac183cb2-abed-4bae-bc87-3553cfe16f7c"}</t>
        </is>
      </c>
      <c r="N41" t="inlineStr">
        <is>
          <t>Loewe Gold Square Sunglasses feature retro gradient lenses, metal logo accents, and a sleek lightweight frame. Unisex luxury eyewear blending modern art style with UV protection and timeless elegance.</t>
        </is>
      </c>
      <c r="O41" t="inlineStr">
        <is>
          <t>{"id":"chatcmpl-DaAT0zEhiVlD3AOPFPAPU9jgmpAi7","object":"chat.completion","created":1777512414,"model":"gpt-5-chat-2025-10-03","choices":[{"index":0,"message":{"role":"assistant","content":"Loewe,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41" t="inlineStr">
        <is>
          <t>Loewe,Glasses,kakobuy,kakebuy2026,kekobuysheet,kakobuysheet2026,2026kakobuy,kakobuyspreadsheeet,kakobuylink,kakebuylist,Kakobuy MEGA Spreadsheet,kakobuysheetfind,kakobuysheetfind2026,2026kakobuysheetfind,kakobuysheet2026</t>
        </is>
      </c>
      <c r="Q41" t="inlineStr">
        <is>
          <t>Unisex, Retro, Gradient, Anti-Ultraviolet, Elegant, Artistic Style</t>
        </is>
      </c>
      <c r="R41" t="inlineStr">
        <is>
          <t>recvhju1CrdPpv</t>
        </is>
      </c>
      <c r="S41" t="inlineStr">
        <is>
          <t>loewe-gold-square-gradient-sunglasses-recvhju1crdppv</t>
        </is>
      </c>
      <c r="T41"/>
      <c r="U41"/>
      <c r="V41"/>
      <c r="W41" t="inlineStr">
        <is>
          <t>{"id":"chatcmpl-Da9ssnzB69sWAKgbpyXILJhL0uyOI","object":"chat.completion","created":1777510174,"model":"gpt-5-chat-2025-10-03","choices":[{"index":0,"message":{"role":"assistant","content":"Loewe：金框方形太阳眼镜，复古渐变镜片搭配金属Logo细节，优雅轻盈设计，男女皆宜，融合现代艺术美学与实用防晒功能，展现奢华格调与时尚态度。","refusal":null,"annotations":[]},"logprobs":null,"finish_reason":"stop"}],"usage":{"prompt_tokens":1302,"completion_tokens":62,"total_tokens":1364,"prompt_tokens_details":{"cached_tokens":1280,"audio_tokens":0},"completion_tokens_details":{"reasoning_tokens":0,"audio_tokens":0,"accepted_prediction_tokens":0,"rejected_prediction_tokens":0}},"service_tier":"default","system_fingerprint":"fp_fd471178c5"}</t>
        </is>
      </c>
      <c r="X41" t="inlineStr">
        <is>
          <t>Loewe：金框方形太阳眼镜，复古渐变镜片搭配金属Logo细节，优雅轻盈设计，男女皆宜，融合现代艺术美学与实用防晒功能，展现奢华格调与时尚态度。</t>
        </is>
      </c>
    </row>
    <row r="42" ht="25.5" customHeight="1">
      <c r="A42">
        <v>1654975475</v>
      </c>
      <c r="B42">
        <v>7623265953</v>
      </c>
      <c r="C42" s="2" t="str">
        <f>=HYPERLINK("https://weidian.com/item.html?itemID=7623265953", "https://weidian.com/item.html?itemID=7623265953")</f>
        <v>https://weidian.com/item.html?itemID=7623265953</v>
      </c>
      <c r="D42"/>
      <c r="E42" s="2" t="str">
        <f>=HYPERLINK("https://si.geilicdn.com/pcitem2014204438-4fcd0000019adf524a1c0a2103bd_1440_1920.jpg?w=640&amp;h=640", "https://si.geilicdn.com/pcitem2014204438-4fcd0000019adf524a1c0a2103bd_1440_1920.jpg?w=640&amp;h=640")</f>
        <v>https://si.geilicdn.com/pcitem2014204438-4fcd0000019adf524a1c0a2103bd_1440_1920.jpg?w=640&amp;h=640</v>
      </c>
      <c r="F42" t="inlineStr">
        <is>
          <t>Glasses</t>
        </is>
      </c>
      <c r="G42" t="inlineStr">
        <is>
          <t>Gucci</t>
        </is>
      </c>
      <c r="H42">
        <v>380</v>
      </c>
      <c r="I42">
        <v>55.07</v>
      </c>
      <c r="J42" t="inlineStr">
        <is>
          <t>{"id":"chatcmpl-DaAIYscjau7JWXr3uTrxBypOiNrVG","object":"chat.completion","created":1777511766,"model":"gpt-5-chat-2025-10-03","choices":[{"index":0,"message":{"role":"assistant","content":"Gucci Black Aviator Sunglasses Metal Frame Gray Lenses","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42" t="inlineStr">
        <is>
          <t>Gucci Black Aviator Sunglasses Metal Frame Gray Lenses</t>
        </is>
      </c>
      <c r="L42" t="inlineStr">
        <is>
          <t>{"id":"chatcmpl-DaA88tg0DAT4bh2P12BjPhuexUmkl","object":"chat.completion","created":1777511120,"model":"gpt-5-chat-2025-10-03","choices":[{"index":0,"message":{"role":"assistant","content":"Gucci Black Aviator Sunglasses – sleek metal frame with gray lenses, lightweight and unisex. A fusion of classic retro and modern style, showcasing timeless Italian elegance for urban sophistication.","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fd471178c5"}</t>
        </is>
      </c>
      <c r="M42" t="inlineStr">
        <is>
          <t>{"alt-svc":"h3=\":443\"; ma=2592000","apim-request-id":"19b711eb-7c38-449a-a337-aa853263762c","azureml-model-session":"d20260428205641-55ca9797","cache-control":"no-cache","connection":"close","content-length":"1009","content-type":"application/json","date":"Thu, 30 Apr 2026 01:05:21 GMT","server":"nginx","skip-error-remapping":"true","strict-transport-security":"max-age=31536000; includeSubDomains; preload","via":"1.1 Caddy","x-content-type-options":"nosniff","x-ms-client-request-id":"Not-Set","x-ms-is-spilled-over":"false","x-ms-rai-invoked":"false","x-ms-region":"South Central US","x-new-api-version":"0.4.35","x-oneapi-request-id":"202604300105193184963438268d9d643wUfKuM","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9968a65b-3cdf-4a52-b9d1-d9e368764fc8"}</t>
        </is>
      </c>
      <c r="N42" t="inlineStr">
        <is>
          <t>Gucci Black Aviator Sunglasses – sleek metal frame with gray lenses, lightweight and unisex. A fusion of classic retro and modern style, showcasing timeless Italian elegance for urban sophistication.</t>
        </is>
      </c>
      <c r="O42" t="inlineStr">
        <is>
          <t>{"id":"chatcmpl-DaASasowNb9oVuu0xi9Tq9XAVZtAx","object":"chat.completion","created":1777512388,"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42" t="inlineStr">
        <is>
          <t>Gucci,Glasses,kakobuy,kakebuy2026,kekobuysheet,kakobuysheet2026,2026kakobuy,kakobuyspreadsheeet,kakobuylink,kakebuylist,Kakobuy MEGA Spreadsheet,kakobuysheetfind,kakobuysheetfind2026,2026kakobuysheetfind,kakobuysheet2026</t>
        </is>
      </c>
      <c r="Q42" t="inlineStr">
        <is>
          <t>Black, Gray, Classic, Retro, Unisex</t>
        </is>
      </c>
      <c r="R42" t="inlineStr">
        <is>
          <t>recvhju1CrMZit</t>
        </is>
      </c>
      <c r="S42" t="inlineStr">
        <is>
          <t>gucci-black-aviator-sunglasses-recvhju1crmzit</t>
        </is>
      </c>
      <c r="T42"/>
      <c r="U42"/>
      <c r="V42"/>
      <c r="W42" t="inlineStr">
        <is>
          <t>{"id":"chatcmpl-Da9oJqlYwiX7MtfPKiiyG6sTmpoXB","object":"chat.completion","created":1777509891,"model":"gpt-5-chat-2025-10-03","choices":[{"index":0,"message":{"role":"assistant","content":"Gucci：黑色飞行员款太阳眼镜，轻盈金属框架搭配灰色镜片，极简现代设计彰显都市格调，男女皆宜，融合经典复古与当代时尚元素，演绎意式优雅魅力。","refusal":null,"annotations":[]},"logprobs":null,"finish_reason":"stop"}],"usage":{"prompt_tokens":1306,"completion_tokens":62,"total_tokens":1368,"prompt_tokens_details":{"cached_tokens":0,"audio_tokens":0},"completion_tokens_details":{"reasoning_tokens":0,"audio_tokens":0,"accepted_prediction_tokens":0,"rejected_prediction_tokens":0}},"service_tier":"default","system_fingerprint":"fp_ad66631dec"}</t>
        </is>
      </c>
      <c r="X42" t="inlineStr">
        <is>
          <t>Gucci：黑色飞行员款太阳眼镜，轻盈金属框架搭配灰色镜片，极简现代设计彰显都市格调，男女皆宜，融合经典复古与当代时尚元素，演绎意式优雅魅力。</t>
        </is>
      </c>
    </row>
    <row r="43" ht="25.5" customHeight="1">
      <c r="A43">
        <v>1654975475</v>
      </c>
      <c r="B43">
        <v>7625880716</v>
      </c>
      <c r="C43" s="2" t="str">
        <f>=HYPERLINK("https://weidian.com/item.html?itemID=7625880716", "https://weidian.com/item.html?itemID=7625880716")</f>
        <v>https://weidian.com/item.html?itemID=7625880716</v>
      </c>
      <c r="D43"/>
      <c r="E43" s="2" t="str">
        <f>=HYPERLINK("https://si.geilicdn.com/pcitem2014204438-27d60000019adf4515cb0a23038e_1440_1920.jpg?w=640&amp;h=640", "https://si.geilicdn.com/pcitem2014204438-27d60000019adf4515cb0a23038e_1440_1920.jpg?w=640&amp;h=640")</f>
        <v>https://si.geilicdn.com/pcitem2014204438-27d60000019adf4515cb0a23038e_1440_1920.jpg?w=640&amp;h=640</v>
      </c>
      <c r="F43" t="inlineStr">
        <is>
          <t>Glasses</t>
        </is>
      </c>
      <c r="G43" t="inlineStr">
        <is>
          <t>Louis Vuitton</t>
        </is>
      </c>
      <c r="H43">
        <v>350</v>
      </c>
      <c r="I43">
        <v>50.72</v>
      </c>
      <c r="J43" t="inlineStr">
        <is>
          <t>{"id":"chatcmpl-DaAH4byjCL0JA9d70R1O0QjUiu9h1","object":"chat.completion","created":1777511674,"model":"gpt-5-chat-2025-10-03","choices":[{"index":0,"message":{"role":"assistant","content":"Louis Vuitton Black Vintage Narrow Sunglasses UV Protection","refusal":null,"annotations":[]},"logprobs":null,"finish_reason":"stop"}],"usage":{"prompt_tokens":864,"completion_tokens":10,"total_tokens":874,"prompt_tokens_details":{"cached_tokens":0,"audio_tokens":0},"completion_tokens_details":{"reasoning_tokens":0,"audio_tokens":0,"accepted_prediction_tokens":0,"rejected_prediction_tokens":0}},"service_tier":"default","system_fingerprint":"fp_ad66631dec"}</t>
        </is>
      </c>
      <c r="K43" t="inlineStr">
        <is>
          <t>Louis Vuitton Black Vintage Narrow Sunglasses UV Protection</t>
        </is>
      </c>
      <c r="L43" t="inlineStr">
        <is>
          <t>{"id":"chatcmpl-DaADs9gprikXoNQ9kUExZFub6MZMj","object":"chat.completion","created":1777511476,"model":"gpt-5-chat-2025-10-03","choices":[{"index":0,"message":{"role":"assistant","content":"Louis Vuitton black vintage narrow sunglasses with acetate frame, LV Monogram detail, unisex design, UV protection, lightweight comfort, modern minimalist luxury style.","refusal":null,"annotations":[]},"logprobs":null,"finish_reason":"stop"}],"usage":{"prompt_tokens":917,"completion_tokens":31,"total_tokens":948,"prompt_tokens_details":{"cached_tokens":0,"audio_tokens":0},"completion_tokens_details":{"reasoning_tokens":0,"audio_tokens":0,"accepted_prediction_tokens":0,"rejected_prediction_tokens":0}},"service_tier":"default","system_fingerprint":"fp_ad66631dec"}</t>
        </is>
      </c>
      <c r="M43" t="inlineStr">
        <is>
          <t>{"alt-svc":"h3=\":443\"; ma=2592000","apim-request-id":"8092c062-d49d-433b-a253-1eca990f52fa","azureml-model-session":"d20260402083108-57a85543","cache-control":"no-cache","connection":"close","content-length":"976","content-type":"application/json","date":"Thu, 30 Apr 2026 01:11:17 GMT","server":"Caddy","skip-error-remapping":"true","strict-transport-security":"max-age=31536000; includeSubDomains; preload","x-content-type-options":"nosniff","x-ms-client-request-id":"Not-Set","x-ms-is-spilled-over":"false","x-ms-rai-invoked":"false","x-ms-region":"Central US","x-new-api-version":"0.4.35","x-oneapi-request-id":"202604300111147728132078268d9d6vws5t51y","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5a9b029e-9c2b-4997-b5e0-ea2882458e96"}</t>
        </is>
      </c>
      <c r="N43" t="inlineStr">
        <is>
          <t>Louis Vuitton black vintage narrow sunglasses with acetate frame, LV Monogram detail, unisex design, UV protection, lightweight comfort, modern minimalist luxury style.</t>
        </is>
      </c>
      <c r="O43" t="inlineStr">
        <is>
          <t>{"id":"chatcmpl-DaARhaT7l15Q7RprpNaGmsSCuWffb","object":"chat.completion","created":1777512333,"model":"gpt-5-chat-2025-10-03","choices":[{"index":0,"message":{"role":"assistant","content":"Louis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3" t="inlineStr">
        <is>
          <t>Louis Vuitton,Glasses,kakobuy,kakebuy2026,kekobuysheet,kakobuysheet2026,2026kakobuy,kakobuyspreadsheeet,kakobuylink,kakebuylist,Kakobuy MEGA Spreadsheet,kakobuysheetfind,kakobuysheetfind2026,2026kakobuysheetfind,kakobuysheet2026</t>
        </is>
      </c>
      <c r="Q43" t="inlineStr">
        <is>
          <t>LV, Acetate Fiber, Black, Unisex, Anti-Ultraviolet, Minimalist</t>
        </is>
      </c>
      <c r="R43" t="inlineStr">
        <is>
          <t>recvhju1Crps1H</t>
        </is>
      </c>
      <c r="S43" t="inlineStr">
        <is>
          <t>louis-vuitton-black-vintage-narrow-sunglasses-uv-protection-recvhju1crps1h</t>
        </is>
      </c>
      <c r="T43"/>
      <c r="U43"/>
      <c r="V43"/>
      <c r="W43" t="inlineStr">
        <is>
          <t>{"id":"chatcmpl-Da9n5ZQubeC58Hbf3CL9LY9WEKXLr","object":"chat.completion","created":1777509815,"model":"gpt-5-chat-2025-10-03","choices":[{"index":0,"message":{"role":"assistant","content":"Louis Vuitton：黑色复古窄版太阳眼镜，醋酸纤维镜框质感高级，镜脚点缀LV标志性Monogram花饰，展现摩登极简设计美学。男女通用款，防紫外线功能出众，轻盈舒适，彰显时尚格调与奢华品味。","refusal":null,"annotations":[]},"logprobs":null,"finish_reason":"stop"}],"usage":{"prompt_tokens":1302,"completion_tokens":82,"total_tokens":1384,"prompt_tokens_details":{"cached_tokens":0,"audio_tokens":0},"completion_tokens_details":{"reasoning_tokens":0,"audio_tokens":0,"accepted_prediction_tokens":0,"rejected_prediction_tokens":0}},"service_tier":"default","system_fingerprint":"fp_ad66631dec"}</t>
        </is>
      </c>
      <c r="X43" t="inlineStr">
        <is>
          <t>Louis Vuitton：黑色复古窄版太阳眼镜，醋酸纤维镜框质感高级，镜脚点缀LV标志性Monogram花饰，展现摩登极简设计美学。男女通用款，防紫外线功能出众，轻盈舒适，彰显时尚格调与奢华品味。</t>
        </is>
      </c>
    </row>
    <row r="44" ht="25.5" customHeight="1">
      <c r="A44">
        <v>1654975475</v>
      </c>
      <c r="B44">
        <v>7626192896</v>
      </c>
      <c r="C44" s="2" t="str">
        <f>=HYPERLINK("https://weidian.com/item.html?itemID=7626192896", "https://weidian.com/item.html?itemID=7626192896")</f>
        <v>https://weidian.com/item.html?itemID=7626192896</v>
      </c>
      <c r="D44"/>
      <c r="E44" s="2" t="str">
        <f>=HYPERLINK("https://si.geilicdn.com/pcitem2014204438-79de0000019adf3b4b2b0a20e2c5_1440_1920.jpg?w=640&amp;h=640", "https://si.geilicdn.com/pcitem2014204438-79de0000019adf3b4b2b0a20e2c5_1440_1920.jpg?w=640&amp;h=640")</f>
        <v>https://si.geilicdn.com/pcitem2014204438-79de0000019adf3b4b2b0a20e2c5_1440_1920.jpg?w=640&amp;h=640</v>
      </c>
      <c r="F44" t="inlineStr">
        <is>
          <t>Glasses</t>
        </is>
      </c>
      <c r="G44" t="inlineStr">
        <is>
          <t>Dior</t>
        </is>
      </c>
      <c r="H44">
        <v>380</v>
      </c>
      <c r="I44">
        <v>55.07</v>
      </c>
      <c r="J44" t="inlineStr">
        <is>
          <t>{"id":"chatcmpl-DaAGxaIaMWGO9AUYVd0UK4cHcMLmX","object":"chat.completion","created":1777511667,"model":"gpt-5-chat-2025-10-03","choices":[{"index":0,"message":{"role":"assistant","content":"Dior Black Square Metal UV Protection Sunglasses","refusal":null,"annotations":[]},"logprobs":null,"finish_reason":"stop"}],"usage":{"prompt_tokens":866,"completion_tokens":10,"total_tokens":876,"prompt_tokens_details":{"cached_tokens":0,"audio_tokens":0},"completion_tokens_details":{"reasoning_tokens":0,"audio_tokens":0,"accepted_prediction_tokens":0,"rejected_prediction_tokens":0}},"service_tier":"default","system_fingerprint":"fp_fd471178c5"}</t>
        </is>
      </c>
      <c r="K44" t="inlineStr">
        <is>
          <t>Dior Black Square Metal UV Protection Sunglasses</t>
        </is>
      </c>
      <c r="L44" t="inlineStr">
        <is>
          <t>{"id":"chatcmpl-DaABgS81DcIxfgnfQEITd76TFMOI8","object":"chat.completion","created":1777511340,"model":"gpt-5-chat-2025-10-03","choices":[{"index":0,"message":{"role":"assistant","content":"Dior Black Square Sunglasses with high-transparency UV protection lenses and lightweight metal frame, featuring minimalist geometric design for modern elegance and unisex urban style.","refusal":null,"annotations":[]},"logprobs":null,"finish_reason":"stop"}],"usage":{"prompt_tokens":897,"completion_tokens":32,"total_tokens":929,"prompt_tokens_details":{"cached_tokens":0,"audio_tokens":0},"completion_tokens_details":{"reasoning_tokens":0,"audio_tokens":0,"accepted_prediction_tokens":0,"rejected_prediction_tokens":0}},"service_tier":"default","system_fingerprint":"fp_fd471178c5"}</t>
        </is>
      </c>
      <c r="M44" t="inlineStr">
        <is>
          <t>{"alt-svc":"h3=\":443\"; ma=2592000","apim-request-id":"d8920f46-e58a-4aae-8bca-05bc4d699a97","azureml-model-session":"d20260429094557-48622491","cache-control":"no-cache","connection":"close","content-length":"991","content-type":"application/json","date":"Thu, 30 Apr 2026 01:09:01 GMT","server":"Caddy","skip-error-remapping":"true","strict-transport-security":"max-age=31536000; includeSubDomains; preload","x-content-type-options":"nosniff","x-ms-client-request-id":"Not-Set","x-ms-is-spilled-over":"false","x-ms-rai-invoked":"false","x-ms-region":"East US","x-new-api-version":"0.4.35","x-oneapi-request-id":"202604300108595730459358268d9d6lMhPfIL4","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e5d4927b-488f-4453-9a28-4250ea52439e"}</t>
        </is>
      </c>
      <c r="N44" t="inlineStr">
        <is>
          <t>Dior Black Square Sunglasses with high-transparency UV protection lenses and lightweight metal frame, featuring minimalist geometric design for modern elegance and unisex urban style.</t>
        </is>
      </c>
      <c r="O44" t="inlineStr">
        <is>
          <t>{"id":"chatcmpl-DaAVxPusx8gyAtAzv4doB7siQlDcS","object":"chat.completion","created":1777512597,"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4" t="inlineStr">
        <is>
          <t>Dior,Glasses,kakobuy,kakebuy2026,kekobuysheet,kakobuysheet2026,2026kakobuy,kakobuyspreadsheeet,kakobuylink,kakebuylist,Kakobuy MEGA Spreadsheet,kakobuysheetfind,kakobuysheetfind2026,2026kakobuysheetfind,kakobuysheet2026</t>
        </is>
      </c>
      <c r="Q44" t="inlineStr">
        <is>
          <t>Dior, Black, Minimalist, Geometric, Unisex, Anti-Ultraviolet</t>
        </is>
      </c>
      <c r="R44" t="inlineStr">
        <is>
          <t>recvhju1CrHVvs</t>
        </is>
      </c>
      <c r="S44" t="inlineStr">
        <is>
          <t>dior-black-square-metal-uv-sunglasses-recvhju1crhvvs</t>
        </is>
      </c>
      <c r="T44"/>
      <c r="U44"/>
      <c r="V44"/>
      <c r="W44" t="inlineStr">
        <is>
          <t>{"id":"chatcmpl-Da9n4ZAwNaONB1ACkgUIB4asBepfA","object":"chat.completion","created":1777509814,"model":"gpt-5-chat-2025-10-03","choices":[{"index":0,"message":{"role":"assistant","content":"Dior：黑色方框太阳镜，采用高透防UV镜片与轻质金属材质，极简几何镶嵌设计，展现现代优雅风格，男女通用，彰显时尚都市格调。","refusal":null,"annotations":[]},"logprobs":null,"finish_reason":"stop"}],"usage":{"prompt_tokens":1312,"completion_tokens":57,"total_tokens":1369,"prompt_tokens_details":{"cached_tokens":0,"audio_tokens":0},"completion_tokens_details":{"reasoning_tokens":0,"audio_tokens":0,"accepted_prediction_tokens":0,"rejected_prediction_tokens":0}},"service_tier":"default","system_fingerprint":"fp_fd471178c5"}</t>
        </is>
      </c>
      <c r="X44" t="inlineStr">
        <is>
          <t>Dior：黑色方框太阳镜，采用高透防UV镜片与轻质金属材质，极简几何镶嵌设计，展现现代优雅风格，男女通用，彰显时尚都市格调。</t>
        </is>
      </c>
    </row>
    <row r="45" ht="25.5" customHeight="1">
      <c r="A45">
        <v>1654975475</v>
      </c>
      <c r="B45">
        <v>7626130312</v>
      </c>
      <c r="C45" s="2" t="str">
        <f>=HYPERLINK("https://weidian.com/item.html?itemID=7626130312", "https://weidian.com/item.html?itemID=7626130312")</f>
        <v>https://weidian.com/item.html?itemID=7626130312</v>
      </c>
      <c r="D45"/>
      <c r="E45" s="2" t="str">
        <f>=HYPERLINK("https://si.geilicdn.com/pcitem2014204438-16a90000019adf28974a0a2102c5_1440_1920.jpg?w=640&amp;h=640", "https://si.geilicdn.com/pcitem2014204438-16a90000019adf28974a0a2102c5_1440_1920.jpg?w=640&amp;h=640")</f>
        <v>https://si.geilicdn.com/pcitem2014204438-16a90000019adf28974a0a2102c5_1440_1920.jpg?w=640&amp;h=640</v>
      </c>
      <c r="F45" t="inlineStr">
        <is>
          <t>Glasses</t>
        </is>
      </c>
      <c r="G45" t="inlineStr">
        <is>
          <t>Gucci</t>
        </is>
      </c>
      <c r="H45">
        <v>370</v>
      </c>
      <c r="I45">
        <v>53.62</v>
      </c>
      <c r="J45" t="inlineStr">
        <is>
          <t>{"id":"chatcmpl-DaAHYRKNJpEHNL8o8yn8u3jx0SH9u","object":"chat.completion","created":1777511704,"model":"gpt-5-chat-2025-10-03","choices":[{"index":0,"message":{"role":"assistant","content":"Gucci Silver Gray Metal Square Sunglasses UV Protection","refusal":null,"annotations":[]},"logprobs":null,"finish_reason":"stop"}],"usage":{"prompt_tokens":868,"completion_tokens":11,"total_tokens":879,"prompt_tokens_details":{"cached_tokens":0,"audio_tokens":0},"completion_tokens_details":{"reasoning_tokens":0,"audio_tokens":0,"accepted_prediction_tokens":0,"rejected_prediction_tokens":0}},"service_tier":"default","system_fingerprint":"fp_ad66631dec"}</t>
        </is>
      </c>
      <c r="K45" t="inlineStr">
        <is>
          <t>Gucci Silver Gray Metal Square Sunglasses UV Protection</t>
        </is>
      </c>
      <c r="L45" t="inlineStr">
        <is>
          <t>{"id":"chatcmpl-DaADLt5igGpCJ195pGdvkircO9YMf","object":"chat.completion","created":1777511443,"model":"gpt-5-chat-2025-10-03","choices":[{"index":0,"message":{"role":"assistant","content":"Gucci Silver-Gray Metal Square Sunglasses with deep gray lenses, geometric minimalist design, UV protection, unisex retro-modern style for high-end luxury fashion.","refusal":null,"annotations":[]},"logprobs":null,"finish_reason":"stop"}],"usage":{"prompt_tokens":899,"completion_tokens":33,"total_tokens":932,"prompt_tokens_details":{"cached_tokens":0,"audio_tokens":0},"completion_tokens_details":{"reasoning_tokens":0,"audio_tokens":0,"accepted_prediction_tokens":0,"rejected_prediction_tokens":0}},"service_tier":"default","system_fingerprint":"fp_ad66631dec"}</t>
        </is>
      </c>
      <c r="M45" t="inlineStr">
        <is>
          <t>{"alt-svc":"h3=\":443\"; ma=2592000","apim-request-id":"b323c58c-626d-4bdb-a0f1-2e6b5e01025c","azureml-model-session":"d20260402084046-4209e968","cache-control":"no-cache","connection":"close","content-length":"971","content-type":"application/json","date":"Thu, 30 Apr 2026 01:10:43 GMT","server":"nginx","skip-error-remapping":"true","strict-transport-security":"max-age=31536000; includeSubDomains; preload","via":"1.1 Caddy","x-content-type-options":"nosniff","x-ms-client-request-id":"Not-Set","x-ms-is-spilled-over":"false","x-ms-rai-invoked":"false","x-ms-region":"East US 2","x-new-api-version":"0.4.35","x-oneapi-request-id":"202604300110418251524268268d9d63iC7MfLz","x-ratelimit-abusepenalty-active":"False","x-ratelimit-key":"gpt-5-chat-global","x-ratelimit-limit-requests":"1000","x-ratelimit-limit-tokens":"1000000","x-ratelimit-remaining-requests":"999","x-ratelimit-remaining-tokens":"980985","x-ratelimit-renewalperiod-requests":"60","x-ratelimit-renewalperiod-tokens":"60","x-ratelimit-reset-requests":"60","x-ratelimit-reset-tokens":"1140","x-request-id":"83d1aa56-2691-4b4b-8eba-e856aa4fb982"}</t>
        </is>
      </c>
      <c r="N45" t="inlineStr">
        <is>
          <t>Gucci Silver-Gray Metal Square Sunglasses with deep gray lenses, geometric minimalist design, UV protection, unisex retro-modern style for high-end luxury fashion.</t>
        </is>
      </c>
      <c r="O45" t="inlineStr">
        <is>
          <t>{"id":"chatcmpl-DaAScPlYt07wnCBU4HIzo3mAjxkYH","object":"chat.completion","created":1777512390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5" t="inlineStr">
        <is>
          <t>Gucci,Glasses,kakobuy,kakebuy2026,kekobuysheet,kakobuysheet2026,2026kakobuy,kakobuyspreadsheeet,kakobuylink,kakebuylist,Kakobuy MEGA Spreadsheet,kakobuysheetfind,kakobuysheetfind2026,2026kakobuysheetfind,kakobuysheet2026</t>
        </is>
      </c>
      <c r="Q45" t="inlineStr">
        <is>
          <t>Silver, Geometric, Minimalist, Unisex, Retro, High End</t>
        </is>
      </c>
      <c r="R45" t="inlineStr">
        <is>
          <t>recvhju1CrL15t</t>
        </is>
      </c>
      <c r="S45" t="inlineStr">
        <is>
          <t>gucci-silver-gray-metal-square-sunglasses-recvhju1cr15t</t>
        </is>
      </c>
      <c r="T45"/>
      <c r="U45"/>
      <c r="V45"/>
      <c r="W45" t="inlineStr">
        <is>
          <t>{"id":"chatcmpl-Da9oeygQP0drN6gR8QEubQfi327Ht","object":"chat.completion","created":1777509912,"model":"gpt-5-chat-2025-10-03","choices":[{"index":0,"message":{"role":"assistant","content":"Gucci：银灰色金属方框太阳镜，简约几何线条设计，搭配深灰镜片，彰显高端轻奢格调，男女皆宜，复古摩登风格，兼具防紫外线与时尚装饰功能。","refusal":null,"annotations":[]},"logprobs":null,"finish_reason":"stop"}],"usage":{"prompt_tokens":1304,"completion_tokens":63,"total_tokens":1367,"prompt_tokens_details":{"cached_tokens":0,"audio_tokens":0},"completion_tokens_details":{"reasoning_tokens":0,"audio_tokens":0,"accepted_prediction_tokens":0,"rejected_prediction_tokens":0}},"service_tier":"default","system_fingerprint":"fp_fd471178c5"}</t>
        </is>
      </c>
      <c r="X45" t="inlineStr">
        <is>
          <t>Gucci：银灰色金属方框太阳镜，简约几何线条设计，搭配深灰镜片，彰显高端轻奢格调，男女皆宜，复古摩登风格，兼具防紫外线与时尚装饰功能。</t>
        </is>
      </c>
    </row>
    <row r="46" ht="25.5" customHeight="1">
      <c r="A46">
        <v>1654975475</v>
      </c>
      <c r="B46">
        <v>7623218709</v>
      </c>
      <c r="C46" s="2" t="str">
        <f>=HYPERLINK("https://weidian.com/item.html?itemID=7623218709", "https://weidian.com/item.html?itemID=7623218709")</f>
        <v>https://weidian.com/item.html?itemID=7623218709</v>
      </c>
      <c r="D46"/>
      <c r="E46" s="2" t="str">
        <f>=HYPERLINK("https://si.geilicdn.com/pcitem2014204438-1e5d0000019adf276c090a23038e_1440_1920.jpg?w=640&amp;h=640", "https://si.geilicdn.com/pcitem2014204438-1e5d0000019adf276c090a23038e_1440_1920.jpg?w=640&amp;h=640")</f>
        <v>https://si.geilicdn.com/pcitem2014204438-1e5d0000019adf276c090a23038e_1440_1920.jpg?w=640&amp;h=640</v>
      </c>
      <c r="F46" t="inlineStr">
        <is>
          <t>Glasses</t>
        </is>
      </c>
      <c r="G46" t="inlineStr">
        <is>
          <t>Gucci</t>
        </is>
      </c>
      <c r="H46">
        <v>420</v>
      </c>
      <c r="I46">
        <v>60.87</v>
      </c>
      <c r="J46" t="inlineStr">
        <is>
          <t>{"id":"chatcmpl-DaAJq2NpSorI3E1CJox6cGUwR4UBb","object":"chat.completion","created":1777511846,"model":"gpt-5-chat-2025-10-03","choices":[{"index":0,"message":{"role":"assistant","content":"Gucci Black Metal Aviator Polarized Sunglass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fd471178c5"}</t>
        </is>
      </c>
      <c r="K46" t="inlineStr">
        <is>
          <t>Gucci Black Metal Aviator Polarized Sunglasses</t>
        </is>
      </c>
      <c r="L46" t="inlineStr">
        <is>
          <t>{"id":"chatcmpl-DaA5C6yxP3hNgzL3zFNhumqocPjOT","object":"chat.completion","created":1777510938,"model":"gpt-5-chat-2025-10-03","choices":[{"index":0,"message":{"role":"assistant","content":"Gucci Black Metal Aviator Sunglasses – sleek streamlined frame with gray polarized UV-protection lenses, offering modern elegance and unisex design for a timeless urban fashion look.","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fd471178c5"}</t>
        </is>
      </c>
      <c r="M46" t="inlineStr">
        <is>
          <t>{"alt-svc":"h3=\":443\"; ma=2592000","apim-request-id":"ebec6725-a444-4058-85b7-d53e26ea2d3d","azureml-model-session":"d20260428205641-55ca9797","cache-control":"no-cache","connection":"close","content-length":"992","content-type":"application/json","date":"Thu, 30 Apr 2026 01:02:19 GMT","server":"Caddy","skip-error-remapping":"true","strict-transport-security":"max-age=31536000; includeSubDomains; preload","x-content-type-options":"nosniff","x-ms-client-request-id":"Not-Set","x-ms-is-spilled-over":"false","x-ms-rai-invoked":"false","x-ms-region":"Central US","x-new-api-version":"0.4.35","x-oneapi-request-id":"202604300102172094520748268d9d6zOVL7qtB","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a0c3fcd4-5053-46f1-8a3c-cf26be2af28e"}</t>
        </is>
      </c>
      <c r="N46" t="inlineStr">
        <is>
          <t>Gucci Black Metal Aviator Sunglasses – sleek streamlined frame with gray polarized UV-protection lenses, offering modern elegance and unisex design for a timeless urban fashion look.</t>
        </is>
      </c>
      <c r="O46" t="inlineStr">
        <is>
          <t>{"id":"chatcmpl-DaAW7Tkp2HBXVItsE7MmjwpzelokU","object":"chat.completion","created":1777512607,"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46" t="inlineStr">
        <is>
          <t>Gucci,Glasses,kakobuy,kakebuy2026,kekobuysheet,kakobuysheet2026,2026kakobuy,kakobuyspreadsheeet,kakobuylink,kakebuylist,Kakobuy MEGA Spreadsheet,kakobuysheetfind,kakobuysheetfind2026,2026kakobuysheetfind,kakobuysheet2026</t>
        </is>
      </c>
      <c r="Q46" t="inlineStr">
        <is>
          <t>Black, Modern, Elegant, Unisex, Streetwear</t>
        </is>
      </c>
      <c r="R46" t="inlineStr">
        <is>
          <t>recvhju1CrngJG</t>
        </is>
      </c>
      <c r="S46" t="inlineStr">
        <is>
          <t>gucci-black-metal-aviator-polarized-sunglasses-recvhju1crngjg</t>
        </is>
      </c>
      <c r="T46"/>
      <c r="U46"/>
      <c r="V46"/>
      <c r="W46" t="inlineStr">
        <is>
          <t>{"id":"chatcmpl-Da9oGIgrXgEkTMZbAXYszxa02lEd0","object":"chat.completion","created":1777509888,"model":"gpt-5-chat-2025-10-03","choices":[{"index":0,"message":{"role":"assistant","content":"Gucci：黑色金属飞行员款太阳眼镜，简约流线型镜框设计，灰黑偏光镜片防紫外线，呈现现代优雅风格，男女通用，彰显都市时尚格调。","refusal":null,"annotations":[]},"logprobs":null,"finish_reason":"stop"}],"usage":{"prompt_tokens":1304,"completion_tokens":56,"total_tokens":1360,"prompt_tokens_details":{"cached_tokens":1280,"audio_tokens":0},"completion_tokens_details":{"reasoning_tokens":0,"audio_tokens":0,"accepted_prediction_tokens":0,"rejected_prediction_tokens":0}},"service_tier":"default","system_fingerprint":"fp_fd471178c5"}</t>
        </is>
      </c>
      <c r="X46" t="inlineStr">
        <is>
          <t>Gucci：黑色金属飞行员款太阳眼镜，简约流线型镜框设计，灰黑偏光镜片防紫外线，呈现现代优雅风格，男女通用，彰显都市时尚格调。</t>
        </is>
      </c>
    </row>
    <row r="47" ht="25.5" customHeight="1">
      <c r="A47">
        <v>1654975475</v>
      </c>
      <c r="B47">
        <v>7626194702</v>
      </c>
      <c r="C47" s="2" t="str">
        <f>=HYPERLINK("https://weidian.com/item.html?itemID=7626194702", "https://weidian.com/item.html?itemID=7626194702")</f>
        <v>https://weidian.com/item.html?itemID=7626194702</v>
      </c>
      <c r="D47"/>
      <c r="E47" s="2" t="str">
        <f>=HYPERLINK("https://si.geilicdn.com/pcitem2014204438-18f00000019adf1ddd5b0a210256_1440_1920.jpg?w=640&amp;h=640", "https://si.geilicdn.com/pcitem2014204438-18f00000019adf1ddd5b0a210256_1440_1920.jpg?w=640&amp;h=640")</f>
        <v>https://si.geilicdn.com/pcitem2014204438-18f00000019adf1ddd5b0a210256_1440_1920.jpg?w=640&amp;h=640</v>
      </c>
      <c r="F47" t="inlineStr">
        <is>
          <t>Glasses</t>
        </is>
      </c>
      <c r="G47" t="inlineStr">
        <is>
          <t>Chanel</t>
        </is>
      </c>
      <c r="H47">
        <v>370</v>
      </c>
      <c r="I47">
        <v>53.62</v>
      </c>
      <c r="J47" t="inlineStr">
        <is>
          <t>{"id":"chatcmpl-DaAGZM2jWM4qtMgPCkTVFZshwXgjc","object":"chat.completion","created":1777511643,"model":"gpt-5-chat-2025-10-03","choices":[{"index":0,"message":{"role":"assistant","content":"Chanel Square Gray Gradient Metal Sunglasses","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fd471178c5"}</t>
        </is>
      </c>
      <c r="K47" t="inlineStr">
        <is>
          <t>Chanel Square Gray Gradient Metal Sunglasses</t>
        </is>
      </c>
      <c r="L47" t="inlineStr">
        <is>
          <t>{"id":"chatcmpl-DaA5qpT9DZexC9fF8synVJMFWjDzP","object":"chat.completion","created":1777510978,"model":"gpt-5-chat-2025-10-03","choices":[{"index":0,"message":{"role":"assistant","content":"CHANEL Square Sunglasses with Gray-Black Gradient Lenses, Lightweight Metal Frame, Iconic Double C Accent, Unisex Design for Modern Luxury Style and Elegant Daily Wear.","refusal":null,"annotations":[]},"logprobs":null,"finish_reason":"stop"}],"usage":{"prompt_tokens":892,"completion_tokens":36,"total_tokens":928,"prompt_tokens_details":{"cached_tokens":0,"audio_tokens":0},"completion_tokens_details":{"reasoning_tokens":0,"audio_tokens":0,"accepted_prediction_tokens":0,"rejected_prediction_tokens":0}},"service_tier":"default","system_fingerprint":"fp_fd471178c5"}</t>
        </is>
      </c>
      <c r="M47" t="inlineStr">
        <is>
          <t>{"alt-svc":"h3=\":443\"; ma=2592000","apim-request-id":"4edf579a-bc05-41cb-9f8c-8c8bd15886d5","azureml-model-session":"d20260428205641-55ca9797","cache-control":"no-cache","connection":"close","content-length":"976","content-type":"application/json","date":"Thu, 30 Apr 2026 01:02:59 GMT","server":"Caddy","skip-error-remapping":"true","strict-transport-security":"max-age=31536000; includeSubDomains; preload","x-content-type-options":"nosniff","x-ms-client-request-id":"Not-Set","x-ms-is-spilled-over":"false","x-ms-rai-invoked":"false","x-ms-region":"Central US","x-new-api-version":"0.4.35","x-oneapi-request-id":"202604300102577143133258268d9d6i4kP78FE","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d2b68516-a399-4b2e-a155-70e6485249c7"}</t>
        </is>
      </c>
      <c r="N47" t="inlineStr">
        <is>
          <t>CHANEL Square Sunglasses with Gray-Black Gradient Lenses, Lightweight Metal Frame, Iconic Double C Accent, Unisex Design for Modern Luxury Style and Elegant Daily Wear.</t>
        </is>
      </c>
      <c r="O47" t="inlineStr">
        <is>
          <t>{"id":"chatcmpl-DaAW9veBz2fghYOeuMGnpjulBYVaT","object":"chat.completion","created":1777512609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7" t="inlineStr">
        <is>
          <t>Chanel,Glasses,kakobuy,kakebuy2026,kekobuysheet,kakobuysheet2026,2026kakobuy,kakobuyspreadsheeet,kakobuylink,kakebuylist,Kakobuy MEGA Spreadsheet,kakobuysheetfind,kakobuysheetfind2026,2026kakobuysheetfind,kakobuysheet2026</t>
        </is>
      </c>
      <c r="Q47" t="inlineStr">
        <is>
          <t>Chanel, Unisex, Modern, Elegant, Lightweight, Gray</t>
        </is>
      </c>
      <c r="R47" t="inlineStr">
        <is>
          <t>recvhju1Cr1MKo</t>
        </is>
      </c>
      <c r="S47" t="inlineStr">
        <is>
          <t>chanel-square-gray-gradient-sunglasses-recvhju1cr1mko</t>
        </is>
      </c>
      <c r="T47"/>
      <c r="U47"/>
      <c r="V47"/>
      <c r="W47" t="inlineStr">
        <is>
          <t>{"id":"chatcmpl-Da9pMEZ7d5Mpu7kYndfLnWhUQWIjz","object":"chat.completion","created":1777509956,"model":"gpt-5-chat-2025-10-03","choices":[{"index":0,"message":{"role":"assistant","content":"CHANEL：灰黑渐变镜片方框太阳眼镜，采用轻盈金属材质，经典双C镶饰设计，简约奢华风格，适合男女通用，彰显现代优雅与摩登品味。","refusal":null,"annotations":[]},"logprobs":null,"finish_reason":"stop"}],"usage":{"prompt_tokens":1302,"completion_tokens":57,"total_tokens":1359,"prompt_tokens_details":{"cached_tokens":0,"audio_tokens":0},"completion_tokens_details":{"reasoning_tokens":0,"audio_tokens":0,"accepted_prediction_tokens":0,"rejected_prediction_tokens":0}},"service_tier":"default","system_fingerprint":"fp_fd471178c5"}</t>
        </is>
      </c>
      <c r="X47" t="inlineStr">
        <is>
          <t>CHANEL：灰黑渐变镜片方框太阳眼镜，采用轻盈金属材质，经典双C镶饰设计，简约奢华风格，适合男女通用，彰显现代优雅与摩登品味。</t>
        </is>
      </c>
    </row>
    <row r="48" ht="25.5" customHeight="1">
      <c r="A48">
        <v>1654975475</v>
      </c>
      <c r="B48">
        <v>7623148919</v>
      </c>
      <c r="C48" s="2" t="str">
        <f>=HYPERLINK("https://weidian.com/item.html?itemID=7623148919", "https://weidian.com/item.html?itemID=7623148919")</f>
        <v>https://weidian.com/item.html?itemID=7623148919</v>
      </c>
      <c r="D48"/>
      <c r="E48" s="2" t="str">
        <f>=HYPERLINK("https://si.geilicdn.com/pcitem2014204438-79620000019ade8b8d610a2315ef_1440_1920.jpg?w=640&amp;h=640", "https://si.geilicdn.com/pcitem2014204438-79620000019ade8b8d610a2315ef_1440_1920.jpg?w=640&amp;h=640")</f>
        <v>https://si.geilicdn.com/pcitem2014204438-79620000019ade8b8d610a2315ef_1440_1920.jpg?w=640&amp;h=640</v>
      </c>
      <c r="F48" t="inlineStr">
        <is>
          <t>Glasses</t>
        </is>
      </c>
      <c r="G48" t="inlineStr">
        <is>
          <t>Dior</t>
        </is>
      </c>
      <c r="H48">
        <v>540</v>
      </c>
      <c r="I48">
        <v>78.26</v>
      </c>
      <c r="J48" t="inlineStr">
        <is>
          <t>{"id":"chatcmpl-DaAF3ki8yzflHemB46924OlK3Cayf","object":"chat.completion","created":1777511549,"model":"gpt-5-chat-2025-10-03","choices":[{"index":0,"message":{"role":"assistant","content":"Dior Black Wide Frame Unisex Sunglasses UV Protection","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48" t="inlineStr">
        <is>
          <t>Dior Black Wide Frame Unisex Sunglasses UV Protection</t>
        </is>
      </c>
      <c r="L48" t="inlineStr">
        <is>
          <t>{"id":"chatcmpl-DaA5ipNTfnMzE5GT7VpZe03U9nlCv","object":"chat.completion","created":1777510970,"model":"gpt-5-chat-2025-10-03","choices":[{"index":0,"message":{"role":"assistant","content":"Dior Black Wide-Frame Sunglasses, crafted from acetate and metal with gold logo detail, UV-protection HD lenses, unisex design. Modern minimalist style meets couture elegance for urban luxury.","refusal":null,"annotations":[]},"logprobs":null,"finish_reason":"stop"}],"usage":{"prompt_tokens":923,"completion_tokens":40,"total_tokens":963,"prompt_tokens_details":{"cached_tokens":0,"audio_tokens":0},"completion_tokens_details":{"reasoning_tokens":0,"audio_tokens":0,"accepted_prediction_tokens":0,"rejected_prediction_tokens":0}},"service_tier":"default","system_fingerprint":"fp_fd471178c5"}</t>
        </is>
      </c>
      <c r="M48" t="inlineStr">
        <is>
          <t>{"alt-svc":"h3=\":443\"; ma=2592000","apim-request-id":"5f44b34b-c629-4451-ae92-a448865498e1","azureml-model-session":"d20260428174121-807d9cc5","cache-control":"no-cache","connection":"close","content-length":"1000","content-type":"application/json","date":"Thu, 30 Apr 2026 01:02:51 GMT","server":"Caddy","skip-error-remapping":"true","strict-transport-security":"max-age=31536000; includeSubDomains; preload","x-content-type-options":"nosniff","x-ms-client-request-id":"Not-Set","x-ms-is-spilled-over":"false","x-ms-rai-invoked":"false","x-ms-region":"Central US","x-new-api-version":"0.4.35","x-oneapi-request-id":"202604300102494887904458268d9d6vJDeh7jj","x-ratelimit-abusepenalty-active":"False","x-ratelimit-key":"gpt-5-chat-global","x-ratelimit-limit-requests":"1000","x-ratelimit-limit-tokens":"1000000","x-ratelimit-remaining-requests":"999","x-ratelimit-remaining-tokens":"998315","x-ratelimit-renewalperiod-requests":"60","x-ratelimit-renewalperiod-tokens":"60","x-ratelimit-reset-requests":"60","x-ratelimit-reset-tokens":"101","x-request-id":"59da4c77-0659-411c-aefe-98da1e6e3e03"}</t>
        </is>
      </c>
      <c r="N48" t="inlineStr">
        <is>
          <t>Dior Black Wide-Frame Sunglasses, crafted from acetate and metal with gold logo detail, UV-protection HD lenses, unisex design. Modern minimalist style meets couture elegance for urban luxury.</t>
        </is>
      </c>
      <c r="O48" t="inlineStr">
        <is>
          <t>{"id":"chatcmpl-DaAT320yd8LOlhJYveB0bzuhuwFow","object":"chat.completion","created":1777512417,"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8" t="inlineStr">
        <is>
          <t>Dior,Glasses,kakobuy,kakebuy2026,kekobuysheet,kakobuysheet2026,2026kakobuy,kakobuyspreadsheeet,kakobuylink,kakebuylist,Kakobuy MEGA Spreadsheet,kakobuysheetfind,kakobuysheetfind2026,2026kakobuysheetfind,kakobuysheet2026</t>
        </is>
      </c>
      <c r="Q48" t="inlineStr">
        <is>
          <t>Dior, Black, Unisex, Modern, Minimalist, Anti-Ultraviolet</t>
        </is>
      </c>
      <c r="R48" t="inlineStr">
        <is>
          <t>recvhju1CrNoIS</t>
        </is>
      </c>
      <c r="S48" t="inlineStr">
        <is>
          <t>dior-black-wide-frame-sunglasses-recvhju1crnois</t>
        </is>
      </c>
      <c r="T48"/>
      <c r="U48"/>
      <c r="V48"/>
      <c r="W48" t="inlineStr">
        <is>
          <t>{"id":"chatcmpl-Da9uaBgVptrgGzXkkLstz8oimPGnz","object":"chat.completion","created":1777510280,"model":"gpt-5-chat-2025-10-03","choices":[{"index":0,"message":{"role":"assistant","content":"Dior：黑色宽框太阳眼镜，采用醋酸纤维与金属拼接材质，线条利落彰显未来感。镜腿金色标识点缀品牌优雅气质，防紫外线高清镜片设计，适合男女皆宜。融合现代极简与高级定制风格，展现Dior当代都市时尚魅力。","refusal":null,"annotations":[]},"logprobs":null,"finish_reason":"stop"}],"usage":{"prompt_tokens":1300,"completion_tokens":89,"total_tokens":1389,"prompt_tokens_details":{"cached_tokens":0,"audio_tokens":0},"completion_tokens_details":{"reasoning_tokens":0,"audio_tokens":0,"accepted_prediction_tokens":0,"rejected_prediction_tokens":0}},"service_tier":"default","system_fingerprint":"fp_ad66631dec"}</t>
        </is>
      </c>
      <c r="X48" t="inlineStr">
        <is>
          <t>Dior：黑色宽框太阳眼镜，采用醋酸纤维与金属拼接材质，线条利落彰显未来感。镜腿金色标识点缀品牌优雅气质，防紫外线高清镜片设计，适合男女皆宜。融合现代极简与高级定制风格，展现Dior当代都市时尚魅力。</t>
        </is>
      </c>
    </row>
    <row r="49" ht="25.5" customHeight="1">
      <c r="A49">
        <v>1654975475</v>
      </c>
      <c r="B49">
        <v>7626196034</v>
      </c>
      <c r="C49" s="2" t="str">
        <f>=HYPERLINK("https://weidian.com/item.html?itemID=7626196034", "https://weidian.com/item.html?itemID=7626196034")</f>
        <v>https://weidian.com/item.html?itemID=7626196034</v>
      </c>
      <c r="D49"/>
      <c r="E49" s="2" t="str">
        <f>=HYPERLINK("https://si.geilicdn.com/pcitem2014204438-3e860000019ade85f50e0a210139_1074_1074.jpg?w=640&amp;h=640", "https://si.geilicdn.com/pcitem2014204438-3e860000019ade85f50e0a210139_1074_1074.jpg?w=640&amp;h=640")</f>
        <v>https://si.geilicdn.com/pcitem2014204438-3e860000019ade85f50e0a210139_1074_1074.jpg?w=640&amp;h=640</v>
      </c>
      <c r="F49" t="inlineStr">
        <is>
          <t>Glasses</t>
        </is>
      </c>
      <c r="G49" t="inlineStr">
        <is>
          <t>Louis Vuitton</t>
        </is>
      </c>
      <c r="H49">
        <v>370</v>
      </c>
      <c r="I49">
        <v>53.62</v>
      </c>
      <c r="J49" t="inlineStr">
        <is>
          <t>{"id":"chatcmpl-DaAF0RbDcGIgzcsDYEoTQtQcebrDl","object":"chat.completion","created":1777511546,"model":"gpt-5-chat-2025-10-03","choices":[{"index":0,"message":{"role":"assistant","content":"Louis Vuitton Gold Brown Gradient Unisex Sunglass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fd471178c5"}</t>
        </is>
      </c>
      <c r="K49" t="inlineStr">
        <is>
          <t>Louis Vuitton Gold Brown Gradient Unisex Sunglasses</t>
        </is>
      </c>
      <c r="L49" t="inlineStr">
        <is>
          <t>{"id":"chatcmpl-DaACqlZWu4Ex2b5yasuOkcYKZSXUX","object":"chat.completion","created":1777511412,"model":"gpt-5-chat-2025-10-03","choices":[{"index":0,"message":{"role":"assistant","content":"Louis Vuitton gold gradient brown sunglasses with signature LV circle studs, lightweight metal frame for a luxurious modern look, unisex design perfect for daily wear and fashion styling.","refusal":null,"annotations":[]},"logprobs":null,"finish_reason":"stop"}],"usage":{"prompt_tokens":900,"completion_tokens":33,"total_tokens":933,"prompt_tokens_details":{"cached_tokens":0,"audio_tokens":0},"completion_tokens_details":{"reasoning_tokens":0,"audio_tokens":0,"accepted_prediction_tokens":0,"rejected_prediction_tokens":0}},"service_tier":"default","system_fingerprint":"fp_ad66631dec"}</t>
        </is>
      </c>
      <c r="M49" t="inlineStr">
        <is>
          <t>{"alt-svc":"h3=\":443\"; ma=2592000","apim-request-id":"0e18f6cd-5ca6-4c7f-bd9b-1c228645048b","azureml-model-session":"d20260402084046-4209e968","cache-control":"no-cache","connection":"close","content-length":"995","content-type":"application/json","date":"Thu, 30 Apr 2026 01:10:14 GMT","server":"Caddy","skip-error-remapping":"true","strict-transport-security":"max-age=31536000; includeSubDomains; preload","x-content-type-options":"nosniff","x-ms-client-request-id":"Not-Set","x-ms-is-spilled-over":"false","x-ms-rai-invoked":"false","x-ms-region":"Sweden Central","x-new-api-version":"0.4.35","x-oneapi-request-id":"202604300110105175069968268d9d6hLfDOVM2","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b7ac5cc5-81a0-4619-808f-fee0bd730682"}</t>
        </is>
      </c>
      <c r="N49" t="inlineStr">
        <is>
          <t>Louis Vuitton gold gradient brown sunglasses with signature LV circle studs, lightweight metal frame for a luxurious modern look, unisex design perfect for daily wear and fashion styling.</t>
        </is>
      </c>
      <c r="O49" t="inlineStr">
        <is>
          <t>{"id":"chatcmpl-DaAVqCghk9v6P1iD5L5iL645N2W5f","object":"chat.completion","created":1777512590,"model":"gpt-5-chat-2025-10-03","choices":[{"index":0,"message":{"role":"assistant","content":"Louis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49" t="inlineStr">
        <is>
          <t>Louis Vuitton, Glasses, kakobuy, kakebuy2026, kekobuysheet, kakobuysheet2026, 2026kakobuy, kakobuyspreadsheeet, kakobuylink, kakebuylist, Kakobuy MEGA Spreadsheet, kakobuysheetfind, kakobuysheetfind2026, 2026kakobuysheetfind, kakobuysheet2026</t>
        </is>
      </c>
      <c r="Q49" t="inlineStr">
        <is>
          <t>LV, Gold, Gradient, Brown, Lightweight, Unisex</t>
        </is>
      </c>
      <c r="R49" t="inlineStr">
        <is>
          <t>recvhju1CrW3vQ</t>
        </is>
      </c>
      <c r="S49" t="inlineStr">
        <is>
          <t>louis-vuitton-gold-brown-gradient-sunglasses-recvhju1crw3vq</t>
        </is>
      </c>
      <c r="T49"/>
      <c r="U49"/>
      <c r="V49"/>
      <c r="W49" t="inlineStr">
        <is>
          <t>{"id":"chatcmpl-Da9udu3jnh3b361eAdwg7WJnCS4NK","object":"chat.completion","created":1777510283,"model":"gpt-5-chat-2025-10-03","choices":[{"index":0,"message":{"role":"assistant","content":"Louis Vuitton：金色渐变茶色镜片太阳眼镜，镶饰标志性LV圆形徽标铆钉，轻盈金属镜架设计，凸显奢华摩登格调，男女皆宜，适合日常出行与时尚造型。","refusal":null,"annotations":[]},"logprobs":null,"finish_reason":"stop"}],"usage":{"prompt_tokens":1300,"completion_tokens":66,"total_tokens":1366,"prompt_tokens_details":{"cached_tokens":0,"audio_tokens":0},"completion_tokens_details":{"reasoning_tokens":0,"audio_tokens":0,"accepted_prediction_tokens":0,"rejected_prediction_tokens":0}},"service_tier":"default","system_fingerprint":"fp_ad66631dec"}</t>
        </is>
      </c>
      <c r="X49" t="inlineStr">
        <is>
          <t>Louis Vuitton：金色渐变茶色镜片太阳眼镜，镶饰标志性LV圆形徽标铆钉，轻盈金属镜架设计，凸显奢华摩登格调，男女皆宜，适合日常出行与时尚造型。</t>
        </is>
      </c>
    </row>
    <row r="50" ht="25.5" customHeight="1">
      <c r="A50">
        <v>1654975475</v>
      </c>
      <c r="B50">
        <v>7626207800</v>
      </c>
      <c r="C50" s="2" t="str">
        <f>=HYPERLINK("https://weidian.com/item.html?itemID=7626207800", "https://weidian.com/item.html?itemID=7626207800")</f>
        <v>https://weidian.com/item.html?itemID=7626207800</v>
      </c>
      <c r="D50"/>
      <c r="E50" s="2" t="str">
        <f>=HYPERLINK("https://si.geilicdn.com/pcitem2014204438-5b710000019ade841b6f0a231177_1074_1074.jpg?w=640&amp;h=640", "https://si.geilicdn.com/pcitem2014204438-5b710000019ade841b6f0a231177_1074_1074.jpg?w=640&amp;h=640")</f>
        <v>https://si.geilicdn.com/pcitem2014204438-5b710000019ade841b6f0a231177_1074_1074.jpg?w=640&amp;h=640</v>
      </c>
      <c r="F50" t="inlineStr">
        <is>
          <t>Glasses</t>
        </is>
      </c>
      <c r="G50" t="inlineStr">
        <is>
          <t>Chanel</t>
        </is>
      </c>
      <c r="H50">
        <v>380</v>
      </c>
      <c r="I50">
        <v>55.07</v>
      </c>
      <c r="J50" t="inlineStr">
        <is>
          <t>{"id":"chatcmpl-DaAJdvsJFAbtR5GoGglfqrPzBmBFj","object":"chat.completion","created":1777511833,"model":"gpt-5-chat-2025-10-03","choices":[{"index":0,"message":{"role":"assistant","content":"Chanel Classic Black Wide Frame Polarized Sunglasses","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50" t="inlineStr">
        <is>
          <t>Chanel Classic Black Wide Frame Polarized Sunglasses</t>
        </is>
      </c>
      <c r="L50" t="inlineStr">
        <is>
          <t>{"id":"chatcmpl-DaA8WyGn7RliNqwrz76yDKAEkxOJ5","object":"chat.completion","created":1777511144,"model":"gpt-5-chat-2025-10-03","choices":[{"index":0,"message":{"role":"assistant","content":"Chanel Classic Black Wide Frame Sunglasses with Gold Metal Detail, Acetate Frame &amp; Polarized UV Protection Lenses. Elegant, Luxurious &amp; Versatile Style for Modern Confident Women.","refusal":null,"annotations":[]},"logprobs":null,"finish_reason":"stop"}],"usage":{"prompt_tokens":906,"completion_tokens":40,"total_tokens":946,"prompt_tokens_details":{"cached_tokens":0,"audio_tokens":0},"completion_tokens_details":{"reasoning_tokens":0,"audio_tokens":0,"accepted_prediction_tokens":0,"rejected_prediction_tokens":0}},"service_tier":"default","system_fingerprint":"fp_fd471178c5"}</t>
        </is>
      </c>
      <c r="M50" t="inlineStr">
        <is>
          <t>{"alt-svc":"h3=\":443\"; ma=2592000","apim-request-id":"4be87c4f-47d2-4d2d-9888-f0ee1581b935","azureml-model-session":"d20260428205641-55ca9797","cache-control":"no-cache","connection":"close","content-length":"987","content-type":"application/json","date":"Thu, 30 Apr 2026 01:05:45 GMT","server":"Caddy","skip-error-remapping":"true","strict-transport-security":"max-age=31536000; includeSubDomains; preload","x-content-type-options":"nosniff","x-ms-client-request-id":"Not-Set","x-ms-is-spilled-over":"false","x-ms-rai-invoked":"false","x-ms-region":"West US","x-new-api-version":"0.4.35","x-oneapi-request-id":"20260430010544171830478268d9d6fXuhFOWw","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e678f57a-079f-4544-b4a8-12383d6b8202"}</t>
        </is>
      </c>
      <c r="N50" t="inlineStr">
        <is>
          <t>Chanel Classic Black Wide Frame Sunglasses with Gold Metal Detail, Acetate Frame &amp; Polarized UV Protection Lenses. Elegant, Luxurious &amp; Versatile Style for Modern Confident Women.</t>
        </is>
      </c>
      <c r="O50" t="inlineStr">
        <is>
          <t>{"id":"chatcmpl-DaATIbDuF4MPPs5qQCWyvyiM3JzGV","object":"chat.completion","created":1777512432,"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50" t="inlineStr">
        <is>
          <t>Chanel,Glasses,kakobuy,kakebuy2026,kekobuysheet,kakobuysheet2026,2026kakobuy,kakobuyspreadsheeet,kakobuylink,kakebuylist,Kakobuy MEGA Spreadsheet,kakobuysheetfind,kakobuysheetfind2026,2026kakobuysheetfind,kakobuysheet2026</t>
        </is>
      </c>
      <c r="Q50" t="inlineStr">
        <is>
          <t>Chanel, Black, Gold, Elegant, Women, Anti-Ultraviolet</t>
        </is>
      </c>
      <c r="R50" t="inlineStr">
        <is>
          <t>recvhju1CrwcM9</t>
        </is>
      </c>
      <c r="S50" t="inlineStr">
        <is>
          <t>chanel-classic-black-wide-frame-polarized-sunglasses-recvhju1crwcm9</t>
        </is>
      </c>
      <c r="T50"/>
      <c r="U50"/>
      <c r="V50"/>
      <c r="W50" t="inlineStr">
        <is>
          <t>{"id":"chatcmpl-Da9u5CMfE7PVON0hHOTv17sMISYxj","object":"chat.completion","created":1777510249,"model":"gpt-5-chat-2025-10-03","choices":[{"index":0,"message":{"role":"assistant","content":"Chanel：经典黑色宽框太阳镜，醋酸纤维镜框搭配金色金属边饰，展现优雅与力量感。偏光镜片有效抗UV，突显品牌奢华格调与现代女性自信魅力，时尚百搭，彰显高级格调。","refusal":null,"annotations":[]},"logprobs":null,"finish_reason":"stop"}],"usage":{"prompt_tokens":1300,"completion_tokens":72,"total_tokens":1372,"prompt_tokens_details":{"cached_tokens":1280,"audio_tokens":0},"completion_tokens_details":{"reasoning_tokens":0,"audio_tokens":0,"accepted_prediction_tokens":0,"rejected_prediction_tokens":0}},"service_tier":"default","system_fingerprint":"fp_ad66631dec"}</t>
        </is>
      </c>
      <c r="X50" t="inlineStr">
        <is>
          <t>Chanel：经典黑色宽框太阳镜，醋酸纤维镜框搭配金色金属边饰，展现优雅与力量感。偏光镜片有效抗UV，突显品牌奢华格调与现代女性自信魅力，时尚百搭，彰显高级格调。</t>
        </is>
      </c>
    </row>
    <row r="51" ht="25.5" customHeight="1">
      <c r="A51">
        <v>1654975475</v>
      </c>
      <c r="B51">
        <v>7623110487</v>
      </c>
      <c r="C51" s="2" t="str">
        <f>=HYPERLINK("https://weidian.com/item.html?itemID=7623110487", "https://weidian.com/item.html?itemID=7623110487")</f>
        <v>https://weidian.com/item.html?itemID=7623110487</v>
      </c>
      <c r="D51"/>
      <c r="E51" s="2" t="str">
        <f>=HYPERLINK("https://si.geilicdn.com/pcitem2014204438-3f5c0000019ade228ffc0a239846_1074_1074.jpg?w=640&amp;h=640", "https://si.geilicdn.com/pcitem2014204438-3f5c0000019ade228ffc0a239846_1074_1074.jpg?w=640&amp;h=640")</f>
        <v>https://si.geilicdn.com/pcitem2014204438-3f5c0000019ade228ffc0a239846_1074_1074.jpg?w=640&amp;h=640</v>
      </c>
      <c r="F51" t="inlineStr">
        <is>
          <t>Glasses</t>
        </is>
      </c>
      <c r="G51" t="inlineStr">
        <is>
          <t>Chanel</t>
        </is>
      </c>
      <c r="H51">
        <v>380</v>
      </c>
      <c r="I51">
        <v>55.07</v>
      </c>
      <c r="J51" t="inlineStr">
        <is>
          <t>{"id":"chatcmpl-DaAHPHJ8LGTqr7iKWILYFtVU5NVQ1","object":"chat.completion","created":1777511695,"model":"gpt-5-chat-2025-10-03","choices":[{"index":0,"message":{"role":"assistant","content":"Chanel White Wide Frame Sunglasses Gold Logo Unisex","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51" t="inlineStr">
        <is>
          <t>Chanel White Wide Frame Sunglasses Gold Logo Unisex</t>
        </is>
      </c>
      <c r="L51" t="inlineStr">
        <is>
          <t>{"id":"chatcmpl-DaAA8olCkIbuLBwhUm3UoRQVHcJ5K","object":"chat.completion","created":1777511244,"model":"gpt-5-chat-2025-10-03","choices":[{"index":0,"message":{"role":"assistant","content":"Chanel White Wide-Frame Sunglasses with black-gray lenses and gold double C logo. Acetate material, unisex design, retro-futuristic style blending modern minimalism and timeless French luxury.","refusal":null,"annotations":[]},"logprobs":null,"finish_reason":"stop"}],"usage":{"prompt_tokens":902,"completion_tokens":42,"total_tokens":944,"prompt_tokens_details":{"cached_tokens":0,"audio_tokens":0},"completion_tokens_details":{"reasoning_tokens":0,"audio_tokens":0,"accepted_prediction_tokens":0,"rejected_prediction_tokens":0}},"service_tier":"default","system_fingerprint":"fp_ad66631dec"}</t>
        </is>
      </c>
      <c r="M51" t="inlineStr">
        <is>
          <t>{"alt-svc":"h3=\":443\"; ma=2592000","apim-request-id":"ca9c251a-b59c-4306-baca-732ac516fc16","azureml-model-session":"d20260402075109-1fc5a0ec","cache-control":"no-cache","connection":"close","content-length":"1000","content-type":"application/json","date":"Thu, 30 Apr 2026 01:07:26 GMT","server":"nginx","skip-error-remapping":"true","strict-transport-security":"max-age=31536000; includeSubDomains; preload","via":"1.1 Caddy","x-content-type-options":"nosniff","x-ms-client-request-id":"Not-Set","x-ms-is-spilled-over":"false","x-ms-rai-invoked":"false","x-ms-region":"Poland Central","x-new-api-version":"0.4.35","x-oneapi-request-id":"202604300107231962624198268d9d64t1CpqsN","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060dfc13-a756-49a2-b44c-7e4e2269483d"}</t>
        </is>
      </c>
      <c r="N51" t="inlineStr">
        <is>
          <t>Chanel White Wide-Frame Sunglasses with black-gray lenses and gold double C logo. Acetate material, unisex design, retro-futuristic style blending modern minimalism and timeless French luxury.</t>
        </is>
      </c>
      <c r="O51" t="inlineStr">
        <is>
          <t>{"id":"chatcmpl-DaAWIDTXg6saNpXuI3uOFBMkTZTNT","object":"chat.completion","created":1777512618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51" t="inlineStr">
        <is>
          <t>Chanel,Glasses,kakobuy,kakebuy2026,kekobuysheet,kakobuysheet2026,2026kakobuy,kakobuyspreadsheeet,kakobuylink,kakebuylist,Kakobuy MEGA Spreadsheet,kakobuysheetfind,kakobuysheetfind2026,2026kakobuysheetfind,kakobuysheet2026</t>
        </is>
      </c>
      <c r="Q51" t="inlineStr">
        <is>
          <t>Chanel, White, Acetate Fiber, Unisex, Retro Futuristic, Minimalist</t>
        </is>
      </c>
      <c r="R51" t="inlineStr">
        <is>
          <t>recvhju1CroE66</t>
        </is>
      </c>
      <c r="S51" t="inlineStr">
        <is>
          <t>chanel-white-wide-frame-sunglasses-gold-logo-recvhju1croe66</t>
        </is>
      </c>
      <c r="T51"/>
      <c r="U51"/>
      <c r="V51"/>
      <c r="W51" t="inlineStr">
        <is>
          <t>{"id":"chatcmpl-Da9n2A4rkCJiNVV5ZYnxvepqv2XV1","object":"chat.completion","created":1777509812,"model":"gpt-5-chat-2025-10-03","choices":[{"index":0,"message":{"role":"assistant","content":"Chanel：白色宽框太阳镜，经典黑灰镜片搭配金色双C标识，醋酸纤维材质彰显高雅格调，复古未来感设计融合现代极简线条，男女皆宜，尽显法式奢华时尚魅力。","refusal":null,"annotations":[]},"logprobs":null,"finish_reason":"stop"}],"usage":{"prompt_tokens":1300,"completion_tokens":68,"total_tokens":1368,"prompt_tokens_details":{"cached_tokens":1280,"audio_tokens":0},"completion_tokens_details":{"reasoning_tokens":0,"audio_tokens":0,"accepted_prediction_tokens":0,"rejected_prediction_tokens":0}},"service_tier":"default","system_fingerprint":"fp_ad66631dec"}</t>
        </is>
      </c>
      <c r="X51" t="inlineStr">
        <is>
          <t>Chanel：白色宽框太阳镜，经典黑灰镜片搭配金色双C标识，醋酸纤维材质彰显高雅格调，复古未来感设计融合现代极简线条，男女皆宜，尽显法式奢华时尚魅力。</t>
        </is>
      </c>
    </row>
    <row r="52" ht="25.5" customHeight="1">
      <c r="A52">
        <v>1654975475</v>
      </c>
      <c r="B52">
        <v>7627550488</v>
      </c>
      <c r="C52" s="2" t="str">
        <f>=HYPERLINK("https://weidian.com/item.html?itemID=7627550488", "https://weidian.com/item.html?itemID=7627550488")</f>
        <v>https://weidian.com/item.html?itemID=7627550488</v>
      </c>
      <c r="D52"/>
      <c r="E52" s="2" t="str">
        <f>=HYPERLINK("https://si.geilicdn.com/pcitem2014204438-6e460000019ae7e104fd0a210139_1074_912.jpg?w=640&amp;h=640", "https://si.geilicdn.com/pcitem2014204438-6e460000019ae7e104fd0a210139_1074_912.jpg?w=640&amp;h=640")</f>
        <v>https://si.geilicdn.com/pcitem2014204438-6e460000019ae7e104fd0a210139_1074_912.jpg?w=640&amp;h=640</v>
      </c>
      <c r="F52" t="inlineStr">
        <is>
          <t>Socks &amp; Hosiery</t>
        </is>
      </c>
      <c r="G52" t="inlineStr">
        <is>
          <t>Louis Vuitton</t>
        </is>
      </c>
      <c r="H52">
        <v>130</v>
      </c>
      <c r="I52">
        <v>18.84</v>
      </c>
      <c r="J52" t="inlineStr">
        <is>
          <t>{"id":"chatcmpl-DaAF167YlBjfkr8aJOOKPu1rV2xnn","object":"chat.completion","created":1777511547,"model":"gpt-5-chat-2025-10-03","choices":[{"index":0,"message":{"role":"assistant","content":"Louis Vuitton Monogram Beige Brown Mid Calf Socks","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fd471178c5"}</t>
        </is>
      </c>
      <c r="K52" t="inlineStr">
        <is>
          <t>Louis Vuitton Monogram Beige Brown Mid Calf Socks</t>
        </is>
      </c>
      <c r="L52" t="inlineStr">
        <is>
          <t>{"id":"chatcmpl-DaAC4D9rKXfRQwPYkZ6FfZhrrrplf","object":"chat.completion","created":1777511364,"model":"gpt-5-chat-2025-10-03","choices":[{"index":0,"message":{"role":"assistant","content":"Louis Vuitton Monogram Mid-Calf Socks in Beige and Brown. Crafted from soft cotton and elastic fiber, featuring LV pattern and logo. Unisex, comfortable fit, refined retro style, understated luxury.","refusal":null,"annotations":[]},"logprobs":null,"finish_reason":"stop"}],"usage":{"prompt_tokens":910,"completion_tokens":41,"total_tokens":951,"prompt_tokens_details":{"cached_tokens":0,"audio_tokens":0},"completion_tokens_details":{"reasoning_tokens":0,"audio_tokens":0,"accepted_prediction_tokens":0,"rejected_prediction_tokens":0}},"service_tier":"default","system_fingerprint":"fp_fd471178c5"}</t>
        </is>
      </c>
      <c r="M52" t="inlineStr">
        <is>
          <t>{"alt-svc":"h3=\":443\"; ma=2592000","apim-request-id":"c855ed65-b42e-43f7-a1a6-f3ddfb17d01a","azureml-model-session":"d20260428205641-55ca9797","cache-control":"no-cache","connection":"close","content-length":"1006","content-type":"application/json","date":"Thu, 30 Apr 2026 01:09:25 GMT","server":"Caddy","skip-error-remapping":"true","strict-transport-security":"max-age=31536000; includeSubDomains; preload","x-content-type-options":"nosniff","x-ms-client-request-id":"Not-Set","x-ms-is-spilled-over":"false","x-ms-rai-invoked":"false","x-ms-region":"East US 2","x-new-api-version":"0.4.35","x-oneapi-request-id":"202604300109236827846108268d9d6bmKm5blb","x-ratelimit-abusepenalty-active":"False","x-ratelimit-key":"gpt-5-chat-global","x-ratelimit-limit-requests":"1000","x-ratelimit-limit-tokens":"1000000","x-ratelimit-remaining-requests":"998","x-ratelimit-remaining-tokens":"996645","x-ratelimit-renewalperiod-requests":"60","x-ratelimit-renewalperiod-tokens":"60","x-ratelimit-reset-requests":"103","x-ratelimit-reset-tokens":"201","x-request-id":"646ceab0-49dc-4134-aa71-36a29b7ece48"}</t>
        </is>
      </c>
      <c r="N52" t="inlineStr">
        <is>
          <t>Louis Vuitton Monogram Mid-Calf Socks in Beige and Brown. Crafted from soft cotton and elastic fiber, featuring LV pattern and logo. Unisex, comfortable fit, refined retro style, understated luxury.</t>
        </is>
      </c>
      <c r="O52" t="inlineStr">
        <is>
          <t>{"id":"chatcmpl-DaAUc07tcj7w3JkG2N815KMTvnARB","object":"chat.completion","created":1777512514,"model":"gpt-5-chat-2025-10-03","choices":[{"index":0,"message":{"role":"assistant","content":"Louis Vuitton,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52" t="inlineStr">
        <is>
          <t>Louis Vuitton, Socks &amp; Hosiery, kakobuy, kakebuy2026, kekobuysheet, kakobuysheet2026, 2026kakobuy, kakobuyspreadsheeet, kakobuylink, kakebuylist, Kakobuy MEGA Spreadsheet, kakobuysheetfind, kakobuysheetfind2026, 2026kakobuysheetfind, kakobuysheet2026</t>
        </is>
      </c>
      <c r="Q52" t="inlineStr">
        <is>
          <t>LV, Beige, Brown, Elastic, Unisex</t>
        </is>
      </c>
      <c r="R52" t="inlineStr">
        <is>
          <t>recvhju1CrohvC</t>
        </is>
      </c>
      <c r="S52" t="inlineStr">
        <is>
          <t>louis-vuitton-monogram-beige-brown-mid-calf-socks-recvhju1crohvc</t>
        </is>
      </c>
      <c r="T52"/>
      <c r="U52"/>
      <c r="V52"/>
      <c r="W52" t="inlineStr">
        <is>
          <t>{"id":"chatcmpl-Da9pQ5h02I0c8RkzVjc5F7sszgvwQ","object":"chat.completion","created":1777509960,"model":"gpt-5-chat-2025-10-03","choices":[{"index":0,"message":{"role":"assistant","content":"Louis Vuitton：Monogram系列米棕色中筒袜，甄选柔软棉质与弹力纤维，织入标志性LV图腾与品牌字样，经典复古格调，男女皆宜，舒适贴合脚型，彰显低调奢华与时尚品味。","refusal":null,"annotations":[]},"logprobs":null,"finish_reason":"stop"}],"usage":{"prompt_tokens":1301,"completion_tokens":74,"total_tokens":1375,"prompt_tokens_details":{"cached_tokens":0,"audio_tokens":0},"completion_tokens_details":{"reasoning_tokens":0,"audio_tokens":0,"accepted_prediction_tokens":0,"rejected_prediction_tokens":0}},"service_tier":"default","system_fingerprint":"fp_fd471178c5"}</t>
        </is>
      </c>
      <c r="X52" t="inlineStr">
        <is>
          <t>Louis Vuitton：Monogram系列米棕色中筒袜，甄选柔软棉质与弹力纤维，织入标志性LV图腾与品牌字样，经典复古格调，男女皆宜，舒适贴合脚型，彰显低调奢华与时尚品味。</t>
        </is>
      </c>
    </row>
    <row r="53" ht="25.5" customHeight="1">
      <c r="A53">
        <v>1654975475</v>
      </c>
      <c r="B53">
        <v>7624522939</v>
      </c>
      <c r="C53" s="2" t="str">
        <f>=HYPERLINK("https://weidian.com/item.html?itemID=7624522939", "https://weidian.com/item.html?itemID=7624522939")</f>
        <v>https://weidian.com/item.html?itemID=7624522939</v>
      </c>
      <c r="D53"/>
      <c r="E53" s="2" t="str">
        <f>=HYPERLINK("https://si.geilicdn.com/pcitem2014204438-63140000019ae7dca10f0a231316_1440_1920.jpg?w=640&amp;h=640", "https://si.geilicdn.com/pcitem2014204438-63140000019ae7dca10f0a231316_1440_1920.jpg?w=640&amp;h=640")</f>
        <v>https://si.geilicdn.com/pcitem2014204438-63140000019ae7dca10f0a231316_1440_1920.jpg?w=640&amp;h=640</v>
      </c>
      <c r="F53" t="inlineStr">
        <is>
          <t>Socks &amp; Hosiery</t>
        </is>
      </c>
      <c r="G53" t="inlineStr">
        <is>
          <t>Saint Laurent</t>
        </is>
      </c>
      <c r="H53">
        <v>256</v>
      </c>
      <c r="I53">
        <v>37.1</v>
      </c>
      <c r="J53" t="inlineStr">
        <is>
          <t>{"id":"chatcmpl-DaAK1CKyhrDfBN0Q2HyAsWHCODE7O","object":"chat.completion","created":1777511857,"model":"gpt-5-chat-2025-10-03","choices":[{"index":0,"message":{"role":"assistant","content":"Loro Piana Cashmere Socks Unisex Italian Luxury Comfort","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53" t="inlineStr">
        <is>
          <t>Loro Piana Cashmere Socks Unisex Italian Luxury Comfort</t>
        </is>
      </c>
      <c r="L53" t="inlineStr">
        <is>
          <t>{"id":"chatcmpl-DaABTzFZqP07YcE9sX4wodUU2mzc7","object":"chat.completion","created":1777511327,"model":"gpt-5-chat-2025-10-03","choices":[{"index":0,"message":{"role":"assistant","content":"Loro Piana Cashmere Socks Collection – soft cream tones, premium cashmere fiber, breathable and skin-friendly, minimalist embroidered logo for timeless elegance, unisex Italian design for refined comfort.","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fd471178c5"}</t>
        </is>
      </c>
      <c r="M53" t="inlineStr">
        <is>
          <t>{"alt-svc":"h3=\":443\"; ma=2592000","apim-request-id":"3adb7bfa-faa2-4371-ad23-95d35666ad0e","azureml-model-session":"d20260428174121-807d9cc5","cache-control":"no-cache","connection":"close","content-length":"1014","content-type":"application/json","date":"Thu, 30 Apr 2026 01:08:48 GMT","server":"nginx","skip-error-remapping":"true","strict-transport-security":"max-age=31536000; includeSubDomains; preload","via":"1.1 Caddy","x-content-type-options":"nosniff","x-ms-client-request-id":"Not-Set","x-ms-is-spilled-over":"false","x-ms-rai-invoked":"false","x-ms-region":"East US 2","x-new-api-version":"0.4.35","x-oneapi-request-id":"202604300108454496616368268d9d6wJdFS3Dw","x-ratelimit-abusepenalty-active":"False","x-ratelimit-key":"gpt-5-chat-global","x-ratelimit-limit-requests":"1000","x-ratelimit-limit-tokens":"1000000","x-ratelimit-remaining-requests":"999","x-ratelimit-remaining-tokens":"997442","x-ratelimit-renewalperiod-requests":"60","x-ratelimit-renewalperiod-tokens":"60","x-ratelimit-reset-requests":"60","x-ratelimit-reset-tokens":"153","x-request-id":"44e4598a-13cf-4e9d-ad5c-8f30c5372ede"}</t>
        </is>
      </c>
      <c r="N53" t="inlineStr">
        <is>
          <t>Loro Piana Cashmere Socks Collection – soft cream tones, premium cashmere fiber, breathable and skin-friendly, minimalist embroidered logo for timeless elegance, unisex Italian design for refined comfort.</t>
        </is>
      </c>
      <c r="O53" t="inlineStr">
        <is>
          <t>{"id":"chatcmpl-DaAPlFlSKiU3TgFBlypzIc3ExzuIy","object":"chat.completion","created":1777512213,"model":"gpt-5-chat-2025-10-03","choices":[{"index":0,"message":{"role":"assistant","content":"Saint Laurent,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53" t="inlineStr">
        <is>
          <t>Saint Laurent, Socks &amp; Hosiery, kakobuy, kakebuy2026, kekobuysheet, kakobuysheet2026, 2026kakobuy, kakobuyspreadsheeet, kakobuylink, kakebuylist, Kakobuy MEGA Spreadsheet, kakobuysheetfind, kakobuysheetfind2026, 2026kakobuysheetfind, kakobuysheet2026</t>
        </is>
      </c>
      <c r="Q53" t="inlineStr">
        <is>
          <t>Cashmere, Cream, Minimalist, Unisex, Breathable</t>
        </is>
      </c>
      <c r="R53" t="inlineStr">
        <is>
          <t>recvhju1CrbKvP</t>
        </is>
      </c>
      <c r="S53" t="inlineStr">
        <is>
          <t>loro-piana-cashmere-socks-recvhju1crbkvp</t>
        </is>
      </c>
      <c r="T53"/>
      <c r="U53"/>
      <c r="V53"/>
      <c r="W53" t="inlineStr">
        <is>
          <t>{"id":"chatcmpl-Da9nPs3WXnCxCE7yU81UbU852C8Ya","object":"chat.completion","created":1777509835,"model":"gpt-5-chat-2025-10-03","choices":[{"index":0,"message":{"role":"assistant","content":"Loro Piana 羊绒短袜系列，柔和奶白色调，精选顶级羊绒纤维，细腻亲肤且透气舒适，简约刺绣Logo设计彰显低调奢华，男女皆宜，意式极简风格，展现精致格调与悠然品质生活。","refusal":null,"annotations":[]},"logprobs":null,"finish_reason":"stop"}],"usage":{"prompt_tokens":1303,"completion_tokens":79,"total_tokens":1382,"prompt_tokens_details":{"cached_tokens":1280,"audio_tokens":0},"completion_tokens_details":{"reasoning_tokens":0,"audio_tokens":0,"accepted_prediction_tokens":0,"rejected_prediction_tokens":0}},"service_tier":"default","system_fingerprint":"fp_ad66631dec"}</t>
        </is>
      </c>
      <c r="X53" t="inlineStr">
        <is>
          <t>Loro Piana 羊绒短袜系列，柔和奶白色调，精选顶级羊绒纤维，细腻亲肤且透气舒适，简约刺绣Logo设计彰显低调奢华，男女皆宜，意式极简风格，展现精致格调与悠然品质生活。</t>
        </is>
      </c>
    </row>
    <row r="54" ht="25.5" customHeight="1">
      <c r="A54">
        <v>1654975475</v>
      </c>
      <c r="B54">
        <v>7627445720</v>
      </c>
      <c r="C54" s="2" t="str">
        <f>=HYPERLINK("https://weidian.com/item.html?itemID=7627445720", "https://weidian.com/item.html?itemID=7627445720")</f>
        <v>https://weidian.com/item.html?itemID=7627445720</v>
      </c>
      <c r="D54"/>
      <c r="E54" s="2" t="str">
        <f>=HYPERLINK("https://si.geilicdn.com/pcitem2014204438-15380000019ae7d082420a230115_3743_2973.jpg?w=640&amp;h=640", "https://si.geilicdn.com/pcitem2014204438-15380000019ae7d082420a230115_3743_2973.jpg?w=640&amp;h=640")</f>
        <v>https://si.geilicdn.com/pcitem2014204438-15380000019ae7d082420a230115_3743_2973.jpg?w=640&amp;h=640</v>
      </c>
      <c r="F54" t="inlineStr">
        <is>
          <t>Socks &amp; Hosiery</t>
        </is>
      </c>
      <c r="G54" t="inlineStr">
        <is>
          <t>UGG</t>
        </is>
      </c>
      <c r="H54">
        <v>120</v>
      </c>
      <c r="I54">
        <v>17.39</v>
      </c>
      <c r="J54" t="inlineStr">
        <is>
          <t>{"id":"chatcmpl-DaAG8gqHl7fLnmj4GPlVUtoAxO9mS","object":"chat.completion","created":1777511616,"model":"gpt-5-chat-2025-10-03","choices":[{"index":0,"message":{"role":"assistant","content":"UGG Black White Cotton Mid Calf Unisex Socks","refusal":null,"annotations":[]},"logprobs":null,"finish_reason":"stop"}],"usage":{"prompt_tokens":605,"completion_tokens":12,"total_tokens":617,"prompt_tokens_details":{"cached_tokens":0,"audio_tokens":0},"completion_tokens_details":{"reasoning_tokens":0,"audio_tokens":0,"accepted_prediction_tokens":0,"rejected_prediction_tokens":0}},"service_tier":"default","system_fingerprint":"fp_fd471178c5"}</t>
        </is>
      </c>
      <c r="K54" t="inlineStr">
        <is>
          <t>UGG Black White Cotton Mid Calf Unisex Socks</t>
        </is>
      </c>
      <c r="L54" t="inlineStr">
        <is>
          <t>{"id":"chatcmpl-DaA8TmvBvfFAmgXNynpsWHYSDBcCI","object":"chat.completion","created":1777511141,"model":"gpt-5-chat-2025-10-03","choices":[{"index":0,"message":{"role":"assistant","content":"UGG black and white mid-calf socks crafted from soft cotton blend, breathable and stretchy for comfort. Features embroidered logo, unisex design, perfect for casual or stylish wear all year round.","refusal":null,"annotations":[]},"logprobs":null,"finish_reason":"stop"}],"usage":{"prompt_tokens":638,"completion_tokens":40,"total_tokens":678,"prompt_tokens_details":{"cached_tokens":0,"audio_tokens":0},"completion_tokens_details":{"reasoning_tokens":0,"audio_tokens":0,"accepted_prediction_tokens":0,"rejected_prediction_tokens":0}},"service_tier":"default","system_fingerprint":"fp_fd471178c5"}</t>
        </is>
      </c>
      <c r="M54" t="inlineStr">
        <is>
          <t>{"alt-svc":"h3=\":443\"; ma=2592000","apim-request-id":"3368193f-c83c-47c3-9337-64c91a014a69","azureml-model-session":"d20260428205641-55ca9797","cache-control":"no-cache","connection":"close","content-length":"1004","content-type":"application/json","date":"Thu, 30 Apr 2026 01:05:42 GMT","server":"nginx","skip-error-remapping":"true","strict-transport-security":"max-age=31536000; includeSubDomains; preload","via":"1.1 Caddy","x-content-type-options":"nosniff","x-ms-client-request-id":"Not-Set","x-ms-is-spilled-over":"false","x-ms-rai-invoked":"false","x-ms-region":"Central US","x-new-api-version":"0.4.35","x-oneapi-request-id":"20260430010541416766258268d9d61ij30MZz","x-ratelimit-abusepenalty-active":"False","x-ratelimit-key":"gpt-5-chat-global","x-ratelimit-limit-requests":"1000","x-ratelimit-limit-tokens":"1000000","x-ratelimit-remaining-requests":"999","x-ratelimit-remaining-tokens":"994942","x-ratelimit-renewalperiod-requests":"60","x-ratelimit-renewalperiod-tokens":"60","x-ratelimit-reset-requests":"60","x-ratelimit-reset-tokens":"303","x-request-id":"38b54914-cf80-4f1b-a30f-a108474351f2"}</t>
        </is>
      </c>
      <c r="N54" t="inlineStr">
        <is>
          <t>UGG black and white mid-calf socks crafted from soft cotton blend, breathable and stretchy for comfort. Features embroidered logo, unisex design, perfect for casual or stylish wear all year round.</t>
        </is>
      </c>
      <c r="O54" t="inlineStr">
        <is>
          <t>{"id":"chatcmpl-DaAUEpVMXPuczXDcT4OhquRA8EB2b","object":"chat.completion","created":1777512490,"model":"gpt-5-chat-2025-10-03","choices":[{"index":0,"message":{"role":"assistant","content":"UGG,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506,"completion_tokens":94,"total_tokens":600,"prompt_tokens_details":{"cached_tokens":0,"audio_tokens":0},"completion_tokens_details":{"reasoning_tokens":0,"audio_tokens":0,"accepted_prediction_tokens":0,"rejected_prediction_tokens":0}},"service_tier":"default","system_fingerprint":"fp_ad66631dec"}</t>
        </is>
      </c>
      <c r="P54" t="inlineStr">
        <is>
          <t>UGG, Socks &amp; Hosiery, kakobuy, kakebuy2026, kekobuysheet, kakobuysheet2026, 2026kakobuy, kakobuyspreadsheeet, kakobuylink, kakebuylist, Kakobuy MEGA Spreadsheet, kakobuysheetfind, kakobuysheetfind2026, 2026kakobuysheetfind, kakobuysheet2026</t>
        </is>
      </c>
      <c r="Q54" t="inlineStr">
        <is>
          <t>Unisex, All Seasons, Breathable, Stretch</t>
        </is>
      </c>
      <c r="R54" t="inlineStr">
        <is>
          <t>recvhju1Crn6Ft</t>
        </is>
      </c>
      <c r="S54" t="inlineStr">
        <is>
          <t>ugg-black-white-cotton-mid-calf-unisex-socks-recvhju1crn6ft</t>
        </is>
      </c>
      <c r="T54"/>
      <c r="U54"/>
      <c r="V54"/>
      <c r="W54" t="inlineStr">
        <is>
          <t>{"id":"chatcmpl-Da9p1IhLa7LjCks6w5dOFnek7ZmgG","object":"chat.completion","created":1777509935,"model":"gpt-5-chat-2025-10-03","choices":[{"index":0,"message":{"role":"assistant","content":"UGG：黑白配色中筒袜，甄选柔软棉质混纺面料，弹性舒适，透气吸汗。简约刺绣LOGO设计，彰显品牌识别度。男女皆宜，多场景穿搭，兼具休闲与时尚感，经典美式风格，四季皆可穿。","refusal":null,"annotations":[]},"logprobs":null,"finish_reason":"stop"}],"usage":{"prompt_tokens":1019,"completion_tokens":83,"total_tokens":1102,"prompt_tokens_details":{"cached_tokens":0,"audio_tokens":0},"completion_tokens_details":{"reasoning_tokens":0,"audio_tokens":0,"accepted_prediction_tokens":0,"rejected_prediction_tokens":0}},"service_tier":"default","system_fingerprint":"fp_fd471178c5"}</t>
        </is>
      </c>
      <c r="X54" t="inlineStr">
        <is>
          <t>UGG：黑白配色中筒袜，甄选柔软棉质混纺面料，弹性舒适，透气吸汗。简约刺绣LOGO设计，彰显品牌识别度。男女皆宜，多场景穿搭，兼具休闲与时尚感，经典美式风格，四季皆可穿。</t>
        </is>
      </c>
    </row>
    <row r="55" ht="25.5" customHeight="1">
      <c r="A55">
        <v>1654975475</v>
      </c>
      <c r="B55">
        <v>7627333422</v>
      </c>
      <c r="C55" s="2" t="str">
        <f>=HYPERLINK("https://weidian.com/item.html?itemID=7627333422", "https://weidian.com/item.html?itemID=7627333422")</f>
        <v>https://weidian.com/item.html?itemID=7627333422</v>
      </c>
      <c r="D55"/>
      <c r="E55" s="2" t="str">
        <f>=HYPERLINK("https://si.geilicdn.com/pcitem2014204438-5ce30000019ae7c7dfc90a231316_3051_3695.jpg?w=640&amp;h=640", "https://si.geilicdn.com/pcitem2014204438-5ce30000019ae7c7dfc90a231316_3051_3695.jpg?w=640&amp;h=640")</f>
        <v>https://si.geilicdn.com/pcitem2014204438-5ce30000019ae7c7dfc90a231316_3051_3695.jpg?w=640&amp;h=640</v>
      </c>
      <c r="F55" t="inlineStr">
        <is>
          <t>Socks &amp; Hosiery</t>
        </is>
      </c>
      <c r="G55" t="inlineStr">
        <is>
          <t>Alo</t>
        </is>
      </c>
      <c r="H55">
        <v>136</v>
      </c>
      <c r="I55">
        <v>19.71</v>
      </c>
      <c r="J55" t="inlineStr">
        <is>
          <t>{"id":"chatcmpl-DaAGL4gOtRWfqAlosSY7H9j9ExDoB","object":"chat.completion","created":1777511629,"model":"gpt-5-chat-2025-10-03","choices":[{"index":0,"message":{"role":"assistant","content":"Alo Classic Gray Mid-Calf Sports Socks Unisex Cotton Blend","refusal":null,"annotations":[]},"logprobs":null,"finish_reason":"stop"}],"usage":{"prompt_tokens":891,"completion_tokens":14,"total_tokens":905,"prompt_tokens_details":{"cached_tokens":0,"audio_tokens":0},"completion_tokens_details":{"reasoning_tokens":0,"audio_tokens":0,"accepted_prediction_tokens":0,"rejected_prediction_tokens":0}},"service_tier":"default","system_fingerprint":"fp_ad66631dec"}</t>
        </is>
      </c>
      <c r="K55" t="inlineStr">
        <is>
          <t>Alo Classic Gray Mid-Calf Sports Socks Unisex Cotton Blend</t>
        </is>
      </c>
      <c r="L55" t="inlineStr">
        <is>
          <t>{"id":"chatcmpl-DaAEPx3N9KdcqEl5BoVWYjCbBHUxy","object":"chat.completion","created":1777511509,"model":"gpt-5-chat-2025-10-03","choices":[{"index":0,"message":{"role":"assistant","content":"Alo Classic Gray Mid-Calf Sports Socks, made from high-stretch cotton blend, breathable and sweat-absorbent, minimalist logo design, perfect for casual wear or workouts, unisex urban style.","refusal":null,"annotations":[]},"logprobs":null,"finish_reason":"stop"}],"usage":{"prompt_tokens":892,"completion_tokens":43,"total_tokens":935,"prompt_tokens_details":{"cached_tokens":0,"audio_tokens":0},"completion_tokens_details":{"reasoning_tokens":0,"audio_tokens":0,"accepted_prediction_tokens":0,"rejected_prediction_tokens":0}},"service_tier":"default","system_fingerprint":"fp_fd471178c5"}</t>
        </is>
      </c>
      <c r="M55" t="inlineStr">
        <is>
          <t>{"alt-svc":"h3=\":443\"; ma=2592000","apim-request-id":"55f71efd-eb6a-4ed8-b558-8b8eb14ce595","azureml-model-session":"d20260428205641-55ca9797","cache-control":"no-cache","connection":"close","content-length":"997","content-type":"application/json","date":"Thu, 30 Apr 2026 01:11:49 GMT","server":"nginx","skip-error-remapping":"true","strict-transport-security":"max-age=31536000; includeSubDomains; preload","via":"1.1 Caddy","x-content-type-options":"nosniff","x-ms-client-request-id":"Not-Set","x-ms-is-spilled-over":"false","x-ms-rai-invoked":"false","x-ms-region":"Central US","x-new-api-version":"0.4.35","x-oneapi-request-id":"202604300111482651660328268d9d6YYXxMGJd","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72f811be-eae4-92ff-ac0e-4a1b1a5871b4"}</t>
        </is>
      </c>
      <c r="N55" t="inlineStr">
        <is>
          <t>Alo Classic Gray Mid-Calf Sports Socks, made from high-stretch cotton blend, breathable and sweat-absorbent, minimalist logo design, perfect for casual wear or workouts, unisex urban style.</t>
        </is>
      </c>
      <c r="O55" t="inlineStr">
        <is>
          <t>{"id":"chatcmpl-DaAUNV9SQUajycWbavdLILYkf2giU","object":"chat.completion","created":1777512499,"model":"gpt-5-chat-2025-10-03","choices":[{"index":0,"message":{"role":"assistant","content":"Alo,Socks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ad66631dec"}</t>
        </is>
      </c>
      <c r="P55" t="inlineStr">
        <is>
          <t>Alo,Socks &amp; Hosiery,kakobuy,kakebuy2026,kekobuysheet,kakobuysheet2026,2026kakobuy,kakobuyspreadsheeet,kakobuylink,kakebuylist,Kakobuy MEGA Spreadsheet,kakobuysheetfind,kakobuysheetfind2026,2026kakobuysheetfind,kakobuysheet2026</t>
        </is>
      </c>
      <c r="Q55" t="inlineStr">
        <is>
          <t>Gray, Minimalist, Breathable, Unisex</t>
        </is>
      </c>
      <c r="R55" t="inlineStr">
        <is>
          <t>recvhju1CrCkfL</t>
        </is>
      </c>
      <c r="S55" t="inlineStr">
        <is>
          <t>alo-classic-gray-mid-calf-sports-socks-unisex-cotton-blend-recvhju1crckfl</t>
        </is>
      </c>
      <c r="T55"/>
      <c r="U55"/>
      <c r="V55"/>
      <c r="W55" t="inlineStr">
        <is>
          <t>{"id":"chatcmpl-Da9oYjjAQ6B9YqiFUDqLoKHCdK6rF","object":"chat.completion","created":1777509906,"model":"gpt-5-chat-2025-10-03","choices":[{"index":0,"message":{"role":"assistant","content":"Alo：经典灰色运动中筒袜，甄选高弹棉混纺材质，透气吸汗，简约logo设计，休闲健身皆宜，男女通用款，都市极简风格。","refusal":null,"annotations":[]},"logprobs":null,"finish_reason":"stop"}],"usage":{"prompt_tokens":1305,"completion_tokens":54,"total_tokens":1359,"prompt_tokens_details":{"cached_tokens":0,"audio_tokens":0},"completion_tokens_details":{"reasoning_tokens":0,"audio_tokens":0,"accepted_prediction_tokens":0,"rejected_prediction_tokens":0}},"service_tier":"default","system_fingerprint":"fp_fd471178c5"}</t>
        </is>
      </c>
      <c r="X55" t="inlineStr">
        <is>
          <t>Alo：经典灰色运动中筒袜，甄选高弹棉混纺材质，透气吸汗，简约logo设计，休闲健身皆宜，男女通用款，都市极简风格。</t>
        </is>
      </c>
    </row>
    <row r="56" ht="25.5" customHeight="1">
      <c r="A56">
        <v>1654975475</v>
      </c>
      <c r="B56">
        <v>7627331322</v>
      </c>
      <c r="C56" s="2" t="str">
        <f>=HYPERLINK("https://weidian.com/item.html?itemID=7627331322", "https://weidian.com/item.html?itemID=7627331322")</f>
        <v>https://weidian.com/item.html?itemID=7627331322</v>
      </c>
      <c r="D56"/>
      <c r="E56" s="2" t="str">
        <f>=HYPERLINK("https://si.geilicdn.com/pcitem2014204438-084e0000019ae7baf2810a2396f4_1080_1080.jpg?w=640&amp;h=640", "https://si.geilicdn.com/pcitem2014204438-084e0000019ae7baf2810a2396f4_1080_1080.jpg?w=640&amp;h=640")</f>
        <v>https://si.geilicdn.com/pcitem2014204438-084e0000019ae7baf2810a2396f4_1080_1080.jpg?w=640&amp;h=640</v>
      </c>
      <c r="F56" t="inlineStr">
        <is>
          <t>Socks &amp; Hosiery</t>
        </is>
      </c>
      <c r="G56" t="inlineStr">
        <is>
          <t>Chanel</t>
        </is>
      </c>
      <c r="H56">
        <v>136</v>
      </c>
      <c r="I56">
        <v>19.71</v>
      </c>
      <c r="J56" t="inlineStr">
        <is>
          <t>{"id":"chatcmpl-DaALG1sZgE9nRYJRMaQUBv6ZawjRI","object":"chat.completion","created":1777511934,"model":"gpt-5-chat-2025-10-03","choices":[{"index":0,"message":{"role":"assistant","content":"Chanel Black White Cotton Mid-Calf Logo Socks","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fd471178c5"}</t>
        </is>
      </c>
      <c r="K56" t="inlineStr">
        <is>
          <t>Chanel Black White Cotton Mid-Calf Logo Socks</t>
        </is>
      </c>
      <c r="L56" t="inlineStr">
        <is>
          <t>{"id":"chatcmpl-DaAAVSbHJ9YgfLSE584dHrFQYl25B","object":"chat.completion","created":1777511267,"model":"gpt-5-chat-2025-10-03","choices":[{"index":0,"message":{"role":"assistant","content":"Chanel Classic Black &amp; White Mid-Calf Socks, made from soft high-density cotton with iconic double C embroidery, minimalist and elegant style for men and women, perfect for casual or urban chic wear.","refusal":null,"annotations":[]},"logprobs":null,"finish_reason":"stop"}],"usage":{"prompt_tokens":909,"completion_tokens":41,"total_tokens":950,"prompt_tokens_details":{"cached_tokens":0,"audio_tokens":0},"completion_tokens_details":{"reasoning_tokens":0,"audio_tokens":0,"accepted_prediction_tokens":0,"rejected_prediction_tokens":0}},"service_tier":"default","system_fingerprint":"fp_fd471178c5"}</t>
        </is>
      </c>
      <c r="M56" t="inlineStr">
        <is>
          <t>{"alt-svc":"h3=\":443\"; ma=2592000","apim-request-id":"cfc1fad3-8c13-4a0f-8c88-515c24261019","azureml-model-session":"d20260428205641-55ca9797","cache-control":"no-cache","connection":"close","content-length":"1007","content-type":"application/json","date":"Thu, 30 Apr 2026 01:07:53 GMT","server":"nginx","skip-error-remapping":"true","strict-transport-security":"max-age=31536000; includeSubDomains; preload","via":"1.1 Caddy","x-content-type-options":"nosniff","x-ms-client-request-id":"Not-Set","x-ms-is-spilled-over":"false","x-ms-rai-invoked":"false","x-ms-region":"Poland Central","x-new-api-version":"0.4.35","x-oneapi-request-id":"202604300107459477560048268d9d6inDzZyjR","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6e8d8d92-44a2-4e2b-90f3-75224bb9414d"}</t>
        </is>
      </c>
      <c r="N56" t="inlineStr">
        <is>
          <t>Chanel Classic Black &amp; White Mid-Calf Socks, made from soft high-density cotton with iconic double C embroidery, minimalist and elegant style for men and women, perfect for casual or urban chic wear.</t>
        </is>
      </c>
      <c r="O56" t="inlineStr">
        <is>
          <t>{"id":"chatcmpl-DaAQYZRoGNAiQXPDJDmnlRClZbTb7","object":"chat.completion","created":1777512262,"model":"gpt-5-chat-2025-10-03","choices":[{"index":0,"message":{"role":"assistant","content":"Chanel,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56" t="inlineStr">
        <is>
          <t>Chanel, Socks &amp; Hosiery, kakobuy, kakebuy2026, kekobuysheet, kakobuysheet2026, 2026kakobuy, kakobuyspreadsheeet, kakobuylink, kakebuylist, Kakobuy MEGA Spreadsheet, kakobuysheetfind, kakobuysheetfind2026, 2026kakobuysheetfind, kakobuysheet2026</t>
        </is>
      </c>
      <c r="Q56" t="inlineStr">
        <is>
          <t>Chanel, Black, White, Minimalist, Elegant, Unisex</t>
        </is>
      </c>
      <c r="R56" t="inlineStr">
        <is>
          <t>recvhju1CrIxj9</t>
        </is>
      </c>
      <c r="S56" t="inlineStr">
        <is>
          <t>chanel-black-white-cotton-mid-calf-logo-socks-recvhju1crIxj9</t>
        </is>
      </c>
      <c r="T56"/>
      <c r="U56"/>
      <c r="V56"/>
      <c r="W56" t="inlineStr">
        <is>
          <t>{"id":"chatcmpl-Da9thOv23LRVxzcmTA7DGwnHdKspj","object":"chat.completion","created":1777510225,"model":"gpt-5-chat-2025-10-03","choices":[{"index":0,"message":{"role":"assistant","content":"Chanel：经典黑白中筒袜系列，采用柔软高密度棉质面料，织入标志性双C徽章刺绣，极简优雅设计彰显法式时尚品味，男女皆宜，适合日常休闲与都市轻奢穿搭。","refusal":null,"annotations":[]},"logprobs":null,"finish_reason":"stop"}],"usage":{"prompt_tokens":1307,"completion_tokens":70,"total_tokens":1377,"prompt_tokens_details":{"cached_tokens":1280,"audio_tokens":0},"completion_tokens_details":{"reasoning_tokens":0,"audio_tokens":0,"accepted_prediction_tokens":0,"rejected_prediction_tokens":0}},"service_tier":"default","system_fingerprint":"fp_fd471178c5"}</t>
        </is>
      </c>
      <c r="X56" t="inlineStr">
        <is>
          <t>Chanel：经典黑白中筒袜系列，采用柔软高密度棉质面料，织入标志性双C徽章刺绣，极简优雅设计彰显法式时尚品味，男女皆宜，适合日常休闲与都市轻奢穿搭。</t>
        </is>
      </c>
    </row>
    <row r="57" ht="25.5" customHeight="1">
      <c r="A57">
        <v>1654975475</v>
      </c>
      <c r="B57">
        <v>7624396405</v>
      </c>
      <c r="C57" s="2" t="str">
        <f>=HYPERLINK("https://weidian.com/item.html?itemID=7624396405", "https://weidian.com/item.html?itemID=7624396405")</f>
        <v>https://weidian.com/item.html?itemID=7624396405</v>
      </c>
      <c r="D57"/>
      <c r="E57" s="2" t="str">
        <f>=HYPERLINK("https://si.geilicdn.com/pcitem2014204438-159e0000019ae7b521e40a23057e_1080_1080.jpg?w=640&amp;h=640", "https://si.geilicdn.com/pcitem2014204438-159e0000019ae7b521e40a23057e_1080_1080.jpg?w=640&amp;h=640")</f>
        <v>https://si.geilicdn.com/pcitem2014204438-159e0000019ae7b521e40a23057e_1080_1080.jpg?w=640&amp;h=640</v>
      </c>
      <c r="F57" t="inlineStr">
        <is>
          <t>Socks &amp; Hosiery</t>
        </is>
      </c>
      <c r="G57" t="inlineStr">
        <is>
          <t>Gucci</t>
        </is>
      </c>
      <c r="H57">
        <v>120</v>
      </c>
      <c r="I57">
        <v>17.39</v>
      </c>
      <c r="J57" t="inlineStr">
        <is>
          <t>{"id":"chatcmpl-DaAIrKhu92UT4XZ4RNmmobi0n1dzS","object":"chat.completion","created":1777511785,"model":"gpt-5-chat-2025-10-03","choices":[{"index":0,"message":{"role":"assistant","content":"Gucci Beige Colorblock Mid-Calf Cotton Logo Socks","refusal":null,"annotations":[]},"logprobs":null,"finish_reason":"stop"}],"usage":{"prompt_tokens":891,"completion_tokens":12,"total_tokens":903,"prompt_tokens_details":{"cached_tokens":0,"audio_tokens":0},"completion_tokens_details":{"reasoning_tokens":0,"audio_tokens":0,"accepted_prediction_tokens":0,"rejected_prediction_tokens":0}},"service_tier":"default","system_fingerprint":"fp_fd471178c5"}</t>
        </is>
      </c>
      <c r="K57" t="inlineStr">
        <is>
          <t>Gucci Beige Colorblock Mid-Calf Cotton Logo Socks</t>
        </is>
      </c>
      <c r="L57" t="inlineStr">
        <is>
          <t>{"id":"chatcmpl-DaA7ACM02OabnihQk1e0rgYxiEDry","object":"chat.completion","created":1777511060,"model":"gpt-5-chat-2025-10-03","choices":[{"index":0,"message":{"role":"assistant","content":"Gucci Beige Colorblock Mid-Calf Socks, crafted from a soft cotton blend with 3D GG logos and signature patterns. Retro yet modern unisex design, breathable and elegant for casual or business wear.","refusal":null,"annotations":[]},"logprobs":null,"finish_reason":"stop"}],"usage":{"prompt_tokens":925,"completion_tokens":43,"total_tokens":968,"prompt_tokens_details":{"cached_tokens":0,"audio_tokens":0},"completion_tokens_details":{"reasoning_tokens":0,"audio_tokens":0,"accepted_prediction_tokens":0,"rejected_prediction_tokens":0}},"service_tier":"default","system_fingerprint":"fp_ad66631dec"}</t>
        </is>
      </c>
      <c r="M57" t="inlineStr">
        <is>
          <t>{"alt-svc":"h3=\":443\"; ma=2592000","apim-request-id":"fe90db1f-b811-437c-ab9b-37c6f96323c7","azureml-model-session":"d20260402084046-4209e968","cache-control":"no-cache","connection":"close","content-length":"1004","content-type":"application/json","date":"Thu, 30 Apr 2026 01:04:22 GMT","server":"Caddy","skip-error-remapping":"true","strict-transport-security":"max-age=31536000; includeSubDomains; preload","x-content-type-options":"nosniff","x-ms-client-request-id":"Not-Set","x-ms-is-spilled-over":"false","x-ms-rai-invoked":"false","x-ms-region":"Poland Central","x-new-api-version":"0.4.35","x-oneapi-request-id":"202604300104195084140068268d9d6yC4HIiH0","x-ratelimit-abusepenalty-active":"False","x-ratelimit-key":"gpt-5-chat-global","x-ratelimit-limit-requests":"1000","x-ratelimit-limit-tokens":"1000000","x-ratelimit-remaining-requests":"999","x-ratelimit-remaining-tokens":"989395","x-ratelimit-renewalperiod-requests":"60","x-ratelimit-renewalperiod-tokens":"60","x-ratelimit-reset-requests":"85","x-ratelimit-reset-tokens":"636","x-request-id":"c502b77d-a84c-45fb-9f66-1d4260f427a2"}</t>
        </is>
      </c>
      <c r="N57" t="inlineStr">
        <is>
          <t>Gucci Beige Colorblock Mid-Calf Socks, crafted from a soft cotton blend with 3D GG logos and signature patterns. Retro yet modern unisex design, breathable and elegant for casual or business wear.</t>
        </is>
      </c>
      <c r="O57" t="inlineStr">
        <is>
          <t>{"id":"chatcmpl-DaAUnkSZ9Q34iBmnUX5ouKO42glD6","object":"chat.completion","created":1777512525,"model":"gpt-5-chat-2025-10-03","choices":[{"index":0,"message":{"role":"assistant","content":"Gucci,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57" t="inlineStr">
        <is>
          <t>Gucci, Socks &amp; Hosiery, kakobuy, kakebuy2026, kekobuysheet, kakobuysheet2026, 2026kakobuy, kakobuyspreadsheeet, kakobuylink, kakebuylist, Kakobuy MEGA Spreadsheet, kakobuysheetfind, kakobuysheetfind2026, 2026kakobuysheetfind, kakobuysheet2026</t>
        </is>
      </c>
      <c r="Q57" t="inlineStr">
        <is>
          <t>Beige, Color Block, Retro, Modern, Unisex</t>
        </is>
      </c>
      <c r="R57" t="inlineStr">
        <is>
          <t>recvhju1CrjbWh</t>
        </is>
      </c>
      <c r="S57" t="inlineStr">
        <is>
          <t>gucci-beige-colorblock-mid-calf-cotton-logo-socks-recvhju1crjbwh</t>
        </is>
      </c>
      <c r="T57"/>
      <c r="U57"/>
      <c r="V57"/>
      <c r="W57" t="inlineStr">
        <is>
          <t>{"id":"chatcmpl-Da9rjuGzXdvKAdcdN5xfwtcJ04A76","object":"chat.completion","created":1777510103,"model":"gpt-5-chat-2025-10-03","choices":[{"index":0,"message":{"role":"assistant","content":"Gucci：米白撞色中筒袜，采用柔软棉质混纺面料，织入立体GG徽标与经典纹理图腾，质感细腻透气。简约复古设计融合摩登时尚风格，男女皆宜，适配休闲与商务穿搭，彰显品牌优雅格调与精致生活品味。","refusal":null,"annotations":[]},"logprobs":null,"finish_reason":"stop"}],"usage":{"prompt_tokens":1305,"completion_tokens":87,"total_tokens":1392,"prompt_tokens_details":{"cached_tokens":0,"audio_tokens":0},"completion_tokens_details":{"reasoning_tokens":0,"audio_tokens":0,"accepted_prediction_tokens":0,"rejected_prediction_tokens":0}},"service_tier":"default","system_fingerprint":"fp_ad66631dec"}</t>
        </is>
      </c>
      <c r="X57" t="inlineStr">
        <is>
          <t>Gucci：米白撞色中筒袜，采用柔软棉质混纺面料，织入立体GG徽标与经典纹理图腾，质感细腻透气。简约复古设计融合摩登时尚风格，男女皆宜，适配休闲与商务穿搭，彰显品牌优雅格调与精致生活品味。</t>
        </is>
      </c>
    </row>
    <row r="58" ht="25.5" customHeight="1">
      <c r="A58">
        <v>1654975475</v>
      </c>
      <c r="B58">
        <v>7626803452</v>
      </c>
      <c r="C58" s="2" t="str">
        <f>=HYPERLINK("https://weidian.com/item.html?itemID=7626803452", "https://weidian.com/item.html?itemID=7626803452")</f>
        <v>https://weidian.com/item.html?itemID=7626803452</v>
      </c>
      <c r="D58"/>
      <c r="E58" s="2" t="str">
        <f>=HYPERLINK("https://si.geilicdn.com/pcitem2014204438-5fe80000019ae493ee690a20e273_1280_1280.jpg?w=640&amp;h=640", "https://si.geilicdn.com/pcitem2014204438-5fe80000019ae493ee690a20e273_1280_1280.jpg?w=640&amp;h=640")</f>
        <v>https://si.geilicdn.com/pcitem2014204438-5fe80000019ae493ee690a20e273_1280_1280.jpg?w=640&amp;h=640</v>
      </c>
      <c r="F58" t="inlineStr">
        <is>
          <t>Accessories</t>
        </is>
      </c>
      <c r="G58" t="inlineStr">
        <is>
          <t>lululemon</t>
        </is>
      </c>
      <c r="H58">
        <v>310</v>
      </c>
      <c r="I58">
        <v>44.93</v>
      </c>
      <c r="J58" t="inlineStr">
        <is>
          <t>{"id":"chatcmpl-DaAKL2zqAlucVt5AtppIxwWlyImjf","object":"chat.completion","created":1777511877,"model":"gpt-5-chat-2025-10-03","choices":[{"index":0,"message":{"role":"assistant","content":"Lululemon Pink Waterproof Nylon Backpack for Daily Use","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fd471178c5"}</t>
        </is>
      </c>
      <c r="K58" t="inlineStr">
        <is>
          <t>Lululemon Pink Waterproof Nylon Backpack for Daily Use</t>
        </is>
      </c>
      <c r="L58" t="inlineStr">
        <is>
          <t>{"id":"chatcmpl-DaAC0ozDaoFePHPP5y7gMlHvYFGcF","object":"chat.completion","created":1777511360,"model":"gpt-5-chat-2025-10-03","choices":[{"index":0,"message":{"role":"assistant","content":"Lululemon Pink Lightweight Nylon Backpack, waterproof and stylish with metal buckle design, versatile for men and women, urban sporty look, comfortable and practical for daily use.","refusal":null,"annotations":[]},"logprobs":null,"finish_reason":"stop"}],"usage":{"prompt_tokens":881,"completion_tokens":35,"total_tokens":916,"prompt_tokens_details":{"cached_tokens":0,"audio_tokens":0},"completion_tokens_details":{"reasoning_tokens":0,"audio_tokens":0,"accepted_prediction_tokens":0,"rejected_prediction_tokens":0}},"service_tier":"default","system_fingerprint":"fp_fd471178c5"}</t>
        </is>
      </c>
      <c r="M58" t="inlineStr">
        <is>
          <t>{"alt-svc":"h3=\":443\"; ma=2592000","apim-request-id":"4317db32-6210-44fb-9deb-7c266dac201b","azureml-model-session":"d20260428174121-807d9cc5","cache-control":"no-cache","connection":"close","content-length":"988","content-type":"application/json","date":"Thu, 30 Apr 2026 01:09:21 GMT","server":"Caddy","skip-error-remapping":"true","strict-transport-security":"max-age=31536000; includeSubDomains; preload","x-content-type-options":"nosniff","x-ms-client-request-id":"Not-Set","x-ms-is-spilled-over":"false","x-ms-rai-invoked":"false","x-ms-region":"Central US","x-new-api-version":"0.4.35","x-oneapi-request-id":"202604300109197254422878268d9d6n17BXwf6","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5b70ac96-eeed-4971-bb4f-9bd0255f555c"}</t>
        </is>
      </c>
      <c r="N58" t="inlineStr">
        <is>
          <t>Lululemon Pink Lightweight Nylon Backpack, waterproof and stylish with metal buckle design, versatile for men and women, urban sporty look, comfortable and practical for daily use.</t>
        </is>
      </c>
      <c r="O58" t="inlineStr">
        <is>
          <t>{"id":"chatcmpl-DaAUVeZwG4b3E93VOo2eXIgQ4ntWY","object":"chat.completion","created":1777512507,"model":"gpt-5-chat-2025-10-03","choices":[{"index":0,"message":{"role":"assistant","content":"lululemon,backpack,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58" t="inlineStr">
        <is>
          <t>lululemon,backpack,kakobuy,kakebuy2026,kekobuysheet,kakobuysheet2026,2026kakobuy,kakobuyspreadsheeet,kakobuylink,kakebuylist,Kakobuy MEGA Spreadsheet,kakobuysheetfind,kakobuysheetfind2026,2026kakobuysheetfind,kakobuysheet2026</t>
        </is>
      </c>
      <c r="Q58" t="inlineStr">
        <is>
          <t>Backpack, Nylon, Waterproof, Lightweight, Unisex, Pink</t>
        </is>
      </c>
      <c r="R58" t="inlineStr">
        <is>
          <t>recvhju1CrFiPE</t>
        </is>
      </c>
      <c r="S58" t="inlineStr">
        <is>
          <t>lululemon-pink-waterproof-nylon-backpack-recvhju1crfipe</t>
        </is>
      </c>
      <c r="T58"/>
      <c r="U58"/>
      <c r="V58"/>
      <c r="W58" t="inlineStr">
        <is>
          <t>{"id":"chatcmpl-Da9qq1GIFuJGT17bjzuff8tI0MDGF","object":"chat.completion","created":1777510048,"model":"gpt-5-chat-2025-10-03","choices":[{"index":0,"message":{"role":"assistant","content":"Lululemon：粉色轻盈尼龙双肩背包，防水面料搭配金属扣设计，简约都市运动风，男女皆宜，舒适实用兼具时尚感。","refusal":null,"annotations":[]},"logprobs":null,"finish_reason":"stop"}],"usage":{"prompt_tokens":1299,"completion_tokens":48,"total_tokens":1347,"prompt_tokens_details":{"cached_tokens":0,"audio_tokens":0},"completion_tokens_details":{"reasoning_tokens":0,"audio_tokens":0,"accepted_prediction_tokens":0,"rejected_prediction_tokens":0}},"service_tier":"default","system_fingerprint":"fp_ad66631dec"}</t>
        </is>
      </c>
      <c r="X58" t="inlineStr">
        <is>
          <t>Lululemon：粉色轻盈尼龙双肩背包，防水面料搭配金属扣设计，简约都市运动风，男女皆宜，舒适实用兼具时尚感。</t>
        </is>
      </c>
    </row>
    <row r="59" ht="25.5" customHeight="1">
      <c r="A59">
        <v>1654975475</v>
      </c>
      <c r="B59">
        <v>7626815920</v>
      </c>
      <c r="C59" s="2" t="str">
        <f>=HYPERLINK("https://weidian.com/item.html?itemID=7626815920", "https://weidian.com/item.html?itemID=7626815920")</f>
        <v>https://weidian.com/item.html?itemID=7626815920</v>
      </c>
      <c r="D59"/>
      <c r="E59" s="2" t="str">
        <f>=HYPERLINK("https://si.geilicdn.com/pcitem2014204438-60750000019ae48c32120a239846_1440_1919.jpg?w=640&amp;h=640", "https://si.geilicdn.com/pcitem2014204438-60750000019ae48c32120a239846_1440_1919.jpg?w=640&amp;h=640")</f>
        <v>https://si.geilicdn.com/pcitem2014204438-60750000019ae48c32120a239846_1440_1919.jpg?w=640&amp;h=640</v>
      </c>
      <c r="F59" t="inlineStr">
        <is>
          <t>Accessories</t>
        </is>
      </c>
      <c r="G59" t="inlineStr">
        <is>
          <t>Arc teryx</t>
        </is>
      </c>
      <c r="H59">
        <v>260</v>
      </c>
      <c r="I59">
        <v>37.68</v>
      </c>
      <c r="J59" t="inlineStr">
        <is>
          <t>{"id":"chatcmpl-DaALZSYgN182kH1IXAYGBxseyMwlO","object":"chat.completion","created":1777511953,"model":"gpt-5-chat-2025-10-03","choices":[{"index":0,"message":{"role":"assistant","content":"Arc'teryx White Waterproof Nylon Backpack for Travel","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59" t="inlineStr">
        <is>
          <t>Arc'teryx White Waterproof Nylon Backpack for Travel</t>
        </is>
      </c>
      <c r="L59" t="inlineStr">
        <is>
          <t>{"id":"chatcmpl-DaA9YjhC4A0C285Gt5i4nRsB2MAQh","object":"chat.completion","created":1777511208,"model":"gpt-5-chat-2025-10-03","choices":[{"index":0,"message":{"role":"assistant","content":"Arc'teryx White Lightweight Waterproof Nylon Backpack with Neon Yellow Zippers, Minimalist Unisex Design for Hiking, Travel, and Daily Commute, Combining Urban and Outdoor Performance Style.","refusal":null,"annotations":[]},"logprobs":null,"finish_reason":"stop"}],"usage":{"prompt_tokens":892,"completion_tokens":38,"total_tokens":930,"prompt_tokens_details":{"cached_tokens":0,"audio_tokens":0},"completion_tokens_details":{"reasoning_tokens":0,"audio_tokens":0,"accepted_prediction_tokens":0,"rejected_prediction_tokens":0}},"service_tier":"default","system_fingerprint":"fp_ad66631dec"}</t>
        </is>
      </c>
      <c r="M59" t="inlineStr">
        <is>
          <t>{"alt-svc":"h3=\":443\"; ma=2592000","apim-request-id":"536ab5fc-c085-4753-a79a-bec9ed94c43e","azureml-model-session":"d20260402075109-1fc5a0ec","cache-control":"no-cache","connection":"close","content-length":"998","content-type":"application/json","date":"Thu, 30 Apr 2026 01:06:50 GMT","server":"Caddy","skip-error-remapping":"true","strict-transport-security":"max-age=31536000; includeSubDomains; preload","x-content-type-options":"nosniff","x-ms-client-request-id":"Not-Set","x-ms-is-spilled-over":"false","x-ms-rai-invoked":"false","x-ms-region":"South Central US","x-new-api-version":"0.4.35","x-oneapi-request-id":"20260430010648311797928268d9d64sotQubt","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e364cb48-ebb0-4c2f-aaff-84bd21e4be00"}</t>
        </is>
      </c>
      <c r="N59" t="inlineStr">
        <is>
          <t>Arc'teryx White Lightweight Waterproof Nylon Backpack with Neon Yellow Zippers, Minimalist Unisex Design for Hiking, Travel, and Daily Commute, Combining Urban and Outdoor Performance Style.</t>
        </is>
      </c>
      <c r="O59" t="inlineStr">
        <is>
          <t>{"id":"chatcmpl-DaAQ9OFvd2jIUNSlv6YCvI9Q0pAdp","object":"chat.completion","created":1777512237,"model":"gpt-5-chat-2025-10-03","choices":[{"index":0,"message":{"role":"assistant","content":"Arc'teryx,Accessori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59" t="inlineStr">
        <is>
          <t>Arc'teryx,Accessories,kakobuy,kakebuy2026,kekobuysheet,kakobuysheet2026,2026kakobuy,kakobuyspreadsheeet,kakobuylink,kakebuylist,Kakobuy MEGA Spreadsheet,kakobuysheetfind,kakobuysheetfind2026,2026kakobuysheetfind,kakobuysheet2026</t>
        </is>
      </c>
      <c r="Q59" t="inlineStr">
        <is>
          <t>Backpack, White, Lightweight, Waterproof, Nylon, Unisex</t>
        </is>
      </c>
      <c r="R59" t="inlineStr">
        <is>
          <t>recvhju1Crhrsa</t>
        </is>
      </c>
      <c r="S59" t="inlineStr">
        <is>
          <t>arcteryx-white-waterproof-nylon-backpack-recvhju1crhrsa</t>
        </is>
      </c>
      <c r="T59"/>
      <c r="U59"/>
      <c r="V59"/>
      <c r="W59" t="inlineStr">
        <is>
          <t>{"id":"chatcmpl-Da9ode9HDBotFu3nrtO8CpcuBIkv4","object":"chat.completion","created":1777509911,"model":"gpt-5-chat-2025-10-03","choices":[{"index":0,"message":{"role":"assistant","content":"Arc'teryx：白色轻量防水尼龙背包，荧光黄拉链点缀，简约登山设计，男女通用款，兼具城市与户外机能风，适合日常通勤与旅行携带。","refusal":null,"annotations":[]},"logprobs":null,"finish_reason":"stop"}],"usage":{"prompt_tokens":1299,"completion_tokens":59,"total_tokens":1358,"prompt_tokens_details":{"cached_tokens":1280,"audio_tokens":0},"completion_tokens_details":{"reasoning_tokens":0,"audio_tokens":0,"accepted_prediction_tokens":0,"rejected_prediction_tokens":0}},"service_tier":"default","system_fingerprint":"fp_ad66631dec"}</t>
        </is>
      </c>
      <c r="X59" t="inlineStr">
        <is>
          <t>Arc'teryx：白色轻量防水尼龙背包，荧光黄拉链点缀，简约登山设计，男女通用款，兼具城市与户外机能风，适合日常通勤与旅行携带。</t>
        </is>
      </c>
    </row>
    <row r="60" ht="25.5" customHeight="1">
      <c r="A60">
        <v>1654975475</v>
      </c>
      <c r="B60">
        <v>7626752080</v>
      </c>
      <c r="C60" s="2" t="str">
        <f>=HYPERLINK("https://weidian.com/item.html?itemID=7626752080", "https://weidian.com/item.html?itemID=7626752080")</f>
        <v>https://weidian.com/item.html?itemID=7626752080</v>
      </c>
      <c r="D60"/>
      <c r="E60" s="2" t="str">
        <f>=HYPERLINK("https://si.geilicdn.com/pcitem2014204438-509c0000019ae45e82380a239846_1440_1920.jpg?w=750&amp;h=750&amp;cp=1", "https://si.geilicdn.com/pcitem2014204438-509c0000019ae45e82380a239846_1440_1920.jpg?w=750&amp;h=750&amp;cp=1")</f>
        <v>https://si.geilicdn.com/pcitem2014204438-509c0000019ae45e82380a239846_1440_1920.jpg?w=750&amp;h=750&amp;cp=1</v>
      </c>
      <c r="F60" t="inlineStr">
        <is>
          <t>Accessories</t>
        </is>
      </c>
      <c r="G60" t="inlineStr">
        <is>
          <t>Longchamp</t>
        </is>
      </c>
      <c r="H60">
        <v>360</v>
      </c>
      <c r="I60">
        <v>52.17</v>
      </c>
      <c r="J60" t="inlineStr">
        <is>
          <t>{"id":"chatcmpl-DaAIPYtwQKPcEIJl6juckMRGNFW8Z","object":"chat.completion","created":1777511757,"model":"gpt-5-chat-2025-10-03","choices":[{"index":0,"message":{"role":"assistant","content":"Longchamp Le Pliage Black Nylon Travel Bag","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fd471178c5"}</t>
        </is>
      </c>
      <c r="K60" t="inlineStr">
        <is>
          <t>Longchamp Le Pliage Black Nylon Travel Bag</t>
        </is>
      </c>
      <c r="L60" t="inlineStr">
        <is>
          <t>{"id":"chatcmpl-DaA7MQPZda4x7OKCOXBDouLPt5jW0","object":"chat.completion","created":1777511072,"model":"gpt-5-chat-2025-10-03","choices":[{"index":0,"message":{"role":"assistant","content":"Longchamp Le Pliage Black Nylon Travel Bag with classic leather flap and handles, lightweight, waterproof, spacious and elegant, perfect for men and women, reflecting chic French style.","refusal":null,"annotations":[]},"logprobs":null,"finish_reason":"stop"}],"usage":{"prompt_tokens":900,"completion_tokens":37,"total_tokens":937,"prompt_tokens_details":{"cached_tokens":0,"audio_tokens":0},"completion_tokens_details":{"reasoning_tokens":0,"audio_tokens":0,"accepted_prediction_tokens":0,"rejected_prediction_tokens":0}},"service_tier":"default","system_fingerprint":"fp_fd471178c5"}</t>
        </is>
      </c>
      <c r="M60" t="inlineStr">
        <is>
          <t>{"alt-svc":"h3=\":443\"; ma=2592000","apim-request-id":"3dc4877f-e918-43e1-af4c-5bc6ca9dca29","azureml-model-session":"d20260428165144-a78ba574","cache-control":"no-cache","connection":"close","content-length":"993","content-type":"application/json","date":"Thu, 30 Apr 2026 01:04:33 GMT","server":"Caddy","skip-error-remapping":"true","strict-transport-security":"max-age=31536000; includeSubDomains; preload","x-content-type-options":"nosniff","x-ms-client-request-id":"Not-Set","x-ms-is-spilled-over":"false","x-ms-rai-invoked":"false","x-ms-region":"East US 2","x-new-api-version":"0.4.35","x-oneapi-request-id":"202604300104314444264038268d9d6jQAkhiKt","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275235c7-ab9c-4f42-8bcd-281f3d0dc480"}</t>
        </is>
      </c>
      <c r="N60" t="inlineStr">
        <is>
          <t>Longchamp Le Pliage Black Nylon Travel Bag with classic leather flap and handles, lightweight, waterproof, spacious and elegant, perfect for men and women, reflecting chic French style.</t>
        </is>
      </c>
      <c r="O60" t="inlineStr">
        <is>
          <t>{"id":"chatcmpl-DaAUc3T0FycEKu4XzPnlsrgkUaklA","object":"chat.completion","created":1777512514,"model":"gpt-5-chat-2025-10-03","choices":[{"index":0,"message":{"role":"assistant","content":"Longchamp,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fd471178c5"}</t>
        </is>
      </c>
      <c r="P60" t="inlineStr">
        <is>
          <t>Longchamp,bag,kakobuy,kakebuy2026,kekobuysheet,kakobuysheet2026,2026kakobuy,kakobuyspreadsheeet,kakobuylink,kakebuylist,Kakobuy MEGA Spreadsheet,kakobuysheetfind,kakobuysheetfind2026,2026kakobuysheetfind,kakobuysheet2026</t>
        </is>
      </c>
      <c r="Q60"/>
      <c r="R60" t="inlineStr">
        <is>
          <t>recvhju1CrUgVA</t>
        </is>
      </c>
      <c r="S60" t="inlineStr">
        <is>
          <t>longchamp-le-pliage-black-nylon-travel-bag-recvhju1crugva</t>
        </is>
      </c>
      <c r="T60"/>
      <c r="U60"/>
      <c r="V60"/>
      <c r="W60" t="inlineStr">
        <is>
          <t>{"id":"chatcmpl-Da9tNi2zdYJ1Zw0FXGp7slkzjl9DH","object":"chat.completion","created":1777510205,"model":"gpt-5-chat-2025-10-03","choices":[{"index":0,"message":{"role":"assistant","content":"Longchamp：Le Pliage系列黑色尼龙旅行袋，饰以经典皮革翻盖与提手设计，质感轻盈防水，简约大容量造型兼具优雅与实用，男女皆宜，展现法式休闲时尚风格。","refusal":null,"annotations":[]},"logprobs":null,"finish_reason":"stop"}],"usage":{"prompt_tokens":1305,"completion_tokens":64,"total_tokens":1369,"prompt_tokens_details":{"cached_tokens":1280,"audio_tokens":0},"completion_tokens_details":{"reasoning_tokens":0,"audio_tokens":0,"accepted_prediction_tokens":0,"rejected_prediction_tokens":0}},"service_tier":"default","system_fingerprint":"fp_ad66631dec"}</t>
        </is>
      </c>
      <c r="X60" t="inlineStr">
        <is>
          <t>Longchamp：Le Pliage系列黑色尼龙旅行袋，饰以经典皮革翻盖与提手设计，质感轻盈防水，简约大容量造型兼具优雅与实用，男女皆宜，展现法式休闲时尚风格。</t>
        </is>
      </c>
    </row>
    <row r="61" ht="25.5" customHeight="1">
      <c r="A61">
        <v>1654975475</v>
      </c>
      <c r="B61">
        <v>7623291909</v>
      </c>
      <c r="C61" s="2" t="str">
        <f>=HYPERLINK("https://weidian.com/item.html?itemID=7623291909", "https://weidian.com/item.html?itemID=7623291909")</f>
        <v>https://weidian.com/item.html?itemID=7623291909</v>
      </c>
      <c r="D61"/>
      <c r="E61" s="2" t="str">
        <f>=HYPERLINK("https://si.geilicdn.com/pcitem2014204438-22bb0000019adf6d52bd0a20e273_1440_1920.jpg?w=640&amp;h=640", "https://si.geilicdn.com/pcitem2014204438-22bb0000019adf6d52bd0a20e273_1440_1920.jpg?w=640&amp;h=640")</f>
        <v>https://si.geilicdn.com/pcitem2014204438-22bb0000019adf6d52bd0a20e273_1440_1920.jpg?w=640&amp;h=640</v>
      </c>
      <c r="F61" t="inlineStr">
        <is>
          <t>Glasses</t>
        </is>
      </c>
      <c r="G61" t="inlineStr">
        <is>
          <t>Balenciaga</t>
        </is>
      </c>
      <c r="H61">
        <v>420</v>
      </c>
      <c r="I61">
        <v>60.87</v>
      </c>
      <c r="J61" t="inlineStr">
        <is>
          <t>{"id":"chatcmpl-DaAI7Awyzfz0LhNwIM3rJPA6h8R68","object":"chat.completion","created":1777511739,"model":"gpt-5-chat-2025-10-03","choices":[{"index":0,"message":{"role":"assistant","content":"Balenciaga Black Rectangular Polarized Unisex Sunglasses","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61" t="inlineStr">
        <is>
          <t>Balenciaga Black Rectangular Polarized Unisex Sunglasses</t>
        </is>
      </c>
      <c r="L61" t="inlineStr">
        <is>
          <t>{"id":"chatcmpl-DaAAlb8mxAAThBxH7Ky4yEpMupkYc","object":"chat.completion","created":1777511283,"model":"gpt-5-chat-2025-10-03","choices":[{"index":0,"message":{"role":"assistant","content":"Balenciaga Black Rectangular Sunglasses: Glossy acetate frame with bold minimalist lines, polarized UV-blocking lenses, unisex modern design for a sleek urban style statement.","refusal":null,"annotations":[]},"logprobs":null,"finish_reason":"stop"}],"usage":{"prompt_tokens":904,"completion_tokens":36,"total_tokens":940,"prompt_tokens_details":{"cached_tokens":0,"audio_tokens":0},"completion_tokens_details":{"reasoning_tokens":0,"audio_tokens":0,"accepted_prediction_tokens":0,"rejected_prediction_tokens":0}},"service_tier":"default","system_fingerprint":"fp_fd471178c5"}</t>
        </is>
      </c>
      <c r="M61" t="inlineStr">
        <is>
          <t>{"alt-svc":"h3=\":443\"; ma=2592000","apim-request-id":"d073c22b-bc2e-41db-ab86-46739d04f9c3","azureml-model-session":"d20260428205641-55ca9797","cache-control":"no-cache","connection":"close","content-length":"983","content-type":"application/json","date":"Thu, 30 Apr 2026 01:08:04 GMT","server":"Caddy","skip-error-remapping":"true","strict-transport-security":"max-age=31536000; includeSubDomains; preload","x-content-type-options":"nosniff","x-ms-client-request-id":"Not-Set","x-ms-is-spilled-over":"false","x-ms-rai-invoked":"false","x-ms-region":"East US 2","x-new-api-version":"0.4.35","x-oneapi-request-id":"202604300108026426245818268d9d6Ic5okbnP","x-ratelimit-abusepenalty-active":"False","x-ratelimit-key":"gpt-5-chat-global","x-ratelimit-limit-requests":"1000","x-ratelimit-limit-tokens":"1000000","x-ratelimit-remaining-requests":"999","x-ratelimit-remaining-tokens":"989154","x-ratelimit-renewalperiod-requests":"60","x-ratelimit-renewalperiod-tokens":"60","x-ratelimit-reset-requests":"60","x-ratelimit-reset-tokens":"650","x-request-id":"c90277ba-1de9-4019-91df-3416941c98b7"}</t>
        </is>
      </c>
      <c r="N61" t="inlineStr">
        <is>
          <t>Balenciaga Black Rectangular Sunglasses: Glossy acetate frame with bold minimalist lines, polarized UV-blocking lenses, unisex modern design for a sleek urban style statement.</t>
        </is>
      </c>
      <c r="O61" t="inlineStr">
        <is>
          <t>{"id":"chatcmpl-DaATGMFRLrAV7bHOJ8Pc5I3sQYDky","object":"chat.completion","created":1777512430,"model":"gpt-5-chat-2025-10-03","choices":[{"index":0,"message":{"role":"assistant","content":"Balenciaga,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fd471178c5"}</t>
        </is>
      </c>
      <c r="P61" t="inlineStr">
        <is>
          <t>Balenciaga,Glasses,kakobuy,kakebuy2026,kekobuysheet,kakobuysheet2026,2026kakobuy,kakobuyspreadsheeet,kakobuylink,kakebuylist,Kakobuy MEGA Spreadsheet,kakobuysheetfind,kakobuysheetfind2026,2026kakobuysheetfind,kakobuysheet2026</t>
        </is>
      </c>
      <c r="Q61" t="inlineStr">
        <is>
          <t>Balenciaga, Black, Minimalist, Modern, Unisex, Anti-Ultraviolet</t>
        </is>
      </c>
      <c r="R61" t="inlineStr">
        <is>
          <t>recvhju1Cr7UBt</t>
        </is>
      </c>
      <c r="S61" t="inlineStr">
        <is>
          <t>balenciaga-black-rectangular-polarized-sunglasses-recvhju1cr7ubt</t>
        </is>
      </c>
      <c r="T61"/>
      <c r="U61"/>
      <c r="V61"/>
      <c r="W61" t="inlineStr">
        <is>
          <t>{"id":"chatcmpl-Da9ovHcVGYbYqQNuAboVtI8qCe0qq","object":"chat.completion","created":1777509929,"model":"gpt-5-chat-2025-10-03","choices":[{"index":0,"message":{"role":"assistant","content":"Balenciaga：黑色矩形太阳眼镜，采用高光泽醋酸纤维镜框，简约硬朗线条设计，配偏光镜片有效阻隔紫外线，展现极简先锋风格，男女皆宜，彰显现代都市时尚态度。","refusal":null,"annotations":[]},"logprobs":null,"finish_reason":"stop"}],"usage":{"prompt_tokens":1306,"completion_tokens":67,"total_tokens":1373,"prompt_tokens_details":{"cached_tokens":1280,"audio_tokens":0},"completion_tokens_details":{"reasoning_tokens":0,"audio_tokens":0,"accepted_prediction_tokens":0,"rejected_prediction_tokens":0}},"service_tier":"default","system_fingerprint":"fp_ad66631dec"}</t>
        </is>
      </c>
      <c r="X61" t="inlineStr">
        <is>
          <t>Balenciaga：黑色矩形太阳眼镜，采用高光泽醋酸纤维镜框，简约硬朗线条设计，配偏光镜片有效阻隔紫外线，展现极简先锋风格，男女皆宜，彰显现代都市时尚态度。</t>
        </is>
      </c>
    </row>
    <row r="62" ht="25.5" customHeight="1">
      <c r="A62">
        <v>1654975475</v>
      </c>
      <c r="B62">
        <v>7626267890</v>
      </c>
      <c r="C62" s="2" t="str">
        <f>=HYPERLINK("https://weidian.com/item.html?itemID=7626267890", "https://weidian.com/item.html?itemID=7626267890")</f>
        <v>https://weidian.com/item.html?itemID=7626267890</v>
      </c>
      <c r="D62"/>
      <c r="E62" s="2" t="str">
        <f>=HYPERLINK("https://si.geilicdn.com/pcitem2014204438-260e0000019adf616e8d0a2396f4_1442_1922.jpg?w=640&amp;h=640", "https://si.geilicdn.com/pcitem2014204438-260e0000019adf616e8d0a2396f4_1442_1922.jpg?w=640&amp;h=640")</f>
        <v>https://si.geilicdn.com/pcitem2014204438-260e0000019adf616e8d0a2396f4_1442_1922.jpg?w=640&amp;h=640</v>
      </c>
      <c r="F62" t="inlineStr">
        <is>
          <t>Glasses</t>
        </is>
      </c>
      <c r="G62" t="inlineStr">
        <is>
          <t>Miu Miu</t>
        </is>
      </c>
      <c r="H62">
        <v>440</v>
      </c>
      <c r="I62">
        <v>63.77</v>
      </c>
      <c r="J62" t="inlineStr">
        <is>
          <t>{"id":"chatcmpl-DaAF9aAEjxO0G100Qtw46OGH2ybvf","object":"chat.completion","created":1777511555,"model":"gpt-5-chat-2025-10-03","choices":[{"index":0,"message":{"role":"assistant","content":"Miu Miu Classic Amber Square Sunglasses for Women","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62" t="inlineStr">
        <is>
          <t>Miu Miu Classic Amber Square Sunglasses for Women</t>
        </is>
      </c>
      <c r="L62" t="inlineStr">
        <is>
          <t>{"id":"chatcmpl-DaACnVvyM2FS02QpXHQ2emKSWvXHB","object":"chat.completion","created":1777511409,"model":"gpt-5-chat-2025-10-03","choices":[{"index":0,"message":{"role":"assistant","content":"Miu Miu Classic Amber Square Sunglasses – lightweight acetate frame with gold logo temples, blending vintage chic and Italian elegance. Perfect for daily wear or vacations, exuding modern urban charm.","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ad66631dec"}</t>
        </is>
      </c>
      <c r="M62" t="inlineStr">
        <is>
          <t>{"alt-svc":"h3=\":443\"; ma=2592000","apim-request-id":"c9b2e879-273e-4fad-8f03-00591dc6e7f9","azureml-model-session":"d20260402074105-51db401e","cache-control":"no-cache","connection":"close","content-length":"1010","content-type":"application/json","date":"Thu, 30 Apr 2026 01:10:10 GMT","server":"nginx","skip-error-remapping":"true","strict-transport-security":"max-age=31536000; includeSubDomains; preload","via":"1.1 Caddy","x-content-type-options":"nosniff","x-ms-client-request-id":"Not-Set","x-ms-is-spilled-over":"false","x-ms-rai-invoked":"false","x-ms-region":"South Central US","x-new-api-version":"0.4.35","x-oneapi-request-id":"202604300110083060218698268d9d6lPA9Xo5w","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7642b703-3cd6-474b-9914-d3a7d71b2747"}</t>
        </is>
      </c>
      <c r="N62" t="inlineStr">
        <is>
          <t>Miu Miu Classic Amber Square Sunglasses – lightweight acetate frame with gold logo temples, blending vintage chic and Italian elegance. Perfect for daily wear or vacations, exuding modern urban charm.</t>
        </is>
      </c>
      <c r="O62" t="inlineStr">
        <is>
          <t>{"id":"chatcmpl-DaATTWSE0TdWY64Vr97siiGYNPUbj","object":"chat.completion","created":1777512443,"model":"gpt-5-chat-2025-10-03","choices":[{"index":0,"message":{"role":"assistant","content":"Miu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fd471178c5"}</t>
        </is>
      </c>
      <c r="P62" t="inlineStr">
        <is>
          <t>Miu Miu,Glasses,kakobuy,kakebuy2026,kekobuysheet,kakobuysheet2026,2026kakobuy,kakobuyspreadsheeet,kakobuylink,kakebuylist,Kakobuy MEGA Spreadsheet,kakobuysheetfind,kakobuysheetfind2026,2026kakobuysheetfind,kakobuysheet2026</t>
        </is>
      </c>
      <c r="Q62"/>
      <c r="R62" t="inlineStr">
        <is>
          <t>recvhju1Cru6BW</t>
        </is>
      </c>
      <c r="S62" t="inlineStr">
        <is>
          <t>miu-miu-classic-amber-square-sunglasses-recvhju1cru6bw</t>
        </is>
      </c>
      <c r="T62"/>
      <c r="U62"/>
      <c r="V62"/>
      <c r="W62" t="inlineStr">
        <is>
          <t>{"id":"chatcmpl-Da9qwcYtOg4IzJToSDvVw6Q3XAMJx","object":"chat.completion","created":1777510054,"model":"gpt-5-chat-2025-10-03","choices":[{"index":0,"message":{"role":"assistant","content":"Miu Miu：经典琥珀色方框太阳眼镜，采用轻盈醋酸纤维材质，镜腿饰有品牌金属标识，复古摩登设计融合意式优雅，彰显女性率性格调，适合日常与度假穿搭，彰显都市时尚魅力。","refusal":null,"annotations":[]},"logprobs":null,"finish_reason":"stop"}],"usage":{"prompt_tokens":1310,"completion_tokens":77,"total_tokens":1387,"prompt_tokens_details":{"cached_tokens":0,"audio_tokens":0},"completion_tokens_details":{"reasoning_tokens":0,"audio_tokens":0,"accepted_prediction_tokens":0,"rejected_prediction_tokens":0}},"service_tier":"default","system_fingerprint":"fp_ad66631dec"}</t>
        </is>
      </c>
      <c r="X62" t="inlineStr">
        <is>
          <t>Miu Miu：经典琥珀色方框太阳眼镜，采用轻盈醋酸纤维材质，镜腿饰有品牌金属标识，复古摩登设计融合意式优雅，彰显女性率性格调，适合日常与度假穿搭，彰显都市时尚魅力。</t>
        </is>
      </c>
    </row>
    <row r="63" ht="25.5" customHeight="1">
      <c r="A63">
        <v>1654975475</v>
      </c>
      <c r="B63">
        <v>7623254199</v>
      </c>
      <c r="C63" s="2" t="str">
        <f>=HYPERLINK("https://weidian.com/item.html?itemID=7623254199", "https://weidian.com/item.html?itemID=7623254199")</f>
        <v>https://weidian.com/item.html?itemID=7623254199</v>
      </c>
      <c r="D63"/>
      <c r="E63" s="2" t="str">
        <f>=HYPERLINK("https://si.geilicdn.com/pcitem2014204438-2b160000019adf58477d0a20e284_1440_1920.jpg?w=640&amp;h=640", "https://si.geilicdn.com/pcitem2014204438-2b160000019adf58477d0a20e284_1440_1920.jpg?w=640&amp;h=640")</f>
        <v>https://si.geilicdn.com/pcitem2014204438-2b160000019adf58477d0a20e284_1440_1920.jpg?w=640&amp;h=640</v>
      </c>
      <c r="F63" t="inlineStr">
        <is>
          <t>Glasses</t>
        </is>
      </c>
      <c r="G63" t="inlineStr">
        <is>
          <t>Maybach</t>
        </is>
      </c>
      <c r="H63">
        <v>300</v>
      </c>
      <c r="I63">
        <v>43.48</v>
      </c>
      <c r="J63" t="inlineStr">
        <is>
          <t>{"id":"chatcmpl-DaAGb5AZUYfQphN3bDj4F0vNNic4N","object":"chat.completion","created":1777511645,"model":"gpt-5-chat-2025-10-03","choices":[{"index":0,"message":{"role":"assistant","content":"Maybach Classic Gold Brown Gradient Square Sunglasses","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fd471178c5"}</t>
        </is>
      </c>
      <c r="K63" t="inlineStr">
        <is>
          <t>Maybach Classic Gold Brown Gradient Square Sunglasses</t>
        </is>
      </c>
      <c r="L63" t="inlineStr">
        <is>
          <t>{"id":"chatcmpl-DaAAwFIyxto3rBBqw7TvhbyWCB7Ta","object":"chat.completion","created":1777511294,"model":"gpt-5-chat-2025-10-03","choices":[{"index":0,"message":{"role":"assistant","content":"Maybach Classic Square Brown Gradient Sunglasses with Gold-Plated Frame and Engraved Details, Retro Modern Design, Lightweight Comfort, Unisex Luxury Style, Premium Custom Elegance.","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fd471178c5"}</t>
        </is>
      </c>
      <c r="M63" t="inlineStr">
        <is>
          <t>{"alt-svc":"h3=\":443\"; ma=2592000","apim-request-id":"27366110-0a33-4ce2-9d1c-4cb2c6c5c89e","azureml-model-session":"d20260428174121-807d9cc5","cache-control":"no-cache","connection":"close","content-length":"989","content-type":"application/json","date":"Thu, 30 Apr 2026 01:08:16 GMT","server":"nginx","skip-error-remapping":"true","strict-transport-security":"max-age=31536000; includeSubDomains; preload","via":"1.1 Caddy","x-content-type-options":"nosniff","x-ms-client-request-id":"Not-Set","x-ms-is-spilled-over":"false","x-ms-rai-invoked":"false","x-ms-region":"Sweden Central","x-new-api-version":"0.4.35","x-oneapi-request-id":"20260430010813324152048268d9d6cpSZd5RU","x-ratelimit-abusepenalty-active":"False","x-ratelimit-key":"gpt-5-chat-global","x-ratelimit-limit-requests":"1000","x-ratelimit-limit-tokens":"1000000","x-ratelimit-remaining-requests":"998","x-ratelimit-remaining-tokens":"998182","x-ratelimit-renewalperiod-requests":"60","x-ratelimit-renewalperiod-tokens":"60","x-ratelimit-reset-requests":"101","x-ratelimit-reset-tokens":"109","x-request-id":"ee5efda7-85e6-46f1-af78-fd505b9a0283"}</t>
        </is>
      </c>
      <c r="N63" t="inlineStr">
        <is>
          <t>Maybach Classic Square Brown Gradient Sunglasses with Gold-Plated Frame and Engraved Details, Retro Modern Design, Lightweight Comfort, Unisex Luxury Style, Premium Custom Elegance.</t>
        </is>
      </c>
      <c r="O63" t="inlineStr">
        <is>
          <t>{"id":"chatcmpl-DaAXEXZqi4Jmx5B2XmxWhm1nAf5mO","object":"chat.completion","created":1777512676,"model":"gpt-5-chat-2025-10-03","choices":[{"index":0,"message":{"role":"assistant","content":"Maybach,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63" t="inlineStr">
        <is>
          <t>Maybach,Glasses,kakobuy,kakebuy2026,kekobuysheet,kakobuysheet2026,2026kakobuy,kakobuyspreadsheeet,kakobuylink,kakebuylist,Kakobuy MEGA Spreadsheet,kakobuysheetfind,kakobuysheetfind2026,2026kakobuysheetfind,kakobuysheet2026</t>
        </is>
      </c>
      <c r="Q63" t="inlineStr">
        <is>
          <t>Brown, Gradient, Retro, Modern, Unisex, Elegant</t>
        </is>
      </c>
      <c r="R63" t="inlineStr">
        <is>
          <t>recvhju1CrzWoU</t>
        </is>
      </c>
      <c r="S63" t="inlineStr">
        <is>
          <t>maybach-classic-gold-brown-gradient-square-sunglasses-recvhju1crzwou</t>
        </is>
      </c>
      <c r="T63"/>
      <c r="U63"/>
      <c r="V63"/>
      <c r="W63" t="inlineStr">
        <is>
          <t>{"id":"chatcmpl-Da9oiLsZ9Akd5IX4aNrCmUlIYUvOu","object":"chat.completion","created":1777509916,"model":"gpt-5-chat-2025-10-03","choices":[{"index":0,"message":{"role":"assistant","content":"Maybach：经典方框棕色渐变镜片太阳眼镜，镀金金属镜架搭配精致雕刻细节，彰显奢华质感。复古摩登设计融合现代线条，轻盈舒适，男女皆宜，展现高端定制格调与优雅格局。","refusal":null,"annotations":[]},"logprobs":null,"finish_reason":"stop"}],"usage":{"prompt_tokens":1302,"completion_tokens":75,"total_tokens":1377,"prompt_tokens_details":{"cached_tokens":0,"audio_tokens":0},"completion_tokens_details":{"reasoning_tokens":0,"audio_tokens":0,"accepted_prediction_tokens":0,"rejected_prediction_tokens":0}},"service_tier":"default","system_fingerprint":"fp_ad66631dec"}</t>
        </is>
      </c>
      <c r="X63" t="inlineStr">
        <is>
          <t>Maybach：经典方框棕色渐变镜片太阳眼镜，镀金金属镜架搭配精致雕刻细节，彰显奢华质感。复古摩登设计融合现代线条，轻盈舒适，男女皆宜，展现高端定制格调与优雅格局。</t>
        </is>
      </c>
    </row>
    <row r="64" ht="25.5" customHeight="1">
      <c r="A64">
        <v>1654975475</v>
      </c>
      <c r="B64">
        <v>7623202229</v>
      </c>
      <c r="C64" s="2" t="str">
        <f>=HYPERLINK("https://weidian.com/item.html?itemID=7623202229", "https://weidian.com/item.html?itemID=7623202229")</f>
        <v>https://weidian.com/item.html?itemID=7623202229</v>
      </c>
      <c r="D64"/>
      <c r="E64" s="2" t="str">
        <f>=HYPERLINK("https://si.geilicdn.com/pcitem2014204438-2d3c0000019adf55a8d30a23038e_1440_1920.jpg?w=640&amp;h=640", "https://si.geilicdn.com/pcitem2014204438-2d3c0000019adf55a8d30a23038e_1440_1920.jpg?w=640&amp;h=640")</f>
        <v>https://si.geilicdn.com/pcitem2014204438-2d3c0000019adf55a8d30a23038e_1440_1920.jpg?w=640&amp;h=640</v>
      </c>
      <c r="F64" t="inlineStr">
        <is>
          <t>Glasses</t>
        </is>
      </c>
      <c r="G64" t="inlineStr">
        <is>
          <t>Fake me</t>
        </is>
      </c>
      <c r="H64">
        <v>550</v>
      </c>
      <c r="I64">
        <v>79.71</v>
      </c>
      <c r="J64" t="inlineStr">
        <is>
          <t>{"id":"chatcmpl-DaAKzIzsC7zKolSyGpbde4J9wB4zH","object":"chat.completion","created":1777511917,"model":"gpt-5-chat-2025-10-03","choices":[{"index":0,"message":{"role":"assistant","content":"FakeMe Retro Black Square Sunglasses UV Protection","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64" t="inlineStr">
        <is>
          <t>FakeMe Retro Black Square Sunglasses UV Protection</t>
        </is>
      </c>
      <c r="L64" t="inlineStr">
        <is>
          <t>{"id":"chatcmpl-DaABrpJH16gh6YJzDI7Dpf6wZubBw","object":"chat.completion","created":1777511351,"model":"gpt-5-chat-2025-10-03","choices":[{"index":0,"message":{"role":"assistant","content":"Fake Me Retro Black Square Sunglasses – Lightweight acetate frame with brown lenses, unisex Korean street style, UV protection, blending 90s vintage flair with modern minimalism for effortless individuality.","refusal":null,"annotations":[]},"logprobs":null,"finish_reason":"stop"}],"usage":{"prompt_tokens":926,"completion_tokens":39,"total_tokens":965,"prompt_tokens_details":{"cached_tokens":0,"audio_tokens":0},"completion_tokens_details":{"reasoning_tokens":0,"audio_tokens":0,"accepted_prediction_tokens":0,"rejected_prediction_tokens":0}},"service_tier":"default","system_fingerprint":"fp_fd471178c5"}</t>
        </is>
      </c>
      <c r="M64" t="inlineStr">
        <is>
          <t>{"alt-svc":"h3=\":443\"; ma=2592000","apim-request-id":"694e7b5d-a2ea-45bb-ac02-1b097c27346b","azureml-model-session":"d20260428205641-55ca9797","cache-control":"no-cache","connection":"close","content-length":"1017","content-type":"application/json","date":"Thu, 30 Apr 2026 01:09:12 GMT","server":"Caddy","skip-error-remapping":"true","strict-transport-security":"max-age=31536000; includeSubDomains; preload","x-content-type-options":"nosniff","x-ms-client-request-id":"Not-Set","x-ms-is-spilled-over":"false","x-ms-rai-invoked":"false","x-ms-region":"West US","x-new-api-version":"0.4.35","x-oneapi-request-id":"202604300109101636795718268d9d6MlnAaMFs","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7306b8e0-7f57-4957-8e6f-4667471882f8"}</t>
        </is>
      </c>
      <c r="N64" t="inlineStr">
        <is>
          <t>Fake Me Retro Black Square Sunglasses – Lightweight acetate frame with brown lenses, unisex Korean street style, UV protection, blending 90s vintage flair with modern minimalism for effortless individuality.</t>
        </is>
      </c>
      <c r="O64" t="inlineStr">
        <is>
          <t>{"id":"chatcmpl-DaAQ3YZRbnD4S09HB3jzzudz7vpRM","object":"chat.completion","created":1777512231,"model":"gpt-5-chat-2025-10-03","choices":[{"index":0,"message":{"role":"assistant","content":"Fakem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64" t="inlineStr">
        <is>
          <t>Fakeme,Glasses,kakobuy,kakebuy2026,kekobuysheet,kakobuysheet2026,2026kakobuy,kakobuyspreadsheeet,kakobuylink,kakebuylist,Kakobuy MEGA Spreadsheet,kakobuysheetfind,kakobuysheetfind2026,2026kakobuysheetfind,kakobuysheet2026</t>
        </is>
      </c>
      <c r="Q64" t="inlineStr">
        <is>
          <t>Unisex, Korean, Streetwear, Vintage, Minimalist, Anti-Ultraviolet</t>
        </is>
      </c>
      <c r="R64" t="inlineStr">
        <is>
          <t>recvhju1CrW9RU</t>
        </is>
      </c>
      <c r="S64" t="inlineStr">
        <is>
          <t>fakeme-retro-black-square-sunglasses-uv-recvhju1crw9ru</t>
        </is>
      </c>
      <c r="T64"/>
      <c r="U64"/>
      <c r="V64"/>
      <c r="W64" t="inlineStr">
        <is>
          <t>{"id":"chatcmpl-Da9mu73FhvTD4RKvLru3yl4G63P4X","object":"chat.completion","created":1777509804,"model":"gpt-5-chat-2025-10-03","choices":[{"index":0,"message":{"role":"assistant","content":"Fake Me：Retro黑色复古方框太阳眼镜，采用轻质醋酸纤维镜架搭配茶棕色镜片，彰显韩系街头摩登气质。中性设计，男女皆宜，兼具防紫外线与时尚造型功能，完美融合90年代复古风与现代极简美学，尽显自在个性。","refusal":null,"annotations":[]},"logprobs":null,"finish_reason":"stop"}],"usage":{"prompt_tokens":1308,"completion_tokens":88,"total_tokens":1396,"prompt_tokens_details":{"cached_tokens":1280,"audio_tokens":0},"completion_tokens_details":{"reasoning_tokens":0,"audio_tokens":0,"accepted_prediction_tokens":0,"rejected_prediction_tokens":0}},"service_tier":"default","system_fingerprint":"fp_ad66631dec"}</t>
        </is>
      </c>
      <c r="X64" t="inlineStr">
        <is>
          <t>Fake Me：Retro黑色复古方框太阳眼镜，采用轻质醋酸纤维镜架搭配茶棕色镜片，彰显韩系街头摩登气质。中性设计，男女皆宜，兼具防紫外线与时尚造型功能，完美融合90年代复古风与现代极简美学，尽显自在个性。</t>
        </is>
      </c>
    </row>
    <row r="65" ht="25.5" customHeight="1">
      <c r="A65">
        <v>1654975475</v>
      </c>
      <c r="B65">
        <v>7623236593</v>
      </c>
      <c r="C65" s="2" t="str">
        <f>=HYPERLINK("https://weidian.com/item.html?itemID=7623236593", "https://weidian.com/item.html?itemID=7623236593")</f>
        <v>https://weidian.com/item.html?itemID=7623236593</v>
      </c>
      <c r="D65"/>
      <c r="E65" s="2" t="str">
        <f>=HYPERLINK("https://si.geilicdn.com/pcitem2014204438-1cff0000019adf53da490a239846_1440_1920.jpg?w=640&amp;h=640", "https://si.geilicdn.com/pcitem2014204438-1cff0000019adf53da490a239846_1440_1920.jpg?w=640&amp;h=640")</f>
        <v>https://si.geilicdn.com/pcitem2014204438-1cff0000019adf53da490a239846_1440_1920.jpg?w=640&amp;h=640</v>
      </c>
      <c r="F65" t="inlineStr">
        <is>
          <t>Glasses</t>
        </is>
      </c>
      <c r="G65" t="inlineStr">
        <is>
          <t>Fake me</t>
        </is>
      </c>
      <c r="H65">
        <v>550</v>
      </c>
      <c r="I65">
        <v>79.71</v>
      </c>
      <c r="J65" t="inlineStr">
        <is>
          <t>{"id":"chatcmpl-DaALKQT8wPZhyLtcSCAsUCn6elcce","object":"chat.completion","created":1777511938,"model":"gpt-5-chat-2025-10-03","choices":[{"index":0,"message":{"role":"assistant","content":"Fake Me Black Cat Eye Blue Mirror Sunglass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65" t="inlineStr">
        <is>
          <t>Fake Me Black Cat Eye Blue Mirror Sunglasses</t>
        </is>
      </c>
      <c r="L65" t="inlineStr">
        <is>
          <t>{"id":"chatcmpl-DaABRym0Zupc9HhHKCSnQWTpLR77S","object":"chat.completion","created":1777511325,"model":"gpt-5-chat-2025-10-03","choices":[{"index":0,"message":{"role":"assistant","content":"Fake me Black Optical Sunglasses feature glossy acetate cat-eye frames with blue mirrored lenses, offering UV protection, retro Y2K street fashion style, lightweight comfort, and unisex modern design.","refusal":null,"annotations":[]},"logprobs":null,"finish_reason":"stop"}],"usage":{"prompt_tokens":926,"completion_tokens":39,"total_tokens":965,"prompt_tokens_details":{"cached_tokens":0,"audio_tokens":0},"completion_tokens_details":{"reasoning_tokens":0,"audio_tokens":0,"accepted_prediction_tokens":0,"rejected_prediction_tokens":0}},"service_tier":"default","system_fingerprint":"fp_ad66631dec"}</t>
        </is>
      </c>
      <c r="M65" t="inlineStr">
        <is>
          <t>{"alt-svc":"h3=\":443\"; ma=2592000","apim-request-id":"d80eb9f6-8157-4110-a652-34a00914ce72","azureml-model-session":"d20260402083108-57a85543","cache-control":"no-cache","connection":"close","content-length":"1008","content-type":"application/json","date":"Thu, 30 Apr 2026 01:08:47 GMT","server":"nginx","skip-error-remapping":"true","strict-transport-security":"max-age=31536000; includeSubDomains; preload","via":"1.1 Caddy","x-content-type-options":"nosniff","x-ms-client-request-id":"Not-Set","x-ms-is-spilled-over":"false","x-ms-rai-invoked":"false","x-ms-region":"East US 2","x-new-api-version":"0.4.35","x-oneapi-request-id":"202604300108444473813848268d9d6EiKhTDm8","x-ratelimit-abusepenalty-active":"False","x-ratelimit-key":"gpt-5-chat-global","x-ratelimit-limit-requests":"1000","x-ratelimit-limit-tokens":"1000000","x-ratelimit-remaining-requests":"999","x-ratelimit-remaining-tokens":"994819","x-ratelimit-renewalperiod-requests":"60","x-ratelimit-renewalperiod-tokens":"60","x-ratelimit-reset-requests":"72","x-ratelimit-reset-tokens":"310","x-request-id":"b061275d-6c40-4756-b4b1-663a43ec55a8"}</t>
        </is>
      </c>
      <c r="N65" t="inlineStr">
        <is>
          <t>Fake me Black Optical Sunglasses feature glossy acetate cat-eye frames with blue mirrored lenses, offering UV protection, retro Y2K street fashion style, lightweight comfort, and unisex modern design.</t>
        </is>
      </c>
      <c r="O65" t="inlineStr">
        <is>
          <t>{"id":"chatcmpl-DaARzmFkd76oNgbAGQ05lmgWbniho","object":"chat.completion","created":1777512351,"model":"gpt-5-chat-2025-10-03","choices":[{"index":0,"message":{"role":"assistant","content":"Fakeme,glasses,kakobuy,kakebuy2026,kekobuysheet,kakobuysheet2026,2026kakobuy,kakobuyspreadsh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65" t="inlineStr">
        <is>
          <t>Fakeme,glasses,kakobuy,kakebuy2026,kekobuysheet,kakobuysheet2026,2026kakobuy,kakobuyspreadsheet,kakobuylink,kakebuylist,Kakobuy MEGA Spreadsheet,kakobuysheetfind,kakobuysheetfind2026,2026kakobuysheetfind,kakobuysheet2026</t>
        </is>
      </c>
      <c r="Q65" t="inlineStr">
        <is>
          <t>Acetate Fiber, Retro, Streetwear, Unisex, Anti-Ultraviolet, Lightweight</t>
        </is>
      </c>
      <c r="R65" t="inlineStr">
        <is>
          <t>recvhju1CrtYX9</t>
        </is>
      </c>
      <c r="S65" t="inlineStr">
        <is>
          <t>fake-me-black-cat-eye-blue-mirror-sunglasses-recvhju1crtYX9</t>
        </is>
      </c>
      <c r="T65"/>
      <c r="U65"/>
      <c r="V65"/>
      <c r="W65" t="inlineStr">
        <is>
          <t>{"id":"chatcmpl-Da9pJTogolAvUKAEdYlPYIsBJQxbR","object":"chat.completion","created":1777509953,"model":"gpt-5-chat-2025-10-03","choices":[{"index":0,"message":{"role":"assistant","content":"Fake me：黑色光学太阳镜，镜框采用高亮醋酸纤维材质，搭配蓝色镀膜镜片，复古猫眼造型勾勒摩登线条。轻盈耐磨设计，男女皆宜，灵感源自千禧年代街头时尚，兼具防紫外线与造型功能，展现独立个性与先锋美学。","refusal":null,"annotations":[]},"logprobs":null,"finish_reason":"stop"}],"usage":{"prompt_tokens":1298,"completion_tokens":93,"total_tokens":1391,"prompt_tokens_details":{"cached_tokens":0,"audio_tokens":0},"completion_tokens_details":{"reasoning_tokens":0,"audio_tokens":0,"accepted_prediction_tokens":0,"rejected_prediction_tokens":0}},"service_tier":"default","system_fingerprint":"fp_ad66631dec"}</t>
        </is>
      </c>
      <c r="X65" t="inlineStr">
        <is>
          <t>Fake me：黑色光学太阳镜，镜框采用高亮醋酸纤维材质，搭配蓝色镀膜镜片，复古猫眼造型勾勒摩登线条。轻盈耐磨设计，男女皆宜，灵感源自千禧年代街头时尚，兼具防紫外线与造型功能，展现独立个性与先锋美学。</t>
        </is>
      </c>
    </row>
    <row r="66" ht="25.5" customHeight="1">
      <c r="A66">
        <v>1654975475</v>
      </c>
      <c r="B66">
        <v>7623212525</v>
      </c>
      <c r="C66" s="2" t="str">
        <f>=HYPERLINK("https://weidian.com/item.html?itemID=7623212525", "https://weidian.com/item.html?itemID=7623212525")</f>
        <v>https://weidian.com/item.html?itemID=7623212525</v>
      </c>
      <c r="D66"/>
      <c r="E66" s="2" t="str">
        <f>=HYPERLINK("https://si.geilicdn.com/pcitem2014204438-28510000019adf4e2dcf0a210256_1074_1074.jpg?w=640&amp;h=640", "https://si.geilicdn.com/pcitem2014204438-28510000019adf4e2dcf0a210256_1074_1074.jpg?w=640&amp;h=640")</f>
        <v>https://si.geilicdn.com/pcitem2014204438-28510000019adf4e2dcf0a210256_1074_1074.jpg?w=640&amp;h=640</v>
      </c>
      <c r="F66" t="inlineStr">
        <is>
          <t>Glasses</t>
        </is>
      </c>
      <c r="G66" t="inlineStr">
        <is>
          <t>Prada</t>
        </is>
      </c>
      <c r="H66">
        <v>360</v>
      </c>
      <c r="I66">
        <v>52.17</v>
      </c>
      <c r="J66" t="inlineStr">
        <is>
          <t>{"id":"chatcmpl-DaAFVOxD7Hi7uS7YAbpw6REK9ObbI","object":"chat.completion","created":1777511577,"model":"gpt-5-chat-2025-10-03","choices":[{"index":0,"message":{"role":"assistant","content":"Prada Black Blue Square Acetate Optical Glasse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fd471178c5"}</t>
        </is>
      </c>
      <c r="K66" t="inlineStr">
        <is>
          <t>Prada Black Blue Square Acetate Optical Glasses</t>
        </is>
      </c>
      <c r="L66" t="inlineStr">
        <is>
          <t>{"id":"chatcmpl-DaA5DPx4BxOWO0k4zd7aGDpNqzo8J","object":"chat.completion","created":1777510939,"model":"gpt-5-chat-2025-10-03","choices":[{"index":0,"message":{"role":"assistant","content":"Prada Black-Blue Gradient Square Optical Glasses, premium acetate frame with iconic logo detail, modern minimalist design for urban style, unisex eyewear ideal for daily and business wear.","refusal":null,"annotations":[]},"logprobs":null,"finish_reason":"stop"}],"usage":{"prompt_tokens":895,"completion_tokens":38,"total_tokens":933,"prompt_tokens_details":{"cached_tokens":0,"audio_tokens":0},"completion_tokens_details":{"reasoning_tokens":0,"audio_tokens":0,"accepted_prediction_tokens":0,"rejected_prediction_tokens":0}},"service_tier":"default","system_fingerprint":"fp_fd471178c5"}</t>
        </is>
      </c>
      <c r="M66" t="inlineStr">
        <is>
          <t>{"alt-svc":"h3=\":443\"; ma=2592000","apim-request-id":"9c6caa9c-1209-48c3-98be-563fb30f5c1d","azureml-model-session":"d20260428174121-807d9cc5","cache-control":"no-cache","connection":"close","content-length":"996","content-type":"application/json","date":"Thu, 30 Apr 2026 01:02:20 GMT","server":"nginx","skip-error-remapping":"true","strict-transport-security":"max-age=31536000; includeSubDomains; preload","via":"1.1 Caddy","x-content-type-options":"nosniff","x-ms-client-request-id":"Not-Set","x-ms-is-spilled-over":"false","x-ms-rai-invoked":"false","x-ms-region":"North Central US","x-new-api-version":"0.4.35","x-oneapi-request-id":"202604300102188064002188268d9d6VPGPnBMQ","x-ratelimit-abusepenalty-active":"False","x-ratelimit-key":"gpt-5-chat-global","x-ratelimit-limit-requests":"1000","x-ratelimit-limit-tokens":"1000000","x-ratelimit-remaining-requests":"999","x-ratelimit-remaining-tokens":"997831","x-ratelimit-renewalperiod-requests":"60","x-ratelimit-renewalperiod-tokens":"60","x-ratelimit-reset-requests":"60","x-ratelimit-reset-tokens":"130","x-request-id":"0b0122fe-c3bb-4c3d-a393-e7c82d46f384"}</t>
        </is>
      </c>
      <c r="N66" t="inlineStr">
        <is>
          <t>Prada Black-Blue Gradient Square Optical Glasses, premium acetate frame with iconic logo detail, modern minimalist design for urban style, unisex eyewear ideal for daily and business wear.</t>
        </is>
      </c>
      <c r="O66" t="inlineStr">
        <is>
          <t>{"id":"chatcmpl-DaAUtWJwxV19yYCS2lCr1gYERYjpz","object":"chat.completion","created":1777512531,"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66" t="inlineStr">
        <is>
          <t>Prada,Glasses,kakobuy,kakebuy2026,kekobuysheet,kakobuysheet2026,2026kakobuy,kakobuyspreadsheeet,kakobuylink,kakebuylist,Kakobuy MEGA Spreadsheet,kakobuysheetfind,kakobuysheetfind2026,2026kakobuysheetfind,kakobuysheet2026</t>
        </is>
      </c>
      <c r="Q66" t="inlineStr">
        <is>
          <t>Black Blue, Gradient, Modern, Minimalist, Unisex, Acetate Fiber</t>
        </is>
      </c>
      <c r="R66" t="inlineStr">
        <is>
          <t>recvhju1Crf5VJ</t>
        </is>
      </c>
      <c r="S66" t="inlineStr">
        <is>
          <t>prada-black-blue-square-acetate-optical-glasses-recvhju1crf5vj</t>
        </is>
      </c>
      <c r="T66"/>
      <c r="U66"/>
      <c r="V66"/>
      <c r="W66" t="inlineStr">
        <is>
          <t>{"id":"chatcmpl-Da9ud9jComAt8c4Z4L94n4i7WmRSN","object":"chat.completion","created":1777510283,"model":"gpt-5-chat-2025-10-03","choices":[{"index":0,"message":{"role":"assistant","content":"Prada：黑蓝渐变方框光学眼镜，精选醋酸纤维材质，镜脚点缀品牌经典标识，简约现代设计，彰显都市格调，男女通用款，适合日常与商务佩戴。","refusal":null,"annotations":[]},"logprobs":null,"finish_reason":"stop"}],"usage":{"prompt_tokens":1302,"completion_tokens":61,"total_tokens":1363,"prompt_tokens_details":{"cached_tokens":0,"audio_tokens":0},"completion_tokens_details":{"reasoning_tokens":0,"audio_tokens":0,"accepted_prediction_tokens":0,"rejected_prediction_tokens":0}},"service_tier":"default","system_fingerprint":"fp_fd471178c5"}</t>
        </is>
      </c>
      <c r="X66" t="inlineStr">
        <is>
          <t>Prada：黑蓝渐变方框光学眼镜，精选醋酸纤维材质，镜脚点缀品牌经典标识，简约现代设计，彰显都市格调，男女通用款，适合日常与商务佩戴。</t>
        </is>
      </c>
    </row>
    <row r="67" ht="25.5" customHeight="1">
      <c r="A67">
        <v>1654975475</v>
      </c>
      <c r="B67">
        <v>7626192976</v>
      </c>
      <c r="C67" s="2" t="str">
        <f>=HYPERLINK("https://weidian.com/item.html?itemID=7626192976", "https://weidian.com/item.html?itemID=7626192976")</f>
        <v>https://weidian.com/item.html?itemID=7626192976</v>
      </c>
      <c r="D67"/>
      <c r="E67" s="2" t="str">
        <f>=HYPERLINK("https://si.geilicdn.com/pcitem2014204438-7d3c0000019adf45a06e0a20e2c5_1074_1074.jpg?w=640&amp;h=640", "https://si.geilicdn.com/pcitem2014204438-7d3c0000019adf45a06e0a20e2c5_1074_1074.jpg?w=640&amp;h=640")</f>
        <v>https://si.geilicdn.com/pcitem2014204438-7d3c0000019adf45a06e0a20e2c5_1074_1074.jpg?w=640&amp;h=640</v>
      </c>
      <c r="F67" t="inlineStr">
        <is>
          <t>Glasses</t>
        </is>
      </c>
      <c r="G67" t="inlineStr">
        <is>
          <t>Burberry</t>
        </is>
      </c>
      <c r="H67">
        <v>370</v>
      </c>
      <c r="I67">
        <v>53.62</v>
      </c>
      <c r="J67" t="inlineStr">
        <is>
          <t>{"id":"chatcmpl-DaAG1nPDdkV8j2jLIz8iOpwPXKs50","object":"chat.completion","created":1777511609,"model":"gpt-5-chat-2025-10-03","choices":[{"index":0,"message":{"role":"assistant","content":"Burberry Classic Check Black Square Unisex Sunglasses","refusal":null,"annotations":[]},"logprobs":null,"finish_reason":"stop"}],"usage":{"prompt_tokens":864,"completion_tokens":11,"total_tokens":875,"prompt_tokens_details":{"cached_tokens":0,"audio_tokens":0},"completion_tokens_details":{"reasoning_tokens":0,"audio_tokens":0,"accepted_prediction_tokens":0,"rejected_prediction_tokens":0}},"service_tier":"default","system_fingerprint":"fp_ad66631dec"}</t>
        </is>
      </c>
      <c r="K67" t="inlineStr">
        <is>
          <t>Burberry Classic Check Black Square Unisex Sunglasses</t>
        </is>
      </c>
      <c r="L67" t="inlineStr">
        <is>
          <t>{"id":"chatcmpl-DaAALfYVT268PFNxoVGVMP7NGrEqW","object":"chat.completion","created":1777511257,"model":"gpt-5-chat-2025-10-03","choices":[{"index":0,"message":{"role":"assistant","content":"Burberry Classic Check Black Square Sunglasses, premium acetate frame with signature British check temples, unisex elegant design, timeless modern style and refined craftsmanship.","refusal":null,"annotations":[]},"logprobs":null,"finish_reason":"stop"}],"usage":{"prompt_tokens":908,"completion_tokens":31,"total_tokens":939,"prompt_tokens_details":{"cached_tokens":0,"audio_tokens":0},"completion_tokens_details":{"reasoning_tokens":0,"audio_tokens":0,"accepted_prediction_tokens":0,"rejected_prediction_tokens":0}},"service_tier":"default","system_fingerprint":"fp_fd471178c5"}</t>
        </is>
      </c>
      <c r="M67" t="inlineStr">
        <is>
          <t>{"alt-svc":"h3=\":443\"; ma=2592000","apim-request-id":"7a68257b-9e22-409d-88ef-cc0cc8394a27","azureml-model-session":"d20260428174121-807d9cc5","cache-control":"no-cache","connection":"close","content-length":"987","content-type":"application/json","date":"Thu, 30 Apr 2026 01:07:38 GMT","server":"Caddy","skip-error-remapping":"true","strict-transport-security":"max-age=31536000; includeSubDomains; preload","x-content-type-options":"nosniff","x-ms-client-request-id":"Not-Set","x-ms-is-spilled-over":"false","x-ms-rai-invoked":"false","x-ms-region":"North Central US","x-new-api-version":"0.4.35","x-oneapi-request-id":"202604300107371815534308268d9d6VZwPrjew","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fb6f7fe2-963a-4d0e-bf70-f7f2cc9a2c94"}</t>
        </is>
      </c>
      <c r="N67" t="inlineStr">
        <is>
          <t>Burberry Classic Check Black Square Sunglasses, premium acetate frame with signature British check temples, unisex elegant design, timeless modern style and refined craftsmanship.</t>
        </is>
      </c>
      <c r="O67" t="inlineStr">
        <is>
          <t>{"id":"chatcmpl-DaAVdqR00ynGK6qn3d0z3dBhLL32p","object":"chat.completion","created":1777512577,"model":"gpt-5-chat-2025-10-03","choices":[{"index":0,"message":{"role":"assistant","content":"Burberry,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67" t="inlineStr">
        <is>
          <t>Burberry,Glasses,kakobuy,kakebuy2026,kekobuysheet,kakobuysheet2026,2026kakobuy,kakobuyspreadsheeet,kakobuylink,kakebuylist,Kakobuy MEGA Spreadsheet,kakobuysheetfind,kakobuysheetfind2026,2026kakobuysheetfind,kakobuysheet2026</t>
        </is>
      </c>
      <c r="Q67" t="inlineStr">
        <is>
          <t>Unisex, Elegant, Modern, Acetate Fiber, Classic</t>
        </is>
      </c>
      <c r="R67" t="inlineStr">
        <is>
          <t>recvhju1CrJrLa</t>
        </is>
      </c>
      <c r="S67" t="inlineStr">
        <is>
          <t>burberry-classic-check-black-square-sunglasses-recvhju1crjrla</t>
        </is>
      </c>
      <c r="T67"/>
      <c r="U67"/>
      <c r="V67"/>
      <c r="W67" t="inlineStr">
        <is>
          <t>{"id":"chatcmpl-Da9nmRVuSYrBoUueXoE04vUr9TV5Z","object":"chat.completion","created":1777509858,"model":"gpt-5-chat-2025-10-03","choices":[{"index":0,"message":{"role":"assistant","content":"Burberry：经典格纹系列黑色方框太阳眼镜，醋酸纤维镜架质感高级，镜腿饰标志性英伦格纹细节，简约优雅设计适合男女佩戴，彰显现代英伦时尚风格与匠心工艺。","refusal":null,"annotations":[]},"logprobs":null,"finish_reason":"stop"}],"usage":{"prompt_tokens":1312,"completion_tokens":68,"total_tokens":1380,"prompt_tokens_details":{"cached_tokens":1280,"audio_tokens":0},"completion_tokens_details":{"reasoning_tokens":0,"audio_tokens":0,"accepted_prediction_tokens":0,"rejected_prediction_tokens":0}},"service_tier":"default","system_fingerprint":"fp_ad66631dec"}</t>
        </is>
      </c>
      <c r="X67" t="inlineStr">
        <is>
          <t>Burberry：经典格纹系列黑色方框太阳眼镜，醋酸纤维镜架质感高级，镜腿饰标志性英伦格纹细节，简约优雅设计适合男女佩戴，彰显现代英伦时尚风格与匠心工艺。</t>
        </is>
      </c>
    </row>
    <row r="68" ht="25.5" customHeight="1">
      <c r="A68">
        <v>1654975475</v>
      </c>
      <c r="B68">
        <v>7626200378</v>
      </c>
      <c r="C68" s="2" t="str">
        <f>=HYPERLINK("https://weidian.com/item.html?itemID=7626200378", "https://weidian.com/item.html?itemID=7626200378")</f>
        <v>https://weidian.com/item.html?itemID=7626200378</v>
      </c>
      <c r="D68"/>
      <c r="E68" s="2" t="str">
        <f>=HYPERLINK("https://si.geilicdn.com/pcitem2014204438-2a850000019adf3c645a0a23041a_1440_1920.jpg?w=640&amp;h=640", "https://si.geilicdn.com/pcitem2014204438-2a850000019adf3c645a0a23041a_1440_1920.jpg?w=640&amp;h=640")</f>
        <v>https://si.geilicdn.com/pcitem2014204438-2a850000019adf3c645a0a23041a_1440_1920.jpg?w=640&amp;h=640</v>
      </c>
      <c r="F68" t="inlineStr">
        <is>
          <t>Glasses</t>
        </is>
      </c>
      <c r="G68" t="inlineStr">
        <is>
          <t>Dior</t>
        </is>
      </c>
      <c r="H68">
        <v>360</v>
      </c>
      <c r="I68">
        <v>52.17</v>
      </c>
      <c r="J68" t="inlineStr">
        <is>
          <t>{"id":"chatcmpl-DaAMG7WMvTYbM7QUMlAJM9KGrbGM2","object":"chat.completion","created":1777511996,"model":"gpt-5-chat-2025-10-03","choices":[{"index":0,"message":{"role":"assistant","content":"Dior Black Cat Eye Sunglasses UV Protection Vintage Style","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68" t="inlineStr">
        <is>
          <t>Dior Black Cat Eye Sunglasses UV Protection Vintage Style</t>
        </is>
      </c>
      <c r="L68" t="inlineStr">
        <is>
          <t>{"id":"chatcmpl-DaA63iiyOnhUoZiKBrLOMt4pqx2d8","object":"chat.completion","created":1777510991,"model":"gpt-5-chat-2025-10-03","choices":[{"index":0,"message":{"role":"assistant","content":"Dior Black Cat-Eye Sunglasses feature glossy acetate frames with golden star details, vintage-modern design, UV protection lenses, perfect for chic urban men and women all seasons.","refusal":null,"annotations":[]},"logprobs":null,"finish_reason":"stop"}],"usage":{"prompt_tokens":915,"completion_tokens":36,"total_tokens":951,"prompt_tokens_details":{"cached_tokens":0,"audio_tokens":0},"completion_tokens_details":{"reasoning_tokens":0,"audio_tokens":0,"accepted_prediction_tokens":0,"rejected_prediction_tokens":0}},"service_tier":"default","system_fingerprint":"fp_ad66631dec"}</t>
        </is>
      </c>
      <c r="M68" t="inlineStr">
        <is>
          <t>{"alt-svc":"h3=\":443\"; ma=2592000","apim-request-id":"a36ce00d-60b1-4704-a21c-2404c2e203d2","azureml-model-session":"d20260402075109-1fc5a0ec","cache-control":"no-cache","connection":"close","content-length":"988","content-type":"application/json","date":"Thu, 30 Apr 2026 01:03:11 GMT","server":"Caddy","skip-error-remapping":"true","strict-transport-security":"max-age=31536000; includeSubDomains; preload","x-content-type-options":"nosniff","x-ms-client-request-id":"Not-Set","x-ms-is-spilled-over":"false","x-ms-rai-invoked":"false","x-ms-region":"East US 2","x-new-api-version":"0.4.35","x-oneapi-request-id":"20260430010310657991858268d9d6iV4iFMRh","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ac87f852-873c-4e6d-86f6-8cb5f7a9de11"}</t>
        </is>
      </c>
      <c r="N68" t="inlineStr">
        <is>
          <t>Dior Black Cat-Eye Sunglasses feature glossy acetate frames with golden star details, vintage-modern design, UV protection lenses, perfect for chic urban men and women all seasons.</t>
        </is>
      </c>
      <c r="O68" t="inlineStr">
        <is>
          <t>{"id":"chatcmpl-DaATM1nHLiahmEpDtfRRj0Yg2pcCv","object":"chat.completion","created":1777512436,"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68" t="inlineStr">
        <is>
          <t>Dior,Glasses,kakobuy,kakebuy2026,kekobuysheet,kakobuysheet2026,2026kakobuy,kakobuyspreadsheeet,kakobuylink,kakebuylist,Kakobuy MEGA Spreadsheet,kakobuysheetfind,kakobuysheetfind2026,2026kakobuysheetfind,kakobuysheet2026</t>
        </is>
      </c>
      <c r="Q68" t="inlineStr">
        <is>
          <t>Dior, Acetate Fiber, Gold, Vintage, All Seasons, Men's And Women's</t>
        </is>
      </c>
      <c r="R68" t="inlineStr">
        <is>
          <t>recvhju1CrLs7t</t>
        </is>
      </c>
      <c r="S68" t="inlineStr">
        <is>
          <t>dior-black-cat-eye-sunglasses-vintage-recvhju1crls7t</t>
        </is>
      </c>
      <c r="T68"/>
      <c r="U68"/>
      <c r="V68"/>
      <c r="W68" t="inlineStr">
        <is>
          <t>{"id":"chatcmpl-Da9rk0wCH254VtEGiEircQ1lR4T6F","object":"chat.completion","created":1777510104,"model":"gpt-5-chat-2025-10-03","choices":[{"index":0,"message":{"role":"assistant","content":"Dior：黑色猫眼太阳眼镜，精选高亮醋酸纤维材质，镜角镶嵌金色星辰图腾，复古优雅线条融合现代设计感，彰显女性摩登魅力，防紫外线镜片呵护双眼，适合都市时尚男女四季佩戴。","refusal":null,"annotations":[]},"logprobs":null,"finish_reason":"stop"}],"usage":{"prompt_tokens":1304,"completion_tokens":79,"total_tokens":1383,"prompt_tokens_details":{"cached_tokens":0,"audio_tokens":0},"completion_tokens_details":{"reasoning_tokens":0,"audio_tokens":0,"accepted_prediction_tokens":0,"rejected_prediction_tokens":0}},"service_tier":"default","system_fingerprint":"fp_ad66631dec"}</t>
        </is>
      </c>
      <c r="X68" t="inlineStr">
        <is>
          <t>Dior：黑色猫眼太阳眼镜，精选高亮醋酸纤维材质，镜角镶嵌金色星辰图腾，复古优雅线条融合现代设计感，彰显女性摩登魅力，防紫外线镜片呵护双眼，适合都市时尚男女四季佩戴。</t>
        </is>
      </c>
    </row>
    <row r="69" ht="25.5" customHeight="1">
      <c r="A69">
        <v>1654975475</v>
      </c>
      <c r="B69">
        <v>7626235978</v>
      </c>
      <c r="C69" s="2" t="str">
        <f>=HYPERLINK("https://weidian.com/item.html?itemID=7626235978", "https://weidian.com/item.html?itemID=7626235978")</f>
        <v>https://weidian.com/item.html?itemID=7626235978</v>
      </c>
      <c r="D69"/>
      <c r="E69" s="2" t="str">
        <f>=HYPERLINK("https://si.geilicdn.com/pcitem2014204438-116f0000019adf38e0250a239646_1440_1920.jpg?w=640&amp;h=640", "https://si.geilicdn.com/pcitem2014204438-116f0000019adf38e0250a239646_1440_1920.jpg?w=640&amp;h=640")</f>
        <v>https://si.geilicdn.com/pcitem2014204438-116f0000019adf38e0250a239646_1440_1920.jpg?w=640&amp;h=640</v>
      </c>
      <c r="F69" t="inlineStr">
        <is>
          <t>Glasses</t>
        </is>
      </c>
      <c r="G69" t="inlineStr">
        <is>
          <t>Louis Vuitton</t>
        </is>
      </c>
      <c r="H69">
        <v>360</v>
      </c>
      <c r="I69">
        <v>52.17</v>
      </c>
      <c r="J69" t="inlineStr">
        <is>
          <t>{"id":"chatcmpl-DaAFpQHptzvucwtqzGBmTgth0gAo8","object":"chat.completion","created":1777511597,"model":"gpt-5-chat-2025-10-03","choices":[{"index":0,"message":{"role":"assistant","content":"Louis Vuitton White Oversized Unisex Resin Sunglasses","refusal":null,"annotations":[]},"logprobs":null,"finish_reason":"stop"}],"usage":{"prompt_tokens":862,"completion_tokens":11,"total_tokens":873,"prompt_tokens_details":{"cached_tokens":0,"audio_tokens":0},"completion_tokens_details":{"reasoning_tokens":0,"audio_tokens":0,"accepted_prediction_tokens":0,"rejected_prediction_tokens":0}},"service_tier":"default","system_fingerprint":"fp_ad66631dec"}</t>
        </is>
      </c>
      <c r="K69" t="inlineStr">
        <is>
          <t>Louis Vuitton White Oversized Unisex Resin Sunglasses</t>
        </is>
      </c>
      <c r="L69" t="inlineStr">
        <is>
          <t>{"id":"chatcmpl-DaADcwkYiOikpuHwv146Ti0e9uTbc","object":"chat.completion","created":1777511460,"model":"gpt-5-chat-2025-10-03","choices":[{"index":0,"message":{"role":"assistant","content":"Louis Vuitton white oversized sunglasses crafted from lightweight resin, featuring engraved LV logo lenses for a minimalist luxury look. Unisex design for modern urban elegance.","refusal":null,"annotations":[]},"logprobs":null,"finish_reason":"stop"}],"usage":{"prompt_tokens":889,"completion_tokens":30,"total_tokens":919,"prompt_tokens_details":{"cached_tokens":0,"audio_tokens":0},"completion_tokens_details":{"reasoning_tokens":0,"audio_tokens":0,"accepted_prediction_tokens":0,"rejected_prediction_tokens":0}},"service_tier":"default","system_fingerprint":"fp_fd471178c5"}</t>
        </is>
      </c>
      <c r="M69" t="inlineStr">
        <is>
          <t>{"alt-svc":"h3=\":443\"; ma=2592000","apim-request-id":"407687ff-36f6-4bea-be24-023e181c3062","azureml-model-session":"d20260428205641-55ca9797","cache-control":"no-cache","connection":"close","content-length":"985","content-type":"application/json","date":"Thu, 30 Apr 2026 01:11:01 GMT","server":"Caddy","skip-error-remapping":"true","strict-transport-security":"max-age=31536000; includeSubDomains; preload","x-content-type-options":"nosniff","x-ms-client-request-id":"Not-Set","x-ms-is-spilled-over":"false","x-ms-rai-invoked":"false","x-ms-region":"East US 2","x-new-api-version":"0.4.35","x-oneapi-request-id":"202604300110593935809618268d9d61mhafxcm","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8a1ef86a-5155-4dc0-907f-84f1004f4da2"}</t>
        </is>
      </c>
      <c r="N69" t="inlineStr">
        <is>
          <t>Louis Vuitton white oversized sunglasses crafted from lightweight resin, featuring engraved LV logo lenses for a minimalist luxury look. Unisex design for modern urban elegance.</t>
        </is>
      </c>
      <c r="O69" t="inlineStr">
        <is>
          <t>{"id":"chatcmpl-DaAQqMyvkKMbpXjGarjoKoysdepbY","object":"chat.completion","created":1777512280,"model":"gpt-5-chat-2025-10-03","choices":[{"index":0,"message":{"role":"assistant","content":"Louis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69" t="inlineStr">
        <is>
          <t>Louis Vuitton, Glasses, kakobuy, kakebuy2026, kekobuysheet, kakobuysheet2026, 2026kakobuy, kakobuyspreadsheeet, kakobuylink, kakebuylist, Kakobuy MEGA Spreadsheet, kakobuysheetfind, kakobuysheetfind2026, 2026kakobuysheetfind, kakobuysheet2026</t>
        </is>
      </c>
      <c r="Q69" t="inlineStr">
        <is>
          <t>LV, White, Minimalist, Unisex, Modern</t>
        </is>
      </c>
      <c r="R69" t="inlineStr">
        <is>
          <t>recvhju1Crtx0c</t>
        </is>
      </c>
      <c r="S69" t="inlineStr">
        <is>
          <t>louis-vuitton-white-oversized-resin-sunglasses-recvhju1crtx0c</t>
        </is>
      </c>
      <c r="T69"/>
      <c r="U69"/>
      <c r="V69"/>
      <c r="W69" t="inlineStr">
        <is>
          <t>{"id":"chatcmpl-Da9swkoaA8xldN28KOD1Uy9gtAzzN","object":"chat.completion","created":1777510178,"model":"gpt-5-chat-2025-10-03","choices":[{"index":0,"message":{"role":"assistant","content":"Louis Vuitton：白色大框太阳眼镜，以轻盈树脂材质打造，镜片嵌LV标志雕刻，展现极简奢华设计风格。男女皆宜，彰显现代都市优雅品味。","refusal":null,"annotations":[]},"logprobs":null,"finish_reason":"stop"}],"usage":{"prompt_tokens":1300,"completion_tokens":55,"total_tokens":1355,"prompt_tokens_details":{"cached_tokens":0,"audio_tokens":0},"completion_tokens_details":{"reasoning_tokens":0,"audio_tokens":0,"accepted_prediction_tokens":0,"rejected_prediction_tokens":0}},"service_tier":"default","system_fingerprint":"fp_fd471178c5"}</t>
        </is>
      </c>
      <c r="X69" t="inlineStr">
        <is>
          <t>Louis Vuitton：白色大框太阳眼镜，以轻盈树脂材质打造，镜片嵌LV标志雕刻，展现极简奢华设计风格。男女皆宜，彰显现代都市优雅品味。</t>
        </is>
      </c>
    </row>
    <row r="70" ht="25.5" customHeight="1">
      <c r="A70">
        <v>1654975475</v>
      </c>
      <c r="B70">
        <v>7626096400</v>
      </c>
      <c r="C70" s="2" t="str">
        <f>=HYPERLINK("https://weidian.com/item.html?itemID=7626096400", "https://weidian.com/item.html?itemID=7626096400")</f>
        <v>https://weidian.com/item.html?itemID=7626096400</v>
      </c>
      <c r="D70"/>
      <c r="E70" s="2" t="str">
        <f>=HYPERLINK("https://si.geilicdn.com/pcitem2014204438-0b9f0000019adf2930e70a231177_1440_1920.jpg?w=640&amp;h=640", "https://si.geilicdn.com/pcitem2014204438-0b9f0000019adf2930e70a231177_1440_1920.jpg?w=640&amp;h=640")</f>
        <v>https://si.geilicdn.com/pcitem2014204438-0b9f0000019adf2930e70a231177_1440_1920.jpg?w=640&amp;h=640</v>
      </c>
      <c r="F70" t="inlineStr">
        <is>
          <t>Glasses</t>
        </is>
      </c>
      <c r="G70" t="inlineStr">
        <is>
          <t>Gucci</t>
        </is>
      </c>
      <c r="H70">
        <v>420</v>
      </c>
      <c r="I70">
        <v>60.87</v>
      </c>
      <c r="J70" t="inlineStr">
        <is>
          <t>{"id":"chatcmpl-DaAJvgHUrRdNrWg8NTYvkRC06qr8L","object":"chat.completion","created":1777511851,"model":"gpt-5-chat-2025-10-03","choices":[{"index":0,"message":{"role":"assistant","content":"Gucci Classic Silver Gray Aviator Polarized Sunglasse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70" t="inlineStr">
        <is>
          <t>Gucci Classic Silver Gray Aviator Polarized Sunglasses</t>
        </is>
      </c>
      <c r="L70" t="inlineStr">
        <is>
          <t>{"id":"chatcmpl-DaA9xxCbYtL67qsIUrgVFhczRbl0j","object":"chat.completion","created":1777511233,"model":"gpt-5-chat-2025-10-03","choices":[{"index":0,"message":{"role":"assistant","content":"Gucci Classic Silver-Gray Aviator Sunglasses feature lightweight metal frames, polarized lenses, and sleek lines for a luxurious unisex style blending modern urban vibes with vintage elegance.","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70" t="inlineStr">
        <is>
          <t>{"alt-svc":"h3=\":443\"; ma=2592000","apim-request-id":"35f410d9-b8bc-40d8-a212-b42efbf96bff","azureml-model-session":"d20260402075109-1fc5a0ec","cache-control":"no-cache","connection":"close","content-length":"1000","content-type":"application/json","date":"Thu, 30 Apr 2026 01:07:15 GMT","server":"nginx","skip-error-remapping":"true","strict-transport-security":"max-age=31536000; includeSubDomains; preload","via":"1.1 Caddy","x-content-type-options":"nosniff","x-ms-client-request-id":"Not-Set","x-ms-is-spilled-over":"false","x-ms-rai-invoked":"false","x-ms-region":"Poland Central","x-new-api-version":"0.4.35","x-oneapi-request-id":"202604300107128842043788268d9d6cWC7zhUF","x-ratelimit-abusepenalty-active":"False","x-ratelimit-key":"gpt-5-chat-global","x-ratelimit-limit-requests":"1000","x-ratelimit-limit-tokens":"1000000","x-ratelimit-remaining-requests":"998","x-ratelimit-remaining-tokens":"997200","x-ratelimit-renewalperiod-requests":"60","x-ratelimit-renewalperiod-tokens":"60","x-ratelimit-reset-requests":"105","x-ratelimit-reset-tokens":"168","x-request-id":"ad627dcf-2e33-4c9c-81dd-9a9bcdf04b36"}</t>
        </is>
      </c>
      <c r="N70" t="inlineStr">
        <is>
          <t>Gucci Classic Silver-Gray Aviator Sunglasses feature lightweight metal frames, polarized lenses, and sleek lines for a luxurious unisex style blending modern urban vibes with vintage elegance.</t>
        </is>
      </c>
      <c r="O70" t="inlineStr">
        <is>
          <t>{"id":"chatcmpl-DaAR7SiLW9bouZ3XQZGyj0rnceErX","object":"chat.completion","created":1777512297,"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70" t="inlineStr">
        <is>
          <t>Gucci,Glasses,kakobuy,kakebuy2026,kekobuysheet,kakobuysheet2026,2026kakobuy,kakobuyspreadsheeet,kakobuylink,kakebuylist,Kakobuy MEGA Spreadsheet,kakobuysheetfind,kakobuysheetfind2026,2026kakobuysheetfind,kakobuysheet2026</t>
        </is>
      </c>
      <c r="Q70" t="inlineStr">
        <is>
          <t>Silver, Grey, Sleek, Modern, Vintage, Unisex</t>
        </is>
      </c>
      <c r="R70" t="inlineStr">
        <is>
          <t>recvhju1CrtG9s</t>
        </is>
      </c>
      <c r="S70" t="inlineStr">
        <is>
          <t>gucci-silver-gray-aviator-polarized-sunglasses-recvhju1crtg9s</t>
        </is>
      </c>
      <c r="T70"/>
      <c r="U70"/>
      <c r="V70"/>
      <c r="W70" t="inlineStr">
        <is>
          <t>{"id":"chatcmpl-Da9tntwkZlISPATGnTKthyiTAFYbt","object":"chat.completion","created":1777510231,"model":"gpt-5-chat-2025-10-03","choices":[{"index":0,"message":{"role":"assistant","content":"Gucci：经典银灰色飞行员墨镜，轻盈金属镜架搭配偏光镜片，简约线条彰显奢华格调，男女皆宜，融合现代都市与复古时尚气息，展现自由与自信魅力。","refusal":null,"annotations":[]},"logprobs":null,"finish_reason":"stop"}],"usage":{"prompt_tokens":1304,"completion_tokens":63,"total_tokens":1367,"prompt_tokens_details":{"cached_tokens":0,"audio_tokens":0},"completion_tokens_details":{"reasoning_tokens":0,"audio_tokens":0,"accepted_prediction_tokens":0,"rejected_prediction_tokens":0}},"service_tier":"default","system_fingerprint":"fp_ad66631dec"}</t>
        </is>
      </c>
      <c r="X70" t="inlineStr">
        <is>
          <t>Gucci：经典银灰色飞行员墨镜，轻盈金属镜架搭配偏光镜片，简约线条彰显奢华格调，男女皆宜，融合现代都市与复古时尚气息，展现自由与自信魅力。</t>
        </is>
      </c>
    </row>
    <row r="71" ht="25.5" customHeight="1">
      <c r="A71">
        <v>1654975475</v>
      </c>
      <c r="B71">
        <v>7623267621</v>
      </c>
      <c r="C71" s="2" t="str">
        <f>=HYPERLINK("https://weidian.com/item.html?itemID=7623267621", "https://weidian.com/item.html?itemID=7623267621")</f>
        <v>https://weidian.com/item.html?itemID=7623267621</v>
      </c>
      <c r="D71"/>
      <c r="E71" s="2" t="str">
        <f>=HYPERLINK("https://si.geilicdn.com/pcitem2014204438-3f4e0000019adf1f1e360a2103bd_1440_1920.jpg?w=640&amp;h=640", "https://si.geilicdn.com/pcitem2014204438-3f4e0000019adf1f1e360a2103bd_1440_1920.jpg?w=640&amp;h=640")</f>
        <v>https://si.geilicdn.com/pcitem2014204438-3f4e0000019adf1f1e360a2103bd_1440_1920.jpg?w=640&amp;h=640</v>
      </c>
      <c r="F71" t="inlineStr">
        <is>
          <t>Glasses</t>
        </is>
      </c>
      <c r="G71" t="inlineStr">
        <is>
          <t>Gucci</t>
        </is>
      </c>
      <c r="H71">
        <v>370</v>
      </c>
      <c r="I71">
        <v>53.62</v>
      </c>
      <c r="J71" t="inlineStr">
        <is>
          <t>{"id":"chatcmpl-DaALN297aqqreIGodUEVx3FfY9zSv","object":"chat.completion","created":1777511941,"model":"gpt-5-chat-2025-10-03","choices":[{"index":0,"message":{"role":"assistant","content":"Gucci Black Square Oversized UV Protection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71" t="inlineStr">
        <is>
          <t>Gucci Black Square Oversized UV Protection Sunglasses</t>
        </is>
      </c>
      <c r="L71" t="inlineStr">
        <is>
          <t>{"id":"chatcmpl-DaA9PhCpeonzltLradcWpil42yygB","object":"chat.completion","created":1777511199,"model":"gpt-5-chat-2025-10-03","choices":[{"index":0,"message":{"role":"assistant","content":"Gucci Black Square Sunglasses – crafted from lightweight premium resin, UV-protection lenses, minimalist oversized design for men and women, merging retro charm and modern edge with Italian luxury style.","refusal":null,"annotations":[]},"logprobs":null,"finish_reason":"stop"}],"usage":{"prompt_tokens":904,"completion_tokens":38,"total_tokens":942,"prompt_tokens_details":{"cached_tokens":0,"audio_tokens":0},"completion_tokens_details":{"reasoning_tokens":0,"audio_tokens":0,"accepted_prediction_tokens":0,"rejected_prediction_tokens":0}},"service_tier":"default","system_fingerprint":"fp_fd471178c5"}</t>
        </is>
      </c>
      <c r="M71" t="inlineStr">
        <is>
          <t>{"alt-svc":"h3=\":443\"; ma=2592000","apim-request-id":"2e214a86-0bdb-4cd8-9778-1ba25f5336df","azureml-model-session":"d20260428205641-55ca9797","cache-control":"no-cache","connection":"close","content-length":"1013","content-type":"application/json","date":"Thu, 30 Apr 2026 01:06:40 GMT","server":"Caddy","skip-error-remapping":"true","strict-transport-security":"max-age=31536000; includeSubDomains; preload","x-content-type-options":"nosniff","x-ms-client-request-id":"Not-Set","x-ms-is-spilled-over":"false","x-ms-rai-invoked":"false","x-ms-region":"Poland Central","x-new-api-version":"0.4.35","x-oneapi-request-id":"202604300106381933742488268d9d60VTNdE6O","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a5e9eb6b-270c-423e-87ee-3329badff8b5"}</t>
        </is>
      </c>
      <c r="N71" t="inlineStr">
        <is>
          <t>Gucci Black Square Sunglasses – crafted from lightweight premium resin, UV-protection lenses, minimalist oversized design for men and women, merging retro charm and modern edge with Italian luxury style.</t>
        </is>
      </c>
      <c r="O71" t="inlineStr">
        <is>
          <t>{"id":"chatcmpl-DaAPiJuvYBXbIFA6HL2PvJgEefCXz","object":"chat.completion","created":1777512210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1" t="inlineStr">
        <is>
          <t>Gucci,Glasses,kakobuy,kakebuy2026,kekobuysheet,kakobuysheet2026,2026kakobuy,kakobuyspreadsheeet,kakobuylink,kakebuylist,Kakobuy MEGA Spreadsheet,kakobuysheetfind,kakobuysheetfind2026,2026kakobuysheetfind,kakobuysheet2026</t>
        </is>
      </c>
      <c r="Q71" t="inlineStr">
        <is>
          <t>Black, Minimalist, Retro, Unisex, Anti-Ultraviolet</t>
        </is>
      </c>
      <c r="R71" t="inlineStr">
        <is>
          <t>recvhju1CrmhVe</t>
        </is>
      </c>
      <c r="S71" t="inlineStr">
        <is>
          <t>gucci-black-square-oversized-uv-sunglasses-recvhju1crmhve</t>
        </is>
      </c>
      <c r="T71"/>
      <c r="U71"/>
      <c r="V71"/>
      <c r="W71" t="inlineStr">
        <is>
          <t>{"id":"chatcmpl-Da9npxIkdzoHgzZqrbUCSYiCAGuZj","object":"chat.completion","created":1777509861,"model":"gpt-5-chat-2025-10-03","choices":[{"index":0,"message":{"role":"assistant","content":"Gucci：黑色方框太阳眼镜，采用高质轻盈树脂材质，镜面防紫外线设计，简约大框造型彰显现代极简美学，男女皆宜，复古与前卫并存，尽显意式奢华格调。","refusal":null,"annotations":[]},"logprobs":null,"finish_reason":"stop"}],"usage":{"prompt_tokens":1308,"completion_tokens":66,"total_tokens":1374,"prompt_tokens_details":{"cached_tokens":0,"audio_tokens":0},"completion_tokens_details":{"reasoning_tokens":0,"audio_tokens":0,"accepted_prediction_tokens":0,"rejected_prediction_tokens":0}},"service_tier":"default","system_fingerprint":"fp_ad66631dec"}</t>
        </is>
      </c>
      <c r="X71" t="inlineStr">
        <is>
          <t>Gucci：黑色方框太阳眼镜，采用高质轻盈树脂材质，镜面防紫外线设计，简约大框造型彰显现代极简美学，男女皆宜，复古与前卫并存，尽显意式奢华格调。</t>
        </is>
      </c>
    </row>
    <row r="72" ht="25.5" customHeight="1">
      <c r="A72">
        <v>1654975475</v>
      </c>
      <c r="B72">
        <v>7623160763</v>
      </c>
      <c r="C72" s="2" t="str">
        <f>=HYPERLINK("https://weidian.com/item.html?itemID=7623160763", "https://weidian.com/item.html?itemID=7623160763")</f>
        <v>https://weidian.com/item.html?itemID=7623160763</v>
      </c>
      <c r="D72"/>
      <c r="E72" s="2" t="str">
        <f>=HYPERLINK("https://si.geilicdn.com/pcitem2014204438-260d0000019ade8de1c30a21146b_1440_1920.jpg?w=640&amp;h=640", "https://si.geilicdn.com/pcitem2014204438-260d0000019ade8de1c30a21146b_1440_1920.jpg?w=640&amp;h=640")</f>
        <v>https://si.geilicdn.com/pcitem2014204438-260d0000019ade8de1c30a21146b_1440_1920.jpg?w=640&amp;h=640</v>
      </c>
      <c r="F72" t="inlineStr">
        <is>
          <t>Glasses</t>
        </is>
      </c>
      <c r="G72" t="inlineStr">
        <is>
          <t>Gucci</t>
        </is>
      </c>
      <c r="H72">
        <v>370</v>
      </c>
      <c r="I72">
        <v>53.62</v>
      </c>
      <c r="J72" t="inlineStr">
        <is>
          <t>{"id":"chatcmpl-DaAH69AljIrhvMMcIr7wTDIlmPE4F","object":"chat.completion","created":1777511676,"model":"gpt-5-chat-2025-10-03","choices":[{"index":0,"message":{"role":"assistant","content":"Gucci Amber Brown Vintage Square Unisex Sunglasses UV400","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72" t="inlineStr">
        <is>
          <t>Gucci Amber Brown Vintage Square Unisex Sunglasses UV400</t>
        </is>
      </c>
      <c r="L72" t="inlineStr">
        <is>
          <t>{"id":"chatcmpl-DaAAwRnw9TF0IMgtTt29sXZpyoYfp","object":"chat.completion","created":1777511294,"model":"gpt-5-chat-2025-10-03","choices":[{"index":0,"message":{"role":"assistant","content":"Gucci Amber Brown Vintage Square Sunglasses crafted from premium acetate, lightweight and durable, with logo stud temples, UV protection lenses, unisex design for timeless Italian elegance.","refusal":null,"annotations":[]},"logprobs":null,"finish_reason":"stop"}],"usage":{"prompt_tokens":918,"completion_tokens":35,"total_tokens":953,"prompt_tokens_details":{"cached_tokens":0,"audio_tokens":0},"completion_tokens_details":{"reasoning_tokens":0,"audio_tokens":0,"accepted_prediction_tokens":0,"rejected_prediction_tokens":0}},"service_tier":"default","system_fingerprint":"fp_ad66631dec"}</t>
        </is>
      </c>
      <c r="M72" t="inlineStr">
        <is>
          <t>{"alt-svc":"h3=\":443\"; ma=2592000","apim-request-id":"53a047a6-b53b-43ea-b9b9-f382b47344d7","azureml-model-session":"d20260402084046-4209e968","cache-control":"no-cache","connection":"close","content-length":"997","content-type":"application/json","date":"Thu, 30 Apr 2026 01:08:16 GMT","server":"Caddy","skip-error-remapping":"true","strict-transport-security":"max-age=31536000; includeSubDomains; preload","x-content-type-options":"nosniff","x-ms-client-request-id":"Not-Set","x-ms-is-spilled-over":"false","x-ms-rai-invoked":"false","x-ms-region":"West US","x-new-api-version":"0.4.35","x-oneapi-request-id":"202604300108135764068498268d9d66Muy28F1","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7772006e-612b-42f7-ac29-11f6bcd7162a"}</t>
        </is>
      </c>
      <c r="N72" t="inlineStr">
        <is>
          <t>Gucci Amber Brown Vintage Square Sunglasses crafted from premium acetate, lightweight and durable, with logo stud temples, UV protection lenses, unisex design for timeless Italian elegance.</t>
        </is>
      </c>
      <c r="O72" t="inlineStr">
        <is>
          <t>{"id":"chatcmpl-DaAQl4G323TGEOBsCGD4nCItYib6D","object":"chat.completion","created":1777512275,"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2" t="inlineStr">
        <is>
          <t>Gucci,Glasses,kakobuy,kakebuy2026,kekobuysheet,kakobuysheet2026,2026kakobuy,kakobuyspreadsheeet,kakobuylink,kakebuylist,Kakobuy MEGA Spreadsheet,kakobuysheetfind,kakobuysheetfind2026,2026kakobuysheetfind,kakobuysheet2026</t>
        </is>
      </c>
      <c r="Q72" t="inlineStr">
        <is>
          <t>Acetate Fiber, Lightweight, Anti-Ultraviolet, Unisex, Vintage</t>
        </is>
      </c>
      <c r="R72" t="inlineStr">
        <is>
          <t>recvhju1CrQvMW</t>
        </is>
      </c>
      <c r="S72" t="inlineStr">
        <is>
          <t>gucci-amber-brown-vintage-square-sunglasses-recvhju1crqvmw</t>
        </is>
      </c>
      <c r="T72"/>
      <c r="U72"/>
      <c r="V72"/>
      <c r="W72" t="inlineStr">
        <is>
          <t>{"id":"chatcmpl-Da9rJyqz5uxfwXuoCpH3UJJIe1aVS","object":"chat.completion","created":1777510077,"model":"gpt-5-chat-2025-10-03","choices":[{"index":0,"message":{"role":"assistant","content":"Gucci：琥珀棕复古方框太阳镜，精选优质醋酸纤维材质，轻盈耐用，镜腿饰以品牌标识铆钉设计，展现奢华格调；防紫外线镜片提供卓越护眼功能，男女皆宜，彰显意式时尚与现代优雅。","refusal":null,"annotations":[]},"logprobs":null,"finish_reason":"stop"}],"usage":{"prompt_tokens":1302,"completion_tokens":83,"total_tokens":1385,"prompt_tokens_details":{"cached_tokens":1280,"audio_tokens":0},"completion_tokens_details":{"reasoning_tokens":0,"audio_tokens":0,"accepted_prediction_tokens":0,"rejected_prediction_tokens":0}},"service_tier":"default","system_fingerprint":"fp_ad66631dec"}</t>
        </is>
      </c>
      <c r="X72" t="inlineStr">
        <is>
          <t>Gucci：琥珀棕复古方框太阳镜，精选优质醋酸纤维材质，轻盈耐用，镜腿饰以品牌标识铆钉设计，展现奢华格调；防紫外线镜片提供卓越护眼功能，男女皆宜，彰显意式时尚与现代优雅。</t>
        </is>
      </c>
    </row>
    <row r="73" ht="25.5" customHeight="1">
      <c r="A73">
        <v>1654975475</v>
      </c>
      <c r="B73">
        <v>7623196419</v>
      </c>
      <c r="C73" s="2" t="str">
        <f>=HYPERLINK("https://weidian.com/item.html?itemID=7623196419", "https://weidian.com/item.html?itemID=7623196419")</f>
        <v>https://weidian.com/item.html?itemID=7623196419</v>
      </c>
      <c r="D73"/>
      <c r="E73" s="2" t="str">
        <f>=HYPERLINK("https://si.geilicdn.com/pcitem2014204438-5c120000019ade8481ec0a239646_1074_1074.jpg?w=640&amp;h=640", "https://si.geilicdn.com/pcitem2014204438-5c120000019ade8481ec0a239646_1074_1074.jpg?w=640&amp;h=640")</f>
        <v>https://si.geilicdn.com/pcitem2014204438-5c120000019ade8481ec0a239646_1074_1074.jpg?w=640&amp;h=640</v>
      </c>
      <c r="F73" t="inlineStr">
        <is>
          <t>Glasses</t>
        </is>
      </c>
      <c r="G73" t="inlineStr">
        <is>
          <t>Chanel</t>
        </is>
      </c>
      <c r="H73">
        <v>360</v>
      </c>
      <c r="I73">
        <v>52.17</v>
      </c>
      <c r="J73" t="inlineStr">
        <is>
          <t>{"id":"chatcmpl-DaAKAFj2mqEIzd1gPkoPopr8PNG8k","object":"chat.completion","created":1777511866,"model":"gpt-5-chat-2025-10-03","choices":[{"index":0,"message":{"role":"assistant","content":"Chanel Black Square Sunglasses UV Protection Retro Style","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73" t="inlineStr">
        <is>
          <t>Chanel Black Square Sunglasses UV Protection Retro Style</t>
        </is>
      </c>
      <c r="L73" t="inlineStr">
        <is>
          <t>{"id":"chatcmpl-DaA7nPkIDhKQpf9omtW8FRGQopJCB","object":"chat.completion","created":1777511099,"model":"gpt-5-chat-2025-10-03","choices":[{"index":0,"message":{"role":"assistant","content":"Chanel Black Square Sunglasses – High-gloss resin frame with metallic hollow logo, UV-protection lenses, timeless unisex design blending retro sophistication and modern French elegance.","refusal":null,"annotations":[]},"logprobs":null,"finish_reason":"stop"}],"usage":{"prompt_tokens":906,"completion_tokens":35,"total_tokens":941,"prompt_tokens_details":{"cached_tokens":0,"audio_tokens":0},"completion_tokens_details":{"reasoning_tokens":0,"audio_tokens":0,"accepted_prediction_tokens":0,"rejected_prediction_tokens":0}},"service_tier":"default","system_fingerprint":"fp_fd471178c5"}</t>
        </is>
      </c>
      <c r="M73" t="inlineStr">
        <is>
          <t>{"alt-svc":"h3=\":443\"; ma=2592000","apim-request-id":"ed018745-7414-4897-913c-163ace014d09","azureml-model-session":"d20260428205641-55ca9797","cache-control":"no-cache","connection":"close","content-length":"995","content-type":"application/json","date":"Thu, 30 Apr 2026 01:05:00 GMT","server":"Caddy","skip-error-remapping":"true","strict-transport-security":"max-age=31536000; includeSubDomains; preload","x-content-type-options":"nosniff","x-ms-client-request-id":"Not-Set","x-ms-is-spilled-over":"false","x-ms-rai-invoked":"false","x-ms-region":"West US","x-new-api-version":"0.4.35","x-oneapi-request-id":"202604300104581806576048268d9d60PI463fQ","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9a70e29e-9a43-40ab-9fb0-a0e309b52783"}</t>
        </is>
      </c>
      <c r="N73" t="inlineStr">
        <is>
          <t>Chanel Black Square Sunglasses – High-gloss resin frame with metallic hollow logo, UV-protection lenses, timeless unisex design blending retro sophistication and modern French elegance.</t>
        </is>
      </c>
      <c r="O73" t="inlineStr">
        <is>
          <t>{"id":"chatcmpl-DaAWtF7n0OwzBAK5gyAXUXRtQ43gT","object":"chat.completion","created":1777512655,"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3" t="inlineStr">
        <is>
          <t>Chanel,Glasses,kakobuy,kakebuy2026,kekobuysheet,kakobuysheet2026,2026kakobuy,kakobuyspreadsheeet,kakobuylink,kakebuylist,Kakobuy MEGA Spreadsheet,kakobuysheetfind,kakobuysheetfind2026,2026kakobuysheetfind,kakobuysheet2026</t>
        </is>
      </c>
      <c r="Q73" t="inlineStr">
        <is>
          <t>Chanel, Black, Retro, Modern, Unisex, Anti-Ultraviolet</t>
        </is>
      </c>
      <c r="R73" t="inlineStr">
        <is>
          <t>recvhju1CrlSWK</t>
        </is>
      </c>
      <c r="S73" t="inlineStr">
        <is>
          <t>chanel-black-square-sunglasses-uv-retro-recvhju1CrlSWK</t>
        </is>
      </c>
      <c r="T73"/>
      <c r="U73"/>
      <c r="V73"/>
      <c r="W73" t="inlineStr">
        <is>
          <t>{"id":"chatcmpl-Da9rQWCWRH2rZUg5xdV7Hka6CizjC","object":"chat.completion","created":1777510084,"model":"gpt-5-chat-2025-10-03","choices":[{"index":0,"message":{"role":"assistant","content":"Chanel：黑色方框太阳眼镜，采用高光树脂材质搭配金属镂空字母装饰，镜腿精致简约，镜片防紫外线设计，复古与现代融合的优雅风格，适合男女通用，彰显经典法式时尚品味。","refusal":null,"annotations":[]},"logprobs":null,"finish_reason":"stop"}],"usage":{"prompt_tokens":1298,"completion_tokens":73,"total_tokens":1371,"prompt_tokens_details":{"cached_tokens":0,"audio_tokens":0},"completion_tokens_details":{"reasoning_tokens":0,"audio_tokens":0,"accepted_prediction_tokens":0,"rejected_prediction_tokens":0}},"service_tier":"default","system_fingerprint":"fp_fd471178c5"}</t>
        </is>
      </c>
      <c r="X73" t="inlineStr">
        <is>
          <t>Chanel：黑色方框太阳眼镜，采用高光树脂材质搭配金属镂空字母装饰，镜腿精致简约，镜片防紫外线设计，复古与现代融合的优雅风格，适合男女通用，彰显经典法式时尚品味。</t>
        </is>
      </c>
    </row>
    <row r="74" ht="25.5" customHeight="1">
      <c r="A74">
        <v>1654975475</v>
      </c>
      <c r="B74">
        <v>7626118842</v>
      </c>
      <c r="C74" s="2" t="str">
        <f>=HYPERLINK("https://weidian.com/item.html?itemID=7626118842", "https://weidian.com/item.html?itemID=7626118842")</f>
        <v>https://weidian.com/item.html?itemID=7626118842</v>
      </c>
      <c r="D74"/>
      <c r="E74" s="2" t="str">
        <f>=HYPERLINK("https://si.geilicdn.com/pcitem2014204438-62040000019ade8097fd0a2396f4_1440_1920.jpg?w=640&amp;h=640", "https://si.geilicdn.com/pcitem2014204438-62040000019ade8097fd0a2396f4_1440_1920.jpg?w=640&amp;h=640")</f>
        <v>https://si.geilicdn.com/pcitem2014204438-62040000019ade8097fd0a2396f4_1440_1920.jpg?w=640&amp;h=640</v>
      </c>
      <c r="F74" t="inlineStr">
        <is>
          <t>Glasses</t>
        </is>
      </c>
      <c r="G74" t="inlineStr">
        <is>
          <t>Prada</t>
        </is>
      </c>
      <c r="H74">
        <v>350</v>
      </c>
      <c r="I74">
        <v>50.72</v>
      </c>
      <c r="J74" t="inlineStr">
        <is>
          <t>{"id":"chatcmpl-DaAJdNKyBtSXlv2Ku56L9LlU85Lr6","object":"chat.completion","created":1777511833,"model":"gpt-5-chat-2025-10-03","choices":[{"index":0,"message":{"role":"assistant","content":"Prada Black Square Unisex Luxury Sunglasses","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fd471178c5"}</t>
        </is>
      </c>
      <c r="K74" t="inlineStr">
        <is>
          <t>Prada Black Square Unisex Luxury Sunglasses</t>
        </is>
      </c>
      <c r="L74" t="inlineStr">
        <is>
          <t>{"id":"chatcmpl-DaACyEz4BevUzdiJ9ugOuuVE5bA4u","object":"chat.completion","created":1777511420,"model":"gpt-5-chat-2025-10-03","choices":[{"index":0,"message":{"role":"assistant","content":"Prada Black Square Sunglasses crafted from glossy acetate with sleek minimalist lines. Featuring the elegant Prada logo, unisex design perfect for city style and leisure wear, reflecting Italian luxury.","refusal":null,"annotations":[]},"logprobs":null,"finish_reason":"stop"}],"usage":{"prompt_tokens":903,"completion_tokens":37,"total_tokens":940,"prompt_tokens_details":{"cached_tokens":0,"audio_tokens":0},"completion_tokens_details":{"reasoning_tokens":0,"audio_tokens":0,"accepted_prediction_tokens":0,"rejected_prediction_tokens":0}},"service_tier":"default","system_fingerprint":"fp_ad66631dec"}</t>
        </is>
      </c>
      <c r="M74" t="inlineStr">
        <is>
          <t>{"alt-svc":"h3=\":443\"; ma=2592000","apim-request-id":"59f087d1-ddbf-4d24-adef-52db9b842055","azureml-model-session":"d20260402084046-4209e968","cache-control":"no-cache","connection":"close","content-length":"1010","content-type":"application/json","date":"Thu, 30 Apr 2026 01:10:21 GMT","server":"Caddy","skip-error-remapping":"true","strict-transport-security":"max-age=31536000; includeSubDomains; preload","x-content-type-options":"nosniff","x-ms-client-request-id":"Not-Set","x-ms-is-spilled-over":"false","x-ms-rai-invoked":"false","x-ms-region":"Central US","x-new-api-version":"0.4.35","x-oneapi-request-id":"202604300110192951602228268d9d6vw9o3FDP","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1c52c585-adf2-4560-a9f2-094d5a7af8b9"}</t>
        </is>
      </c>
      <c r="N74" t="inlineStr">
        <is>
          <t>Prada Black Square Sunglasses crafted from glossy acetate with sleek minimalist lines. Featuring the elegant Prada logo, unisex design perfect for city style and leisure wear, reflecting Italian luxury.</t>
        </is>
      </c>
      <c r="O74" t="inlineStr">
        <is>
          <t>{"id":"chatcmpl-DaASyVyZSjgOIHNu8NBNCSfUpC8Mi","object":"chat.completion","created":1777512412,"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4" t="inlineStr">
        <is>
          <t>Prada,Glasses,kakobuy,kakebuy2026,kekobuysheet,kakobuysheet2026,2026kakobuy,kakobuyspreadsheeet,kakobuylink,kakebuylist,Kakobuy MEGA Spreadsheet,kakobuysheetfind,kakobuysheetfind2026,2026kakobuysheetfind,kakobuysheet2026</t>
        </is>
      </c>
      <c r="Q74"/>
      <c r="R74" t="inlineStr">
        <is>
          <t>recvhju1CrAbNb</t>
        </is>
      </c>
      <c r="S74" t="inlineStr">
        <is>
          <t>prada-black-square-sunglasses-recvhju1crabnb</t>
        </is>
      </c>
      <c r="T74"/>
      <c r="U74"/>
      <c r="V74"/>
      <c r="W74" t="inlineStr">
        <is>
          <t>{"id":"chatcmpl-Da9stBpKlRalC5MSm2gazhJfQ9Geu","object":"chat.completion","created":1777510175,"model":"gpt-5-chat-2025-10-03","choices":[{"index":0,"message":{"role":"assistant","content":"Prada：黑色方框太阳镜，精选高光醋酸材质，镜身线条利落极简，彰显现代摩登设计。搭配优雅品牌徽标，男女皆宜，适合都市出行及休闲搭配，尽显意式奢华格调。","refusal":null,"annotations":[]},"logprobs":null,"finish_reason":"stop"}],"usage":{"prompt_tokens":1300,"completion_tokens":69,"total_tokens":1369,"prompt_tokens_details":{"cached_tokens":1280,"audio_tokens":0},"completion_tokens_details":{"reasoning_tokens":0,"audio_tokens":0,"accepted_prediction_tokens":0,"rejected_prediction_tokens":0}},"service_tier":"default","system_fingerprint":"fp_fd471178c5"}</t>
        </is>
      </c>
      <c r="X74" t="inlineStr">
        <is>
          <t>Prada：黑色方框太阳镜，精选高光醋酸材质，镜身线条利落极简，彰显现代摩登设计。搭配优雅品牌徽标，男女皆宜，适合都市出行及休闲搭配，尽显意式奢华格调。</t>
        </is>
      </c>
    </row>
    <row r="75" ht="25.5" customHeight="1">
      <c r="A75">
        <v>1654975475</v>
      </c>
      <c r="B75">
        <v>7626106960</v>
      </c>
      <c r="C75" s="2" t="str">
        <f>=HYPERLINK("https://weidian.com/item.html?itemID=7626106960", "https://weidian.com/item.html?itemID=7626106960")</f>
        <v>https://weidian.com/item.html?itemID=7626106960</v>
      </c>
      <c r="D75"/>
      <c r="E75" s="2" t="str">
        <f>=HYPERLINK("https://si.geilicdn.com/pcitem2014204438-6e7c0000019ade7e8c820a23057e_1440_1920.jpg?w=640&amp;h=640", "https://si.geilicdn.com/pcitem2014204438-6e7c0000019ade7e8c820a23057e_1440_1920.jpg?w=640&amp;h=640")</f>
        <v>https://si.geilicdn.com/pcitem2014204438-6e7c0000019ade7e8c820a23057e_1440_1920.jpg?w=640&amp;h=640</v>
      </c>
      <c r="F75" t="inlineStr">
        <is>
          <t>Glasses</t>
        </is>
      </c>
      <c r="G75" t="inlineStr">
        <is>
          <t>Louis Vuitton</t>
        </is>
      </c>
      <c r="H75">
        <v>350</v>
      </c>
      <c r="I75">
        <v>50.72</v>
      </c>
      <c r="J75" t="inlineStr">
        <is>
          <t>{"id":"chatcmpl-DaAFm1RYnE89Dx4xye02k8ZxTOfwv","object":"chat.completion","created":1777511594,"model":"gpt-5-chat-2025-10-03","choices":[{"index":0,"message":{"role":"assistant","content":"Louis Vuitton Classic Brown Square Sunglasses","refusal":null,"annotations":[]},"logprobs":null,"finish_reason":"stop"}],"usage":{"prompt_tokens":874,"completion_tokens":8,"total_tokens":882,"prompt_tokens_details":{"cached_tokens":0,"audio_tokens":0},"completion_tokens_details":{"reasoning_tokens":0,"audio_tokens":0,"accepted_prediction_tokens":0,"rejected_prediction_tokens":0}},"service_tier":"default","system_fingerprint":"fp_fd471178c5"}</t>
        </is>
      </c>
      <c r="K75" t="inlineStr">
        <is>
          <t>Louis Vuitton Classic Brown Square Sunglasses</t>
        </is>
      </c>
      <c r="L75" t="inlineStr">
        <is>
          <t>{"id":"chatcmpl-DaA9DYm5Rdu0NRmqQ7WXTVNQ1kXSM","object":"chat.completion","created":1777511187,"model":"gpt-5-chat-2025-10-03","choices":[{"index":0,"message":{"role":"assistant","content":"Louis Vuitton Classic Square Sunglasses with brown gradient lenses, luxury resin frame and gold LV logo. Vintage yet modern unisex design merging style and UV protection for refined French elegance.","refusal":null,"annotations":[]},"logprobs":null,"finish_reason":"stop"}],"usage":{"prompt_tokens":915,"completion_tokens":36,"total_tokens":951,"prompt_tokens_details":{"cached_tokens":0,"audio_tokens":0},"completion_tokens_details":{"reasoning_tokens":0,"audio_tokens":0,"accepted_prediction_tokens":0,"rejected_prediction_tokens":0}},"service_tier":"default","system_fingerprint":"fp_fd471178c5"}</t>
        </is>
      </c>
      <c r="M75" t="inlineStr">
        <is>
          <t>{"alt-svc":"h3=\":443\"; ma=2592000","apim-request-id":"accdc397-e9c7-41ca-ba83-d74f9eb311ad","azureml-model-session":"d20260428174121-807d9cc5","cache-control":"no-cache","connection":"close","content-length":"1006","content-type":"application/json","date":"Thu, 30 Apr 2026 01:06:28 GMT","server":"nginx","skip-error-remapping":"true","strict-transport-security":"max-age=31536000; includeSubDomains; preload","via":"1.1 Caddy","x-content-type-options":"nosniff","x-ms-client-request-id":"Not-Set","x-ms-is-spilled-over":"false","x-ms-rai-invoked":"false","x-ms-region":"West US","x-new-api-version":"0.4.35","x-oneapi-request-id":"202604300106263052982048268d9d6dTXzkEj1","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61f9e9d6-4862-42e4-ba9f-c2105dcd5bf6"}</t>
        </is>
      </c>
      <c r="N75" t="inlineStr">
        <is>
          <t>Louis Vuitton Classic Square Sunglasses with brown gradient lenses, luxury resin frame and gold LV logo. Vintage yet modern unisex design merging style and UV protection for refined French elegance.</t>
        </is>
      </c>
      <c r="O75" t="inlineStr">
        <is>
          <t>{"id":"chatcmpl-DaAQT8pxA1YhufOou83oNqHHfZQ8r","object":"chat.completion","created":1777512257,"model":"gpt-5-chat-2025-10-03","choices":[{"index":0,"message":{"role":"assistant","content":"Louis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75" t="inlineStr">
        <is>
          <t>Louis Vuitton, Glasses, kakobuy, kakebuy2026, kekobuysheet, kakobuysheet2026, 2026kakobuy, kakobuyspreadsheeet, kakobuylink, kakebuylist, Kakobuy MEGA Spreadsheet, kakobuysheetfind, kakobuysheetfind2026, 2026kakobuysheetfind, kakobuysheet2026</t>
        </is>
      </c>
      <c r="Q75" t="inlineStr">
        <is>
          <t>LV, Vintage, Modern, Unisex, Style, Anti-Ultraviolet</t>
        </is>
      </c>
      <c r="R75" t="inlineStr">
        <is>
          <t>recvhju1CroV0r</t>
        </is>
      </c>
      <c r="S75" t="inlineStr">
        <is>
          <t>louis-vuitton-classic-brown-square-sunglasses-recvhju1croV0r</t>
        </is>
      </c>
      <c r="T75"/>
      <c r="U75"/>
      <c r="V75"/>
      <c r="W75" t="inlineStr">
        <is>
          <t>{"id":"chatcmpl-Da9s7TDgkArkZQzXZn9IyTiLE9pHd","object":"chat.completion","created":1777510127,"model":"gpt-5-chat-2025-10-03","choices":[{"index":0,"message":{"role":"assistant","content":"Louis Vuitton：经典方框墨镜，深棕渐变镜片搭配轻奢树脂镜架，金属LV标识点缀镜角，展现品牌标志性优雅。复古摩登设计融合现代剪裁，男女皆宜，时尚与防护兼具，彰显法式精致品味。","refusal":null,"annotations":[]},"logprobs":null,"finish_reason":"stop"}],"usage":{"prompt_tokens":1306,"completion_tokens":78,"total_tokens":1384,"prompt_tokens_details":{"cached_tokens":0,"audio_tokens":0},"completion_tokens_details":{"reasoning_tokens":0,"audio_tokens":0,"accepted_prediction_tokens":0,"rejected_prediction_tokens":0}},"service_tier":"default","system_fingerprint":"fp_ad66631dec"}</t>
        </is>
      </c>
      <c r="X75" t="inlineStr">
        <is>
          <t>Louis Vuitton：经典方框墨镜，深棕渐变镜片搭配轻奢树脂镜架，金属LV标识点缀镜角，展现品牌标志性优雅。复古摩登设计融合现代剪裁，男女皆宜，时尚与防护兼具，彰显法式精致品味。</t>
        </is>
      </c>
    </row>
    <row r="76" ht="25.5" customHeight="1">
      <c r="A76">
        <v>1654975475</v>
      </c>
      <c r="B76">
        <v>7626124148</v>
      </c>
      <c r="C76" s="2" t="str">
        <f>=HYPERLINK("https://weidian.com/item.html?itemID=7626124148", "https://weidian.com/item.html?itemID=7626124148")</f>
        <v>https://weidian.com/item.html?itemID=7626124148</v>
      </c>
      <c r="D76"/>
      <c r="E76" s="2" t="str">
        <f>=HYPERLINK("https://si.geilicdn.com/pcitem2014204438-3c7a0000019ade2215070a20e273_1074_1074.jpg?w=640&amp;h=640", "https://si.geilicdn.com/pcitem2014204438-3c7a0000019ade2215070a20e273_1074_1074.jpg?w=640&amp;h=640")</f>
        <v>https://si.geilicdn.com/pcitem2014204438-3c7a0000019ade2215070a20e273_1074_1074.jpg?w=640&amp;h=640</v>
      </c>
      <c r="F76" t="inlineStr">
        <is>
          <t>Glasses</t>
        </is>
      </c>
      <c r="G76" t="inlineStr">
        <is>
          <t>Louis Vuitton</t>
        </is>
      </c>
      <c r="H76">
        <v>380</v>
      </c>
      <c r="I76">
        <v>55.07</v>
      </c>
      <c r="J76" t="inlineStr">
        <is>
          <t>{"id":"chatcmpl-DaAGVeVThbkDzOusYi5HzVHYYimMI","object":"chat.completion","created":1777511639,"model":"gpt-5-chat-2025-10-03","choices":[{"index":0,"message":{"role":"assistant","content":"CHANEL White Oversized Retro Sunglasses Gold Logo Rose Lens","refusal":null,"annotations":[]},"logprobs":null,"finish_reason":"stop"}],"usage":{"prompt_tokens":888,"completion_tokens":13,"total_tokens":901,"prompt_tokens_details":{"cached_tokens":0,"audio_tokens":0},"completion_tokens_details":{"reasoning_tokens":0,"audio_tokens":0,"accepted_prediction_tokens":0,"rejected_prediction_tokens":0}},"service_tier":"default","system_fingerprint":"fp_ad66631dec"}</t>
        </is>
      </c>
      <c r="K76" t="inlineStr">
        <is>
          <t>CHANEL White Oversized Retro Sunglasses Gold Logo Rose Lens</t>
        </is>
      </c>
      <c r="L76" t="inlineStr">
        <is>
          <t>{"id":"chatcmpl-DaAAbuUNjzrAisII0EzbIyZ95X3Vb","object":"chat.completion","created":1777511273,"model":"gpt-5-chat-2025-10-03","choices":[{"index":0,"message":{"role":"assistant","content":"CHANEL White Oversized Acetate Sunglasses with Gold Logo, Retro Parisian Style, Soft Rose Lenses, Elegant and Fashionable, Perfect for Men and Women, Ideal for Daily Wear and Vacation.","refusal":null,"annotations":[]},"logprobs":null,"finish_reason":"stop"}],"usage":{"prompt_tokens":902,"completion_tokens":43,"total_tokens":945,"prompt_tokens_details":{"cached_tokens":0,"audio_tokens":0},"completion_tokens_details":{"reasoning_tokens":0,"audio_tokens":0,"accepted_prediction_tokens":0,"rejected_prediction_tokens":0}},"service_tier":"default","system_fingerprint":"fp_ad66631dec"}</t>
        </is>
      </c>
      <c r="M76" t="inlineStr">
        <is>
          <t>{"alt-svc":"h3=\":443\"; ma=2592000","apim-request-id":"0c49833f-5092-4dbf-b181-fe9a75726226","azureml-model-session":"d20260402084046-4209e968","cache-control":"no-cache","connection":"close","content-length":"992","content-type":"application/json","date":"Thu, 30 Apr 2026 01:07:56 GMT","server":"nginx","skip-error-remapping":"true","strict-transport-security":"max-age=31536000; includeSubDomains; preload","via":"1.1 Caddy","x-content-type-options":"nosniff","x-ms-client-request-id":"Not-Set","x-ms-is-spilled-over":"false","x-ms-rai-invoked":"false","x-ms-region":"Sweden Central","x-new-api-version":"0.4.35","x-oneapi-request-id":"202604300107526201050028268d9d6ux6Omw6v","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4a94b467-1656-48c2-87e8-f8ed92f21a22"}</t>
        </is>
      </c>
      <c r="N76" t="inlineStr">
        <is>
          <t>CHANEL White Oversized Acetate Sunglasses with Gold Logo, Retro Parisian Style, Soft Rose Lenses, Elegant and Fashionable, Perfect for Men and Women, Ideal for Daily Wear and Vacation.</t>
        </is>
      </c>
      <c r="O76" t="inlineStr">
        <is>
          <t>{"id":"chatcmpl-DaAR0MbbmaaSiIbwWTLzzhcaeELoj","object":"chat.completion","created":1777512290,"model":"gpt-5-chat-2025-10-03","choices":[{"index":0,"message":{"role":"assistant","content":"Louis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76" t="inlineStr">
        <is>
          <t>Louis Vuitton,Glasses,kakobuy,kakebuy2026,kekobuysheet,kakobuysheet2026,2026kakobuy,kakobuyspreadsheeet,kakobuylink,kakebuylist,Kakobuy MEGA Spreadsheet,kakobuysheetfind,kakobuysheetfind2026,2026kakobuysheetfind,kakobuysheet2026</t>
        </is>
      </c>
      <c r="Q76" t="inlineStr">
        <is>
          <t>Chanel, White, Gold, Retro, Elegant, Unisex</t>
        </is>
      </c>
      <c r="R76" t="inlineStr">
        <is>
          <t>recvhju1CrLY7z</t>
        </is>
      </c>
      <c r="S76" t="inlineStr">
        <is>
          <t>chanel-white-oversized-retro-sunglasses-rose-lens-recvhju1crly7z</t>
        </is>
      </c>
      <c r="T76"/>
      <c r="U76"/>
      <c r="V76"/>
      <c r="W76" t="inlineStr">
        <is>
          <t>{"id":"chatcmpl-Da9ns6GNOljOJjhtfIw8Z9dXU7LGD","object":"chat.completion","created":1777509864,"model":"gpt-5-chat-2025-10-03","choices":[{"index":0,"message":{"role":"assistant","content":"CHANEL：白色大框太阳眼镜，醋酸纤维镜架搭配金色Logo装饰，复古巴黎风格设计，柔和玫瑰色镜片，彰显优雅与时尚感，适合男女日常休闲与度假佩戴。","refusal":null,"annotations":[]},"logprobs":null,"finish_reason":"stop"}],"usage":{"prompt_tokens":1302,"completion_tokens":67,"total_tokens":1369,"prompt_tokens_details":{"cached_tokens":1280,"audio_tokens":0},"completion_tokens_details":{"reasoning_tokens":0,"audio_tokens":0,"accepted_prediction_tokens":0,"rejected_prediction_tokens":0}},"service_tier":"default","system_fingerprint":"fp_fd471178c5"}</t>
        </is>
      </c>
      <c r="X76" t="inlineStr">
        <is>
          <t>CHANEL：白色大框太阳眼镜，醋酸纤维镜架搭配金色Logo装饰，复古巴黎风格设计，柔和玫瑰色镜片，彰显优雅与时尚感，适合男女日常休闲与度假佩戴。</t>
        </is>
      </c>
    </row>
    <row r="77" ht="25.5" customHeight="1">
      <c r="A77">
        <v>1654975475</v>
      </c>
      <c r="B77">
        <v>7623183759</v>
      </c>
      <c r="C77" s="2" t="str">
        <f>=HYPERLINK("https://weidian.com/item.html?itemID=7623183759", "https://weidian.com/item.html?itemID=7623183759")</f>
        <v>https://weidian.com/item.html?itemID=7623183759</v>
      </c>
      <c r="D77"/>
      <c r="E77" s="2" t="str">
        <f>=HYPERLINK("https://si.geilicdn.com/pcitem2014204438-3efa0000019ade1ef5fc0a20e7c7_1440_1920.jpg?w=640&amp;h=640", "https://si.geilicdn.com/pcitem2014204438-3efa0000019ade1ef5fc0a20e7c7_1440_1920.jpg?w=640&amp;h=640")</f>
        <v>https://si.geilicdn.com/pcitem2014204438-3efa0000019ade1ef5fc0a20e7c7_1440_1920.jpg?w=640&amp;h=640</v>
      </c>
      <c r="F77" t="inlineStr">
        <is>
          <t>Glasses</t>
        </is>
      </c>
      <c r="G77" t="inlineStr">
        <is>
          <t>Tiffany</t>
        </is>
      </c>
      <c r="H77">
        <v>390</v>
      </c>
      <c r="I77">
        <v>56.52</v>
      </c>
      <c r="J77" t="inlineStr">
        <is>
          <t>{"id":"chatcmpl-DaAJgo2VC90OBkTSyyEwJEoDXp2Lt","object":"chat.completion","created":1777511836,"model":"gpt-5-chat-2025-10-03","choices":[{"index":0,"message":{"role":"assistant","content":"Tiffany &amp; Co White Square Polarized Sun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fd471178c5"}</t>
        </is>
      </c>
      <c r="K77" t="inlineStr">
        <is>
          <t>Tiffany &amp; Co White Square Polarized Sunglasses</t>
        </is>
      </c>
      <c r="L77" t="inlineStr">
        <is>
          <t>{"id":"chatcmpl-DaACgUqe89oRGxnK9Wl6Z6Sk96Mhn","object":"chat.completion","created":1777511402,"model":"gpt-5-chat-2025-10-03","choices":[{"index":0,"message":{"role":"assistant","content":"Tiffany &amp; Co Classic White Square Sunglasses with premium resin frame, gray polarized lenses, and gold heart temples. Unisex modern luxury style for city chic and vacation elegance.","refusal":null,"annotations":[]},"logprobs":null,"finish_reason":"stop"}],"usage":{"prompt_tokens":923,"completion_tokens":36,"total_tokens":959,"prompt_tokens_details":{"cached_tokens":0,"audio_tokens":0},"completion_tokens_details":{"reasoning_tokens":0,"audio_tokens":0,"accepted_prediction_tokens":0,"rejected_prediction_tokens":0}},"service_tier":"default","system_fingerprint":"fp_fd471178c5"}</t>
        </is>
      </c>
      <c r="M77" t="inlineStr">
        <is>
          <t>{"alt-svc":"h3=\":443\"; ma=2592000","apim-request-id":"3a05e69a-6262-4ad3-a8c9-67b8604fed19","azureml-model-session":"d20260428174121-807d9cc5","cache-control":"no-cache","connection":"close","content-length":"989","content-type":"application/json","date":"Thu, 30 Apr 2026 01:10:04 GMT","server":"nginx","skip-error-remapping":"true","strict-transport-security":"max-age=31536000; includeSubDomains; preload","via":"1.1 Caddy","x-content-type-options":"nosniff","x-ms-client-request-id":"Not-Set","x-ms-is-spilled-over":"false","x-ms-rai-invoked":"false","x-ms-region":"Sweden Central","x-new-api-version":"0.4.35","x-oneapi-request-id":"202604300110019162355448268d9d6rdQX7Vx2","x-ratelimit-abusepenalty-active":"False","x-ratelimit-key":"gpt-5-chat-global","x-ratelimit-limit-requests":"1000","x-ratelimit-limit-tokens":"1000000","x-ratelimit-remaining-requests":"999","x-ratelimit-remaining-tokens":"998315","x-ratelimit-renewalperiod-requests":"60","x-ratelimit-renewalperiod-tokens":"60","x-ratelimit-reset-requests":"60","x-ratelimit-reset-tokens":"101","x-request-id":"f4832b15-ba74-422b-9267-ce172d8546d0"}</t>
        </is>
      </c>
      <c r="N77" t="inlineStr">
        <is>
          <t>Tiffany &amp; Co Classic White Square Sunglasses with premium resin frame, gray polarized lenses, and gold heart temples. Unisex modern luxury style for city chic and vacation elegance.</t>
        </is>
      </c>
      <c r="O77" t="inlineStr">
        <is>
          <t>{"id":"chatcmpl-DaAQLBULMkzusnZbHi94xNQpBKoWw","object":"chat.completion","created":1777512249,"model":"gpt-5-chat-2025-10-03","choices":[{"index":0,"message":{"role":"assistant","content":"Tiffany&amp;Co, Sunglasses, kakobuy, kakebuy2026, kekobuysheet, kakobuysheet2026, 2026kakobuy, kakobuyspreadsheet,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fd471178c5"}</t>
        </is>
      </c>
      <c r="P77" t="inlineStr">
        <is>
          <t>Tiffany&amp;Co, Sunglasses, kakobuy, kakebuy2026, kekobuysheet, kakobuysheet2026, 2026kakobuy, kakobuyspreadsheet, kakobuylink, kakebuylist, Kakobuy MEGA Spreadsheet, kakobuysheetfind, kakobuysheetfind2026, 2026kakobuysheetfind, kakobuysheet2026</t>
        </is>
      </c>
      <c r="Q77"/>
      <c r="R77" t="inlineStr">
        <is>
          <t>recvhju1CrRMjR</t>
        </is>
      </c>
      <c r="S77" t="inlineStr">
        <is>
          <t>tiffany-white-square-polarized-sunglasses-recvhju1crrmjr</t>
        </is>
      </c>
      <c r="T77"/>
      <c r="U77"/>
      <c r="V77"/>
      <c r="W77" t="inlineStr">
        <is>
          <t>{"id":"chatcmpl-Da9uEDgIPZ3VbiVvrbxf39ZilRkCe","object":"chat.completion","created":1777510258,"model":"gpt-5-chat-2025-10-03","choices":[{"index":0,"message":{"role":"assistant","content":"Tiffany &amp; Co：经典系列白色方框太阳镜，优质树脂镜架搭配灰色偏光镜片，镜腿金色心形金属饰面彰显优雅格调。现代简约设计融合品牌精致工艺，男女皆宜，适合都市休闲与度假穿搭，展现低调奢华的时尚品味。","refusal":null,"annotations":[]},"logprobs":null,"finish_reason":"stop"}],"usage":{"prompt_tokens":1306,"completion_tokens":86,"total_tokens":1392,"prompt_tokens_details":{"cached_tokens":0,"audio_tokens":0},"completion_tokens_details":{"reasoning_tokens":0,"audio_tokens":0,"accepted_prediction_tokens":0,"rejected_prediction_tokens":0}},"service_tier":"default","system_fingerprint":"fp_ad66631dec"}</t>
        </is>
      </c>
      <c r="X77" t="inlineStr">
        <is>
          <t>Tiffany &amp; Co：经典系列白色方框太阳镜，优质树脂镜架搭配灰色偏光镜片，镜腿金色心形金属饰面彰显优雅格调。现代简约设计融合品牌精致工艺，男女皆宜，适合都市休闲与度假穿搭，展现低调奢华的时尚品味。</t>
        </is>
      </c>
    </row>
    <row r="78" ht="25.5" customHeight="1">
      <c r="A78">
        <v>1654975475</v>
      </c>
      <c r="B78">
        <v>7694315083</v>
      </c>
      <c r="C78" s="2" t="str">
        <f>=HYPERLINK("https://weidian.com/item.html?itemID=7694315083", "https://weidian.com/item.html?itemID=7694315083")</f>
        <v>https://weidian.com/item.html?itemID=7694315083</v>
      </c>
      <c r="D78"/>
      <c r="E78" s="2" t="str">
        <f>=HYPERLINK("https://si.geilicdn.com/open1654975475-252808396-47210000019c7a7505800a8133b0_790_1169.jpg?w=640&amp;h=640", "https://si.geilicdn.com/open1654975475-252808396-47210000019c7a7505800a8133b0_790_1169.jpg?w=640&amp;h=640")</f>
        <v>https://si.geilicdn.com/open1654975475-252808396-47210000019c7a7505800a8133b0_790_1169.jpg?w=640&amp;h=640</v>
      </c>
      <c r="F78" t="inlineStr">
        <is>
          <t>Toys</t>
        </is>
      </c>
      <c r="G78" t="inlineStr">
        <is>
          <t>Other</t>
        </is>
      </c>
      <c r="H78">
        <v>260</v>
      </c>
      <c r="I78">
        <v>37.68</v>
      </c>
      <c r="J78" t="inlineStr">
        <is>
          <t>{"id":"chatcmpl-DaALgiMhtQbqljGhCZiUleQkDHQzb","object":"chat.completion","created":1777511960,"model":"gpt-5-chat-2025-10-03","choices":[{"index":0,"message":{"role":"assistant","content":"ToysOther RC Tank 2.4GHz Camouflage Water Bullet Battle","refusal":null,"annotations":[]},"logprobs":null,"finish_reason":"stop"}],"usage":{"prompt_tokens":893,"completion_tokens":16,"total_tokens":909,"prompt_tokens_details":{"cached_tokens":0,"audio_tokens":0},"completion_tokens_details":{"reasoning_tokens":0,"audio_tokens":0,"accepted_prediction_tokens":0,"rejected_prediction_tokens":0}},"service_tier":"default","system_fingerprint":"fp_ad66631dec"}</t>
        </is>
      </c>
      <c r="K78" t="inlineStr">
        <is>
          <t>ToysOther RC Tank 2.4GHz Camouflage Water Bullet Battle</t>
        </is>
      </c>
      <c r="L78" t="inlineStr">
        <is>
          <t>{"id":"chatcmpl-DaAEKohzFKFTWSpxcB0Ca0M4iI4qT","object":"chat.completion","created":1777511504,"model":"gpt-5-chat-2025-10-03","choices":[{"index":0,"message":{"role":"assistant","content":"ToysOther Camouflage Series Green-Gray RC Tank, realistic military design, shoots water bullets, 2.4GHz wireless control, durable plastic body, rotating turret, lights &amp; sounds, perfect for boys outdoor fun.","refusal":null,"annotations":[]},"logprobs":null,"finish_reason":"stop"}],"usage":{"prompt_tokens":900,"completion_tokens":46,"total_tokens":946,"prompt_tokens_details":{"cached_tokens":0,"audio_tokens":0},"completion_tokens_details":{"reasoning_tokens":0,"audio_tokens":0,"accepted_prediction_tokens":0,"rejected_prediction_tokens":0}},"service_tier":"default","system_fingerprint":"fp_fd471178c5"}</t>
        </is>
      </c>
      <c r="M78" t="inlineStr">
        <is>
          <t>{"alt-svc":"h3=\":443\"; ma=2592000","apim-request-id":"f2ded618-a9c0-41b2-b011-3d66619d0178","azureml-model-session":"d20260428174121-807d9cc5","cache-control":"no-cache","connection":"close","content-length":"1015","content-type":"application/json","date":"Thu, 30 Apr 2026 01:11:46 GMT","server":"Caddy","skip-error-remapping":"true","strict-transport-security":"max-age=31536000; includeSubDomains; preload","x-content-type-options":"nosniff","x-ms-client-request-id":"Not-Set","x-ms-is-spilled-over":"false","x-ms-rai-invoked":"false","x-ms-region":"Sweden Central","x-new-api-version":"0.4.35","x-oneapi-request-id":"202604300111434222935068268d9d6UkGhffxD","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f1024a20-a943-4f46-82e2-3cf8e590c385"}</t>
        </is>
      </c>
      <c r="N78" t="inlineStr">
        <is>
          <t>ToysOther Camouflage Series Green-Gray RC Tank, realistic military design, shoots water bullets, 2.4GHz wireless control, durable plastic body, rotating turret, lights &amp; sounds, perfect for boys outdoor fun.</t>
        </is>
      </c>
      <c r="O78" t="inlineStr">
        <is>
          <t>{"id":"chatcmpl-DaAVbVtT3VwI8E0FHZvC2qceImecn","object":"chat.completion","created":1777512575,"model":"gpt-5-chat-2025-10-03","choices":[{"index":0,"message":{"role":"assistant","content":"WAR,Remote Control Tank,kakobuy,kakebuy2026,kekobuysheet,kakobuysheet2026,2026kakobuy,kakobuyspreadsheeet,kakobuylink,kakebuylist,Kakobuy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fd471178c5"}</t>
        </is>
      </c>
      <c r="P78" t="inlineStr">
        <is>
          <t>WAR,Remote Control Tank,kakobuy,kakebuy2026,kekobuysheet,kakobuysheet2026,2026kakobuy,kakobuyspreadsheeet,kakobuylink,kakebuylist,Kakobuy MEGA Spreadsheet,kakobuysheetfind,kakobuysheetfind2026,2026kakobuysheetfind,kakobuysheet2026</t>
        </is>
      </c>
      <c r="Q78" t="inlineStr">
        <is>
          <t>Camouflage, Green, Grey, Outdoor</t>
        </is>
      </c>
      <c r="R78" t="inlineStr">
        <is>
          <t>recvhju1CrMind</t>
        </is>
      </c>
      <c r="S78" t="inlineStr">
        <is>
          <t>toysother-rc-tank-2.4ghz-camouflage-water-bullet-battle-recvhju1crmind</t>
        </is>
      </c>
      <c r="T78"/>
      <c r="U78"/>
      <c r="V78"/>
      <c r="W78" t="inlineStr">
        <is>
          <t>{"id":"chatcmpl-Da9sU9BpH5rPutab4I2J0PJofNMxq","object":"chat.completion","created":1777510150,"model":"gpt-5-chat-2025-10-03","choices":[{"index":0,"message":{"role":"assistant","content":"迷彩系列绿灰遥控坦克，真实比例军事风格设计，可发射水弹，2.4GHz无线操控，机身塑料材质坚固耐用，炮塔可旋转，灯光音效逼真，适合男孩户外娱乐与收藏。","refusal":null,"annotations":[]},"logprobs":null,"finish_reason":"stop"}],"usage":{"prompt_tokens":1302,"completion_tokens":65,"total_tokens":1367,"prompt_tokens_details":{"cached_tokens":0,"audio_tokens":0},"completion_tokens_details":{"reasoning_tokens":0,"audio_tokens":0,"accepted_prediction_tokens":0,"rejected_prediction_tokens":0}},"service_tier":"default","system_fingerprint":"fp_fd471178c5"}</t>
        </is>
      </c>
      <c r="X78" t="inlineStr">
        <is>
          <t>迷彩系列绿灰遥控坦克，真实比例军事风格设计，可发射水弹，2.4GHz无线操控，机身塑料材质坚固耐用，炮塔可旋转，灯光音效逼真，适合男孩户外娱乐与收藏。</t>
        </is>
      </c>
    </row>
    <row r="79" ht="25.5" customHeight="1">
      <c r="A79">
        <v>1654975475</v>
      </c>
      <c r="B79">
        <v>7627509130</v>
      </c>
      <c r="C79" s="2" t="str">
        <f>=HYPERLINK("https://weidian.com/item.html?itemID=7627509130", "https://weidian.com/item.html?itemID=7627509130")</f>
        <v>https://weidian.com/item.html?itemID=7627509130</v>
      </c>
      <c r="D79"/>
      <c r="E79" s="2" t="str">
        <f>=HYPERLINK("https://si.geilicdn.com/pcitem2014204438-22840000019ae7e08bbb0a23057e_1081_921.jpg?w=640&amp;h=640", "https://si.geilicdn.com/pcitem2014204438-22840000019ae7e08bbb0a23057e_1081_921.jpg?w=640&amp;h=640")</f>
        <v>https://si.geilicdn.com/pcitem2014204438-22840000019ae7e08bbb0a23057e_1081_921.jpg?w=640&amp;h=640</v>
      </c>
      <c r="F79" t="inlineStr">
        <is>
          <t>Socks &amp; Hosiery</t>
        </is>
      </c>
      <c r="G79" t="inlineStr">
        <is>
          <t>Versace</t>
        </is>
      </c>
      <c r="H79">
        <v>120</v>
      </c>
      <c r="I79">
        <v>17.39</v>
      </c>
      <c r="J79" t="inlineStr">
        <is>
          <t>{"id":"chatcmpl-DaAFOGrLs1oEpvmPKIOtbUSJkEPD3","object":"chat.completion","created":1777511570,"model":"gpt-5-chat-2025-10-03","choices":[{"index":0,"message":{"role":"assistant","content":"Versace Black Greek Key Mid-Calf Cotton Sock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fd471178c5"}</t>
        </is>
      </c>
      <c r="K79" t="inlineStr">
        <is>
          <t>Versace Black Greek Key Mid-Calf Cotton Socks</t>
        </is>
      </c>
      <c r="L79" t="inlineStr">
        <is>
          <t>{"id":"chatcmpl-DaA6B9HX10f2k1lbysnsMV2YBtqjo","object":"chat.completion","created":1777510999,"model":"gpt-5-chat-2025-10-03","choices":[{"index":0,"message":{"role":"assistant","content":"Versace Black Geometric Mid-Calf Socks crafted from soft, breathable stretch cotton blend. Features iconic Greek key and gold logo for a luxurious, modern urban look with perfect comfort fit.","refusal":null,"annotations":[]},"logprobs":null,"finish_reason":"stop"}],"usage":{"prompt_tokens":925,"completion_tokens":38,"total_tokens":963,"prompt_tokens_details":{"cached_tokens":0,"audio_tokens":0},"completion_tokens_details":{"reasoning_tokens":0,"audio_tokens":0,"accepted_prediction_tokens":0,"rejected_prediction_tokens":0}},"service_tier":"default","system_fingerprint":"fp_fd471178c5"}</t>
        </is>
      </c>
      <c r="M79" t="inlineStr">
        <is>
          <t>{"alt-svc":"h3=\":443\"; ma=2592000","apim-request-id":"abc83e47-1844-4b8b-9199-f4bec59c98af","azureml-model-session":"d20260428205641-55ca9797","cache-control":"no-cache","connection":"close","content-length":"999","content-type":"application/json","date":"Thu, 30 Apr 2026 01:03:21 GMT","server":"Caddy","skip-error-remapping":"true","strict-transport-security":"max-age=31536000; includeSubDomains; preload","x-content-type-options":"nosniff","x-ms-client-request-id":"Not-Set","x-ms-is-spilled-over":"false","x-ms-rai-invoked":"false","x-ms-region":"Sweden Central","x-new-api-version":"0.4.35","x-oneapi-request-id":"202604300103186754976848268d9d6HW0OVSpK","x-ratelimit-abusepenalty-active":"False","x-ratelimit-key":"gpt-5-chat-global","x-ratelimit-limit-requests":"1000","x-ratelimit-limit-tokens":"1000000","x-ratelimit-remaining-requests":"999","x-ratelimit-remaining-tokens":"998313","x-ratelimit-renewalperiod-requests":"60","x-ratelimit-renewalperiod-tokens":"60","x-ratelimit-reset-requests":"60","x-ratelimit-reset-tokens":"101","x-request-id":"71656094-d7e6-4786-beb4-c99d735236b0"}</t>
        </is>
      </c>
      <c r="N79" t="inlineStr">
        <is>
          <t>Versace Black Geometric Mid-Calf Socks crafted from soft, breathable stretch cotton blend. Features iconic Greek key and gold logo for a luxurious, modern urban look with perfect comfort fit.</t>
        </is>
      </c>
      <c r="O79" t="inlineStr">
        <is>
          <t>{"id":"chatcmpl-DaAQfyUBAqwfjhyfRQrESWUfhgFgf","object":"chat.completion","created":1777512269,"model":"gpt-5-chat-2025-10-03","choices":[{"index":0,"message":{"role":"assistant","content":"Versace,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79" t="inlineStr">
        <is>
          <t>Versace, Socks &amp; Hosiery, kakobuy, kakebuy2026, kekobuysheet, kakobuysheet2026, 2026kakobuy, kakobuyspreadsheeet, kakobuylink, kakebuylist, Kakobuy MEGA Spreadsheet, kakobuysheetfind, kakobuysheetfind2026, 2026kakobuysheetfind, kakobuysheet2026</t>
        </is>
      </c>
      <c r="Q79" t="inlineStr">
        <is>
          <t>Black, Geometric, Modern, Streetwear, Breathable, Stretch</t>
        </is>
      </c>
      <c r="R79" t="inlineStr">
        <is>
          <t>recvhju1Cruobc</t>
        </is>
      </c>
      <c r="S79" t="inlineStr">
        <is>
          <t>versace-black-greek-key-mid-calf-cotton-socks-recvhju1cruobc</t>
        </is>
      </c>
      <c r="T79"/>
      <c r="U79"/>
      <c r="V79"/>
      <c r="W79" t="inlineStr">
        <is>
          <t>{"id":"chatcmpl-Da9oW9tOQyNbeYJceYahJ5h6sDXBk","object":"chat.completion","created":1777509904,"model":"gpt-5-chat-2025-10-03","choices":[{"index":0,"message":{"role":"assistant","content":"Versace：黑色几何格纹中筒袜，采用高弹棉混纺材质，触感柔软透气。饰以品牌经典希腊回纹与金色标识设计，彰显奢华质感。中性现代都市风格，适合日常与时尚搭配，舒适贴合脚型，展现品牌高端魅力。","refusal":null,"annotations":[]},"logprobs":null,"finish_reason":"stop"}],"usage":{"prompt_tokens":1301,"completion_tokens":89,"total_tokens":1390,"prompt_tokens_details":{"cached_tokens":1280,"audio_tokens":0},"completion_tokens_details":{"reasoning_tokens":0,"audio_tokens":0,"accepted_prediction_tokens":0,"rejected_prediction_tokens":0}},"service_tier":"default","system_fingerprint":"fp_ad66631dec"}</t>
        </is>
      </c>
      <c r="X79" t="inlineStr">
        <is>
          <t>Versace：黑色几何格纹中筒袜，采用高弹棉混纺材质，触感柔软透气。饰以品牌经典希腊回纹与金色标识设计，彰显奢华质感。中性现代都市风格，适合日常与时尚搭配，舒适贴合脚型，展现品牌高端魅力。</t>
        </is>
      </c>
    </row>
    <row r="80" ht="25.5" customHeight="1">
      <c r="A80">
        <v>1654975475</v>
      </c>
      <c r="B80">
        <v>7624609647</v>
      </c>
      <c r="C80" s="2" t="str">
        <f>=HYPERLINK("https://weidian.com/item.html?itemID=7624609647", "https://weidian.com/item.html?itemID=7624609647")</f>
        <v>https://weidian.com/item.html?itemID=7624609647</v>
      </c>
      <c r="D80"/>
      <c r="E80" s="2" t="str">
        <f>=HYPERLINK("https://si.geilicdn.com/pcitem2014204438-18a00000019ae7dbf5960a230115_3072_2938.jpg?w=640&amp;h=640", "https://si.geilicdn.com/pcitem2014204438-18a00000019ae7dbf5960a230115_3072_2938.jpg?w=640&amp;h=640")</f>
        <v>https://si.geilicdn.com/pcitem2014204438-18a00000019ae7dbf5960a230115_3072_2938.jpg?w=640&amp;h=640</v>
      </c>
      <c r="F80" t="inlineStr">
        <is>
          <t>Socks &amp; Hosiery</t>
        </is>
      </c>
      <c r="G80" t="inlineStr">
        <is>
          <t>Champion</t>
        </is>
      </c>
      <c r="H80">
        <v>120</v>
      </c>
      <c r="I80">
        <v>17.39</v>
      </c>
      <c r="J80" t="inlineStr">
        <is>
          <t>{"id":"chatcmpl-DaAHuvWvp2HCS3Q69gnzHkWYvLE0M","object":"chat.completion","created":1777511726,"model":"gpt-5-chat-2025-10-03","choices":[{"index":0,"message":{"role":"assistant","content":"Champion Classic Black Cotton Sport Socks Unisex","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fd471178c5"}</t>
        </is>
      </c>
      <c r="K80" t="inlineStr">
        <is>
          <t>Champion Classic Black Cotton Sport Socks Unisex</t>
        </is>
      </c>
      <c r="L80" t="inlineStr">
        <is>
          <t>{"id":"chatcmpl-DaAD97xlmQk0jqHSCCSd87OGBmQvs","object":"chat.completion","created":1777511431,"model":"gpt-5-chat-2025-10-03","choices":[{"index":0,"message":{"role":"assistant","content":"Champion Classic Black Sport Socks, made from soft breathable cotton blend, feature woven logo bands for bold brand appeal. Unisex retro street style, snug fit for daily wear or workouts.","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fd471178c5"}</t>
        </is>
      </c>
      <c r="M80" t="inlineStr">
        <is>
          <t>{"alt-svc":"h3=\":443\"; ma=2592000","apim-request-id":"198c6d7f-710f-4dd8-9dd7-c11142a2d01c","azureml-model-session":"d20260428174121-807d9cc5","cache-control":"no-cache","connection":"close","content-length":"995","content-type":"application/json","date":"Thu, 30 Apr 2026 01:10:32 GMT","server":"nginx","skip-error-remapping":"true","strict-transport-security":"max-age=31536000; includeSubDomains; preload","via":"1.1 Caddy","x-content-type-options":"nosniff","x-ms-client-request-id":"Not-Set","x-ms-is-spilled-over":"false","x-ms-rai-invoked":"false","x-ms-region":"East US 2","x-new-api-version":"0.4.35","x-oneapi-request-id":"20260430011030962000178268d9d6L6Q27Dhy","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0844527c-742e-4c41-a64c-42cb7fff9c7a"}</t>
        </is>
      </c>
      <c r="N80" t="inlineStr">
        <is>
          <t>Champion Classic Black Sport Socks, made from soft breathable cotton blend, feature woven logo bands for bold brand appeal. Unisex retro street style, snug fit for daily wear or workouts.</t>
        </is>
      </c>
      <c r="O80" t="inlineStr">
        <is>
          <t>{"id":"chatcmpl-DaAS5naq7HzS87ylnFnCtJ46Zg6c0","object":"chat.completion","created":1777512357,"model":"gpt-5-chat-2025-10-03","choices":[{"index":0,"message":{"role":"assistant","content":"Champion,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P80" t="inlineStr">
        <is>
          <t>Champion, Socks &amp; Hosiery, kakobuy, kakebuy2026, kekobuysheet, kakobuysheet2026, 2026kakobuy, kakobuyspreadsheeet, kakobuylink, kakebuylist, Kakobuy MEGA Spreadsheet, kakobuysheetfind, kakobuysheetfind2026, 2026kakobuysheetfind, kakobuysheet2026</t>
        </is>
      </c>
      <c r="Q80" t="inlineStr">
        <is>
          <t>Unisex, Retro, Street, Breathable</t>
        </is>
      </c>
      <c r="R80" t="inlineStr">
        <is>
          <t>recvhju1CrYX7T</t>
        </is>
      </c>
      <c r="S80" t="inlineStr">
        <is>
          <t>champion-black-cotton-sport-socks-recvhju1cryx7t</t>
        </is>
      </c>
      <c r="T80"/>
      <c r="U80"/>
      <c r="V80"/>
      <c r="W80" t="inlineStr">
        <is>
          <t>{"id":"chatcmpl-Da9sA0lNOv9yaaJCxHEulWmKEKWEc","object":"chat.completion","created":1777510130,"model":"gpt-5-chat-2025-10-03","choices":[{"index":0,"message":{"role":"assistant","content":"Champion：经典黑色运动短袜，采用柔软透气棉混纺材质，织带logo装饰彰显品牌标识感，复古街头设计，男女皆宜，舒适贴合脚型，适合日常与运动穿搭。","refusal":null,"annotations":[]},"logprobs":null,"finish_reason":"stop"}],"usage":{"prompt_tokens":1301,"completion_tokens":61,"total_tokens":1362,"prompt_tokens_details":{"cached_tokens":0,"audio_tokens":0},"completion_tokens_details":{"reasoning_tokens":0,"audio_tokens":0,"accepted_prediction_tokens":0,"rejected_prediction_tokens":0}},"service_tier":"default","system_fingerprint":"fp_ad66631dec"}</t>
        </is>
      </c>
      <c r="X80" t="inlineStr">
        <is>
          <t>Champion：经典黑色运动短袜，采用柔软透气棉混纺材质，织带logo装饰彰显品牌标识感，复古街头设计，男女皆宜，舒适贴合脚型，适合日常与运动穿搭。</t>
        </is>
      </c>
    </row>
    <row r="81" ht="25.5" customHeight="1">
      <c r="A81">
        <v>1654975475</v>
      </c>
      <c r="B81">
        <v>7627480474</v>
      </c>
      <c r="C81" s="2" t="str">
        <f>=HYPERLINK("https://weidian.com/item.html?itemID=7627480474", "https://weidian.com/item.html?itemID=7627480474")</f>
        <v>https://weidian.com/item.html?itemID=7627480474</v>
      </c>
      <c r="D81"/>
      <c r="E81" s="2" t="str">
        <f>=HYPERLINK("https://si.geilicdn.com/pcitem2014204438-6fa60000019ae7cf59cf0a20e2c5_3705_2991.jpg?w=640&amp;h=640", "https://si.geilicdn.com/pcitem2014204438-6fa60000019ae7cf59cf0a20e2c5_3705_2991.jpg?w=640&amp;h=640")</f>
        <v>https://si.geilicdn.com/pcitem2014204438-6fa60000019ae7cf59cf0a20e2c5_3705_2991.jpg?w=640&amp;h=640</v>
      </c>
      <c r="F81" t="inlineStr">
        <is>
          <t>Socks &amp; Hosiery</t>
        </is>
      </c>
      <c r="G81" t="inlineStr">
        <is>
          <t>Lacoste</t>
        </is>
      </c>
      <c r="H81">
        <v>120</v>
      </c>
      <c r="I81">
        <v>17.39</v>
      </c>
      <c r="J81" t="inlineStr">
        <is>
          <t>{"id":"chatcmpl-DaAH2lpCLhUOVr9Sx02cIkmuiviGe","object":"chat.completion","created":1777511672,"model":"gpt-5-chat-2025-10-03","choices":[{"index":0,"message":{"role":"assistant","content":"Lacoste Black White Cotton Mid Calf Unisex Socks","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fd471178c5"}</t>
        </is>
      </c>
      <c r="K81" t="inlineStr">
        <is>
          <t>Lacoste Black White Cotton Mid Calf Unisex Socks</t>
        </is>
      </c>
      <c r="L81" t="inlineStr">
        <is>
          <t>{"id":"chatcmpl-DaADWJbunnTgIjoWrMyGRnefex2Ez","object":"chat.completion","created":1777511454,"model":"gpt-5-chat-2025-10-03","choices":[{"index":0,"message":{"role":"assistant","content":"Lacoste Classic Black &amp; White Mid-Calf Socks, soft cotton, breathable and stretchy, with iconic green crocodile logo. Unisex French sporty minimalist style for comfort and casual elegance.","refusal":null,"annotations":[]},"logprobs":null,"finish_reason":"stop"}],"usage":{"prompt_tokens":910,"completion_tokens":39,"total_tokens":949,"prompt_tokens_details":{"cached_tokens":0,"audio_tokens":0},"completion_tokens_details":{"reasoning_tokens":0,"audio_tokens":0,"accepted_prediction_tokens":0,"rejected_prediction_tokens":0}},"service_tier":"default","system_fingerprint":"fp_ad66631dec"}</t>
        </is>
      </c>
      <c r="M81" t="inlineStr">
        <is>
          <t>{"alt-svc":"h3=\":443\"; ma=2592000","apim-request-id":"81e3d938-7da6-4f71-a158-fa7586114cf2","azureml-model-session":"d20260402084046-4209e968","cache-control":"no-cache","connection":"close","content-length":"996","content-type":"application/json","date":"Thu, 30 Apr 2026 01:10:56 GMT","server":"nginx","skip-error-remapping":"true","strict-transport-security":"max-age=31536000; includeSubDomains; preload","via":"1.1 Caddy","x-content-type-options":"nosniff","x-ms-client-request-id":"Not-Set","x-ms-is-spilled-over":"false","x-ms-rai-invoked":"false","x-ms-region":"Sweden Central","x-new-api-version":"0.4.35","x-oneapi-request-id":"202604300110537157504138268d9d6XdnCCXbn","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4b806a28-997c-474e-a9c9-32b45c0f0c55"}</t>
        </is>
      </c>
      <c r="N81" t="inlineStr">
        <is>
          <t>Lacoste Classic Black &amp; White Mid-Calf Socks, soft cotton, breathable and stretchy, with iconic green crocodile logo. Unisex French sporty minimalist style for comfort and casual elegance.</t>
        </is>
      </c>
      <c r="O81" t="inlineStr">
        <is>
          <t>{"id":"chatcmpl-DaAVfHArRf3yChMwvHK4S5V0Mn0kp","object":"chat.completion","created":1777512579,"model":"gpt-5-chat-2025-10-03","choices":[{"index":0,"message":{"role":"assistant","content":"Lacoste,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is>
      </c>
      <c r="P81" t="inlineStr">
        <is>
          <t>Lacoste, Socks &amp; Hosiery, kakobuy, kakebuy2026, kekobuysheet, kakobuysheet2026, 2026kakobuy, kakobuyspreadsheeet, kakobuylink, kakebuylist, Kakobuy MEGA Spreadsheet, kakobuysheetfind, kakobuysheetfind2026, 2026kakobuysheetfind, kakobuysheet2026</t>
        </is>
      </c>
      <c r="Q81" t="inlineStr">
        <is>
          <t>Unisex, Black, White, Sporty, Minimalist</t>
        </is>
      </c>
      <c r="R81" t="inlineStr">
        <is>
          <t>recvhju1CrnxFu</t>
        </is>
      </c>
      <c r="S81" t="inlineStr">
        <is>
          <t>lacoste-black-white-cotton-mid-calf-unisex-socks-recvhju1crnxfu</t>
        </is>
      </c>
      <c r="T81"/>
      <c r="U81"/>
      <c r="V81"/>
      <c r="W81" t="inlineStr">
        <is>
          <t>{"id":"chatcmpl-Da9tlpJBqquZlBxfYbs0v1j4gRMkI","object":"chat.completion","created":1777510229,"model":"gpt-5-chat-2025-10-03","choices":[{"index":0,"message":{"role":"assistant","content":"Lacoste：经典黑白中筒袜系列，采用柔软棉质面料，舒适透气弹性佳。侧面饰以标志性绿鳄标志，融合极简法式运动风格，男女通用款，彰显休闲品味与品牌格调。","refusal":null,"annotations":[]},"logprobs":null,"finish_reason":"stop"}],"usage":{"prompt_tokens":1311,"completion_tokens":69,"total_tokens":1380,"prompt_tokens_details":{"cached_tokens":0,"audio_tokens":0},"completion_tokens_details":{"reasoning_tokens":0,"audio_tokens":0,"accepted_prediction_tokens":0,"rejected_prediction_tokens":0}},"service_tier":"default","system_fingerprint":"fp_fd471178c5"}</t>
        </is>
      </c>
      <c r="X81" t="inlineStr">
        <is>
          <t>Lacoste：经典黑白中筒袜系列，采用柔软棉质面料，舒适透气弹性佳。侧面饰以标志性绿鳄标志，融合极简法式运动风格，男女通用款，彰显休闲品味与品牌格调。</t>
        </is>
      </c>
    </row>
    <row r="82" ht="25.5" customHeight="1">
      <c r="A82">
        <v>1654975475</v>
      </c>
      <c r="B82">
        <v>7624437543</v>
      </c>
      <c r="C82" s="2" t="str">
        <f>=HYPERLINK("https://weidian.com/item.html?itemID=7624437543", "https://weidian.com/item.html?itemID=7624437543")</f>
        <v>https://weidian.com/item.html?itemID=7624437543</v>
      </c>
      <c r="D82"/>
      <c r="E82" s="2" t="str">
        <f>=HYPERLINK("https://si.geilicdn.com/pcitem2014204438-6fed0000019ae7ca416a0a2304aa_2000_1496.jpg?w=640&amp;h=640", "https://si.geilicdn.com/pcitem2014204438-6fed0000019ae7ca416a0a2304aa_2000_1496.jpg?w=640&amp;h=640")</f>
        <v>https://si.geilicdn.com/pcitem2014204438-6fed0000019ae7ca416a0a2304aa_2000_1496.jpg?w=640&amp;h=640</v>
      </c>
      <c r="F82" t="inlineStr">
        <is>
          <t>Socks &amp; Hosiery</t>
        </is>
      </c>
      <c r="G82" t="inlineStr">
        <is>
          <t>Hermes</t>
        </is>
      </c>
      <c r="H82">
        <v>120</v>
      </c>
      <c r="I82">
        <v>17.39</v>
      </c>
      <c r="J82" t="inlineStr">
        <is>
          <t>{"id":"chatcmpl-DaAHujxP81XjFF98Dy21f76wQNipp","object":"chat.completion","created":1777511726,"model":"gpt-5-chat-2025-10-03","choices":[{"index":0,"message":{"role":"assistant","content":"Hermes Carriage Logo Cotton Mid Calf Unisex Socks","refusal":null,"annotations":[]},"logprobs":null,"finish_reason":"stop"}],"usage":{"prompt_tokens":595,"completion_tokens":13,"total_tokens":608,"prompt_tokens_details":{"cached_tokens":0,"audio_tokens":0},"completion_tokens_details":{"reasoning_tokens":0,"audio_tokens":0,"accepted_prediction_tokens":0,"rejected_prediction_tokens":0}},"service_tier":"default","system_fingerprint":"fp_fd471178c5"}</t>
        </is>
      </c>
      <c r="K82" t="inlineStr">
        <is>
          <t>Hermes Carriage Logo Cotton Mid Calf Unisex Socks</t>
        </is>
      </c>
      <c r="L82" t="inlineStr">
        <is>
          <t>{"id":"chatcmpl-DaAEMpIpeEs5RNPjjX7KZbCCKzRaT","object":"chat.completion","created":1777511506,"model":"gpt-5-chat-2025-10-03","choices":[{"index":0,"message":{"role":"assistant","content":"Hermes classic carriage logo mid-calf socks in soft high-density cotton. Breathable, durable, unisex casual design blending French luxury style with comfort and timeless elegance.","refusal":null,"annotations":[]},"logprobs":null,"finish_reason":"stop"}],"usage":{"prompt_tokens":632,"completion_tokens":35,"total_tokens":667,"prompt_tokens_details":{"cached_tokens":0,"audio_tokens":0},"completion_tokens_details":{"reasoning_tokens":0,"audio_tokens":0,"accepted_prediction_tokens":0,"rejected_prediction_tokens":0}},"service_tier":"default","system_fingerprint":"fp_ad66631dec"}</t>
        </is>
      </c>
      <c r="M82" t="inlineStr">
        <is>
          <t>{"alt-svc":"h3=\":443\"; ma=2592000","apim-request-id":"e20bef30-3ce8-4967-89b5-f09b98f89f7e","azureml-model-session":"d20260402083108-57a85543","cache-control":"no-cache","connection":"close","content-length":"987","content-type":"application/json","date":"Thu, 30 Apr 2026 01:11:49 GMT","server":"nginx","skip-error-remapping":"true","strict-transport-security":"max-age=31536000; includeSubDomains; preload","via":"1.1 Caddy","x-content-type-options":"nosniff","x-ms-client-request-id":"Not-Set","x-ms-is-spilled-over":"false","x-ms-rai-invoked":"false","x-ms-region":"Sweden Central","x-new-api-version":"0.4.35","x-oneapi-request-id":"202604300111463819319338268d9d6Fwx3RSEc","x-ratelimit-abusepenalty-active":"False","x-ratelimit-key":"gpt-5-chat-global","x-ratelimit-limit-requests":"1000","x-ratelimit-limit-tokens":"1000000","x-ratelimit-remaining-requests":"999","x-ratelimit-remaining-tokens":"998604","x-ratelimit-renewalperiod-requests":"60","x-ratelimit-renewalperiod-tokens":"60","x-ratelimit-reset-requests":"60","x-ratelimit-reset-tokens":"83","x-request-id":"679ee75c-ca67-42f8-99a1-52c304ce3612"}</t>
        </is>
      </c>
      <c r="N82" t="inlineStr">
        <is>
          <t>Hermes classic carriage logo mid-calf socks in soft high-density cotton. Breathable, durable, unisex casual design blending French luxury style with comfort and timeless elegance.</t>
        </is>
      </c>
      <c r="O82" t="inlineStr">
        <is>
          <t>{"id":"chatcmpl-DaATpGC5x9lFYu76at9dh3dybtWK3","object":"chat.completion","created":1777512465,"model":"gpt-5-chat-2025-10-03","choices":[{"index":0,"message":{"role":"assistant","content":"Hermes,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506,"completion_tokens":94,"total_tokens":600,"prompt_tokens_details":{"cached_tokens":0,"audio_tokens":0},"completion_tokens_details":{"reasoning_tokens":0,"audio_tokens":0,"accepted_prediction_tokens":0,"rejected_prediction_tokens":0}},"service_tier":"default","system_fingerprint":"fp_ad66631dec"}</t>
        </is>
      </c>
      <c r="P82" t="inlineStr">
        <is>
          <t>Hermes, Socks &amp; Hosiery, kakobuy, kakebuy2026, kekobuysheet, kakobuysheet2026, 2026kakobuy, kakobuyspreadsheeet, kakobuylink, kakebuylist, Kakobuy MEGA Spreadsheet, kakobuysheetfind, kakobuysheetfind2026, 2026kakobuysheetfind, kakobuysheet2026</t>
        </is>
      </c>
      <c r="Q82" t="inlineStr">
        <is>
          <t>Unisex, Breathable</t>
        </is>
      </c>
      <c r="R82" t="inlineStr">
        <is>
          <t>recvhju1CrBzbv</t>
        </is>
      </c>
      <c r="S82" t="inlineStr">
        <is>
          <t>hermes-carriage-logo-cotton-mid-calf-unisex-socks-recvhju1crbzbv</t>
        </is>
      </c>
      <c r="T82"/>
      <c r="U82"/>
      <c r="V82"/>
      <c r="W82" t="inlineStr">
        <is>
          <t>{"id":"chatcmpl-Da9poB5tomnyZULZwDqJaeAYsBCMU","object":"chat.completion","created":1777509984,"model":"gpt-5-chat-2025-10-03","choices":[{"index":0,"message":{"role":"assistant","content":"Hermes：橙色经典马车徽标中筒袜，选用柔软高密棉质，舒适透气不易变形。简约奢华设计融合品牌标志性图腾，彰显法式高端格调。男女通用休闲款，时尚与质感并存。","refusal":null,"annotations":[]},"logprobs":null,"finish_reason":"stop"}],"usage":{"prompt_tokens":1025,"completion_tokens":74,"total_tokens":1099,"prompt_tokens_details":{"cached_tokens":0,"audio_tokens":0},"completion_tokens_details":{"reasoning_tokens":0,"audio_tokens":0,"accepted_prediction_tokens":0,"rejected_prediction_tokens":0}},"service_tier":"default","system_fingerprint":"fp_fd471178c5"}</t>
        </is>
      </c>
      <c r="X82" t="inlineStr">
        <is>
          <t>Hermes：橙色经典马车徽标中筒袜，选用柔软高密棉质，舒适透气不易变形。简约奢华设计融合品牌标志性图腾，彰显法式高端格调。男女通用休闲款，时尚与质感并存。</t>
        </is>
      </c>
    </row>
    <row r="83" ht="25.5" customHeight="1">
      <c r="A83">
        <v>1654975475</v>
      </c>
      <c r="B83">
        <v>7627442312</v>
      </c>
      <c r="C83" s="2" t="str">
        <f>=HYPERLINK("https://weidian.com/item.html?itemID=7627442312", "https://weidian.com/item.html?itemID=7627442312")</f>
        <v>https://weidian.com/item.html?itemID=7627442312</v>
      </c>
      <c r="D83"/>
      <c r="E83" s="2" t="str">
        <f>=HYPERLINK("https://si.geilicdn.com/pcitem2014204438-127a0000019ae7c12f000a210256_3046_2439.jpg?w=640&amp;h=640", "https://si.geilicdn.com/pcitem2014204438-127a0000019ae7c12f000a210256_3046_2439.jpg?w=640&amp;h=640")</f>
        <v>https://si.geilicdn.com/pcitem2014204438-127a0000019ae7c12f000a210256_3046_2439.jpg?w=640&amp;h=640</v>
      </c>
      <c r="F83" t="inlineStr">
        <is>
          <t>Socks &amp; Hosiery</t>
        </is>
      </c>
      <c r="G83" t="inlineStr">
        <is>
          <t>Alo</t>
        </is>
      </c>
      <c r="H83">
        <v>136</v>
      </c>
      <c r="I83">
        <v>19.71</v>
      </c>
      <c r="J83" t="inlineStr">
        <is>
          <t>{"id":"chatcmpl-DaAFJdYxndq7my9n2W1XASgWGqiL2","object":"chat.completion","created":1777511565,"model":"gpt-5-chat-2025-10-03","choices":[{"index":0,"message":{"role":"assistant","content":"Alo Classic Nude Invisible Cotton Anti Slip Sock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83" t="inlineStr">
        <is>
          <t>Alo Classic Nude Invisible Cotton Anti Slip Socks</t>
        </is>
      </c>
      <c r="L83" t="inlineStr">
        <is>
          <t>{"id":"chatcmpl-DaAAASfQMiOrWlzYmoWGRc7JsRyMq","object":"chat.completion","created":1777511246,"model":"gpt-5-chat-2025-10-03","choices":[{"index":0,"message":{"role":"assistant","content":"Alo Classic Nude Invisible Socks – High-stretch breathable cotton blend, anti-slip and ergonomic fit, minimalist logo design for sporty casual style, unisex everyday versatile wear.","refusal":null,"annotations":[]},"logprobs":null,"finish_reason":"stop"}],"usage":{"prompt_tokens":893,"completion_tokens":35,"total_tokens":928,"prompt_tokens_details":{"cached_tokens":0,"audio_tokens":0},"completion_tokens_details":{"reasoning_tokens":0,"audio_tokens":0,"accepted_prediction_tokens":0,"rejected_prediction_tokens":0}},"service_tier":"default","system_fingerprint":"fp_fd471178c5"}</t>
        </is>
      </c>
      <c r="M83" t="inlineStr">
        <is>
          <t>{"alt-svc":"h3=\":443\"; ma=2592000","apim-request-id":"f2be618d-e9c5-4820-bcf4-b1c400b615e7","azureml-model-session":"d20260428205641-55ca9797","cache-control":"no-cache","connection":"close","content-length":"991","content-type":"application/json","date":"Thu, 30 Apr 2026 01:07:27 GMT","server":"nginx","skip-error-remapping":"true","strict-transport-security":"max-age=31536000; includeSubDomains; preload","via":"1.1 Caddy","x-content-type-options":"nosniff","x-ms-client-request-id":"Not-Set","x-ms-is-spilled-over":"false","x-ms-rai-invoked":"false","x-ms-region":"South Central US","x-new-api-version":"0.4.35","x-oneapi-request-id":"202604300107252504877898268d9d6TtRlefbR","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a8ab091d-e327-4452-8aa5-688977c91b4b"}</t>
        </is>
      </c>
      <c r="N83" t="inlineStr">
        <is>
          <t>Alo Classic Nude Invisible Socks – High-stretch breathable cotton blend, anti-slip and ergonomic fit, minimalist logo design for sporty casual style, unisex everyday versatile wear.</t>
        </is>
      </c>
      <c r="O83" t="inlineStr">
        <is>
          <t>{"id":"chatcmpl-DaAVKg2HyAo04vcjlMDCdNzGxvfzp","object":"chat.completion","created":1777512558,"model":"gpt-5-chat-2025-10-03","choices":[{"index":0,"message":{"role":"assistant","content":"Alo,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83" t="inlineStr">
        <is>
          <t>Alo, Socks &amp; Hosiery, kakobuy, kakebuy2026, kekobuysheet, kakobuysheet2026, 2026kakobuy, kakobuyspreadsheeet, kakobuylink, kakebuylist, Kakobuy MEGA Spreadsheet, kakobuysheetfind, kakobuysheetfind2026, 2026kakobuysheetfind, kakobuysheet2026</t>
        </is>
      </c>
      <c r="Q83" t="inlineStr">
        <is>
          <t>Unisex, Breathable, Anti-Slip, Minimalist, Sporty</t>
        </is>
      </c>
      <c r="R83" t="inlineStr">
        <is>
          <t>recvhju1CrRUNH</t>
        </is>
      </c>
      <c r="S83" t="inlineStr">
        <is>
          <t>alo-classic-nude-invisible-cotton-anti-slip-socks-recvhju1crrunh</t>
        </is>
      </c>
      <c r="T83"/>
      <c r="U83"/>
      <c r="V83"/>
      <c r="W83" t="inlineStr">
        <is>
          <t>{"id":"chatcmpl-Da9sUlmwAI4baefkVGHUBrhqGLegY","object":"chat.completion","created":1777510150,"model":"gpt-5-chat-2025-10-03","choices":[{"index":0,"message":{"role":"assistant","content":"Alo：经典裸色隐形船袜，采用高弹透气棉质混纺面料，贴合脚型防滑舒适，极简LOGO设计彰显运动休闲风，男女通用日常百搭款。","refusal":null,"annotations":[]},"logprobs":null,"finish_reason":"stop"}],"usage":{"prompt_tokens":1303,"completion_tokens":56,"total_tokens":1359,"prompt_tokens_details":{"cached_tokens":0,"audio_tokens":0},"completion_tokens_details":{"reasoning_tokens":0,"audio_tokens":0,"accepted_prediction_tokens":0,"rejected_prediction_tokens":0}},"service_tier":"default","system_fingerprint":"fp_ad66631dec"}</t>
        </is>
      </c>
      <c r="X83" t="inlineStr">
        <is>
          <t>Alo：经典裸色隐形船袜，采用高弹透气棉质混纺面料，贴合脚型防滑舒适，极简LOGO设计彰显运动休闲风，男女通用日常百搭款。</t>
        </is>
      </c>
    </row>
    <row r="84" ht="25.5" customHeight="1">
      <c r="A84">
        <v>1654975475</v>
      </c>
      <c r="B84">
        <v>7624475659</v>
      </c>
      <c r="C84" s="2" t="str">
        <f>=HYPERLINK("https://weidian.com/item.html?itemID=7624475659", "https://weidian.com/item.html?itemID=7624475659")</f>
        <v>https://weidian.com/item.html?itemID=7624475659</v>
      </c>
      <c r="D84"/>
      <c r="E84" s="2" t="str">
        <f>=HYPERLINK("https://si.geilicdn.com/pcitem2014204438-10c90000019ae7bb76df0a210256_1080_1080.jpg?w=640&amp;h=640", "https://si.geilicdn.com/pcitem2014204438-10c90000019ae7bb76df0a210256_1080_1080.jpg?w=640&amp;h=640")</f>
        <v>https://si.geilicdn.com/pcitem2014204438-10c90000019ae7bb76df0a210256_1080_1080.jpg?w=640&amp;h=640</v>
      </c>
      <c r="F84" t="inlineStr">
        <is>
          <t>Socks &amp; Hosiery</t>
        </is>
      </c>
      <c r="G84" t="inlineStr">
        <is>
          <t>Moncler</t>
        </is>
      </c>
      <c r="H84">
        <v>136</v>
      </c>
      <c r="I84">
        <v>19.71</v>
      </c>
      <c r="J84" t="inlineStr">
        <is>
          <t>{"id":"chatcmpl-DaAIUuEvbDzeEp9wdwuOOQH38dg07","object":"chat.completion","created":1777511762,"model":"gpt-5-chat-2025-10-03","choices":[{"index":0,"message":{"role":"assistant","content":"Moncler Classic Black White Mid-Calf Unisex Sports Socks","refusal":null,"annotations":[]},"logprobs":null,"finish_reason":"stop"}],"usage":{"prompt_tokens":881,"completion_tokens":13,"total_tokens":894,"prompt_tokens_details":{"cached_tokens":0,"audio_tokens":0},"completion_tokens_details":{"reasoning_tokens":0,"audio_tokens":0,"accepted_prediction_tokens":0,"rejected_prediction_tokens":0}},"service_tier":"default","system_fingerprint":"fp_ad66631dec"}</t>
        </is>
      </c>
      <c r="K84" t="inlineStr">
        <is>
          <t>Moncler Classic Black White Mid-Calf Unisex Sports Socks</t>
        </is>
      </c>
      <c r="L84" t="inlineStr">
        <is>
          <t>{"id":"chatcmpl-DaA8zgQunpPrgHjFgjXkskafPszuA","object":"chat.completion","created":1777511173,"model":"gpt-5-chat-2025-10-03","choices":[{"index":0,"message":{"role":"assistant","content":"Moncler Classic Black and White Mid-Calf Sports Socks, soft cotton blend with embroidered logo patch, unisex design for casual wear, combining comfort, style, and modern urban luxury.","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ad66631dec"}</t>
        </is>
      </c>
      <c r="M84" t="inlineStr">
        <is>
          <t>{"alt-svc":"h3=\":443\"; ma=2592000","apim-request-id":"7ae13a29-ab76-4585-ab3d-c3552ae88226","azureml-model-session":"d20260402075109-1fc5a0ec","cache-control":"no-cache","connection":"close","content-length":"991","content-type":"application/json","date":"Thu, 30 Apr 2026 01:06:14 GMT","server":"nginx","skip-error-remapping":"true","strict-transport-security":"max-age=31536000; includeSubDomains; preload","via":"1.1 Caddy","x-content-type-options":"nosniff","x-ms-client-request-id":"Not-Set","x-ms-is-spilled-over":"false","x-ms-rai-invoked":"false","x-ms-region":"Central US","x-new-api-version":"0.4.35","x-oneapi-request-id":"202604300106123917293338268d9d6BOfAwJI0","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d8d9a90d-7928-47cc-8a15-af33fef0c811"}</t>
        </is>
      </c>
      <c r="N84" t="inlineStr">
        <is>
          <t>Moncler Classic Black and White Mid-Calf Sports Socks, soft cotton blend with embroidered logo patch, unisex design for casual wear, combining comfort, style, and modern urban luxury.</t>
        </is>
      </c>
      <c r="O84" t="inlineStr">
        <is>
          <t>{"id":"chatcmpl-DaAV81X8NptkPA5krmarcCT7KOTPB","object":"chat.completion","created":1777512546,"model":"gpt-5-chat-2025-10-03","choices":[{"index":0,"message":{"role":"assistant","content":"Moncler,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84" t="inlineStr">
        <is>
          <t>Moncler, Socks &amp; Hosiery, kakobuy, kakebuy2026, kekobuysheet, kakobuysheet2026, 2026kakobuy, kakobuyspreadsheeet, kakobuylink, kakebuylist, Kakobuy MEGA Spreadsheet, kakobuysheetfind, kakobuysheetfind2026, 2026kakobuysheetfind, kakobuysheet2026</t>
        </is>
      </c>
      <c r="Q84"/>
      <c r="R84" t="inlineStr">
        <is>
          <t>recvhju1Cr7fcf</t>
        </is>
      </c>
      <c r="S84" t="inlineStr">
        <is>
          <t>moncler-black-white-mid-calf-sports-socks-recvhju1cr7fcf</t>
        </is>
      </c>
      <c r="T84"/>
      <c r="U84"/>
      <c r="V84"/>
      <c r="W84" t="inlineStr">
        <is>
          <t>{"id":"chatcmpl-Da9pPnNkK8HbtPYLBH40THa0POt0Y","object":"chat.completion","created":1777509959,"model":"gpt-5-chat-2025-10-03","choices":[{"index":0,"message":{"role":"assistant","content":"Moncler：黑白经典运动中筒袜，柔软棉质混纺材质，织有标志性绣章徽标，简约设计兼顾舒适与时尚，适合男女休闲穿搭，展现现代都市轻奢风格。","refusal":null,"annotations":[]},"logprobs":null,"finish_reason":"stop"}],"usage":{"prompt_tokens":1303,"completion_tokens":64,"total_tokens":1367,"prompt_tokens_details":{"cached_tokens":0,"audio_tokens":0},"completion_tokens_details":{"reasoning_tokens":0,"audio_tokens":0,"accepted_prediction_tokens":0,"rejected_prediction_tokens":0}},"service_tier":"default","system_fingerprint":"fp_fd471178c5"}</t>
        </is>
      </c>
      <c r="X84" t="inlineStr">
        <is>
          <t>Moncler：黑白经典运动中筒袜，柔软棉质混纺材质，织有标志性绣章徽标，简约设计兼顾舒适与时尚，适合男女休闲穿搭，展现现代都市轻奢风格。</t>
        </is>
      </c>
    </row>
    <row r="85" ht="25.5" customHeight="1">
      <c r="A85">
        <v>1654975475</v>
      </c>
      <c r="B85">
        <v>7624100675</v>
      </c>
      <c r="C85" s="2" t="str">
        <f>=HYPERLINK("https://weidian.com/item.html?itemID=7624100675", "https://weidian.com/item.html?itemID=7624100675")</f>
        <v>https://weidian.com/item.html?itemID=7624100675</v>
      </c>
      <c r="D85"/>
      <c r="E85" s="2" t="str">
        <f>=HYPERLINK("https://si.geilicdn.com/pcitem902014207253-5fa40000019ae74c10f70a20e273_1440_1920.jpg?w=640&amp;h=640", "https://si.geilicdn.com/pcitem902014207253-5fa40000019ae74c10f70a20e273_1440_1920.jpg?w=640&amp;h=640")</f>
        <v>https://si.geilicdn.com/pcitem902014207253-5fa40000019ae74c10f70a20e273_1440_1920.jpg?w=640&amp;h=640</v>
      </c>
      <c r="F85" t="inlineStr">
        <is>
          <t>Glasses</t>
        </is>
      </c>
      <c r="G85" t="inlineStr">
        <is>
          <t>Chanel</t>
        </is>
      </c>
      <c r="H85">
        <v>350</v>
      </c>
      <c r="I85">
        <v>50.72</v>
      </c>
      <c r="J85" t="inlineStr">
        <is>
          <t>{"id":"chatcmpl-DaAGh7UjzL617R31VMlhI3NWr9jlR","object":"chat.completion","created":1777511651,"model":"gpt-5-chat-2025-10-03","choices":[{"index":0,"message":{"role":"assistant","content":"Chanel Classic Square Brown Gradient Unisex Sunglass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fd471178c5"}</t>
        </is>
      </c>
      <c r="K85" t="inlineStr">
        <is>
          <t>Chanel Classic Square Brown Gradient Unisex Sunglasses</t>
        </is>
      </c>
      <c r="L85" t="inlineStr">
        <is>
          <t>{"id":"chatcmpl-DaABL4QaIEj37qLyISkV23pdFyysQ","object":"chat.completion","created":1777511319,"model":"gpt-5-chat-2025-10-03","choices":[{"index":0,"message":{"role":"assistant","content":"Chanel Classic Square Brown Gradient Sunglasses feature lightweight resin, gold logo accents, and a unisex design blending vintage and modern elegance for a refined, high-fashion statement.","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ad66631dec"}</t>
        </is>
      </c>
      <c r="M85" t="inlineStr">
        <is>
          <t>{"alt-svc":"h3=\":443\"; ma=2592000","apim-request-id":"9698542a-739c-4019-8fc8-defd5fa73315","azureml-model-session":"d20260402083108-57a85543","cache-control":"no-cache","connection":"close","content-length":"997","content-type":"application/json","date":"Thu, 30 Apr 2026 01:08:40 GMT","server":"nginx","skip-error-remapping":"true","strict-transport-security":"max-age=31536000; includeSubDomains; preload","via":"1.1 Caddy","x-content-type-options":"nosniff","x-ms-client-request-id":"Not-Set","x-ms-is-spilled-over":"false","x-ms-rai-invoked":"false","x-ms-region":"Central US","x-new-api-version":"0.4.35","x-oneapi-request-id":"202604300108386801650758268d9d64TeJ4SJj","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6e768fc5-8cf1-4dc9-b64f-6dfcec73fc04"}</t>
        </is>
      </c>
      <c r="N85" t="inlineStr">
        <is>
          <t>Chanel Classic Square Brown Gradient Sunglasses feature lightweight resin, gold logo accents, and a unisex design blending vintage and modern elegance for a refined, high-fashion statement.</t>
        </is>
      </c>
      <c r="O85" t="inlineStr">
        <is>
          <t>{"id":"chatcmpl-DaAS7QVKimSMqV7jSRYdWE3Yo0IT9","object":"chat.completion","created":1777512359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85" t="inlineStr">
        <is>
          <t>Chanel,Glasses,kakobuy,kakebuy2026,kekobuysheet,kakobuysheet2026,2026kakobuy,kakobuyspreadsheeet,kakobuylink,kakebuylist,Kakobuy MEGA Spreadsheet,kakobuysheetfind,kakobuysheetfind2026,2026kakobuysheetfind,kakobuysheet2026</t>
        </is>
      </c>
      <c r="Q85" t="inlineStr">
        <is>
          <t>Chanel, Unisex, Vintage, Modern, Elegant, High End</t>
        </is>
      </c>
      <c r="R85" t="inlineStr">
        <is>
          <t>recvhju1Crh44v</t>
        </is>
      </c>
      <c r="S85" t="inlineStr">
        <is>
          <t>chanel-classic-square-brown-gradient-sunglasses-recvhju1crh44v</t>
        </is>
      </c>
      <c r="T85"/>
      <c r="U85"/>
      <c r="V85"/>
      <c r="W85" t="inlineStr">
        <is>
          <t>{"id":"chatcmpl-Da9s68LAOVlayOTr3mAb29K3ceQ1H","object":"chat.completion","created":1777510126,"model":"gpt-5-chat-2025-10-03","choices":[{"index":0,"message":{"role":"assistant","content":"Chanel：经典方框棕色渐变镜片太阳眼镜，采用轻盈树脂材质与金色Logo饰扣设计，展现现代优雅格调，适合男女佩戴，融合复古与摩登气质，彰显高级时尚魅力。","refusal":null,"annotations":[]},"logprobs":null,"finish_reason":"stop"}],"usage":{"prompt_tokens":1302,"completion_tokens":64,"total_tokens":1366,"prompt_tokens_details":{"cached_tokens":1280,"audio_tokens":0},"completion_tokens_details":{"reasoning_tokens":0,"audio_tokens":0,"accepted_prediction_tokens":0,"rejected_prediction_tokens":0}},"service_tier":"default","system_fingerprint":"fp_fd471178c5"}</t>
        </is>
      </c>
      <c r="X85" t="inlineStr">
        <is>
          <t>Chanel：经典方框棕色渐变镜片太阳眼镜，采用轻盈树脂材质与金色Logo饰扣设计，展现现代优雅格调，适合男女佩戴，融合复古与摩登气质，彰显高级时尚魅力。</t>
        </is>
      </c>
    </row>
    <row r="86" ht="25.5" customHeight="1">
      <c r="A86">
        <v>1654975475</v>
      </c>
      <c r="B86">
        <v>7626971206</v>
      </c>
      <c r="C86" s="2" t="str">
        <f>=HYPERLINK("https://weidian.com/item.html?itemID=7626971206", "https://weidian.com/item.html?itemID=7626971206")</f>
        <v>https://weidian.com/item.html?itemID=7626971206</v>
      </c>
      <c r="D86"/>
      <c r="E86" s="2" t="str">
        <f>=HYPERLINK("https://si.geilicdn.com/pcitem902014207253-76e00000019ae74b2d770a2303ee_1074_1074.jpg?w=640&amp;h=640", "https://si.geilicdn.com/pcitem902014207253-76e00000019ae74b2d770a2303ee_1074_1074.jpg?w=640&amp;h=640")</f>
        <v>https://si.geilicdn.com/pcitem902014207253-76e00000019ae74b2d770a2303ee_1074_1074.jpg?w=640&amp;h=640</v>
      </c>
      <c r="F86" t="inlineStr">
        <is>
          <t>Glasses</t>
        </is>
      </c>
      <c r="G86" t="inlineStr">
        <is>
          <t>Prada</t>
        </is>
      </c>
      <c r="H86">
        <v>380</v>
      </c>
      <c r="I86">
        <v>55.07</v>
      </c>
      <c r="J86" t="inlineStr">
        <is>
          <t>{"id":"chatcmpl-DaAGVLHv6cafvdNAW8brmHvmZuzZv","object":"chat.completion","created":1777511639,"model":"gpt-5-chat-2025-10-03","choices":[{"index":0,"message":{"role":"assistant","content":"Prada Red Black Metal Frame Sunglasses","refusal":null,"annotations":[]},"logprobs":null,"finish_reason":"stop"}],"usage":{"prompt_tokens":870,"completion_tokens":9,"total_tokens":879,"prompt_tokens_details":{"cached_tokens":0,"audio_tokens":0},"completion_tokens_details":{"reasoning_tokens":0,"audio_tokens":0,"accepted_prediction_tokens":0,"rejected_prediction_tokens":0}},"service_tier":"default","system_fingerprint":"fp_fd471178c5"}</t>
        </is>
      </c>
      <c r="K86" t="inlineStr">
        <is>
          <t>Prada Red Black Metal Frame Sunglasses</t>
        </is>
      </c>
      <c r="L86" t="inlineStr">
        <is>
          <t>{"id":"chatcmpl-DaABvq4nMygXn3gkXqn2YIqKxPyZB","object":"chat.completion","created":1777511355,"model":"gpt-5-chat-2025-10-03","choices":[{"index":0,"message":{"role":"assistant","content":"Prada Red-Black Metal Frame Sunglasses feature lightweight alloy and gradient lenses in a futuristic wide design. Unisex style blends Italian minimalism and luxury urban aesthetics.","refusal":null,"annotations":[]},"logprobs":null,"finish_reason":"stop"}],"usage":{"prompt_tokens":904,"completion_tokens":34,"total_tokens":938,"prompt_tokens_details":{"cached_tokens":0,"audio_tokens":0},"completion_tokens_details":{"reasoning_tokens":0,"audio_tokens":0,"accepted_prediction_tokens":0,"rejected_prediction_tokens":0}},"service_tier":"default","system_fingerprint":"fp_fd471178c5"}</t>
        </is>
      </c>
      <c r="M86" t="inlineStr">
        <is>
          <t>{"alt-svc":"h3=\":443\"; ma=2592000","apim-request-id":"bf9de551-e825-4697-89d9-6548ba3b3d68","azureml-model-session":"d20260428174121-807d9cc5","cache-control":"no-cache","connection":"close","content-length":"989","content-type":"application/json","date":"Thu, 30 Apr 2026 01:09:16 GMT","server":"Caddy","skip-error-remapping":"true","strict-transport-security":"max-age=31536000; includeSubDomains; preload","x-content-type-options":"nosniff","x-ms-client-request-id":"Not-Set","x-ms-is-spilled-over":"false","x-ms-rai-invoked":"false","x-ms-region":"Central US","x-new-api-version":"0.4.35","x-oneapi-request-id":"202604300109148718597088268d9d6wDaEsj7Z","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08555d90-bda1-4e42-9ccc-a81ece142da9"}</t>
        </is>
      </c>
      <c r="N86" t="inlineStr">
        <is>
          <t>Prada Red-Black Metal Frame Sunglasses feature lightweight alloy and gradient lenses in a futuristic wide design. Unisex style blends Italian minimalism and luxury urban aesthetics.</t>
        </is>
      </c>
      <c r="O86" t="inlineStr">
        <is>
          <t>{"id":"chatcmpl-DaARLlc8JvmRR6u2C04B0750Zpg3K","object":"chat.completion","created":1777512311,"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6" t="inlineStr">
        <is>
          <t>Prada,Glasses,kakobuy,kakebuy2026,kekobuysheet,kakobuysheet2026,2026kakobuy,kakobuyspreadsheeet,kakobuylink,kakebuylist,Kakobuy MEGA Spreadsheet,kakobuysheetfind,kakobuysheetfind2026,2026kakobuysheetfind,kakobuysheet2026</t>
        </is>
      </c>
      <c r="Q86" t="inlineStr">
        <is>
          <t>Red, Black, Unisex, Minimalist</t>
        </is>
      </c>
      <c r="R86" t="inlineStr">
        <is>
          <t>recvhju1CrfOi6</t>
        </is>
      </c>
      <c r="S86" t="inlineStr">
        <is>
          <t>prada-red-black-metal-frame-sunglasses-recvhju1crfoi6</t>
        </is>
      </c>
      <c r="T86"/>
      <c r="U86"/>
      <c r="V86"/>
      <c r="W86" t="inlineStr">
        <is>
          <t>{"id":"chatcmpl-Da9q6uNuE9NUH5bW3N2cVzJ5kt0QD","object":"chat.completion","created":1777510002,"model":"gpt-5-chat-2025-10-03","choices":[{"index":0,"message":{"role":"assistant","content":"Prada：红黑撞色金属框太阳镜，采用轻盈合金材质与渐变镜片设计，展现现代都市风格。宽镜面造型极具未来感，男女皆宜，融合意式简约与功能美学，彰显奢华时尚品位。","refusal":null,"annotations":[]},"logprobs":null,"finish_reason":"stop"}],"usage":{"prompt_tokens":1302,"completion_tokens":69,"total_tokens":1371,"prompt_tokens_details":{"cached_tokens":1280,"audio_tokens":0},"completion_tokens_details":{"reasoning_tokens":0,"audio_tokens":0,"accepted_prediction_tokens":0,"rejected_prediction_tokens":0}},"service_tier":"default","system_fingerprint":"fp_fd471178c5"}</t>
        </is>
      </c>
      <c r="X86" t="inlineStr">
        <is>
          <t>Prada：红黑撞色金属框太阳镜，采用轻盈合金材质与渐变镜片设计，展现现代都市风格。宽镜面造型极具未来感，男女皆宜，融合意式简约与功能美学，彰显奢华时尚品位。</t>
        </is>
      </c>
    </row>
    <row r="87" ht="25.5" customHeight="1">
      <c r="A87">
        <v>1654975475</v>
      </c>
      <c r="B87">
        <v>7623888949</v>
      </c>
      <c r="C87" s="2" t="str">
        <f>=HYPERLINK("https://weidian.com/item.html?itemID=7623888949", "https://weidian.com/item.html?itemID=7623888949")</f>
        <v>https://weidian.com/item.html?itemID=7623888949</v>
      </c>
      <c r="D87"/>
      <c r="E87" s="2" t="str">
        <f>=HYPERLINK("https://si.geilicdn.com/pcitem2014204438-6dda0000019ae49ef0d60a8134f0_1440_1920.jpg?w=640&amp;h=640", "https://si.geilicdn.com/pcitem2014204438-6dda0000019ae49ef0d60a8134f0_1440_1920.jpg?w=640&amp;h=640")</f>
        <v>https://si.geilicdn.com/pcitem2014204438-6dda0000019ae49ef0d60a8134f0_1440_1920.jpg?w=640&amp;h=640</v>
      </c>
      <c r="F87" t="inlineStr">
        <is>
          <t>Accessories</t>
        </is>
      </c>
      <c r="G87" t="inlineStr">
        <is>
          <t xml:space="preserve"> Issey Miyake</t>
        </is>
      </c>
      <c r="H87">
        <v>370</v>
      </c>
      <c r="I87">
        <v>53.62</v>
      </c>
      <c r="J87" t="inlineStr">
        <is>
          <t>{"id":"chatcmpl-DaAGgti97fJDoUjbU8rLJiMOAl8n6","object":"chat.completion","created":1777511650,"model":"gpt-5-chat-2025-10-03","choices":[{"index":0,"message":{"role":"assistant","content":"Issey Miyake BaoBao Pink Geometric 3D Fashion Backpack","refusal":null,"annotations":[]},"logprobs":null,"finish_reason":"stop"}],"usage":{"prompt_tokens":883,"completion_tokens":15,"total_tokens":898,"prompt_tokens_details":{"cached_tokens":0,"audio_tokens":0},"completion_tokens_details":{"reasoning_tokens":0,"audio_tokens":0,"accepted_prediction_tokens":0,"rejected_prediction_tokens":0}},"service_tier":"default","system_fingerprint":"fp_ad66631dec"}</t>
        </is>
      </c>
      <c r="K87" t="inlineStr">
        <is>
          <t>Issey Miyake BaoBao Pink Geometric 3D Fashion Backpack</t>
        </is>
      </c>
      <c r="L87" t="inlineStr">
        <is>
          <t>{"id":"chatcmpl-DaA7ZHO6uZqqCMXD6uQ4TlANuOnsm","object":"chat.completion","created":1777511085,"model":"gpt-5-chat-2025-10-03","choices":[{"index":0,"message":{"role":"assistant","content":"Issey Miyake BAOBAO Pink Geometric Backpack – lightweight, flexible material with 3D triangle design, futuristic style for men and women, merging modern city fashion and artistic functionality.","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fd471178c5"}</t>
        </is>
      </c>
      <c r="M87" t="inlineStr">
        <is>
          <t>{"alt-svc":"h3=\":443\"; ma=2592000","apim-request-id":"9412a123-5c40-4343-8a7f-9393a4d2ca86","azureml-model-session":"d20260428205641-55ca9797","cache-control":"no-cache","connection":"close","content-length":"1003","content-type":"application/json","date":"Thu, 30 Apr 2026 01:04:47 GMT","server":"nginx","skip-error-remapping":"true","strict-transport-security":"max-age=31536000; includeSubDomains; preload","via":"1.1 Caddy","x-content-type-options":"nosniff","x-ms-client-request-id":"Not-Set","x-ms-is-spilled-over":"false","x-ms-rai-invoked":"false","x-ms-region":"Sweden Central","x-new-api-version":"0.4.35","x-oneapi-request-id":"202604300104447526280888268d9d6GBxUK6zu","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808ff383-aa09-4e64-ac4c-a26cecae655e"}</t>
        </is>
      </c>
      <c r="N87" t="inlineStr">
        <is>
          <t>Issey Miyake BAOBAO Pink Geometric Backpack – lightweight, flexible material with 3D triangle design, futuristic style for men and women, merging modern city fashion and artistic functionality.</t>
        </is>
      </c>
      <c r="O87" t="inlineStr">
        <is>
          <t>{"id":"chatcmpl-DaAU63e4KXD1OUmF1kGaCVSjmmBAZ","object":"chat.completion","created":1777512482,"model":"gpt-5-chat-2025-10-03","choices":[{"index":0,"message":{"role":"assistant","content":"Issey Miyake,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fd471178c5"}</t>
        </is>
      </c>
      <c r="P87" t="inlineStr">
        <is>
          <t>Issey Miyake, Backpack, kakobuy, kakebuy2026, kekobuysheet, kakobuysheet2026, 2026kakobuy, kakobuyspreadsheeet, kakobuylink, kakebuylist, Kakobuy MEGA Spreadsheet, kakobuysheetfind, kakobuysheetfind2026, 2026kakobuysheetfind, kakobuysheet2026</t>
        </is>
      </c>
      <c r="Q87" t="inlineStr">
        <is>
          <t>Backpack, Pink, Geometric, Modern, Lightweight, Unisex</t>
        </is>
      </c>
      <c r="R87" t="inlineStr">
        <is>
          <t>recvhju1CrofRY</t>
        </is>
      </c>
      <c r="S87" t="inlineStr">
        <is>
          <t>issey-miyake-baobao-pink-geometric-3d-backpack-recvhju1crofry</t>
        </is>
      </c>
      <c r="T87"/>
      <c r="U87"/>
      <c r="V87"/>
      <c r="W87" t="inlineStr">
        <is>
          <t>{"id":"chatcmpl-Da9nTAzk1COGRKfvlZr0hzP2RefaH","object":"chat.completion","created":1777509839,"model":"gpt-5-chat-2025-10-03","choices":[{"index":0,"message":{"role":"assistant","content":"Issey Miyake BAOBAO粉色几何拼接双肩包，轻盈柔韧材质搭配立体三角格设计，呈现未来感时尚美学，男女皆宜，彰显现代都市个性魅力与功能兼备的艺术感。","refusal":null,"annotations":[]},"logprobs":null,"finish_reason":"stop"}],"usage":{"prompt_tokens":1307,"completion_tokens":64,"total_tokens":1371,"prompt_tokens_details":{"cached_tokens":1280,"audio_tokens":0},"completion_tokens_details":{"reasoning_tokens":0,"audio_tokens":0,"accepted_prediction_tokens":0,"rejected_prediction_tokens":0}},"service_tier":"default","system_fingerprint":"fp_fd471178c5"}</t>
        </is>
      </c>
      <c r="X87" t="inlineStr">
        <is>
          <t>Issey Miyake BAOBAO粉色几何拼接双肩包，轻盈柔韧材质搭配立体三角格设计，呈现未来感时尚美学，男女皆宜，彰显现代都市个性魅力与功能兼备的艺术感。</t>
        </is>
      </c>
    </row>
    <row r="88" ht="25.5" customHeight="1">
      <c r="A88">
        <v>1654975475</v>
      </c>
      <c r="B88">
        <v>7623818045</v>
      </c>
      <c r="C88" s="2" t="str">
        <f>=HYPERLINK("https://weidian.com/item.html?itemID=7623818045", "https://weidian.com/item.html?itemID=7623818045")</f>
        <v>https://weidian.com/item.html?itemID=7623818045</v>
      </c>
      <c r="D88"/>
      <c r="E88" s="2" t="str">
        <f>=HYPERLINK("https://si.geilicdn.com/pcitem2014204438-631b0000019ae49c3a5f0a20e273_1074_1074.jpg?w=640&amp;h=640", "https://si.geilicdn.com/pcitem2014204438-631b0000019ae49c3a5f0a20e273_1074_1074.jpg?w=640&amp;h=640")</f>
        <v>https://si.geilicdn.com/pcitem2014204438-631b0000019ae49c3a5f0a20e273_1074_1074.jpg?w=640&amp;h=640</v>
      </c>
      <c r="F88" t="inlineStr">
        <is>
          <t>Accessories</t>
        </is>
      </c>
      <c r="G88" t="inlineStr">
        <is>
          <t xml:space="preserve"> Issey Miyake</t>
        </is>
      </c>
      <c r="H88">
        <v>370</v>
      </c>
      <c r="I88">
        <v>53.62</v>
      </c>
      <c r="J88" t="inlineStr">
        <is>
          <t>{"id":"chatcmpl-DaAIewfdHKAS5bfFyNbxUIJtUpml0","object":"chat.completion","created":1777511772,"model":"gpt-5-chat-2025-10-03","choices":[{"index":0,"message":{"role":"assistant","content":"Issey Miyake BAO BAO Purple Geometric Backpack","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fd471178c5"}</t>
        </is>
      </c>
      <c r="K88" t="inlineStr">
        <is>
          <t>Issey Miyake BAO BAO Purple Geometric Backpack</t>
        </is>
      </c>
      <c r="L88" t="inlineStr">
        <is>
          <t>{"id":"chatcmpl-DaAAkhOicYh8NfzA8gBts2bxuTzoY","object":"chat.completion","created":1777511282,"model":"gpt-5-chat-2025-10-03","choices":[{"index":0,"message":{"role":"assistant","content":"Issey Miyake BAO BAO purple geometric backpack, lightweight PVC 3D design, durable and stylish, unisex fashion with modern futuristic style and minimalist art aesthetic.","refusal":null,"annotations":[]},"logprobs":null,"finish_reason":"stop"}],"usage":{"prompt_tokens":888,"completion_tokens":36,"total_tokens":924,"prompt_tokens_details":{"cached_tokens":0,"audio_tokens":0},"completion_tokens_details":{"reasoning_tokens":0,"audio_tokens":0,"accepted_prediction_tokens":0,"rejected_prediction_tokens":0}},"service_tier":"default","system_fingerprint":"fp_ad66631dec"}</t>
        </is>
      </c>
      <c r="M88" t="inlineStr">
        <is>
          <t>{"alt-svc":"h3=\":443\"; ma=2592000","apim-request-id":"e6ddc421-69c9-4932-aafa-f6b782ba4f93","azureml-model-session":"d20260402084046-4209e968","cache-control":"no-cache","connection":"close","content-length":"977","content-type":"application/json","date":"Thu, 30 Apr 2026 01:08:03 GMT","server":"Caddy","skip-error-remapping":"true","strict-transport-security":"max-age=31536000; includeSubDomains; preload","x-content-type-options":"nosniff","x-ms-client-request-id":"Not-Set","x-ms-is-spilled-over":"false","x-ms-rai-invoked":"false","x-ms-region":"East US 2","x-new-api-version":"0.4.35","x-oneapi-request-id":"202604300108009737033658268d9d6q6AvvL26","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eb066237-d3ca-4415-94fa-089058173855"}</t>
        </is>
      </c>
      <c r="N88" t="inlineStr">
        <is>
          <t>Issey Miyake BAO BAO purple geometric backpack, lightweight PVC 3D design, durable and stylish, unisex fashion with modern futuristic style and minimalist art aesthetic.</t>
        </is>
      </c>
      <c r="O88" t="inlineStr">
        <is>
          <t>{"id":"chatcmpl-DaAS2uk2FJ2RSzEMngx25RlqQvZg1","object":"chat.completion","created":1777512354,"model":"gpt-5-chat-2025-10-03","choices":[{"index":0,"message":{"role":"assistant","content":"Issey Miyake,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fd471178c5"}</t>
        </is>
      </c>
      <c r="P88" t="inlineStr">
        <is>
          <t>Issey Miyake, Backpack, kakobuy, kakebuy2026, kekobuysheet, kakobuysheet2026, 2026kakobuy, kakobuyspreadsheeet, kakobuylink, kakebuylist, Kakobuy MEGA Spreadsheet, kakobuysheetfind, kakobuysheetfind2026, 2026kakobuysheetfind, kakobuysheet2026</t>
        </is>
      </c>
      <c r="Q88" t="inlineStr">
        <is>
          <t>Backpack, Purple, Geometric, Unisex, Lightweight, Modern</t>
        </is>
      </c>
      <c r="R88" t="inlineStr">
        <is>
          <t>recvhju1Crftf1</t>
        </is>
      </c>
      <c r="S88" t="inlineStr">
        <is>
          <t>issey-miyake-bao-bao-purple-geometric-backpack-recvhju1crftf1</t>
        </is>
      </c>
      <c r="T88"/>
      <c r="U88"/>
      <c r="V88"/>
      <c r="W88" t="inlineStr">
        <is>
          <t>{"id":"chatcmpl-Da9qSVKU1gqHVw9m36mRcDloK9FaY","object":"chat.completion","created":1777510024,"model":"gpt-5-chat-2025-10-03","choices":[{"index":0,"message":{"role":"assistant","content":"Issey Miyake：BAO BAO紫色几何格纹双肩包，PVC立体拼接设计，轻盈耐磨，现代未来感风格，男女通用，彰显简约艺术美学。","refusal":null,"annotations":[]},"logprobs":null,"finish_reason":"stop"}],"usage":{"prompt_tokens":1309,"completion_tokens":50,"total_tokens":1359,"prompt_tokens_details":{"cached_tokens":0,"audio_tokens":0},"completion_tokens_details":{"reasoning_tokens":0,"audio_tokens":0,"accepted_prediction_tokens":0,"rejected_prediction_tokens":0}},"service_tier":"default","system_fingerprint":"fp_ad66631dec"}</t>
        </is>
      </c>
      <c r="X88" t="inlineStr">
        <is>
          <t>Issey Miyake：BAO BAO紫色几何格纹双肩包，PVC立体拼接设计，轻盈耐磨，现代未来感风格，男女通用，彰显简约艺术美学。</t>
        </is>
      </c>
    </row>
    <row r="89" ht="25.5" customHeight="1">
      <c r="A89">
        <v>1654975475</v>
      </c>
      <c r="B89">
        <v>7626848920</v>
      </c>
      <c r="C89" s="2" t="str">
        <f>=HYPERLINK("https://weidian.com/item.html?itemID=7626848920", "https://weidian.com/item.html?itemID=7626848920")</f>
        <v>https://weidian.com/item.html?itemID=7626848920</v>
      </c>
      <c r="D89"/>
      <c r="E89" s="2" t="str">
        <f>=HYPERLINK("https://si.geilicdn.com/pcitem2014204438-483c0000019ae492ce4e0a20e2c5_1440_1919.jpg?w=640&amp;h=640", "https://si.geilicdn.com/pcitem2014204438-483c0000019ae492ce4e0a20e2c5_1440_1919.jpg?w=640&amp;h=640")</f>
        <v>https://si.geilicdn.com/pcitem2014204438-483c0000019ae492ce4e0a20e2c5_1440_1919.jpg?w=640&amp;h=640</v>
      </c>
      <c r="F89" t="inlineStr">
        <is>
          <t>Accessories</t>
        </is>
      </c>
      <c r="G89" t="inlineStr">
        <is>
          <t>The North Face</t>
        </is>
      </c>
      <c r="H89">
        <v>310</v>
      </c>
      <c r="I89">
        <v>44.93</v>
      </c>
      <c r="J89" t="inlineStr">
        <is>
          <t>{"id":"chatcmpl-DaAJ5Nc2u80BKNU3dD82ZXEpQydlw","object":"chat.completion","created":1777511799,"model":"gpt-5-chat-2025-10-03","choices":[{"index":0,"message":{"role":"assistant","content":"The North Face Army Green Waterproof Nylon Crossbody Bag","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89" t="inlineStr">
        <is>
          <t>The North Face Army Green Waterproof Nylon Crossbody Bag</t>
        </is>
      </c>
      <c r="L89" t="inlineStr">
        <is>
          <t>{"id":"chatcmpl-DaA9AMkbv8zfi7HanWpcw13gXRcJl","object":"chat.completion","created":1777511184,"model":"gpt-5-chat-2025-10-03","choices":[{"index":0,"message":{"role":"assistant","content":"The North Face Army Green Crossbody Bag, made of durable waterproof nylon, features minimalist outdoor design, adjustable strap, and multi-compartment storage for men and women, ideal for travel or city use.","refusal":null,"annotations":[]},"logprobs":null,"finish_reason":"stop"}],"usage":{"prompt_tokens":908,"completion_tokens":41,"total_tokens":949,"prompt_tokens_details":{"cached_tokens":0,"audio_tokens":0},"completion_tokens_details":{"reasoning_tokens":0,"audio_tokens":0,"accepted_prediction_tokens":0,"rejected_prediction_tokens":0}},"service_tier":"default","system_fingerprint":"fp_ad66631dec"}</t>
        </is>
      </c>
      <c r="M89" t="inlineStr">
        <is>
          <t>{"alt-svc":"h3=\":443\"; ma=2592000","apim-request-id":"40246d9b-3f47-4955-8d45-1d1ef3fe6508","azureml-model-session":"d20260402084046-4209e968","cache-control":"no-cache","connection":"close","content-length":"1015","content-type":"application/json","date":"Thu, 30 Apr 2026 01:06:26 GMT","server":"nginx","skip-error-remapping":"true","strict-transport-security":"max-age=31536000; includeSubDomains; preload","via":"1.1 Caddy","x-content-type-options":"nosniff","x-ms-client-request-id":"Not-Set","x-ms-is-spilled-over":"false","x-ms-rai-invoked":"false","x-ms-region":"Sweden Central","x-new-api-version":"0.4.35","x-oneapi-request-id":"202604300106232703006838268d9d6CcJ1HY7o","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5ee823c8-3f34-4c38-ad72-946af375976e"}</t>
        </is>
      </c>
      <c r="N89" t="inlineStr">
        <is>
          <t>The North Face Army Green Crossbody Bag, made of durable waterproof nylon, features minimalist outdoor design, adjustable strap, and multi-compartment storage for men and women, ideal for travel or city use.</t>
        </is>
      </c>
      <c r="O89" t="inlineStr">
        <is>
          <t>{"id":"chatcmpl-DaARcE6ZJ9SytDNqg8Ebt3eF8BHpm","object":"chat.completion","created":1777512328,"model":"gpt-5-chat-2025-10-03","choices":[{"index":0,"message":{"role":"assistant","content":"The North Face, Bag,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fd471178c5"}</t>
        </is>
      </c>
      <c r="P89" t="inlineStr">
        <is>
          <t>The North Face, Bag, kakobuy, kakebuy2026, kekobuysheet, kakobuysheet2026, 2026kakobuy, kakobuyspreadsheeet, kakobuylink, kakebuylist, Kakobuy MEGA Spreadsheet, kakobuysheetfind, kakobuysheetfind2026, 2026kakobuysheetfind, kakobuysheet2026</t>
        </is>
      </c>
      <c r="Q89" t="inlineStr">
        <is>
          <t>Waterproof, Nylon, Minimalist, Outdoor, Unisex</t>
        </is>
      </c>
      <c r="R89" t="inlineStr">
        <is>
          <t>recvhju1Crvyge</t>
        </is>
      </c>
      <c r="S89" t="inlineStr">
        <is>
          <t>the-north-face-army-green-waterproof-nylon-crossbody-recvhju1crvyge</t>
        </is>
      </c>
      <c r="T89"/>
      <c r="U89"/>
      <c r="V89"/>
      <c r="W89" t="inlineStr">
        <is>
          <t>{"id":"chatcmpl-Da9o6Vt0gycLvbDFrEFP59eyvEdXw","object":"chat.completion","created":1777509878,"model":"gpt-5-chat-2025-10-03","choices":[{"index":0,"message":{"role":"assistant","content":"The North Face 军绿色单肩斜挎包，耐磨防水尼龙材质打造，极简户外功能设计，配可调节肩带与多层分隔收纳空间，男女通用，都市休闲与登山旅行皆宜，展现品牌硬核探险风格。","refusal":null,"annotations":[]},"logprobs":null,"finish_reason":"stop"}],"usage":{"prompt_tokens":1307,"completion_tokens":71,"total_tokens":1378,"prompt_tokens_details":{"cached_tokens":1280,"audio_tokens":0},"completion_tokens_details":{"reasoning_tokens":0,"audio_tokens":0,"accepted_prediction_tokens":0,"rejected_prediction_tokens":0}},"service_tier":"default","system_fingerprint":"fp_fd471178c5"}</t>
        </is>
      </c>
      <c r="X89" t="inlineStr">
        <is>
          <t>The North Face 军绿色单肩斜挎包，耐磨防水尼龙材质打造，极简户外功能设计，配可调节肩带与多层分隔收纳空间，男女通用，都市休闲与登山旅行皆宜，展现品牌硬核探险风格。</t>
        </is>
      </c>
    </row>
    <row r="90" ht="25.5" customHeight="1">
      <c r="A90">
        <v>1654975475</v>
      </c>
      <c r="B90">
        <v>7626801346</v>
      </c>
      <c r="C90" s="2" t="str">
        <f>=HYPERLINK("https://weidian.com/item.html?itemID=7626801346", "https://weidian.com/item.html?itemID=7626801346")</f>
        <v>https://weidian.com/item.html?itemID=7626801346</v>
      </c>
      <c r="D90"/>
      <c r="E90" s="2" t="str">
        <f>=HYPERLINK("https://si.geilicdn.com/pcitem2014204438-67230000019ae48ebc1a0a20e672_1074_1074.jpg?w=640&amp;h=640", "https://si.geilicdn.com/pcitem2014204438-67230000019ae48ebc1a0a20e672_1074_1074.jpg?w=640&amp;h=640")</f>
        <v>https://si.geilicdn.com/pcitem2014204438-67230000019ae48ebc1a0a20e672_1074_1074.jpg?w=640&amp;h=640</v>
      </c>
      <c r="F90" t="inlineStr">
        <is>
          <t>Accessories</t>
        </is>
      </c>
      <c r="G90" t="inlineStr">
        <is>
          <t>Topologie</t>
        </is>
      </c>
      <c r="H90">
        <v>290</v>
      </c>
      <c r="I90">
        <v>42.03</v>
      </c>
      <c r="J90" t="inlineStr">
        <is>
          <t>{"id":"chatcmpl-DaAL1g09LCEHo6cUAJP578HqInERq","object":"chat.completion","created":1777511919,"model":"gpt-5-chat-2025-10-03","choices":[{"index":0,"message":{"role":"assistant","content":"Topologie Lago Grey Beige Waterproof Crossbody Bag","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90" t="inlineStr">
        <is>
          <t>Topologie Lago Grey Beige Waterproof Crossbody Bag</t>
        </is>
      </c>
      <c r="L90" t="inlineStr">
        <is>
          <t>{"id":"chatcmpl-DaA8oBRoJX7rv3OY6OaYhvhXUs3kH","object":"chat.completion","created":1777511162,"model":"gpt-5-chat-2025-10-03","choices":[{"index":0,"message":{"role":"assistant","content":"Topologie Lago Series Grey-Beige Crossbody Bag – lightweight waterproof nylon with climbing rope strap, minimalist urban design for men and women, perfect for daily use and travel.","refusal":null,"annotations":[]},"logprobs":null,"finish_reason":"stop"}],"usage":{"prompt_tokens":895,"completion_tokens":35,"total_tokens":930,"prompt_tokens_details":{"cached_tokens":0,"audio_tokens":0},"completion_tokens_details":{"reasoning_tokens":0,"audio_tokens":0,"accepted_prediction_tokens":0,"rejected_prediction_tokens":0}},"service_tier":"default","system_fingerprint":"fp_fd471178c5"}</t>
        </is>
      </c>
      <c r="M90" t="inlineStr">
        <is>
          <t>{"alt-svc":"h3=\":443\"; ma=2592000","apim-request-id":"725bc85e-14a5-4664-a05d-ebbd8db73654","azureml-model-session":"d20260428165144-a78ba574","cache-control":"no-cache","connection":"close","content-length":"990","content-type":"application/json","date":"Thu, 30 Apr 2026 01:06:04 GMT","server":"Caddy","skip-error-remapping":"true","strict-transport-security":"max-age=31536000; includeSubDomains; preload","x-content-type-options":"nosniff","x-ms-client-request-id":"Not-Set","x-ms-is-spilled-over":"false","x-ms-rai-invoked":"false","x-ms-region":"Poland Central","x-new-api-version":"0.4.35","x-oneapi-request-id":"202604300106017278018598268d9d6U7jz8bKF","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78877df3-99ff-4faf-a556-eb7af8cd696d"}</t>
        </is>
      </c>
      <c r="N90" t="inlineStr">
        <is>
          <t>Topologie Lago Series Grey-Beige Crossbody Bag – lightweight waterproof nylon with climbing rope strap, minimalist urban design for men and women, perfect for daily use and travel.</t>
        </is>
      </c>
      <c r="O90" t="inlineStr">
        <is>
          <t>{"id":"chatcmpl-DaAX7BbI0UWwQz3fMbGHwgcwTpbCN","object":"chat.completion","created":1777512669,"model":"gpt-5-chat-2025-10-03","choices":[{"index":0,"message":{"role":"assistant","content":"Topologie,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0" t="inlineStr">
        <is>
          <t>Topologie,Bag,kakobuy,kakebuy2026,kekobuysheet,kakobuysheet2026,2026kakobuy,kakobuyspreadsheeet,kakobuylink,kakebuylist,Kakobuy MEGA Spreadsheet,kakobuysheetfind,kakobuysheetfind2026,2026kakobuysheetfind,kakobuysheet2026</t>
        </is>
      </c>
      <c r="Q90" t="inlineStr">
        <is>
          <t>Waterproof, Nylon, Lightweight, Minimalist, Unisex</t>
        </is>
      </c>
      <c r="R90" t="inlineStr">
        <is>
          <t>recvhju1CrlyLq</t>
        </is>
      </c>
      <c r="S90" t="inlineStr">
        <is>
          <t>topologie-lago-grey-beige-crossbody-bag-recvhju1crlylq</t>
        </is>
      </c>
      <c r="T90"/>
      <c r="U90"/>
      <c r="V90"/>
      <c r="W90" t="inlineStr">
        <is>
          <t>{"id":"chatcmpl-Da9u1qPZm84jmF9imLE7mE0zR4d7j","object":"chat.completion","created":1777510245,"model":"gpt-5-chat-2025-10-03","choices":[{"index":0,"message":{"role":"assistant","content":"Topologie：Lago系列灰米色多功能斜挎包，采用轻盈防水尼龙材质与登山绳肩带设计，极简都市风格，适合男女日常出行与旅行使用，展现现代实用美学。","refusal":null,"annotations":[]},"logprobs":null,"finish_reason":"stop"}],"usage":{"prompt_tokens":1301,"completion_tokens":61,"total_tokens":1362,"prompt_tokens_details":{"cached_tokens":1280,"audio_tokens":0},"completion_tokens_details":{"reasoning_tokens":0,"audio_tokens":0,"accepted_prediction_tokens":0,"rejected_prediction_tokens":0}},"service_tier":"default","system_fingerprint":"fp_fd471178c5"}</t>
        </is>
      </c>
      <c r="X90" t="inlineStr">
        <is>
          <t>Topologie：Lago系列灰米色多功能斜挎包，采用轻盈防水尼龙材质与登山绳肩带设计，极简都市风格，适合男女日常出行与旅行使用，展现现代实用美学。</t>
        </is>
      </c>
    </row>
    <row r="91" ht="25.5" customHeight="1">
      <c r="A91">
        <v>1654975475</v>
      </c>
      <c r="B91">
        <v>7626835866</v>
      </c>
      <c r="C91" s="2" t="str">
        <f>=HYPERLINK("https://weidian.com/item.html?itemID=7626835866", "https://weidian.com/item.html?itemID=7626835866")</f>
        <v>https://weidian.com/item.html?itemID=7626835866</v>
      </c>
      <c r="D91"/>
      <c r="E91" s="2" t="str">
        <f>=HYPERLINK("https://si.geilicdn.com/pcitem2014204438-6b6c0000019ae487b4530a210256_948_1024.jpg?w=640&amp;h=640", "https://si.geilicdn.com/pcitem2014204438-6b6c0000019ae487b4530a210256_948_1024.jpg?w=640&amp;h=640")</f>
        <v>https://si.geilicdn.com/pcitem2014204438-6b6c0000019ae487b4530a210256_948_1024.jpg?w=640&amp;h=640</v>
      </c>
      <c r="F91" t="inlineStr">
        <is>
          <t>Accessories</t>
        </is>
      </c>
      <c r="G91" t="inlineStr">
        <is>
          <t>The North Face</t>
        </is>
      </c>
      <c r="H91">
        <v>380</v>
      </c>
      <c r="I91">
        <v>55.07</v>
      </c>
      <c r="J91" t="inlineStr">
        <is>
          <t>{"id":"chatcmpl-DaALh4KhkT2bf7wlYlazMjoR9N0gP","object":"chat.completion","created":1777511961,"model":"gpt-5-chat-2025-10-03","choices":[{"index":0,"message":{"role":"assistant","content":"The North Face Khaki Waterproof Nylon Travel Backpack","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91" t="inlineStr">
        <is>
          <t>The North Face Khaki Waterproof Nylon Travel Backpack</t>
        </is>
      </c>
      <c r="L91" t="inlineStr">
        <is>
          <t>{"id":"chatcmpl-DaA9zhijGwEq4PzayWP79vr6RHQQw","object":"chat.completion","created":1777511235,"model":"gpt-5-chat-2025-10-03","choices":[{"index":0,"message":{"role":"assistant","content":"The North Face khaki multifunction outdoor backpack made of durable waterproof nylon, features multiple compartments, detachable pouch, unisex design for travel or commute with sleek modern style.","refusal":null,"annotations":[]},"logprobs":null,"finish_reason":"stop"}],"usage":{"prompt_tokens":910,"completion_tokens":34,"total_tokens":944,"prompt_tokens_details":{"cached_tokens":0,"audio_tokens":0},"completion_tokens_details":{"reasoning_tokens":0,"audio_tokens":0,"accepted_prediction_tokens":0,"rejected_prediction_tokens":0}},"service_tier":"default","system_fingerprint":"fp_ad66631dec"}</t>
        </is>
      </c>
      <c r="M91" t="inlineStr">
        <is>
          <t>{"alt-svc":"h3=\":443\"; ma=2592000","apim-request-id":"ce2b35ed-b653-48f3-a187-be3b27da368d","azureml-model-session":"d20260402075109-1fc5a0ec","cache-control":"no-cache","connection":"close","content-length":"1004","content-type":"application/json","date":"Thu, 30 Apr 2026 01:07:16 GMT","server":"Caddy","skip-error-remapping":"true","strict-transport-security":"max-age=31536000; includeSubDomains; preload","x-content-type-options":"nosniff","x-ms-client-request-id":"Not-Set","x-ms-is-spilled-over":"false","x-ms-rai-invoked":"false","x-ms-region":"East US","x-new-api-version":"0.4.35","x-oneapi-request-id":"202604300107148939956618268d9d67lniUEH4","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152e50c7-edc4-413f-8eac-d3483a7e61d3"}</t>
        </is>
      </c>
      <c r="N91" t="inlineStr">
        <is>
          <t>The North Face khaki multifunction outdoor backpack made of durable waterproof nylon, features multiple compartments, detachable pouch, unisex design for travel or commute with sleek modern style.</t>
        </is>
      </c>
      <c r="O91" t="inlineStr">
        <is>
          <t>{"id":"chatcmpl-DaAQAVivK4zpNzbgtHCCTxwfP2cTO","object":"chat.completion","created":1777512238,"model":"gpt-5-chat-2025-10-03","choices":[{"index":0,"message":{"role":"assistant","content":"The North Face,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91" t="inlineStr">
        <is>
          <t>The North Face, Backpack, kakobuy, kakebuy2026, kekobuysheet, kakobuysheet2026, 2026kakobuy, kakobuyspreadsheeet, kakobuylink, kakebuylist, Kakobuy MEGA Spreadsheet, kakobuysheetfind, kakobuysheetfind2026, 2026kakobuysheetfind, kakobuysheet2026</t>
        </is>
      </c>
      <c r="Q91" t="inlineStr">
        <is>
          <t>Backpack, Waterproof, Nylon, Outdoor, Unisex, Modern</t>
        </is>
      </c>
      <c r="R91" t="inlineStr">
        <is>
          <t>recvhju1CrW010</t>
        </is>
      </c>
      <c r="S91" t="inlineStr">
        <is>
          <t>the-north-face-khaki-waterproof-nylon-travel-backpack-recvhju1crw010</t>
        </is>
      </c>
      <c r="T91"/>
      <c r="U91"/>
      <c r="V91"/>
      <c r="W91" t="inlineStr">
        <is>
          <t>{"id":"chatcmpl-Da9qutItKpyacGECULaDtcovEjM07","object":"chat.completion","created":1777510052,"model":"gpt-5-chat-2025-10-03","choices":[{"index":0,"message":{"role":"assistant","content":"The North Face 浅卡其多功能户外双肩背包，甄选耐磨防水尼龙材质，配备多层收纳隔层与可拆式挂袋设计，简约实用风格，男女通用款，适合都市通勤与旅行，彰显品牌高性能与时尚质感。","refusal":null,"annotations":[]},"logprobs":null,"finish_reason":"stop"}],"usage":{"prompt_tokens":1301,"completion_tokens":76,"total_tokens":1377,"prompt_tokens_details":{"cached_tokens":0,"audio_tokens":0},"completion_tokens_details":{"reasoning_tokens":0,"audio_tokens":0,"accepted_prediction_tokens":0,"rejected_prediction_tokens":0}},"service_tier":"default","system_fingerprint":"fp_fd471178c5"}</t>
        </is>
      </c>
      <c r="X91" t="inlineStr">
        <is>
          <t>The North Face 浅卡其多功能户外双肩背包，甄选耐磨防水尼龙材质，配备多层收纳隔层与可拆式挂袋设计，简约实用风格，男女通用款，适合都市通勤与旅行，彰显品牌高性能与时尚质感。</t>
        </is>
      </c>
    </row>
    <row r="92" ht="25.5" customHeight="1">
      <c r="A92">
        <v>1654975475</v>
      </c>
      <c r="B92">
        <v>7623884783</v>
      </c>
      <c r="C92" s="2" t="str">
        <f>=HYPERLINK("https://weidian.com/item.html?itemID=7623884783", "https://weidian.com/item.html?itemID=7623884783")</f>
        <v>https://weidian.com/item.html?itemID=7623884783</v>
      </c>
      <c r="D92"/>
      <c r="E92" s="2" t="str">
        <f>=HYPERLINK("https://si.geilicdn.com/pcitem2014204438-6cff0000019ae48252150a23038e_1080_1440.jpg?w=640&amp;h=640", "https://si.geilicdn.com/pcitem2014204438-6cff0000019ae48252150a23038e_1080_1440.jpg?w=640&amp;h=640")</f>
        <v>https://si.geilicdn.com/pcitem2014204438-6cff0000019ae48252150a23038e_1080_1440.jpg?w=640&amp;h=640</v>
      </c>
      <c r="F92" t="inlineStr">
        <is>
          <t>Accessories</t>
        </is>
      </c>
      <c r="G92" t="inlineStr">
        <is>
          <t>MLB</t>
        </is>
      </c>
      <c r="H92">
        <v>370</v>
      </c>
      <c r="I92">
        <v>53.62</v>
      </c>
      <c r="J92" t="inlineStr">
        <is>
          <t>{"id":"chatcmpl-DaAJQsT0klKmy5IfW5y2LmffegrUJ","object":"chat.completion","created":1777511820,"model":"gpt-5-chat-2025-10-03","choices":[{"index":0,"message":{"role":"assistant","content":"MLB LA Series Red Blue Camo Nylon Backpack","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fd471178c5"}</t>
        </is>
      </c>
      <c r="K92" t="inlineStr">
        <is>
          <t>MLB LA Series Red Blue Camo Nylon Backpack</t>
        </is>
      </c>
      <c r="L92" t="inlineStr">
        <is>
          <t>{"id":"chatcmpl-DaADKiH1jlRAlWEAAUAX6GSfMZyw8","object":"chat.completion","created":1777511442,"model":"gpt-5-chat-2025-10-03","choices":[{"index":0,"message":{"role":"assistant","content":"MLB LA Series Red Blue Camo Backpack, crafted from durable nylon with a 3D cut design, unisex urban street style, blends sporty fashion with practical storage for a youthful, energetic look.","refusal":null,"annotations":[]},"logprobs":null,"finish_reason":"stop"}],"usage":{"prompt_tokens":895,"completion_tokens":42,"total_tokens":937,"prompt_tokens_details":{"cached_tokens":0,"audio_tokens":0},"completion_tokens_details":{"reasoning_tokens":0,"audio_tokens":0,"accepted_prediction_tokens":0,"rejected_prediction_tokens":0}},"service_tier":"default","system_fingerprint":"fp_ad66631dec"}</t>
        </is>
      </c>
      <c r="M92" t="inlineStr">
        <is>
          <t>{"alt-svc":"h3=\":443\"; ma=2592000","apim-request-id":"61ccd856-70f4-42c1-9873-51e236d59cbf","azureml-model-session":"d20260402084046-4209e968","cache-control":"no-cache","connection":"close","content-length":"998","content-type":"application/json","date":"Thu, 30 Apr 2026 01:10:43 GMT","server":"Caddy","skip-error-remapping":"true","strict-transport-security":"max-age=31536000; includeSubDomains; preload","x-content-type-options":"nosniff","x-ms-client-request-id":"Not-Set","x-ms-is-spilled-over":"false","x-ms-rai-invoked":"false","x-ms-region":"South Central US","x-new-api-version":"0.4.35","x-oneapi-request-id":"202604300110412232254148268d9d6P8mkZPf8","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defd5c2d-1b83-4358-a681-4f1834759940"}</t>
        </is>
      </c>
      <c r="N92" t="inlineStr">
        <is>
          <t>MLB LA Series Red Blue Camo Backpack, crafted from durable nylon with a 3D cut design, unisex urban street style, blends sporty fashion with practical storage for a youthful, energetic look.</t>
        </is>
      </c>
      <c r="O92" t="inlineStr">
        <is>
          <t>{"id":"chatcmpl-DaARq3bIPBHBHZYGpakKMuMTnZhsB","object":"chat.completion","created":1777512342,"model":"gpt-5-chat-2025-10-03","choices":[{"index":0,"message":{"role":"assistant","content":"MLB,Backpac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92" t="inlineStr">
        <is>
          <t>MLB,Backpack,kakobuy,kakebuy2026,kekobuysheet,kakobuysheet2026,2026kakobuy,kakobuyspreadsheeet,kakobuylink,kakebuylist,Kakobuy MEGA Spreadsheet,kakobuysheetfind,kakobuysheetfind2026,2026kakobuysheetfind,kakobuysheet2026</t>
        </is>
      </c>
      <c r="Q92" t="inlineStr">
        <is>
          <t>Backpack, Nylon, Street, Unisex, Red, Blue</t>
        </is>
      </c>
      <c r="R92" t="inlineStr">
        <is>
          <t>recvhju1Cr8Kix</t>
        </is>
      </c>
      <c r="S92" t="inlineStr">
        <is>
          <t>mlb-la-series-red-blue-camo-backpack-recvhju1cr8kix</t>
        </is>
      </c>
      <c r="T92"/>
      <c r="U92"/>
      <c r="V92"/>
      <c r="W92" t="inlineStr">
        <is>
          <t>{"id":"chatcmpl-Da9tf4GXOiy5Lk0uUwu2UNLj1chPQ","object":"chat.completion","created":1777510223,"model":"gpt-5-chat-2025-10-03","choices":[{"index":0,"message":{"role":"assistant","content":"MLB：LA系列红蓝迷彩图腾双肩背包，耐磨尼龙材质，立体剪裁设计，都市街头风格，男女皆宜款，融合潮流运动元素与实用储物功能，展现年轻活力与时尚态度。","refusal":null,"annotations":[]},"logprobs":null,"finish_reason":"stop"}],"usage":{"prompt_tokens":1297,"completion_tokens":63,"total_tokens":1360,"prompt_tokens_details":{"cached_tokens":0,"audio_tokens":0},"completion_tokens_details":{"reasoning_tokens":0,"audio_tokens":0,"accepted_prediction_tokens":0,"rejected_prediction_tokens":0}},"service_tier":"default","system_fingerprint":"fp_fd471178c5"}</t>
        </is>
      </c>
      <c r="X92" t="inlineStr">
        <is>
          <t>MLB：LA系列红蓝迷彩图腾双肩背包，耐磨尼龙材质，立体剪裁设计，都市街头风格，男女皆宜款，融合潮流运动元素与实用储物功能，展现年轻活力与时尚态度。</t>
        </is>
      </c>
    </row>
    <row r="93" ht="25.5" customHeight="1">
      <c r="A93">
        <v>1654975475</v>
      </c>
      <c r="B93">
        <v>7626795966</v>
      </c>
      <c r="C93" s="2" t="str">
        <f>=HYPERLINK("https://weidian.com/item.html?itemID=7626795966", "https://weidian.com/item.html?itemID=7626795966")</f>
        <v>https://weidian.com/item.html?itemID=7626795966</v>
      </c>
      <c r="D93"/>
      <c r="E93" s="2" t="str">
        <f>=HYPERLINK("https://si.geilicdn.com/pcitem2014204438-541a0000019ae464a6480a20e7c7_1074_1074.jpg?w=640&amp;h=640", "https://si.geilicdn.com/pcitem2014204438-541a0000019ae464a6480a20e7c7_1074_1074.jpg?w=640&amp;h=640")</f>
        <v>https://si.geilicdn.com/pcitem2014204438-541a0000019ae464a6480a20e7c7_1074_1074.jpg?w=640&amp;h=640</v>
      </c>
      <c r="F93" t="inlineStr">
        <is>
          <t>Accessories</t>
        </is>
      </c>
      <c r="G93" t="inlineStr">
        <is>
          <t>Longchamp</t>
        </is>
      </c>
      <c r="H93">
        <v>260</v>
      </c>
      <c r="I93">
        <v>37.68</v>
      </c>
      <c r="J93" t="inlineStr">
        <is>
          <t>{"id":"chatcmpl-DaAK4IRyKLK3ol6BG6lDcDzn6XLzR","object":"chat.completion","created":1777511860,"model":"gpt-5-chat-2025-10-03","choices":[{"index":0,"message":{"role":"assistant","content":"Longchamp Le Pliage Mint Green Nylon Tote Bag","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fd471178c5"}</t>
        </is>
      </c>
      <c r="K93" t="inlineStr">
        <is>
          <t>Longchamp Le Pliage Mint Green Nylon Tote Bag</t>
        </is>
      </c>
      <c r="L93" t="inlineStr">
        <is>
          <t>{"id":"chatcmpl-DaABEdtjwQqtV4dXAXI2J7q3joBIS","object":"chat.completion","created":1777511312,"model":"gpt-5-chat-2025-10-03","choices":[{"index":0,"message":{"role":"assistant","content":"Longchamp Le Pliage Mint Green Tote Bag, classic nylon with black leather flap, lightweight foldable design, chic French style for women’s daily commute and travel, modern and functional.","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fd471178c5"}</t>
        </is>
      </c>
      <c r="M93" t="inlineStr">
        <is>
          <t>{"alt-svc":"h3=\":443\"; ma=2592000","apim-request-id":"9a9e8ba7-2324-4de6-b846-eac4d44c180c","azureml-model-session":"d20260428205641-55ca9797","cache-control":"no-cache","connection":"close","content-length":"997","content-type":"application/json","date":"Thu, 30 Apr 2026 01:08:33 GMT","server":"nginx","skip-error-remapping":"true","strict-transport-security":"max-age=31536000; includeSubDomains; preload","via":"1.1 Caddy","x-content-type-options":"nosniff","x-ms-client-request-id":"Not-Set","x-ms-is-spilled-over":"false","x-ms-rai-invoked":"false","x-ms-region":"East US","x-new-api-version":"0.4.35","x-oneapi-request-id":"202604300108309099736388268d9d6Xj0LLKBD","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51a34bd0-0ca2-4b8c-b521-1e3a44c58805"}</t>
        </is>
      </c>
      <c r="N93" t="inlineStr">
        <is>
          <t>Longchamp Le Pliage Mint Green Tote Bag, classic nylon with black leather flap, lightweight foldable design, chic French style for women’s daily commute and travel, modern and functional.</t>
        </is>
      </c>
      <c r="O93" t="inlineStr">
        <is>
          <t>{"id":"chatcmpl-DaATo3LHHqhqdP2lDPKXt8VXrXGWi","object":"chat.completion","created":1777512464,"model":"gpt-5-chat-2025-10-03","choices":[{"index":0,"message":{"role":"assistant","content":"Longchamp,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3" t="inlineStr">
        <is>
          <t>Longchamp,Bag,kakobuy,kakebuy2026,kekobuysheet,kakobuysheet2026,2026kakobuy,kakobuyspreadsheeet,kakobuylink,kakebuylist,Kakobuy MEGA Spreadsheet,kakobuysheetfind,kakobuysheetfind2026,2026kakobuysheetfind,kakobuysheet2026</t>
        </is>
      </c>
      <c r="Q93" t="inlineStr">
        <is>
          <t>Women, Nylon, Leather, Lightweight, Foldable, Classic</t>
        </is>
      </c>
      <c r="R93" t="inlineStr">
        <is>
          <t>recvhju1CrE5MD</t>
        </is>
      </c>
      <c r="S93" t="inlineStr">
        <is>
          <t>longchamp-le-pliage-mint-green-nylon-tote-recvhju1cre5md</t>
        </is>
      </c>
      <c r="T93"/>
      <c r="U93"/>
      <c r="V93"/>
      <c r="W93" t="inlineStr">
        <is>
          <t>{"id":"chatcmpl-Da9suV36iD3BL6K1HMUHWLTN33BNV","object":"chat.completion","created":1777510176,"model":"gpt-5-chat-2025-10-03","choices":[{"index":0,"message":{"role":"assistant","content":"Longchamp：Le Pliage系列薄荷绿手提包，经典尼龙材质搭配黑色牛皮翻盖，轻盈可折叠设计，简约法式风格，女士日常通勤与旅行必备，现代感与实用性完美融合。","refusal":null,"annotations":[]},"logprobs":null,"finish_reason":"stop"}],"usage":{"prompt_tokens":1303,"completion_tokens":65,"total_tokens":1368,"prompt_tokens_details":{"cached_tokens":1280,"audio_tokens":0},"completion_tokens_details":{"reasoning_tokens":0,"audio_tokens":0,"accepted_prediction_tokens":0,"rejected_prediction_tokens":0}},"service_tier":"default","system_fingerprint":"fp_fd471178c5"}</t>
        </is>
      </c>
      <c r="X93" t="inlineStr">
        <is>
          <t>Longchamp：Le Pliage系列薄荷绿手提包，经典尼龙材质搭配黑色牛皮翻盖，轻盈可折叠设计，简约法式风格，女士日常通勤与旅行必备，现代感与实用性完美融合。</t>
        </is>
      </c>
    </row>
    <row r="94" ht="25.5" customHeight="1">
      <c r="A94">
        <v>1654975475</v>
      </c>
      <c r="B94">
        <v>7697344648</v>
      </c>
      <c r="C94" s="2" t="str">
        <f>=HYPERLINK("https://weidian.com/item.html?itemID=7697344648", "https://weidian.com/item.html?itemID=7697344648")</f>
        <v>https://weidian.com/item.html?itemID=7697344648</v>
      </c>
      <c r="D94"/>
      <c r="E94" s="2" t="str">
        <f>=HYPERLINK("https://si.geilicdn.com/open1654975475-252808396-5b0e0000019c7a761a290a23b4de_790_1559.jpg?w=640&amp;h=640", "https://si.geilicdn.com/open1654975475-252808396-5b0e0000019c7a761a290a23b4de_790_1559.jpg?w=640&amp;h=640")</f>
        <v>https://si.geilicdn.com/open1654975475-252808396-5b0e0000019c7a761a290a23b4de_790_1559.jpg?w=640&amp;h=640</v>
      </c>
      <c r="F94" t="inlineStr">
        <is>
          <t>Toys</t>
        </is>
      </c>
      <c r="G94" t="inlineStr">
        <is>
          <t>Other</t>
        </is>
      </c>
      <c r="H94">
        <v>344</v>
      </c>
      <c r="I94">
        <v>49.8695652173913</v>
      </c>
      <c r="J94" t="inlineStr">
        <is>
          <t>{"id":"chatcmpl-DaAJsCBzQCsZuKz6uq9MsWtClPJ2I","object":"chat.completion","created":1777511848,"model":"gpt-5-chat-2025-10-03","choices":[{"index":0,"message":{"role":"assistant","content":"ToysOther Red Speed RC Car LED Muscle Racer","refusal":null,"annotations":[]},"logprobs":null,"finish_reason":"stop"}],"usage":{"prompt_tokens":1167,"completion_tokens":11,"total_tokens":1178,"prompt_tokens_details":{"cached_tokens":0,"audio_tokens":0},"completion_tokens_details":{"reasoning_tokens":0,"audio_tokens":0,"accepted_prediction_tokens":0,"rejected_prediction_tokens":0}},"service_tier":"default","system_fingerprint":"fp_fd471178c5"}</t>
        </is>
      </c>
      <c r="K94" t="inlineStr">
        <is>
          <t>ToysOther Red Speed RC Car LED Muscle Racer</t>
        </is>
      </c>
      <c r="L94" t="inlineStr">
        <is>
          <t>{"id":"chatcmpl-DaA8AfffxAqTgrjrnbEFhAFmNFfWA","object":"chat.completion","created":1777511122,"model":"gpt-5-chat-2025-10-03","choices":[{"index":0,"message":{"role":"assistant","content":"ToysOther Red Speed Series RC Car features LED lights, retro muscle design, strong ABS body, dynamic rear wing, perfect for men &amp; women racers and modern collectors. Great for desktop display or racing fun.","refusal":null,"annotations":[]},"logprobs":null,"finish_reason":"stop"}],"usage":{"prompt_tokens":1188,"completion_tokens":43,"total_tokens":1231,"prompt_tokens_details":{"cached_tokens":1152,"audio_tokens":0},"completion_tokens_details":{"reasoning_tokens":0,"audio_tokens":0,"accepted_prediction_tokens":0,"rejected_prediction_tokens":0}},"service_tier":"default","system_fingerprint":"fp_fd471178c5"}</t>
        </is>
      </c>
      <c r="M94" t="inlineStr">
        <is>
          <t>{"alt-svc":"h3=\":443\"; ma=2592000","apim-request-id":"e9a53479-1882-4657-8556-d1cd9588e9ec","azureml-model-session":"d20260428174121-807d9cc5","cache-control":"no-cache","connection":"close","content-length":"1019","content-type":"application/json","date":"Thu, 30 Apr 2026 01:05:24 GMT","server":"Caddy","skip-error-remapping":"true","strict-transport-security":"max-age=31536000; includeSubDomains; preload","x-content-type-options":"nosniff","x-ms-client-request-id":"Not-Set","x-ms-is-spilled-over":"false","x-ms-rai-invoked":"false","x-ms-region":"Poland Central","x-new-api-version":"0.4.35","x-oneapi-request-id":"202604300105207948924578268d9d6K4znYaHM","x-ratelimit-abusepenalty-active":"False","x-ratelimit-key":"gpt-5-chat-global","x-ratelimit-limit-requests":"1000","x-ratelimit-limit-tokens":"1000000","x-ratelimit-remaining-requests":"999","x-ratelimit-remaining-tokens":"998049","x-ratelimit-renewalperiod-requests":"60","x-ratelimit-renewalperiod-tokens":"60","x-ratelimit-reset-requests":"60","x-ratelimit-reset-tokens":"117","x-request-id":"5067e8c6-8a62-48fb-8349-0a1441ac67dc"}</t>
        </is>
      </c>
      <c r="N94" t="inlineStr">
        <is>
          <t>ToysOther Red Speed Series RC Car features LED lights, retro muscle design, strong ABS body, dynamic rear wing, perfect for men &amp; women racers and modern collectors. Great for desktop display or racing fun.</t>
        </is>
      </c>
      <c r="O94" t="inlineStr">
        <is>
          <t>{"id":"chatcmpl-DaAPr1CVpRVHeThKqgh3pOj90Si4U","object":"chat.completion","created":1777512219,"model":"gpt-5-chat-2025-10-03","choices":[{"index":0,"message":{"role":"assistant","content":"Jingke Joy,Electric Toy Car,kakobuy,kakebuy2026,kekobuysheet,kakobuysheet2026,2026kakobuy,kakobuyspreadsheeet,kakobuylink,kakebuylist,Kakobuy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91,"total_tokens":1153,"prompt_tokens_details":{"cached_tokens":0,"audio_tokens":0},"completion_tokens_details":{"reasoning_tokens":0,"audio_tokens":0,"accepted_prediction_tokens":0,"rejected_prediction_tokens":0}},"service_tier":"default","system_fingerprint":"fp_fd471178c5"}</t>
        </is>
      </c>
      <c r="P94" t="inlineStr">
        <is>
          <t>Jingke Joy,Electric Toy Car,kakobuy,kakebuy2026,kekobuysheet,kakobuysheet2026,2026kakobuy,kakobuyspreadsheeet,kakobuylink,kakebuylist,Kakobuy MEGA Spreadsheet,kakobuysheetfind,kakobuysheetfind2026,2026kakobuysheetfind,kakobuysheet2026</t>
        </is>
      </c>
      <c r="Q94" t="inlineStr">
        <is>
          <t>Red, Retro, Unisex</t>
        </is>
      </c>
      <c r="R94" t="inlineStr">
        <is>
          <t>recvhju1CrNXj1</t>
        </is>
      </c>
      <c r="S94" t="inlineStr">
        <is>
          <t>toysother-red-speed-rc-car-led-muscle-racer-recvhju1crnxj1</t>
        </is>
      </c>
      <c r="T94"/>
      <c r="U94"/>
      <c r="V94"/>
      <c r="W94" t="inlineStr">
        <is>
          <t>{"id":"chatcmpl-Da9tKukPnh27CHqMNL5jDpY9fzeia","object":"chat.completion","created":1777510202,"model":"gpt-5-chat-2025-10-03","choices":[{"index":0,"message":{"role":"assistant","content":"红色极速系列遥控赛车，炫亮流线车身搭配LED氛围灯，高强度ABS材质打造，复古肌肉风格设计，动感尾翼提升空气动力，适合男女玩家，现代潮流收藏品类，桌面摆件与娱乐竞速皆宜。","refusal":null,"annotations":[]},"logprobs":null,"finish_reason":"stop"}],"usage":{"prompt_tokens":1588,"completion_tokens":71,"total_tokens":1659,"prompt_tokens_details":{"cached_tokens":0,"audio_tokens":0},"completion_tokens_details":{"reasoning_tokens":0,"audio_tokens":0,"accepted_prediction_tokens":0,"rejected_prediction_tokens":0}},"service_tier":"default","system_fingerprint":"fp_fd471178c5"}</t>
        </is>
      </c>
      <c r="X94" t="inlineStr">
        <is>
          <t>红色极速系列遥控赛车，炫亮流线车身搭配LED氛围灯，高强度ABS材质打造，复古肌肉风格设计，动感尾翼提升空气动力，适合男女玩家，现代潮流收藏品类，桌面摆件与娱乐竞速皆宜。</t>
        </is>
      </c>
    </row>
    <row r="95" ht="25.5" customHeight="1">
      <c r="A95">
        <v>1654975475</v>
      </c>
      <c r="B95">
        <v>7624639643</v>
      </c>
      <c r="C95" s="2" t="str">
        <f>=HYPERLINK("https://weidian.com/item.html?itemID=7624639643", "https://weidian.com/item.html?itemID=7624639643")</f>
        <v>https://weidian.com/item.html?itemID=7624639643</v>
      </c>
      <c r="D95"/>
      <c r="E95" s="2" t="str">
        <f>=HYPERLINK("https://si.geilicdn.com/pcitem2014204438-19290000019ae7e88bcd0a2102c5_1074_1074.jpg?w=640&amp;h=640", "https://si.geilicdn.com/pcitem2014204438-19290000019ae7e88bcd0a2102c5_1074_1074.jpg?w=640&amp;h=640")</f>
        <v>https://si.geilicdn.com/pcitem2014204438-19290000019ae7e88bcd0a2102c5_1074_1074.jpg?w=640&amp;h=640</v>
      </c>
      <c r="F95" t="inlineStr">
        <is>
          <t>Socks &amp; Hosiery</t>
        </is>
      </c>
      <c r="G95" t="inlineStr">
        <is>
          <t>Prada</t>
        </is>
      </c>
      <c r="H95">
        <v>120</v>
      </c>
      <c r="I95">
        <v>17.39</v>
      </c>
      <c r="J95" t="inlineStr">
        <is>
          <t>{"id":"chatcmpl-DaAKu0LCbsLAgzHAwANgqh5V31Ybi","object":"chat.completion","created":1777511912,"model":"gpt-5-chat-2025-10-03","choices":[{"index":0,"message":{"role":"assistant","content":"Prada Beige Striped Cotton Mid-Calf Socks Unisex","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95" t="inlineStr">
        <is>
          <t>Prada Beige Striped Cotton Mid-Calf Socks Unisex</t>
        </is>
      </c>
      <c r="L95" t="inlineStr">
        <is>
          <t>{"id":"chatcmpl-DaA99zXAS7zBYAKd5JoBvI2B0UhVV","object":"chat.completion","created":1777511183,"model":"gpt-5-chat-2025-10-03","choices":[{"index":0,"message":{"role":"assistant","content":"Prada beige striped mid-calf socks, crafted from soft breathable cotton blend, featuring retro embroidery logo design. Unisex style for casual or business wear, highlighting elegant Italian fashion.","refusal":null,"annotations":[]},"logprobs":null,"finish_reason":"stop"}],"usage":{"prompt_tokens":927,"completion_tokens":37,"total_tokens":964,"prompt_tokens_details":{"cached_tokens":0,"audio_tokens":0},"completion_tokens_details":{"reasoning_tokens":0,"audio_tokens":0,"accepted_prediction_tokens":0,"rejected_prediction_tokens":0}},"service_tier":"default","system_fingerprint":"fp_ad66631dec"}</t>
        </is>
      </c>
      <c r="M95" t="inlineStr">
        <is>
          <t>{"alt-svc":"h3=\":443\"; ma=2592000","apim-request-id":"6d12d633-e634-4d31-a18f-1ca2ead39eee","azureml-model-session":"d20260402075109-1fc5a0ec","cache-control":"no-cache","connection":"close","content-length":"1006","content-type":"application/json","date":"Thu, 30 Apr 2026 01:06:25 GMT","server":"nginx","skip-error-remapping":"true","strict-transport-security":"max-age=31536000; includeSubDomains; preload","via":"1.1 Caddy","x-content-type-options":"nosniff","x-ms-client-request-id":"Not-Set","x-ms-is-spilled-over":"false","x-ms-rai-invoked":"false","x-ms-region":"South Central US","x-new-api-version":"0.4.35","x-oneapi-request-id":"202604300106232712081138268d9d66TJRZbVE","x-ratelimit-abusepenalty-active":"False","x-ratelimit-key":"gpt-5-chat-global","x-ratelimit-limit-requests":"1000","x-ratelimit-limit-tokens":"1000000","x-ratelimit-remaining-requests":"999","x-ratelimit-remaining-tokens":"998311","x-ratelimit-renewalperiod-requests":"60","x-ratelimit-renewalperiod-tokens":"60","x-ratelimit-reset-requests":"60","x-ratelimit-reset-tokens":"101","x-request-id":"f25991e2-91cf-4e3e-9a3c-f6092a61876e"}</t>
        </is>
      </c>
      <c r="N95" t="inlineStr">
        <is>
          <t>Prada beige striped mid-calf socks, crafted from soft breathable cotton blend, featuring retro embroidery logo design. Unisex style for casual or business wear, highlighting elegant Italian fashion.</t>
        </is>
      </c>
      <c r="O95" t="inlineStr">
        <is>
          <t>{"id":"chatcmpl-DaAWMVI5Dw7jfvajc9m8el1Kk9mUw","object":"chat.completion","created":1777512622,"model":"gpt-5-chat-2025-10-03","choices":[{"index":0,"message":{"role":"assistant","content":"Prada,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95" t="inlineStr">
        <is>
          <t>Prada, Socks &amp; Hosiery, kakobuy, kakebuy2026, kekobuysheet, kakobuysheet2026, 2026kakobuy, kakobuyspreadsheeet, kakobuylink, kakebuylist, Kakobuy MEGA Spreadsheet, kakobuysheetfind, kakobuysheetfind2026, 2026kakobuysheetfind, kakobuysheet2026</t>
        </is>
      </c>
      <c r="Q95" t="inlineStr">
        <is>
          <t>Beige, Retro, Unisex, Elegant, Breathable</t>
        </is>
      </c>
      <c r="R95" t="inlineStr">
        <is>
          <t>recvhju1CrWYzT</t>
        </is>
      </c>
      <c r="S95" t="inlineStr">
        <is>
          <t>prada-beige-striped-cotton-mid-calf-socks-recvhju1crwyz</t>
        </is>
      </c>
      <c r="T95"/>
      <c r="U95"/>
      <c r="V95"/>
      <c r="W95" t="inlineStr">
        <is>
          <t>{"id":"chatcmpl-Da9q9VsqOaszn8k6DMH1Xfw2grx4g","object":"chat.completion","created":1777510005,"model":"gpt-5-chat-2025-10-03","choices":[{"index":0,"message":{"role":"assistant","content":"Prada：奶咖色条纹中筒袜，甄选柔软亲肤棉质混纺面料，轻盈透气不易变形。复古质感搭配品牌标识刺绣，呈现简约雅致的意式设计风格。男女皆宜，适合休闲或通勤穿搭，彰显高端时尚格调。","refusal":null,"annotations":[]},"logprobs":null,"finish_reason":"stop"}],"usage":{"prompt_tokens":1307,"completion_tokens":88,"total_tokens":1395,"prompt_tokens_details":{"cached_tokens":0,"audio_tokens":0},"completion_tokens_details":{"reasoning_tokens":0,"audio_tokens":0,"accepted_prediction_tokens":0,"rejected_prediction_tokens":0}},"service_tier":"default","system_fingerprint":"fp_fd471178c5"}</t>
        </is>
      </c>
      <c r="X95" t="inlineStr">
        <is>
          <t>Prada：奶咖色条纹中筒袜，甄选柔软亲肤棉质混纺面料，轻盈透气不易变形。复古质感搭配品牌标识刺绣，呈现简约雅致的意式设计风格。男女皆宜，适合休闲或通勤穿搭，彰显高端时尚格调。</t>
        </is>
      </c>
    </row>
    <row r="96" ht="25.5" customHeight="1">
      <c r="A96">
        <v>1654975475</v>
      </c>
      <c r="B96">
        <v>7627584132</v>
      </c>
      <c r="C96" s="2" t="str">
        <f>=HYPERLINK("https://weidian.com/item.html?itemID=7627584132", "https://weidian.com/item.html?itemID=7627584132")</f>
        <v>https://weidian.com/item.html?itemID=7627584132</v>
      </c>
      <c r="D96"/>
      <c r="E96" s="2" t="str">
        <f>=HYPERLINK("https://si.geilicdn.com/pcitem2014204438-1d730000019ae7e5485e0a210256_1080_1080.jpg?w=640&amp;h=640", "https://si.geilicdn.com/pcitem2014204438-1d730000019ae7e5485e0a210256_1080_1080.jpg?w=640&amp;h=640")</f>
        <v>https://si.geilicdn.com/pcitem2014204438-1d730000019ae7e5485e0a210256_1080_1080.jpg?w=640&amp;h=640</v>
      </c>
      <c r="F96" t="inlineStr">
        <is>
          <t>Socks &amp; Hosiery</t>
        </is>
      </c>
      <c r="G96" t="inlineStr">
        <is>
          <t>Gucci</t>
        </is>
      </c>
      <c r="H96">
        <v>130</v>
      </c>
      <c r="I96">
        <v>18.84</v>
      </c>
      <c r="J96" t="inlineStr">
        <is>
          <t>{"id":"chatcmpl-DaAICg5fnrJgY3M5nwjSnVGDXdnC3","object":"chat.completion","created":1777511744,"model":"gpt-5-chat-2025-10-03","choices":[{"index":0,"message":{"role":"assistant","content":"Gucci Stripe Mid-Calf Socks Double G Cherry Embroidery","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96" t="inlineStr">
        <is>
          <t>Gucci Stripe Mid-Calf Socks Double G Cherry Embroidery</t>
        </is>
      </c>
      <c r="L96" t="inlineStr">
        <is>
          <t>{"id":"chatcmpl-DaA8Tx7dNfoZ4F85LcceUbRBqHz9u","object":"chat.completion","created":1777511141,"model":"gpt-5-chat-2025-10-03","choices":[{"index":0,"message":{"role":"assistant","content":"Gucci Classic Stripe Mid-Calf Socks – Soft Cotton, Iconic Double G Cherry Embroidery, Retro Casual Unisex Style, Showcasing Italian Fashion Elegance.","refusal":null,"annotations":[]},"logprobs":null,"finish_reason":"stop"}],"usage":{"prompt_tokens":896,"completion_tokens":35,"total_tokens":931,"prompt_tokens_details":{"cached_tokens":0,"audio_tokens":0},"completion_tokens_details":{"reasoning_tokens":0,"audio_tokens":0,"accepted_prediction_tokens":0,"rejected_prediction_tokens":0}},"service_tier":"default","system_fingerprint":"fp_fd471178c5"}</t>
        </is>
      </c>
      <c r="M96" t="inlineStr">
        <is>
          <t>{"alt-svc":"h3=\":443\"; ma=2592000","apim-request-id":"50485512-63cf-424c-a7f2-96cb5a848670","azureml-model-session":"d20260428205641-55ca9797","cache-control":"no-cache","connection":"close","content-length":"959","content-type":"application/json","date":"Thu, 30 Apr 2026 01:05:42 GMT","server":"Caddy","skip-error-remapping":"true","strict-transport-security":"max-age=31536000; includeSubDomains; preload","x-content-type-options":"nosniff","x-ms-client-request-id":"Not-Set","x-ms-is-spilled-over":"false","x-ms-rai-invoked":"false","x-ms-region":"Central US","x-new-api-version":"0.4.35","x-oneapi-request-id":"202604300105406655824818268d9d6UVCcZLWM","x-ratelimit-abusepenalty-active":"False","x-ratelimit-key":"gpt-5-chat-global","x-ratelimit-limit-requests":"1000","x-ratelimit-limit-tokens":"1000000","x-ratelimit-remaining-requests":"999","x-ratelimit-remaining-tokens":"993278","x-ratelimit-renewalperiod-requests":"60","x-ratelimit-renewalperiod-tokens":"60","x-ratelimit-reset-requests":"60","x-ratelimit-reset-tokens":"403","x-request-id":"6e263174-61ec-4442-b899-3b45a1596951"}</t>
        </is>
      </c>
      <c r="N96" t="inlineStr">
        <is>
          <t>Gucci Classic Stripe Mid-Calf Socks – Soft Cotton, Iconic Double G Cherry Embroidery, Retro Casual Unisex Style, Showcasing Italian Fashion Elegance.</t>
        </is>
      </c>
      <c r="O96" t="inlineStr">
        <is>
          <t>{"id":"chatcmpl-DaAQPGExhH4UHZPMmX4udzzcCr3B3","object":"chat.completion","created":1777512253,"model":"gpt-5-chat-2025-10-03","choices":[{"index":0,"message":{"role":"assistant","content":"Gucci,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96" t="inlineStr">
        <is>
          <t>Gucci, Socks &amp; Hosiery, kakobuy, kakebuy2026, kekobuysheet, kakobuysheet2026, 2026kakobuy, kakobuyspreadsheeet, kakobuylink, kakebuylist, Kakobuy MEGA Spreadsheet, kakobuysheetfind, kakobuysheetfind2026, 2026kakobuysheetfind, kakobuysheet2026</t>
        </is>
      </c>
      <c r="Q96" t="inlineStr">
        <is>
          <t>Retro Casual, Unisex, Cherry, Elegant</t>
        </is>
      </c>
      <c r="R96" t="inlineStr">
        <is>
          <t>recvhju1CrxXFR</t>
        </is>
      </c>
      <c r="S96" t="inlineStr">
        <is>
          <t>gucci-stripe-mid-calf-socks-double-g-cherry-embroidery-recvhju1crxxfr</t>
        </is>
      </c>
      <c r="T96"/>
      <c r="U96"/>
      <c r="V96"/>
      <c r="W96" t="inlineStr">
        <is>
          <t>{"id":"chatcmpl-Da9thUf6OHJlwX3A3lqiO6CXHAH8A","object":"chat.completion","created":1777510225,"model":"gpt-5-chat-2025-10-03","choices":[{"index":0,"message":{"role":"assistant","content":"Gucci：经典黑白条纹中筒袜，柔软棉质面料，饰以标志性双G樱桃刺绣图案，复古休闲风格，男女皆宜，彰显意式时尚品味。","refusal":null,"annotations":[]},"logprobs":null,"finish_reason":"stop"}],"usage":{"prompt_tokens":1305,"completion_tokens":58,"total_tokens":1363,"prompt_tokens_details":{"cached_tokens":1280,"audio_tokens":0},"completion_tokens_details":{"reasoning_tokens":0,"audio_tokens":0,"accepted_prediction_tokens":0,"rejected_prediction_tokens":0}},"service_tier":"default","system_fingerprint":"fp_ad66631dec"}</t>
        </is>
      </c>
      <c r="X96" t="inlineStr">
        <is>
          <t>Gucci：经典黑白条纹中筒袜，柔软棉质面料，饰以标志性双G樱桃刺绣图案，复古休闲风格，男女皆宜，彰显意式时尚品味。</t>
        </is>
      </c>
    </row>
    <row r="97" ht="25.5" customHeight="1">
      <c r="A97">
        <v>1654975475</v>
      </c>
      <c r="B97">
        <v>7624594149</v>
      </c>
      <c r="C97" s="2" t="str">
        <f>=HYPERLINK("https://weidian.com/item.html?itemID=7624594149", "https://weidian.com/item.html?itemID=7624594149")</f>
        <v>https://weidian.com/item.html?itemID=7624594149</v>
      </c>
      <c r="D97"/>
      <c r="E97" s="2" t="str">
        <f>=HYPERLINK("https://si.geilicdn.com/pcitem2014204438-1cf70000019ae7e314fc0a2301b4_1074_908.jpg?w=640&amp;h=640", "https://si.geilicdn.com/pcitem2014204438-1cf70000019ae7e314fc0a2301b4_1074_908.jpg?w=640&amp;h=640")</f>
        <v>https://si.geilicdn.com/pcitem2014204438-1cf70000019ae7e314fc0a2301b4_1074_908.jpg?w=640&amp;h=640</v>
      </c>
      <c r="F97" t="inlineStr">
        <is>
          <t>Socks &amp; Hosiery</t>
        </is>
      </c>
      <c r="G97" t="inlineStr">
        <is>
          <t>Langsha</t>
        </is>
      </c>
      <c r="H97">
        <v>130</v>
      </c>
      <c r="I97">
        <v>18.84</v>
      </c>
      <c r="J97" t="inlineStr">
        <is>
          <t>{"id":"chatcmpl-DaAHlNXJi5n1yCWLqiPSJRst9NPbN","object":"chat.completion","created":1777511717,"model":"gpt-5-chat-2025-10-03","choices":[{"index":0,"message":{"role":"assistant","content":"Langsha Red New Year Lucky Cotton Socks Gift","refusal":null,"annotations":[]},"logprobs":null,"finish_reason":"stop"}],"usage":{"prompt_tokens":883,"completion_tokens":10,"total_tokens":893,"prompt_tokens_details":{"cached_tokens":0,"audio_tokens":0},"completion_tokens_details":{"reasoning_tokens":0,"audio_tokens":0,"accepted_prediction_tokens":0,"rejected_prediction_tokens":0}},"service_tier":"default","system_fingerprint":"fp_ad66631dec"}</t>
        </is>
      </c>
      <c r="K97" t="inlineStr">
        <is>
          <t>Langsha Red New Year Lucky Cotton Socks Gift</t>
        </is>
      </c>
      <c r="L97" t="inlineStr">
        <is>
          <t>{"id":"chatcmpl-DaABQKXrQxQAn8coeTONdQEP2C3WM","object":"chat.completion","created":1777511324,"model":"gpt-5-chat-2025-10-03","choices":[{"index":0,"message":{"role":"assistant","content":"Langsha Red New Year Socks feature premium cotton, soft and breathable comfort, golden “Fu” embroidery and lucky emblem design, perfect festive gift for men and women to celebrate Chinese New Year.","refusal":null,"annotations":[]},"logprobs":null,"finish_reason":"stop"}],"usage":{"prompt_tokens":937,"completion_tokens":39,"total_tokens":976,"prompt_tokens_details":{"cached_tokens":0,"audio_tokens":0},"completion_tokens_details":{"reasoning_tokens":0,"audio_tokens":0,"accepted_prediction_tokens":0,"rejected_prediction_tokens":0}},"service_tier":"default","system_fingerprint":"fp_fd471178c5"}</t>
        </is>
      </c>
      <c r="M97" t="inlineStr">
        <is>
          <t>{"alt-svc":"h3=\":443\"; ma=2592000","apim-request-id":"1682f7f3-5a4c-4c15-8b43-bb429916920a","azureml-model-session":"d20260428205641-55ca9797","cache-control":"no-cache","connection":"close","content-length":"1009","content-type":"application/json","date":"Thu, 30 Apr 2026 01:08:46 GMT","server":"Caddy","skip-error-remapping":"true","strict-transport-security":"max-age=31536000; includeSubDomains; preload","x-content-type-options":"nosniff","x-ms-client-request-id":"Not-Set","x-ms-is-spilled-over":"false","x-ms-rai-invoked":"false","x-ms-region":"Poland Central","x-new-api-version":"0.4.35","x-oneapi-request-id":"202604300108441716228818268d9d6ED6lRWRY","x-ratelimit-abusepenalty-active":"False","x-ratelimit-key":"gpt-5-chat-global","x-ratelimit-limit-requests":"1000","x-ratelimit-limit-tokens":"1000000","x-ratelimit-remaining-requests":"999","x-ratelimit-remaining-tokens":"998301","x-ratelimit-renewalperiod-requests":"60","x-ratelimit-renewalperiod-tokens":"60","x-ratelimit-reset-requests":"60","x-ratelimit-reset-tokens":"101","x-request-id":"c37a61fb-068d-4842-bd56-9ba9386a9dec"}</t>
        </is>
      </c>
      <c r="N97" t="inlineStr">
        <is>
          <t>Langsha Red New Year Socks feature premium cotton, soft and breathable comfort, golden “Fu” embroidery and lucky emblem design, perfect festive gift for men and women to celebrate Chinese New Year.</t>
        </is>
      </c>
      <c r="O97" t="inlineStr">
        <is>
          <t>{"id":"chatcmpl-DaASUro503pXfmCZluuq4z9Ickpgo","object":"chat.completion","created":1777512382,"model":"gpt-5-chat-2025-10-03","choices":[{"index":0,"message":{"role":"assistant","content":"Langsha,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97" t="inlineStr">
        <is>
          <t>Langsha, Socks &amp; Hosiery, kakobuy, kakebuy2026, kekobuysheet, kakobuysheet2026, 2026kakobuy, kakobuyspreadsheeet, kakobuylink, kakebuylist, Kakobuy MEGA Spreadsheet, kakobuysheetfind, kakobuysheetfind2026, 2026kakobuysheetfind, kakobuysheet2026</t>
        </is>
      </c>
      <c r="Q97" t="inlineStr">
        <is>
          <t>Breathable, Men's And Women's, Comfort</t>
        </is>
      </c>
      <c r="R97" t="inlineStr">
        <is>
          <t>recvhju1CrNyPG</t>
        </is>
      </c>
      <c r="S97" t="inlineStr">
        <is>
          <t>langsha-red-cotton-socks-recvhju1crnypg</t>
        </is>
      </c>
      <c r="T97"/>
      <c r="U97"/>
      <c r="V97"/>
      <c r="W97" t="inlineStr">
        <is>
          <t>{"id":"chatcmpl-Da9sA4zcqen96KIwqWooto78g0oJ1","object":"chat.completion","created":1777510130,"model":"gpt-5-chat-2025-10-03","choices":[{"index":0,"message":{"role":"assistant","content":"Langsha红色新年福字系列袜子，采用优质棉纤维材质，柔软亲肤、舒适透气。经典中筒设计搭配金色“福”字刺绣与圆形吉祥徽章，展现喜庆传统美感。男女通用款，时尚与祝福并存，适合春节礼赠与日常穿搭，尽显节日幸福氛围。","refusal":null,"annotations":[]},"logprobs":null,"finish_reason":"stop"}],"usage":{"prompt_tokens":1305,"completion_tokens":99,"total_tokens":1404,"prompt_tokens_details":{"cached_tokens":0,"audio_tokens":0},"completion_tokens_details":{"reasoning_tokens":0,"audio_tokens":0,"accepted_prediction_tokens":0,"rejected_prediction_tokens":0}},"service_tier":"default","system_fingerprint":"fp_fd471178c5"}</t>
        </is>
      </c>
      <c r="X97" t="inlineStr">
        <is>
          <t>Langsha红色新年福字系列袜子，采用优质棉纤维材质，柔软亲肤、舒适透气。经典中筒设计搭配金色“福”字刺绣与圆形吉祥徽章，展现喜庆传统美感。男女通用款，时尚与祝福并存，适合春节礼赠与日常穿搭，尽显节日幸福氛围。</t>
        </is>
      </c>
    </row>
    <row r="98" ht="25.5" customHeight="1">
      <c r="A98">
        <v>1654975475</v>
      </c>
      <c r="B98">
        <v>7624329999</v>
      </c>
      <c r="C98" s="2" t="str">
        <f>=HYPERLINK("https://weidian.com/item.html?itemID=7624329999", "https://weidian.com/item.html?itemID=7624329999")</f>
        <v>https://weidian.com/item.html?itemID=7624329999</v>
      </c>
      <c r="D98"/>
      <c r="E98" s="2" t="str">
        <f>=HYPERLINK("https://si.geilicdn.com/pcitem2014204438-24b00000019ae7dd408d0a23041a_1080_1080.jpg?w=640&amp;h=640", "https://si.geilicdn.com/pcitem2014204438-24b00000019ae7dd408d0a23041a_1080_1080.jpg?w=640&amp;h=640")</f>
        <v>https://si.geilicdn.com/pcitem2014204438-24b00000019ae7dd408d0a23041a_1080_1080.jpg?w=640&amp;h=640</v>
      </c>
      <c r="F98" t="inlineStr">
        <is>
          <t>Socks &amp; Hosiery</t>
        </is>
      </c>
      <c r="G98" t="inlineStr">
        <is>
          <t>Louis Vuitton</t>
        </is>
      </c>
      <c r="H98">
        <v>136</v>
      </c>
      <c r="I98">
        <v>19.71</v>
      </c>
      <c r="J98" t="inlineStr">
        <is>
          <t>{"id":"chatcmpl-DaALXThFgW87ZNTabXXwDmnpzCR6U","object":"chat.completion","created":1777511951,"model":"gpt-5-chat-2025-10-03","choices":[{"index":0,"message":{"role":"assistant","content":"Louis Vuitton Striped Logo Cotton Mid Crew Socks","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fd471178c5"}</t>
        </is>
      </c>
      <c r="K98" t="inlineStr">
        <is>
          <t>Louis Vuitton Striped Logo Cotton Mid Crew Socks</t>
        </is>
      </c>
      <c r="L98" t="inlineStr">
        <is>
          <t>{"id":"chatcmpl-DaA6MiNXpy04Wj0z0MNgMQjGGIwI0","object":"chat.completion","created":1777511010,"model":"gpt-5-chat-2025-10-03","choices":[{"index":0,"message":{"role":"assistant","content":"Louis Vuitton Classic Logo Striped Mid-Crew Socks, multi-color minimalist design, soft cotton blend, breathable comfort, unisex, French luxury casual style, perfect for everyday wear.","refusal":null,"annotations":[]},"logprobs":null,"finish_reason":"stop"}],"usage":{"prompt_tokens":898,"completion_tokens":37,"total_tokens":935,"prompt_tokens_details":{"cached_tokens":0,"audio_tokens":0},"completion_tokens_details":{"reasoning_tokens":0,"audio_tokens":0,"accepted_prediction_tokens":0,"rejected_prediction_tokens":0}},"service_tier":"default","system_fingerprint":"fp_fd471178c5"}</t>
        </is>
      </c>
      <c r="M98" t="inlineStr">
        <is>
          <t>{"alt-svc":"h3=\":443\"; ma=2592000","apim-request-id":"faef3e15-fb0a-46f2-80d3-ea35c7f60063","azureml-model-session":"d20260429094557-48622491","cache-control":"no-cache","connection":"close","content-length":"991","content-type":"application/json","date":"Thu, 30 Apr 2026 01:03:31 GMT","server":"Caddy","skip-error-remapping":"true","strict-transport-security":"max-age=31536000; includeSubDomains; preload","x-content-type-options":"nosniff","x-ms-client-request-id":"Not-Set","x-ms-is-spilled-over":"false","x-ms-rai-invoked":"false","x-ms-region":"Central US","x-new-api-version":"0.4.35","x-oneapi-request-id":"202604300103298453401418268d9d68Ybg3Mp4","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dbf439c0-e36e-4216-9162-073fde025560"}</t>
        </is>
      </c>
      <c r="N98" t="inlineStr">
        <is>
          <t>Louis Vuitton Classic Logo Striped Mid-Crew Socks, multi-color minimalist design, soft cotton blend, breathable comfort, unisex, French luxury casual style, perfect for everyday wear.</t>
        </is>
      </c>
      <c r="O98" t="inlineStr">
        <is>
          <t>{"id":"chatcmpl-DaAS8TJTlqZCUqWVFXtUQsa87XZpt","object":"chat.completion","created":1777512360,"model":"gpt-5-chat-2025-10-03","choices":[{"index":0,"message":{"role":"assistant","content":"Louis Vuitton,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98" t="inlineStr">
        <is>
          <t>Louis Vuitton, Socks &amp; Hosiery, kakobuy, kakebuy2026, kekobuysheet, kakobuysheet2026, 2026kakobuy, kakobuyspreadsheeet, kakobuylink, kakebuylist, Kakobuy MEGA Spreadsheet, kakobuysheetfind, kakobuysheetfind2026, 2026kakobuysheetfind, kakobuysheet2026</t>
        </is>
      </c>
      <c r="Q98" t="inlineStr">
        <is>
          <t>LV, Unisex, Breathable, Comfort</t>
        </is>
      </c>
      <c r="R98" t="inlineStr">
        <is>
          <t>recvhju1CrNzic</t>
        </is>
      </c>
      <c r="S98" t="inlineStr">
        <is>
          <t>louis-vuitton-striped-logo-cotton-mid-crew-socks-recvhju1crnzic</t>
        </is>
      </c>
      <c r="T98"/>
      <c r="U98"/>
      <c r="V98"/>
      <c r="W98" t="inlineStr">
        <is>
          <t>{"id":"chatcmpl-Da9nhB2gEIGf48sS5vKolrnpc96eO","object":"chat.completion","created":1777509853,"model":"gpt-5-chat-2025-10-03","choices":[{"index":0,"message":{"role":"assistant","content":"Louis Vuitton：经典LOGO条纹中筒袜，多色简约设计，柔软棉质混纺材质，舒适透气，男女皆宜，彰显法式奢华休闲风格，百搭日常穿搭之选。","refusal":null,"annotations":[]},"logprobs":null,"finish_reason":"stop"}],"usage":{"prompt_tokens":1305,"completion_tokens":60,"total_tokens":1365,"prompt_tokens_details":{"cached_tokens":0,"audio_tokens":0},"completion_tokens_details":{"reasoning_tokens":0,"audio_tokens":0,"accepted_prediction_tokens":0,"rejected_prediction_tokens":0}},"service_tier":"default","system_fingerprint":"fp_ad66631dec"}</t>
        </is>
      </c>
      <c r="X98" t="inlineStr">
        <is>
          <t>Louis Vuitton：经典LOGO条纹中筒袜，多色简约设计，柔软棉质混纺材质，舒适透气，男女皆宜，彰显法式奢华休闲风格，百搭日常穿搭之选。</t>
        </is>
      </c>
    </row>
    <row r="99" ht="25.5" customHeight="1">
      <c r="A99">
        <v>1654975475</v>
      </c>
      <c r="B99">
        <v>7624540715</v>
      </c>
      <c r="C99" s="2" t="str">
        <f>=HYPERLINK("https://weidian.com/item.html?itemID=7624540715", "https://weidian.com/item.html?itemID=7624540715")</f>
        <v>https://weidian.com/item.html?itemID=7624540715</v>
      </c>
      <c r="D99"/>
      <c r="E99" s="2" t="str">
        <f>=HYPERLINK("https://si.geilicdn.com/pcitem2014204438-1a730000019ae7da653c0a2301b4_1001_1334.jpg?w=640&amp;h=640", "https://si.geilicdn.com/pcitem2014204438-1a730000019ae7da653c0a2301b4_1001_1334.jpg?w=640&amp;h=640")</f>
        <v>https://si.geilicdn.com/pcitem2014204438-1a730000019ae7da653c0a2301b4_1001_1334.jpg?w=640&amp;h=640</v>
      </c>
      <c r="F99" t="inlineStr">
        <is>
          <t>Socks &amp; Hosiery</t>
        </is>
      </c>
      <c r="G99" t="inlineStr">
        <is>
          <t>Thom Browne</t>
        </is>
      </c>
      <c r="H99">
        <v>120</v>
      </c>
      <c r="I99">
        <v>17.39</v>
      </c>
      <c r="J99" t="inlineStr">
        <is>
          <t>{"id":"chatcmpl-DaAHXsvoyOgp6dL4qgX5tsQ9xO4EY","object":"chat.completion","created":1777511703,"model":"gpt-5-chat-2025-10-03","choices":[{"index":0,"message":{"role":"assistant","content":"Thom Browne Grey Invisible Ankle Socks Unisex Cotton","refusal":null,"annotations":[]},"logprobs":null,"finish_reason":"stop"}],"usage":{"prompt_tokens":889,"completion_tokens":13,"total_tokens":902,"prompt_tokens_details":{"cached_tokens":0,"audio_tokens":0},"completion_tokens_details":{"reasoning_tokens":0,"audio_tokens":0,"accepted_prediction_tokens":0,"rejected_prediction_tokens":0}},"service_tier":"default","system_fingerprint":"fp_ad66631dec"}</t>
        </is>
      </c>
      <c r="K99" t="inlineStr">
        <is>
          <t>Thom Browne Grey Invisible Ankle Socks Unisex Cotton</t>
        </is>
      </c>
      <c r="L99" t="inlineStr">
        <is>
          <t>{"id":"chatcmpl-DaA8QZ022gLr7jwiwg9wXyBa08to8","object":"chat.completion","created":1777511138,"model":"gpt-5-chat-2025-10-03","choices":[{"index":0,"message":{"role":"assistant","content":"Thom Browne classic grey invisible ankle socks, crafted from premium cotton blend with signature red, white, and blue stripe detail, breathable, comfy, unisex, ideal for daily and business wear.","refusal":null,"annotations":[]},"logprobs":null,"finish_reason":"stop"}],"usage":{"prompt_tokens":917,"completion_tokens":41,"total_tokens":958,"prompt_tokens_details":{"cached_tokens":0,"audio_tokens":0},"completion_tokens_details":{"reasoning_tokens":0,"audio_tokens":0,"accepted_prediction_tokens":0,"rejected_prediction_tokens":0}},"service_tier":"default","system_fingerprint":"fp_fd471178c5"}</t>
        </is>
      </c>
      <c r="M99" t="inlineStr">
        <is>
          <t>{"alt-svc":"h3=\":443\"; ma=2592000","apim-request-id":"99eed72e-a2fc-4c9b-9464-9fc97706a576","azureml-model-session":"d20260428205641-55ca9797","cache-control":"no-cache","connection":"close","content-length":"1002","content-type":"application/json","date":"Thu, 30 Apr 2026 01:05:40 GMT","server":"nginx","skip-error-remapping":"true","strict-transport-security":"max-age=31536000; includeSubDomains; preload","via":"1.1 Caddy","x-content-type-options":"nosniff","x-ms-client-request-id":"Not-Set","x-ms-is-spilled-over":"false","x-ms-rai-invoked":"false","x-ms-region":"Poland Central","x-new-api-version":"0.4.35","x-oneapi-request-id":"202604300105361205020768268d9d6CJ8Uv4zg","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c3007c90-46e1-4265-b0fa-3a87359c462a"}</t>
        </is>
      </c>
      <c r="N99" t="inlineStr">
        <is>
          <t>Thom Browne classic grey invisible ankle socks, crafted from premium cotton blend with signature red, white, and blue stripe detail, breathable, comfy, unisex, ideal for daily and business wear.</t>
        </is>
      </c>
      <c r="O99" t="inlineStr">
        <is>
          <t>{"id":"chatcmpl-DaAWyQTeTNWHrUwb49tAsxrNgMrjH","object":"chat.completion","created":1777512660,"model":"gpt-5-chat-2025-10-03","choices":[{"index":0,"message":{"role":"assistant","content":"Thom Browne,Socks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788,"completion_tokens":92,"total_tokens":880,"prompt_tokens_details":{"cached_tokens":0,"audio_tokens":0},"completion_tokens_details":{"reasoning_tokens":0,"audio_tokens":0,"accepted_prediction_tokens":0,"rejected_prediction_tokens":0}},"service_tier":"default","system_fingerprint":"fp_fd471178c5"}</t>
        </is>
      </c>
      <c r="P99" t="inlineStr">
        <is>
          <t>Thom Browne,Socks &amp; Hosiery,kakobuy,kakebuy2026,kekobuysheet,kakobuysheet2026,2026kakobuy,kakobuyspreadsheeet,kakobuylink,kakebuylist,Kakobuy MEGA Spreadsheet,kakobuysheetfind,kakobuysheetfind2026,2026kakobuysheetfind,kakobuysheet2026</t>
        </is>
      </c>
      <c r="Q99" t="inlineStr">
        <is>
          <t>Grey, Breathable, Unisex, Business, Classic</t>
        </is>
      </c>
      <c r="R99" t="inlineStr">
        <is>
          <t>recvhju1CrrxF9</t>
        </is>
      </c>
      <c r="S99" t="inlineStr">
        <is>
          <t>thom-browne-grey-invisible-ankle-socks-recvhju1crrxf9</t>
        </is>
      </c>
      <c r="T99"/>
      <c r="U99"/>
      <c r="V99"/>
      <c r="W99" t="inlineStr">
        <is>
          <t>{"id":"chatcmpl-Da9odEOsofGIOmhxjsuqaU5We4Ok0","object":"chat.completion","created":1777509911,"model":"gpt-5-chat-2025-10-03","choices":[{"index":0,"message":{"role":"assistant","content":"Thom Browne：经典灰色隐形船袜，甄选优质棉质混纺材质，饰以标志性红白蓝织带与条纹设计，舒适透气贴合脚型，展现美式极简优雅风格，男女皆宜，日常与商务穿搭皆可。","refusal":null,"annotations":[]},"logprobs":null,"finish_reason":"stop"}],"usage":{"prompt_tokens":1311,"completion_tokens":76,"total_tokens":1387,"prompt_tokens_details":{"cached_tokens":1280,"audio_tokens":0},"completion_tokens_details":{"reasoning_tokens":0,"audio_tokens":0,"accepted_prediction_tokens":0,"rejected_prediction_tokens":0}},"service_tier":"default","system_fingerprint":"fp_ad66631dec"}</t>
        </is>
      </c>
      <c r="X99" t="inlineStr">
        <is>
          <t>Thom Browne：经典灰色隐形船袜，甄选优质棉质混纺材质，饰以标志性红白蓝织带与条纹设计，舒适透气贴合脚型，展现美式极简优雅风格，男女皆宜，日常与商务穿搭皆可。</t>
        </is>
      </c>
    </row>
    <row r="100" ht="25.5" customHeight="1">
      <c r="A100">
        <v>1654975475</v>
      </c>
      <c r="B100">
        <v>7627466916</v>
      </c>
      <c r="C100" s="2" t="str">
        <f>=HYPERLINK("https://weidian.com/item.html?itemID=7627466916", "https://weidian.com/item.html?itemID=7627466916")</f>
        <v>https://weidian.com/item.html?itemID=7627466916</v>
      </c>
      <c r="D100"/>
      <c r="E100" s="2" t="str">
        <f>=HYPERLINK("https://si.geilicdn.com/pcitem2014204438-17b90000019ae7d240170a210256_1440_1440.jpg?w=640&amp;h=640", "https://si.geilicdn.com/pcitem2014204438-17b90000019ae7d240170a210256_1440_1440.jpg?w=640&amp;h=640")</f>
        <v>https://si.geilicdn.com/pcitem2014204438-17b90000019ae7d240170a210256_1440_1440.jpg?w=640&amp;h=640</v>
      </c>
      <c r="F100" t="inlineStr">
        <is>
          <t>Socks &amp; Hosiery</t>
        </is>
      </c>
      <c r="G100" t="inlineStr">
        <is>
          <t>Louis Vuitton</t>
        </is>
      </c>
      <c r="H100">
        <v>120</v>
      </c>
      <c r="I100">
        <v>17.39</v>
      </c>
      <c r="J100" t="inlineStr">
        <is>
          <t>{"id":"chatcmpl-DaAMCAuemX7ybVNozs0Yd0Y8r90AF","object":"chat.completion","created":1777511992,"model":"gpt-5-chat-2025-10-03","choices":[{"index":0,"message":{"role":"assistant","content":"Louis Vuitton Classic Black White Invisible Low Socks","refusal":null,"annotations":[]},"logprobs":null,"finish_reason":"stop"}],"usage":{"prompt_tokens":885,"completion_tokens":9,"total_tokens":894,"prompt_tokens_details":{"cached_tokens":0,"audio_tokens":0},"completion_tokens_details":{"reasoning_tokens":0,"audio_tokens":0,"accepted_prediction_tokens":0,"rejected_prediction_tokens":0}},"service_tier":"default","system_fingerprint":"fp_ad66631dec"}</t>
        </is>
      </c>
      <c r="K100" t="inlineStr">
        <is>
          <t>Louis Vuitton Classic Black White Invisible Low Socks</t>
        </is>
      </c>
      <c r="L100" t="inlineStr">
        <is>
          <t>{"id":"chatcmpl-DaADaR1QMnCs7EOPqMQooIcR3YDpn","object":"chat.completion","created":1777511458,"model":"gpt-5-chat-2025-10-03","choices":[{"index":0,"message":{"role":"assistant","content":"Louis Vuitton Classic Black &amp; White Invisible Low-Cut Socks, premium elastic cotton blend, LV logo texture, soft breathable anti-slip fit, unisex minimalist French luxury style for daily or business wear.","refusal":null,"annotations":[]},"logprobs":null,"finish_reason":"stop"}],"usage":{"prompt_tokens":912,"completion_tokens":40,"total_tokens":952,"prompt_tokens_details":{"cached_tokens":0,"audio_tokens":0},"completion_tokens_details":{"reasoning_tokens":0,"audio_tokens":0,"accepted_prediction_tokens":0,"rejected_prediction_tokens":0}},"service_tier":"default","system_fingerprint":"fp_fd471178c5"}</t>
        </is>
      </c>
      <c r="M100" t="inlineStr">
        <is>
          <t>{"alt-svc":"h3=\":443\"; ma=2592000","apim-request-id":"79c5aa59-cdea-4232-8ce5-725f7b33fba6","azureml-model-session":"d20260428174121-807d9cc5","cache-control":"no-cache","connection":"close","content-length":"1012","content-type":"application/json","date":"Thu, 30 Apr 2026 01:10:59 GMT","server":"nginx","skip-error-remapping":"true","strict-transport-security":"max-age=31536000; includeSubDomains; preload","via":"1.1 Caddy","x-content-type-options":"nosniff","x-ms-client-request-id":"Not-Set","x-ms-is-spilled-over":"false","x-ms-rai-invoked":"false","x-ms-region":"East US 2","x-new-api-version":"0.4.35","x-oneapi-request-id":"202604300110574429914938268d9d69Y2slaGG","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8619204e-f9c6-45da-a927-2c32a5968b3b"}</t>
        </is>
      </c>
      <c r="N100" t="inlineStr">
        <is>
          <t>Louis Vuitton Classic Black &amp; White Invisible Low-Cut Socks, premium elastic cotton blend, LV logo texture, soft breathable anti-slip fit, unisex minimalist French luxury style for daily or business wear.</t>
        </is>
      </c>
      <c r="O100" t="inlineStr">
        <is>
          <t>{"id":"chatcmpl-DaAVJPQZOogbMjnIIor5UcwGcsXJG","object":"chat.completion","created":1777512557,"model":"gpt-5-chat-2025-10-03","choices":[{"index":0,"message":{"role":"assistant","content":"Louis Vuitton,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100" t="inlineStr">
        <is>
          <t>Louis Vuitton, Socks &amp; Hosiery, kakobuy, kakebuy2026, kekobuysheet, kakobuysheet2026, 2026kakobuy, kakobuyspreadsheeet, kakobuylink, kakebuylist, Kakobuy MEGA Spreadsheet, kakobuysheetfind, kakobuysheetfind2026, 2026kakobuysheetfind, kakobuysheet2026</t>
        </is>
      </c>
      <c r="Q100" t="inlineStr">
        <is>
          <t>LV, Black, White, Unisex, Minimalist</t>
        </is>
      </c>
      <c r="R100" t="inlineStr">
        <is>
          <t>recvhju1CrM7aK</t>
        </is>
      </c>
      <c r="S100" t="inlineStr">
        <is>
          <t>louis-vuitton-classic-black-white-invisible-low-socks-recvhju1crm7ak</t>
        </is>
      </c>
      <c r="T100"/>
      <c r="U100"/>
      <c r="V100"/>
      <c r="W100" t="inlineStr">
        <is>
          <t>{"id":"chatcmpl-Da9rbNFoseSDVCQhZfxVqlkUBIe3A","object":"chat.completion","created":1777510095,"model":"gpt-5-chat-2025-10-03","choices":[{"index":0,"message":{"role":"assistant","content":"Louis Vuitton：经典黑白拼色隐形船袜，精选高弹棉质混纺面料，织入品牌标志性LV字母纹理，柔软贴合足型，透气防滑设计，男女皆宜，彰显法式极简奢华风格，适合日常与商务穿搭。","refusal":null,"annotations":[]},"logprobs":null,"finish_reason":"stop"}],"usage":{"prompt_tokens":1301,"completion_tokens":76,"total_tokens":1377,"prompt_tokens_details":{"cached_tokens":0,"audio_tokens":0},"completion_tokens_details":{"reasoning_tokens":0,"audio_tokens":0,"accepted_prediction_tokens":0,"rejected_prediction_tokens":0}},"service_tier":"default","system_fingerprint":"fp_ad66631dec"}</t>
        </is>
      </c>
      <c r="X100" t="inlineStr">
        <is>
          <t>Louis Vuitton：经典黑白拼色隐形船袜，精选高弹棉质混纺面料，织入品牌标志性LV字母纹理，柔软贴合足型，透气防滑设计，男女皆宜，彰显法式极简奢华风格，适合日常与商务穿搭。</t>
        </is>
      </c>
    </row>
    <row r="101" ht="25.5" customHeight="1">
      <c r="A101">
        <v>1654975475</v>
      </c>
      <c r="B101">
        <v>7624509629</v>
      </c>
      <c r="C101" s="2" t="str">
        <f>=HYPERLINK("https://weidian.com/item.html?itemID=7624509629", "https://weidian.com/item.html?itemID=7624509629")</f>
        <v>https://weidian.com/item.html?itemID=7624509629</v>
      </c>
      <c r="D101"/>
      <c r="E101" s="2" t="str">
        <f>=HYPERLINK("https://si.geilicdn.com/pcitem2014204438-4b4b0000019ae7c3aed00a21146b_1000_1000.jpg?w=640&amp;h=640", "https://si.geilicdn.com/pcitem2014204438-4b4b0000019ae7c3aed00a21146b_1000_1000.jpg?w=640&amp;h=640")</f>
        <v>https://si.geilicdn.com/pcitem2014204438-4b4b0000019ae7c3aed00a21146b_1000_1000.jpg?w=640&amp;h=640</v>
      </c>
      <c r="F101" t="inlineStr">
        <is>
          <t>Socks &amp; Hosiery</t>
        </is>
      </c>
      <c r="G101" t="inlineStr">
        <is>
          <t>Alo</t>
        </is>
      </c>
      <c r="H101">
        <v>136</v>
      </c>
      <c r="I101">
        <v>19.71</v>
      </c>
      <c r="J101" t="inlineStr">
        <is>
          <t>{"id":"chatcmpl-DaAFeuHZa6M93O1vYgUyWghvBFqRr","object":"chat.completion","created":1777511586,"model":"gpt-5-chat-2025-10-03","choices":[{"index":0,"message":{"role":"assistant","content":"Alo Grey Athletic Cotton Blend Unisex Workout Socks","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fd471178c5"}</t>
        </is>
      </c>
      <c r="K101" t="inlineStr">
        <is>
          <t>Alo Grey Athletic Cotton Blend Unisex Workout Socks</t>
        </is>
      </c>
      <c r="L101" t="inlineStr">
        <is>
          <t>{"id":"chatcmpl-DaA9BDUymIy99nsuXoXSYd9UDpRQQ","object":"chat.completion","created":1777511185,"model":"gpt-5-chat-2025-10-03","choices":[{"index":0,"message":{"role":"assistant","content":"Alo Grey Athletic Socks – crafted from breathable, stretchy cotton blend for soft, snug comfort. Unisex minimalist design perfect for daily workouts, yoga, and casual wear.","refusal":null,"annotations":[]},"logprobs":null,"finish_reason":"stop"}],"usage":{"prompt_tokens":902,"completion_tokens":35,"total_tokens":937,"prompt_tokens_details":{"cached_tokens":0,"audio_tokens":0},"completion_tokens_details":{"reasoning_tokens":0,"audio_tokens":0,"accepted_prediction_tokens":0,"rejected_prediction_tokens":0}},"service_tier":"default","system_fingerprint":"fp_fd471178c5"}</t>
        </is>
      </c>
      <c r="M101" t="inlineStr">
        <is>
          <t>{"alt-svc":"h3=\":443\"; ma=2592000","apim-request-id":"05c68b4c-bc88-409b-b7f9-6988c0019da3","azureml-model-session":"d20260428174121-807d9cc5","cache-control":"no-cache","connection":"close","content-length":"982","content-type":"application/json","date":"Thu, 30 Apr 2026 01:06:26 GMT","server":"nginx","skip-error-remapping":"true","strict-transport-security":"max-age=31536000; includeSubDomains; preload","via":"1.1 Caddy","x-content-type-options":"nosniff","x-ms-client-request-id":"Not-Set","x-ms-is-spilled-over":"false","x-ms-rai-invoked":"false","x-ms-region":"West US","x-new-api-version":"0.4.35","x-oneapi-request-id":"202604300106248724872378268d9d6GZhvIgSF","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529016db-1d84-40c5-9283-1d70d3527aec"}</t>
        </is>
      </c>
      <c r="N101" t="inlineStr">
        <is>
          <t>Alo Grey Athletic Socks – crafted from breathable, stretchy cotton blend for soft, snug comfort. Unisex minimalist design perfect for daily workouts, yoga, and casual wear.</t>
        </is>
      </c>
      <c r="O101" t="inlineStr">
        <is>
          <t>{"id":"chatcmpl-DaAPyH3o4rX73QKR1tVshJBPZo46K","object":"chat.completion","created":1777512226,"model":"gpt-5-chat-2025-10-03","choices":[{"index":0,"message":{"role":"assistant","content":"Alo,Socks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fd471178c5"}</t>
        </is>
      </c>
      <c r="P101" t="inlineStr">
        <is>
          <t>Alo,Socks &amp; Hosiery,kakobuy,kakebuy2026,kekobuysheet,kakobuysheet2026,2026kakobuy,kakobuyspreadsheeet,kakobuylink,kakebuylist,Kakobuy MEGA Spreadsheet,kakobuysheetfind,kakobuysheetfind2026,2026kakobuysheetfind,kakobuysheet2026</t>
        </is>
      </c>
      <c r="Q101" t="inlineStr">
        <is>
          <t>Grey, Athletic, Breathable, Stretch, Unisex, Minimalist</t>
        </is>
      </c>
      <c r="R101" t="inlineStr">
        <is>
          <t>recvhju1CrsKE7</t>
        </is>
      </c>
      <c r="S101" t="inlineStr">
        <is>
          <t>alo-grey-athletic-cotton-blend-unisex-workout-socks-recvhju1crske7</t>
        </is>
      </c>
      <c r="T101"/>
      <c r="U101"/>
      <c r="V101"/>
      <c r="W101" t="inlineStr">
        <is>
          <t>{"id":"chatcmpl-Da9sac5g6vwujaaCY7EyHXNlxuGSD","object":"chat.completion","created":1777510156,"model":"gpt-5-chat-2025-10-03","choices":[{"index":0,"message":{"role":"assistant","content":"Alo：灰色运动功能短袜，精选高弹透气棉质混纺面料，柔软贴合脚型，极简设计兼具时尚与舒适，男女通用款，适合日常健身与瑜伽穿搭。","refusal":null,"annotations":[]},"logprobs":null,"finish_reason":"stop"}],"usage":{"prompt_tokens":1309,"completion_tokens":62,"total_tokens":1371,"prompt_tokens_details":{"cached_tokens":1280,"audio_tokens":0},"completion_tokens_details":{"reasoning_tokens":0,"audio_tokens":0,"accepted_prediction_tokens":0,"rejected_prediction_tokens":0}},"service_tier":"default","system_fingerprint":"fp_ad66631dec"}</t>
        </is>
      </c>
      <c r="X101" t="inlineStr">
        <is>
          <t>Alo：灰色运动功能短袜，精选高弹透气棉质混纺面料，柔软贴合脚型，极简设计兼具时尚与舒适，男女通用款，适合日常健身与瑜伽穿搭。</t>
        </is>
      </c>
    </row>
    <row r="102" ht="25.5" customHeight="1">
      <c r="A102">
        <v>1654975475</v>
      </c>
      <c r="B102">
        <v>7627440074</v>
      </c>
      <c r="C102" s="2" t="str">
        <f>=HYPERLINK("https://weidian.com/item.html?itemID=7627440074", "https://weidian.com/item.html?itemID=7627440074")</f>
        <v>https://weidian.com/item.html?itemID=7627440074</v>
      </c>
      <c r="D102"/>
      <c r="E102" s="2" t="str">
        <f>=HYPERLINK("https://si.geilicdn.com/pcitem2014204438-1e8e0000019ae7bdb2a80a2315ef_1080_1080.jpg?w=640&amp;h=640", "https://si.geilicdn.com/pcitem2014204438-1e8e0000019ae7bdb2a80a2315ef_1080_1080.jpg?w=640&amp;h=640")</f>
        <v>https://si.geilicdn.com/pcitem2014204438-1e8e0000019ae7bdb2a80a2315ef_1080_1080.jpg?w=640&amp;h=640</v>
      </c>
      <c r="F102" t="inlineStr">
        <is>
          <t>Socks &amp; Hosiery</t>
        </is>
      </c>
      <c r="G102" t="inlineStr">
        <is>
          <t>FILA</t>
        </is>
      </c>
      <c r="H102">
        <v>136</v>
      </c>
      <c r="I102">
        <v>19.71</v>
      </c>
      <c r="J102" t="inlineStr">
        <is>
          <t>{"id":"chatcmpl-DaAGLM8FlhnOkiDR8tUTXTZZknq2C","object":"chat.completion","created":1777511629,"model":"gpt-5-chat-2025-10-03","choices":[{"index":0,"message":{"role":"assistant","content":"FILA Classic Sport Cotton Mid-Calf Socks 3-Pack Unisex","refusal":null,"annotations":[]},"logprobs":null,"finish_reason":"stop"}],"usage":{"prompt_tokens":890,"completion_tokens":15,"total_tokens":905,"prompt_tokens_details":{"cached_tokens":0,"audio_tokens":0},"completion_tokens_details":{"reasoning_tokens":0,"audio_tokens":0,"accepted_prediction_tokens":0,"rejected_prediction_tokens":0}},"service_tier":"default","system_fingerprint":"fp_ad66631dec"}</t>
        </is>
      </c>
      <c r="K102" t="inlineStr">
        <is>
          <t>FILA Classic Sport Cotton Mid-Calf Socks 3-Pack Unisex</t>
        </is>
      </c>
      <c r="L102" t="inlineStr">
        <is>
          <t>{"id":"chatcmpl-DaACYhC5Go68CSC9XK424Io0KeJl4","object":"chat.completion","created":1777511394,"model":"gpt-5-chat-2025-10-03","choices":[{"index":0,"message":{"role":"assistant","content":"FILA Classic Sport Mid-Calf Socks, black/white/gray tri-color design, soft breathable cotton, moisture-wicking, embroidered logo, unisex fit, retro athletic casual style, comfortable everyday wear.","refusal":null,"annotations":[]},"logprobs":null,"finish_reason":"stop"}],"usage":{"prompt_tokens":911,"completion_tokens":43,"total_tokens":954,"prompt_tokens_details":{"cached_tokens":0,"audio_tokens":0},"completion_tokens_details":{"reasoning_tokens":0,"audio_tokens":0,"accepted_prediction_tokens":0,"rejected_prediction_tokens":0}},"service_tier":"default","system_fingerprint":"fp_fd471178c5"}</t>
        </is>
      </c>
      <c r="M102" t="inlineStr">
        <is>
          <t>{"alt-svc":"h3=\":443\"; ma=2592000","apim-request-id":"693b7152-4570-488c-9d50-c99e9d291520","azureml-model-session":"d20260428165144-a78ba574","cache-control":"no-cache","connection":"close","content-length":"1005","content-type":"application/json","date":"Thu, 30 Apr 2026 01:09:55 GMT","server":"nginx","skip-error-remapping":"true","strict-transport-security":"max-age=31536000; includeSubDomains; preload","via":"1.1 Caddy","x-content-type-options":"nosniff","x-ms-client-request-id":"Not-Set","x-ms-is-spilled-over":"false","x-ms-rai-invoked":"false","x-ms-region":"North Central US","x-new-api-version":"0.4.35","x-oneapi-request-id":"202604300109541276728378268d9d6bd10l7QK","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ebe8f6c3-8899-41e3-9569-bef695c9a14b"}</t>
        </is>
      </c>
      <c r="N102" t="inlineStr">
        <is>
          <t>FILA Classic Sport Mid-Calf Socks, black/white/gray tri-color design, soft breathable cotton, moisture-wicking, embroidered logo, unisex fit, retro athletic casual style, comfortable everyday wear.</t>
        </is>
      </c>
      <c r="O102" t="inlineStr">
        <is>
          <t>{"id":"chatcmpl-DaAVlN7c9GnNOc75SwFj9ILzTuhgi","object":"chat.completion","created":1777512585,"model":"gpt-5-chat-2025-10-03","choices":[{"index":0,"message":{"role":"assistant","content":"FILA,Socks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fd471178c5"}</t>
        </is>
      </c>
      <c r="P102" t="inlineStr">
        <is>
          <t>FILA,Socks &amp; Hosiery,kakobuy,kakebuy2026,kekobuysheet,kakobuysheet2026,2026kakobuy,kakobuyspreadsheeet,kakobuylink,kakebuylist,Kakobuy MEGA Spreadsheet,kakobuysheetfind,kakobuysheetfind2026,2026kakobuysheetfind,kakobuysheet2026</t>
        </is>
      </c>
      <c r="Q102" t="inlineStr">
        <is>
          <t>FILA, Black, White, Gray, Retro Athletic, Unisex</t>
        </is>
      </c>
      <c r="R102" t="inlineStr">
        <is>
          <t>recvhju1CrT2h8</t>
        </is>
      </c>
      <c r="S102" t="inlineStr">
        <is>
          <t>fila-classic-sport-cotton-mid-calf-socks-recvhju1crt2h8</t>
        </is>
      </c>
      <c r="T102"/>
      <c r="U102"/>
      <c r="V102"/>
      <c r="W102" t="inlineStr">
        <is>
          <t>{"id":"chatcmpl-Da9rigENzPcpRfzGkTCurq3vnTqCG","object":"chat.completion","created":1777510102,"model":"gpt-5-chat-2025-10-03","choices":[{"index":0,"message":{"role":"assistant","content":"FILA：经典运动系列中筒袜，黑白灰三色拼搭设计，柔软棉质面料透气吸汗，简约刺绣Logo点缀展现品牌质感，男女皆宜，舒适贴合脚型，彰显复古运动休闲风格。","refusal":null,"annotations":[]},"logprobs":null,"finish_reason":"stop"}],"usage":{"prompt_tokens":1311,"completion_tokens":69,"total_tokens":1380,"prompt_tokens_details":{"cached_tokens":0,"audio_tokens":0},"completion_tokens_details":{"reasoning_tokens":0,"audio_tokens":0,"accepted_prediction_tokens":0,"rejected_prediction_tokens":0}},"service_tier":"default","system_fingerprint":"fp_ad66631dec"}</t>
        </is>
      </c>
      <c r="X102" t="inlineStr">
        <is>
          <t>FILA：经典运动系列中筒袜，黑白灰三色拼搭设计，柔软棉质面料透气吸汗，简约刺绣Logo点缀展现品牌质感，男女皆宜，舒适贴合脚型，彰显复古运动休闲风格。</t>
        </is>
      </c>
    </row>
    <row r="103" ht="25.5" customHeight="1">
      <c r="A103">
        <v>1654975475</v>
      </c>
      <c r="B103">
        <v>7624412199</v>
      </c>
      <c r="C103" s="2" t="str">
        <f>=HYPERLINK("https://weidian.com/item.html?itemID=7624412199", "https://weidian.com/item.html?itemID=7624412199")</f>
        <v>https://weidian.com/item.html?itemID=7624412199</v>
      </c>
      <c r="D103"/>
      <c r="E103" s="2" t="str">
        <f>=HYPERLINK("https://si.geilicdn.com/pcitem2014204438-36320000019ae7b2a8b70a2103bd_1080_1080.jpg?w=640&amp;h=640", "https://si.geilicdn.com/pcitem2014204438-36320000019ae7b2a8b70a2103bd_1080_1080.jpg?w=640&amp;h=640")</f>
        <v>https://si.geilicdn.com/pcitem2014204438-36320000019ae7b2a8b70a2103bd_1080_1080.jpg?w=640&amp;h=640</v>
      </c>
      <c r="F103" t="inlineStr">
        <is>
          <t>Socks &amp; Hosiery</t>
        </is>
      </c>
      <c r="G103" t="inlineStr">
        <is>
          <t>Dior</t>
        </is>
      </c>
      <c r="H103">
        <v>120</v>
      </c>
      <c r="I103">
        <v>17.39</v>
      </c>
      <c r="J103" t="inlineStr">
        <is>
          <t>{"id":"chatcmpl-DaALmWfaKFnhvh6Av4Om2nalvj5Wq","object":"chat.completion","created":1777511966,"model":"gpt-5-chat-2025-10-03","choices":[{"index":0,"message":{"role":"assistant","content":"Dior Black White Logo Cotton Mid-Calf Sock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fd471178c5"}</t>
        </is>
      </c>
      <c r="K103" t="inlineStr">
        <is>
          <t>Dior Black White Logo Cotton Mid-Calf Socks</t>
        </is>
      </c>
      <c r="L103" t="inlineStr">
        <is>
          <t>{"id":"chatcmpl-DaAD8tsvxDCo6ySRCbjijrw78cHZL","object":"chat.completion","created":1777511430,"model":"gpt-5-chat-2025-10-03","choices":[{"index":0,"message":{"role":"assistant","content":"Dior classic black and white logo mid-calf socks, made from high-elastic cotton blend, soft, breathable and non-tight, unisex street style for comfort and fashion elegance.","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fd471178c5"}</t>
        </is>
      </c>
      <c r="M103" t="inlineStr">
        <is>
          <t>{"alt-svc":"h3=\":443\"; ma=2592000","apim-request-id":"5f781797-43a3-48d4-8750-72db45e3f1c1","azureml-model-session":"d20260428174121-807d9cc5","cache-control":"no-cache","connection":"close","content-length":"980","content-type":"application/json","date":"Thu, 30 Apr 2026 01:10:31 GMT","server":"Caddy","skip-error-remapping":"true","strict-transport-security":"max-age=31536000; includeSubDomains; preload","x-content-type-options":"nosniff","x-ms-client-request-id":"Not-Set","x-ms-is-spilled-over":"false","x-ms-rai-invoked":"false","x-ms-region":"East US","x-new-api-version":"0.4.35","x-oneapi-request-id":"202604300110292102151668268d9d6xvtThG8G","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828d41e6-88f9-417b-95cf-1c3bf65e6b04"}</t>
        </is>
      </c>
      <c r="N103" t="inlineStr">
        <is>
          <t>Dior classic black and white logo mid-calf socks, made from high-elastic cotton blend, soft, breathable and non-tight, unisex street style for comfort and fashion elegance.</t>
        </is>
      </c>
      <c r="O103" t="inlineStr">
        <is>
          <t>{"id":"chatcmpl-DaAVZ60Gi8FWApmdGoOlzs4pGG7cw","object":"chat.completion","created":1777512573,"model":"gpt-5-chat-2025-10-03","choices":[{"index":0,"message":{"role":"assistant","content":"Dior,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103" t="inlineStr">
        <is>
          <t>Dior, Socks &amp; Hosiery, kakobuy, kakebuy2026, kekobuysheet, kakobuysheet2026, 2026kakobuy, kakobuyspreadsheeet, kakobuylink, kakebuylist, Kakobuy MEGA Spreadsheet, kakobuysheetfind, kakobuysheetfind2026, 2026kakobuysheetfind, kakobuysheet2026</t>
        </is>
      </c>
      <c r="Q103" t="inlineStr">
        <is>
          <t>Dior, Black, White, Street, Unisex, Comfort</t>
        </is>
      </c>
      <c r="R103" t="inlineStr">
        <is>
          <t>recvhju1Crt5OO</t>
        </is>
      </c>
      <c r="S103" t="inlineStr">
        <is>
          <t>dior-black-white-logo-cotton-mid-calf-socks-recvhju1crt5oo</t>
        </is>
      </c>
      <c r="T103"/>
      <c r="U103"/>
      <c r="V103"/>
      <c r="W103" t="inlineStr">
        <is>
          <t>{"id":"chatcmpl-Da9pgVrgyXGsUXHOE9O8gl4Nxu6yW","object":"chat.completion","created":1777509976,"model":"gpt-5-chat-2025-10-03","choices":[{"index":0,"message":{"role":"assistant","content":"Dior：黑白经典LOGO中筒袜，精选高弹棉质混纺材质，柔软亲肤透气不勒脚，简约街头设计展现时尚品味，男女通用休闲风格，兼具舒适与格调。","refusal":null,"annotations":[]},"logprobs":null,"finish_reason":"stop"}],"usage":{"prompt_tokens":1307,"completion_tokens":64,"total_tokens":1371,"prompt_tokens_details":{"cached_tokens":1280,"audio_tokens":0},"completion_tokens_details":{"reasoning_tokens":0,"audio_tokens":0,"accepted_prediction_tokens":0,"rejected_prediction_tokens":0}},"service_tier":"default","system_fingerprint":"fp_fd471178c5"}</t>
        </is>
      </c>
      <c r="X103" t="inlineStr">
        <is>
          <t>Dior：黑白经典LOGO中筒袜，精选高弹棉质混纺材质，柔软亲肤透气不勒脚，简约街头设计展现时尚品味，男女通用休闲风格，兼具舒适与格调。</t>
        </is>
      </c>
    </row>
    <row r="104" ht="25.5" customHeight="1">
      <c r="A104">
        <v>1654975475</v>
      </c>
      <c r="B104">
        <v>7624154325</v>
      </c>
      <c r="C104" s="2" t="str">
        <f>=HYPERLINK("https://weidian.com/item.html?itemID=7624154325", "https://weidian.com/item.html?itemID=7624154325")</f>
        <v>https://weidian.com/item.html?itemID=7624154325</v>
      </c>
      <c r="D104"/>
      <c r="E104" s="2" t="str">
        <f>=HYPERLINK("https://si.geilicdn.com/pcitem902014207253-5fd00000019ae74c00e10a231177_1440_1920.jpg?w=640&amp;h=640", "https://si.geilicdn.com/pcitem902014207253-5fd00000019ae74c00e10a231177_1440_1920.jpg?w=640&amp;h=640")</f>
        <v>https://si.geilicdn.com/pcitem902014207253-5fd00000019ae74c00e10a231177_1440_1920.jpg?w=640&amp;h=640</v>
      </c>
      <c r="F104" t="inlineStr">
        <is>
          <t>Accessories</t>
        </is>
      </c>
      <c r="G104" t="inlineStr">
        <is>
          <t>Louis Vuitton</t>
        </is>
      </c>
      <c r="H104">
        <v>370</v>
      </c>
      <c r="I104">
        <v>53.62</v>
      </c>
      <c r="J104" t="inlineStr">
        <is>
          <t>{"id":"chatcmpl-DaALDC3Kp5rOawWp6Pi3FdcKtwYFX","object":"chat.completion","created":1777511931,"model":"gpt-5-chat-2025-10-03","choices":[{"index":0,"message":{"role":"assistant","content":"Louis Vuitton Twist Blue Shearling Waist Bag","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fd471178c5"}</t>
        </is>
      </c>
      <c r="K104" t="inlineStr">
        <is>
          <t>Louis Vuitton Twist Blue Shearling Waist Bag</t>
        </is>
      </c>
      <c r="L104" t="inlineStr">
        <is>
          <t>{"id":"chatcmpl-DaABlxCcm1uM2N2teLbFCrqyavXEn","object":"chat.completion","created":1777511345,"model":"gpt-5-chat-2025-10-03","choices":[{"index":0,"message":{"role":"assistant","content":"Louis Vuitton Twist Blue Shearling Waist Bag, soft plush texture with iconic Monogram pattern, sleek curved design, leather trim and gold hardware, stylish unisex luxury for modern urban look.","refusal":null,"annotations":[]},"logprobs":null,"finish_reason":"stop"}],"usage":{"prompt_tokens":912,"completion_tokens":39,"total_tokens":951,"prompt_tokens_details":{"cached_tokens":0,"audio_tokens":0},"completion_tokens_details":{"reasoning_tokens":0,"audio_tokens":0,"accepted_prediction_tokens":0,"rejected_prediction_tokens":0}},"service_tier":"default","system_fingerprint":"fp_fd471178c5"}</t>
        </is>
      </c>
      <c r="M104" t="inlineStr">
        <is>
          <t>{"alt-svc":"h3=\":443\"; ma=2592000","apim-request-id":"6017c6e6-321c-42ae-9c9a-cb635a81b164","azureml-model-session":"d20260428174121-807d9cc5","cache-control":"no-cache","connection":"close","content-length":"1000","content-type":"application/json","date":"Thu, 30 Apr 2026 01:09:06 GMT","server":"nginx","skip-error-remapping":"true","strict-transport-security":"max-age=31536000; includeSubDomains; preload","via":"1.1 Caddy","x-content-type-options":"nosniff","x-ms-client-request-id":"Not-Set","x-ms-is-spilled-over":"false","x-ms-rai-invoked":"false","x-ms-region":"West US","x-new-api-version":"0.4.35","x-oneapi-request-id":"202604300109038508559398268d9d6es4yMYOm","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01138c9a-1af4-45d1-a279-0411324f3d90"}</t>
        </is>
      </c>
      <c r="N104" t="inlineStr">
        <is>
          <t>Louis Vuitton Twist Blue Shearling Waist Bag, soft plush texture with iconic Monogram pattern, sleek curved design, leather trim and gold hardware, stylish unisex luxury for modern urban look.</t>
        </is>
      </c>
      <c r="O104" t="inlineStr">
        <is>
          <t>{"id":"chatcmpl-DaATkEfpL3h1fQD3zRpCAn43JWZQp","object":"chat.completion","created":1777512460,"model":"gpt-5-chat-2025-10-03","choices":[{"index":0,"message":{"role":"assistant","content":"Louis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04" t="inlineStr">
        <is>
          <t>Louis Vuitton, Accessories, kakobuy, kakebuy2026, kekobuysheet, kakobuysheet2026, 2026kakobuy, kakobuyspreadsheeet, kakobuylink, kakebuylist, Kakobuy MEGA Spreadsheet, kakobuysheetfind, kakobuysheetfind2026, 2026kakobuysheetfind, kakobuysheet2026</t>
        </is>
      </c>
      <c r="Q104" t="inlineStr">
        <is>
          <t>LV, Unisex, Blue, Leather, Modern</t>
        </is>
      </c>
      <c r="R104" t="inlineStr">
        <is>
          <t>recvhju1Cr1MKm</t>
        </is>
      </c>
      <c r="S104" t="inlineStr">
        <is>
          <t>louis-vuitton-twist-blue-shearling-waist-bag-recvhju1cr1mkm</t>
        </is>
      </c>
      <c r="T104"/>
      <c r="U104"/>
      <c r="V104"/>
      <c r="W104" t="inlineStr">
        <is>
          <t>{"id":"chatcmpl-Da9nPZFvxqZS1efaBNDg65dkrBIHC","object":"chat.completion","created":1777509835,"model":"gpt-5-chat-2025-10-03","choices":[{"index":0,"message":{"role":"assistant","content":"Louis Vuitton：Twist系列蓝色羊羔绒腰包，柔软质感搭配标志性Monogram大号图腾，精致皮革细节与金属扣件彰显奢华格调，简约弧形设计兼具时尚与实用，男女皆宜，展现现代都市休闲风范。","refusal":null,"annotations":[]},"logprobs":null,"finish_reason":"stop"}],"usage":{"prompt_tokens":1299,"completion_tokens":79,"total_tokens":1378,"prompt_tokens_details":{"cached_tokens":1280,"audio_tokens":0},"completion_tokens_details":{"reasoning_tokens":0,"audio_tokens":0,"accepted_prediction_tokens":0,"rejected_prediction_tokens":0}},"service_tier":"default","system_fingerprint":"fp_ad66631dec"}</t>
        </is>
      </c>
      <c r="X104" t="inlineStr">
        <is>
          <t>Louis Vuitton：Twist系列蓝色羊羔绒腰包，柔软质感搭配标志性Monogram大号图腾，精致皮革细节与金属扣件彰显奢华格调，简约弧形设计兼具时尚与实用，男女皆宜，展现现代都市休闲风范。</t>
        </is>
      </c>
    </row>
    <row r="105" ht="25.5" customHeight="1">
      <c r="A105">
        <v>1654975475</v>
      </c>
      <c r="B105">
        <v>7626814752</v>
      </c>
      <c r="C105" s="2" t="str">
        <f>=HYPERLINK("https://weidian.com/item.html?itemID=7626814752", "https://weidian.com/item.html?itemID=7626814752")</f>
        <v>https://weidian.com/item.html?itemID=7626814752</v>
      </c>
      <c r="D105"/>
      <c r="E105" s="2" t="str">
        <f>=HYPERLINK("https://si.geilicdn.com/pcitem902014207253-6a670000019ae74aef730a2102c5_1080_1080.jpg?w=640&amp;h=640", "https://si.geilicdn.com/pcitem902014207253-6a670000019ae74aef730a2102c5_1080_1080.jpg?w=640&amp;h=640")</f>
        <v>https://si.geilicdn.com/pcitem902014207253-6a670000019ae74aef730a2102c5_1080_1080.jpg?w=640&amp;h=640</v>
      </c>
      <c r="F105" t="inlineStr">
        <is>
          <t>Accessories</t>
        </is>
      </c>
      <c r="G105" t="inlineStr">
        <is>
          <t>lululemon</t>
        </is>
      </c>
      <c r="H105">
        <v>400</v>
      </c>
      <c r="I105">
        <v>57.97</v>
      </c>
      <c r="J105" t="inlineStr">
        <is>
          <t>{"id":"chatcmpl-DaAGpPfwFCp2KVLOqaBxzSzGVg2kC","object":"chat.completion","created":1777511659,"model":"gpt-5-chat-2025-10-03","choices":[{"index":0,"message":{"role":"assistant","content":"Lululemon Black Waterproof Nylon Multifunction Sports Backpack","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105" t="inlineStr">
        <is>
          <t>Lululemon Black Waterproof Nylon Multifunction Sports Backpack</t>
        </is>
      </c>
      <c r="L105" t="inlineStr">
        <is>
          <t>{"id":"chatcmpl-DaA5fbzCsUk90dd5UChxpVCJK397J","object":"chat.completion","created":1777510967,"model":"gpt-5-chat-2025-10-03","choices":[{"index":0,"message":{"role":"assistant","content":"Lululemon Black Multifunctional Sports Backpack, made from high-density waterproof nylon, sleek and durable design with signature logo, ideal for urban commuting, travel, and outdoor fitness.","refusal":null,"annotations":[]},"logprobs":null,"finish_reason":"stop"}],"usage":{"prompt_tokens":902,"completion_tokens":38,"total_tokens":940,"prompt_tokens_details":{"cached_tokens":0,"audio_tokens":0},"completion_tokens_details":{"reasoning_tokens":0,"audio_tokens":0,"accepted_prediction_tokens":0,"rejected_prediction_tokens":0}},"service_tier":"default","system_fingerprint":"fp_ad66631dec"}</t>
        </is>
      </c>
      <c r="M105" t="inlineStr">
        <is>
          <t>{"alt-svc":"h3=\":443\"; ma=2592000","apim-request-id":"0f68a283-e141-4c32-81bf-54471a8fee04","azureml-model-session":"d20260402083108-57a85543","cache-control":"no-cache","connection":"close","content-length":"999","content-type":"application/json","date":"Thu, 30 Apr 2026 01:02:48 GMT","server":"nginx","skip-error-remapping":"true","strict-transport-security":"max-age=31536000; includeSubDomains; preload","via":"1.1 Caddy","x-content-type-options":"nosniff","x-ms-client-request-id":"Not-Set","x-ms-is-spilled-over":"false","x-ms-rai-invoked":"false","x-ms-region":"East US 2","x-new-api-version":"0.4.35","x-oneapi-request-id":"202604300102465163676688268d9d6hjAdVV93","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1410ea84-347b-4775-b009-81d28d1fbacd"}</t>
        </is>
      </c>
      <c r="N105" t="inlineStr">
        <is>
          <t>Lululemon Black Multifunctional Sports Backpack, made from high-density waterproof nylon, sleek and durable design with signature logo, ideal for urban commuting, travel, and outdoor fitness.</t>
        </is>
      </c>
      <c r="O105" t="inlineStr">
        <is>
          <t>{"id":"chatcmpl-DaAVHeHHgbAaeyau2oXQNWo6AGiOH","object":"chat.completion","created":1777512555,"model":"gpt-5-chat-2025-10-03","choices":[{"index":0,"message":{"role":"assistant","content":"Lululemon,Backpack,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90,"total_tokens":873,"prompt_tokens_details":{"cached_tokens":0,"audio_tokens":0},"completion_tokens_details":{"reasoning_tokens":0,"audio_tokens":0,"accepted_prediction_tokens":0,"rejected_prediction_tokens":0}},"service_tier":"default","system_fingerprint":"fp_fd471178c5"}</t>
        </is>
      </c>
      <c r="P105" t="inlineStr">
        <is>
          <t>Lululemon,Backpack,kakobuy,kakebuy2026,kekobuysheet,kakobuysheet2026,2026kakobuy,kakobuyspreadsheeet,kakobuylink,kakebuylist,Kakobuy MEGA Spreadsheet,kakobuysheetfind,kakobuysheetfind2026,2026kakobuysheetfind,kakobuysheet2026</t>
        </is>
      </c>
      <c r="Q105" t="inlineStr">
        <is>
          <t>Backpack, Waterproof, Nylon, Sleek, Black, All Seasons</t>
        </is>
      </c>
      <c r="R105" t="inlineStr">
        <is>
          <t>recvhju1CrCpH4</t>
        </is>
      </c>
      <c r="S105" t="inlineStr">
        <is>
          <t>lululemon-black-waterproof-nylon-multifunction-sports-backpack-recvhju1crCpH4</t>
        </is>
      </c>
      <c r="T105"/>
      <c r="U105"/>
      <c r="V105"/>
      <c r="W105" t="inlineStr">
        <is>
          <t>{"id":"chatcmpl-Da9nppTp3A6eR8hTTiYNZoqP7EU3u","object":"chat.completion","created":1777509861,"model":"gpt-5-chat-2025-10-03","choices":[{"index":0,"message":{"role":"assistant","content":"Lululemon：黑色多功能运动背包，采用高密防水尼龙材质，简约流线设计，标志性品牌徽标点缀，兼具都市通勤与户外实用风格，男女皆宜，展现现代轻奢运动美学。","refusal":null,"annotations":[]},"logprobs":null,"finish_reason":"stop"}],"usage":{"prompt_tokens":1303,"completion_tokens":67,"total_tokens":1370,"prompt_tokens_details":{"cached_tokens":0,"audio_tokens":0},"completion_tokens_details":{"reasoning_tokens":0,"audio_tokens":0,"accepted_prediction_tokens":0,"rejected_prediction_tokens":0}},"service_tier":"default","system_fingerprint":"fp_fd471178c5"}</t>
        </is>
      </c>
      <c r="X105" t="inlineStr">
        <is>
          <t>Lululemon：黑色多功能运动背包，采用高密防水尼龙材质，简约流线设计，标志性品牌徽标点缀，兼具都市通勤与户外实用风格，男女皆宜，展现现代轻奢运动美学。</t>
        </is>
      </c>
    </row>
    <row r="106" ht="25.5" customHeight="1">
      <c r="A106">
        <v>1654975475</v>
      </c>
      <c r="B106">
        <v>7624098779</v>
      </c>
      <c r="C106" s="2" t="str">
        <f>=HYPERLINK("https://weidian.com/item.html?itemID=7624098779", "https://weidian.com/item.html?itemID=7624098779")</f>
        <v>https://weidian.com/item.html?itemID=7624098779</v>
      </c>
      <c r="D106"/>
      <c r="E106" s="2" t="str">
        <f>=HYPERLINK("https://si.geilicdn.com/pcitem902014207253-48890000019ae74ad7480a20e2c5_800_800.jpg?w=640&amp;h=640", "https://si.geilicdn.com/pcitem902014207253-48890000019ae74ad7480a20e2c5_800_800.jpg?w=640&amp;h=640")</f>
        <v>https://si.geilicdn.com/pcitem902014207253-48890000019ae74ad7480a20e2c5_800_800.jpg?w=640&amp;h=640</v>
      </c>
      <c r="F106" t="inlineStr">
        <is>
          <t>Accessories</t>
        </is>
      </c>
      <c r="G106" t="inlineStr">
        <is>
          <t>Wilson</t>
        </is>
      </c>
      <c r="H106">
        <v>390</v>
      </c>
      <c r="I106">
        <v>56.52</v>
      </c>
      <c r="J106" t="inlineStr">
        <is>
          <t>{"id":"chatcmpl-DaAI5e0p18tQW517wSNIjLBPsng79","object":"chat.completion","created":1777511737,"model":"gpt-5-chat-2025-10-03","choices":[{"index":0,"message":{"role":"assistant","content":"Wilson White Waterproof Tennis Backpack","refusal":null,"annotations":[]},"logprobs":null,"finish_reason":"stop"}],"usage":{"prompt_tokens":884,"completion_tokens":6,"total_tokens":890,"prompt_tokens_details":{"cached_tokens":0,"audio_tokens":0},"completion_tokens_details":{"reasoning_tokens":0,"audio_tokens":0,"accepted_prediction_tokens":0,"rejected_prediction_tokens":0}},"service_tier":"default","system_fingerprint":"fp_fd471178c5"}</t>
        </is>
      </c>
      <c r="K106" t="inlineStr">
        <is>
          <t>Wilson White Waterproof Tennis Backpack</t>
        </is>
      </c>
      <c r="L106" t="inlineStr">
        <is>
          <t>{"id":"chatcmpl-DaAA1Wh6YvYJYq7Gh1pYJfcs10ASl","object":"chat.completion","created":1777511237,"model":"gpt-5-chat-2025-10-03","choices":[{"index":0,"message":{"role":"assistant","content":"Wilson White Tennis Backpack – lightweight waterproof nylon, roomy main compartment with side pockets, sleek design with red 3D logo, unisex for tennis, gym, or daily use, sporty and energetic style.","refusal":null,"annotations":[]},"logprobs":null,"finish_reason":"stop"}],"usage":{"prompt_tokens":918,"completion_tokens":42,"total_tokens":960,"prompt_tokens_details":{"cached_tokens":0,"audio_tokens":0},"completion_tokens_details":{"reasoning_tokens":0,"audio_tokens":0,"accepted_prediction_tokens":0,"rejected_prediction_tokens":0}},"service_tier":"default","system_fingerprint":"fp_fd471178c5"}</t>
        </is>
      </c>
      <c r="M106" t="inlineStr">
        <is>
          <t>{"alt-svc":"h3=\":443\"; ma=2592000","apim-request-id":"7cfa11a6-e13e-4a19-aa81-303332c0e860","azureml-model-session":"d20260428205641-55ca9797","cache-control":"no-cache","connection":"close","content-length":"1009","content-type":"application/json","date":"Thu, 30 Apr 2026 01:07:18 GMT","server":"nginx","skip-error-remapping":"true","strict-transport-security":"max-age=31536000; includeSubDomains; preload","via":"1.1 Caddy","x-content-type-options":"nosniff","x-ms-client-request-id":"Not-Set","x-ms-is-spilled-over":"false","x-ms-rai-invoked":"false","x-ms-region":"Central US","x-new-api-version":"0.4.35","x-oneapi-request-id":"202604300107172923770368268d9d6OgxpCSeH","x-ratelimit-abusepenalty-active":"False","x-ratelimit-key":"gpt-5-chat-global","x-ratelimit-limit-requests":"1000","x-ratelimit-limit-tokens":"1000000","x-ratelimit-remaining-requests":"999","x-ratelimit-remaining-tokens":"997819","x-ratelimit-renewalperiod-requests":"60","x-ratelimit-renewalperiod-tokens":"60","x-ratelimit-reset-requests":"60","x-ratelimit-reset-tokens":"130","x-request-id":"4087e848-df0f-4862-b9cb-000e6637436a"}</t>
        </is>
      </c>
      <c r="N106" t="inlineStr">
        <is>
          <t>Wilson White Tennis Backpack – lightweight waterproof nylon, roomy main compartment with side pockets, sleek design with red 3D logo, unisex for tennis, gym, or daily use, sporty and energetic style.</t>
        </is>
      </c>
      <c r="O106" t="inlineStr">
        <is>
          <t>{"id":"chatcmpl-DaARv3TfvT1LhDX1bKSbfeTyHawgw","object":"chat.completion","created":1777512347,"model":"gpt-5-chat-2025-10-03","choices":[{"index":0,"message":{"role":"assistant","content":"Wilson,Accessori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fd471178c5"}</t>
        </is>
      </c>
      <c r="P106" t="inlineStr">
        <is>
          <t>Wilson,Accessories,kakobuy,kakebuy2026,kekobuysheet,kakobuysheet2026,2026kakobuy,kakobuyspreadsheeet,kakobuylink,kakebuylist,Kakobuy MEGA Spreadsheet,kakobuysheetfind,kakobuysheetfind2026,2026kakobuysheetfind,kakobuysheet2026</t>
        </is>
      </c>
      <c r="Q106" t="inlineStr">
        <is>
          <t>Backpack, White, Lightweight, Waterproof, Nylon, Unisex</t>
        </is>
      </c>
      <c r="R106" t="inlineStr">
        <is>
          <t>recvhju1CrMoLJ</t>
        </is>
      </c>
      <c r="S106" t="inlineStr">
        <is>
          <t>wilson-white-waterproof-tennis-backpack-recvhju1crmolj</t>
        </is>
      </c>
      <c r="T106"/>
      <c r="U106"/>
      <c r="V106"/>
      <c r="W106" t="inlineStr">
        <is>
          <t>{"id":"chatcmpl-Da9qVEObWSQVK9vt688EqJxXcoq0Y","object":"chat.completion","created":1777510027,"model":"gpt-5-chat-2025-10-03","choices":[{"index":0,"message":{"role":"assistant","content":"Wilson：白色网球系列多功能运动双肩包，轻盈防水尼龙材质，宽敞主仓搭配侧袋设计，简约流线造型融入品牌红色立体LOGO，彰显专业与活力。男女通用款，适合网球、健身及日常出行，时尚运动风格尽显青春能量。","refusal":null,"annotations":[]},"logprobs":null,"finish_reason":"stop"}],"usage":{"prompt_tokens":1295,"completion_tokens":87,"total_tokens":1382,"prompt_tokens_details":{"cached_tokens":1280,"audio_tokens":0},"completion_tokens_details":{"reasoning_tokens":0,"audio_tokens":0,"accepted_prediction_tokens":0,"rejected_prediction_tokens":0}},"service_tier":"default","system_fingerprint":"fp_ad66631dec"}</t>
        </is>
      </c>
      <c r="X106" t="inlineStr">
        <is>
          <t>Wilson：白色网球系列多功能运动双肩包，轻盈防水尼龙材质，宽敞主仓搭配侧袋设计，简约流线造型融入品牌红色立体LOGO，彰显专业与活力。男女通用款，适合网球、健身及日常出行，时尚运动风格尽显青春能量。</t>
        </is>
      </c>
    </row>
    <row r="107" ht="25.5" customHeight="1">
      <c r="A107">
        <v>1654975475</v>
      </c>
      <c r="B107">
        <v>7623933767</v>
      </c>
      <c r="C107" s="2" t="str">
        <f>=HYPERLINK("https://weidian.com/item.html?itemID=7623933767", "https://weidian.com/item.html?itemID=7623933767")</f>
        <v>https://weidian.com/item.html?itemID=7623933767</v>
      </c>
      <c r="D107"/>
      <c r="E107" s="2" t="str">
        <f>=HYPERLINK("https://si.geilicdn.com/pcitem2014204438-6d1d0000019ae48cdf550a207569_1080_1418.jpg?w=640&amp;h=640", "https://si.geilicdn.com/pcitem2014204438-6d1d0000019ae48cdf550a207569_1080_1418.jpg?w=640&amp;h=640")</f>
        <v>https://si.geilicdn.com/pcitem2014204438-6d1d0000019ae48cdf550a207569_1080_1418.jpg?w=640&amp;h=640</v>
      </c>
      <c r="F107" t="inlineStr">
        <is>
          <t>Accessories</t>
        </is>
      </c>
      <c r="G107" t="inlineStr">
        <is>
          <t>Mont Bell</t>
        </is>
      </c>
      <c r="H107">
        <v>300</v>
      </c>
      <c r="I107">
        <v>43.48</v>
      </c>
      <c r="J107" t="inlineStr">
        <is>
          <t>{"id":"chatcmpl-DaAM6ZXRVhfW5j7AQdPWrSOI4H6Xf","object":"chat.completion","created":1777511986,"model":"gpt-5-chat-2025-10-03","choices":[{"index":0,"message":{"role":"assistant","content":"Montbell Light Purple Nylon Water-Resistant Backpack","refusal":null,"annotations":[]},"logprobs":null,"finish_reason":"stop"}],"usage":{"prompt_tokens":865,"completion_tokens":11,"total_tokens":876,"prompt_tokens_details":{"cached_tokens":0,"audio_tokens":0},"completion_tokens_details":{"reasoning_tokens":0,"audio_tokens":0,"accepted_prediction_tokens":0,"rejected_prediction_tokens":0}},"service_tier":"default","system_fingerprint":"fp_fd471178c5"}</t>
        </is>
      </c>
      <c r="K107" t="inlineStr">
        <is>
          <t>Montbell Light Purple Nylon Water-Resistant Backpack</t>
        </is>
      </c>
      <c r="L107" t="inlineStr">
        <is>
          <t>{"id":"chatcmpl-DaABihvCwL3iXLF08LR8UwYWjE8fG","object":"chat.completion","created":1777511342,"model":"gpt-5-chat-2025-10-03","choices":[{"index":0,"message":{"role":"assistant","content":"Montbell Light Purple Urban Water-Repellent Nylon Backpack, minimalist design with practical compartments and cute plush charm, unisex style for casual daily outdoor use.","refusal":null,"annotations":[]},"logprobs":null,"finish_reason":"stop"}],"usage":{"prompt_tokens":896,"completion_tokens":32,"total_tokens":928,"prompt_tokens_details":{"cached_tokens":0,"audio_tokens":0},"completion_tokens_details":{"reasoning_tokens":0,"audio_tokens":0,"accepted_prediction_tokens":0,"rejected_prediction_tokens":0}},"service_tier":"default","system_fingerprint":"fp_fd471178c5"}</t>
        </is>
      </c>
      <c r="M107" t="inlineStr">
        <is>
          <t>{"alt-svc":"h3=\":443\"; ma=2592000","apim-request-id":"c4e4bfbd-afff-4460-bfd6-bde4cec93bc7","azureml-model-session":"d20260428205641-55ca9797","cache-control":"no-cache","connection":"close","content-length":"978","content-type":"application/json","date":"Thu, 30 Apr 2026 01:09:03 GMT","server":"Caddy","skip-error-remapping":"true","strict-transport-security":"max-age=31536000; includeSubDomains; preload","x-content-type-options":"nosniff","x-ms-client-request-id":"Not-Set","x-ms-is-spilled-over":"false","x-ms-rai-invoked":"false","x-ms-region":"East US","x-new-api-version":"0.4.35","x-oneapi-request-id":"202604300109014267975498268d9d60u6H7BN0","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96b94d05-98d0-4a4e-8920-557643f3b433"}</t>
        </is>
      </c>
      <c r="N107" t="inlineStr">
        <is>
          <t>Montbell Light Purple Urban Water-Repellent Nylon Backpack, minimalist design with practical compartments and cute plush charm, unisex style for casual daily outdoor use.</t>
        </is>
      </c>
      <c r="O107" t="inlineStr">
        <is>
          <t>{"id":"chatcmpl-DaASpGrEZOs9QsaiA62bKJdAcfOkN","object":"chat.completion","created":1777512403,"model":"gpt-5-chat-2025-10-03","choices":[{"index":0,"message":{"role":"assistant","content":"Mont Bell,Backpack,kakobuy,kakebuy2026,kekobuysheet,kakobuysheet2026,2026kakobuy,kakobuyspreadsheeet,kakobuylink,kakebuylist,Kakobuy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07" t="inlineStr">
        <is>
          <t>Mont Bell,Backpack,kakobuy,kakebuy2026,kekobuysheet,kakobuysheet2026,2026kakobuy,kakobuyspreadsheeet,kakobuylink,kakebuylist,Kakobuy MEGA Spreadsheet,kakobuysheetfind,kakobuysheetfind2026,2026kakobuysheetfind,kakobuysheet2026</t>
        </is>
      </c>
      <c r="Q107" t="inlineStr">
        <is>
          <t>Backpack, Nylon, Minimalist, Unisex, Purple, Waterproof</t>
        </is>
      </c>
      <c r="R107" t="inlineStr">
        <is>
          <t>recvhju1CrH2RU</t>
        </is>
      </c>
      <c r="S107" t="inlineStr">
        <is>
          <t>montbell-light-purple-nylon-water-resistant-backpack-recvhju1crh2ru</t>
        </is>
      </c>
      <c r="T107"/>
      <c r="U107"/>
      <c r="V107"/>
      <c r="W107" t="inlineStr">
        <is>
          <t>{"id":"chatcmpl-Da9nhpar2IoE4MrPowJ3O0hoSM0Fm","object":"chat.completion","created":1777509853,"model":"gpt-5-chat-2025-10-03","choices":[{"index":0,"message":{"role":"assistant","content":"Montbell：淡紫色城市轻量防泼水尼龙双肩背包，极简设计结合实用收纳结构，附可爱毛绒挂件点缀，男女皆宜，展现休闲与功能兼具的日常户外风格。","refusal":null,"annotations":[]},"logprobs":null,"finish_reason":"stop"}],"usage":{"prompt_tokens":1299,"completion_tokens":63,"total_tokens":1362,"prompt_tokens_details":{"cached_tokens":0,"audio_tokens":0},"completion_tokens_details":{"reasoning_tokens":0,"audio_tokens":0,"accepted_prediction_tokens":0,"rejected_prediction_tokens":0}},"service_tier":"default","system_fingerprint":"fp_ad66631dec"}</t>
        </is>
      </c>
      <c r="X107" t="inlineStr">
        <is>
          <t>Montbell：淡紫色城市轻量防泼水尼龙双肩背包，极简设计结合实用收纳结构，附可爱毛绒挂件点缀，男女皆宜，展现休闲与功能兼具的日常户外风格。</t>
        </is>
      </c>
    </row>
    <row r="108" ht="25.5" customHeight="1">
      <c r="A108">
        <v>1654975475</v>
      </c>
      <c r="B108">
        <v>7626819080</v>
      </c>
      <c r="C108" s="2" t="str">
        <f>=HYPERLINK("https://weidian.com/item.html?itemID=7626819080", "https://weidian.com/item.html?itemID=7626819080")</f>
        <v>https://weidian.com/item.html?itemID=7626819080</v>
      </c>
      <c r="D108"/>
      <c r="E108" s="2" t="str">
        <f>=HYPERLINK("https://si.geilicdn.com/pcitem2014204438-5d050000019ae488fe270a239646_1512_2016.jpg?w=640&amp;h=640", "https://si.geilicdn.com/pcitem2014204438-5d050000019ae488fe270a239646_1512_2016.jpg?w=640&amp;h=640")</f>
        <v>https://si.geilicdn.com/pcitem2014204438-5d050000019ae488fe270a239646_1512_2016.jpg?w=640&amp;h=640</v>
      </c>
      <c r="F108" t="inlineStr">
        <is>
          <t>Accessories</t>
        </is>
      </c>
      <c r="G108" t="inlineStr">
        <is>
          <t>Arc teryx</t>
        </is>
      </c>
      <c r="H108">
        <v>460</v>
      </c>
      <c r="I108">
        <v>66.67</v>
      </c>
      <c r="J108" t="inlineStr">
        <is>
          <t>{"id":"chatcmpl-DaAJIC1xHM6QXN1lAGBz7cxVbN9uc","object":"chat.completion","created":1777511812,"model":"gpt-5-chat-2025-10-03","choices":[{"index":0,"message":{"role":"assistant","content":"Arc'teryx Blue Waterproof Outdoor Hiking Backpack","refusal":null,"annotations":[]},"logprobs":null,"finish_reason":"stop"}],"usage":{"prompt_tokens":885,"completion_tokens":10,"total_tokens":895,"prompt_tokens_details":{"cached_tokens":0,"audio_tokens":0},"completion_tokens_details":{"reasoning_tokens":0,"audio_tokens":0,"accepted_prediction_tokens":0,"rejected_prediction_tokens":0}},"service_tier":"default","system_fingerprint":"fp_fd471178c5"}</t>
        </is>
      </c>
      <c r="K108" t="inlineStr">
        <is>
          <t>Arc'teryx Blue Waterproof Outdoor Hiking Backpack</t>
        </is>
      </c>
      <c r="L108" t="inlineStr">
        <is>
          <t>{"id":"chatcmpl-DaACVHZhulkppNGKALKm6ZFZ97WOy","object":"chat.completion","created":1777511391,"model":"gpt-5-chat-2025-10-03","choices":[{"index":0,"message":{"role":"assistant","content":"Arc'teryx Blue Outdoor Hiking Backpack, made of durable waterproof nylon, lightweight and breathable, ergonomic multi-layer storage, dynamic 3D design with signature rock totem, unisex sporty style.","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fd471178c5"}</t>
        </is>
      </c>
      <c r="M108" t="inlineStr">
        <is>
          <t>{"alt-svc":"h3=\":443\"; ma=2592000","apim-request-id":"a1b06c7b-9419-496d-9006-d10b1c6a4fda","azureml-model-session":"d20260428174121-807d9cc5","cache-control":"no-cache","connection":"close","content-length":"1006","content-type":"application/json","date":"Thu, 30 Apr 2026 01:09:51 GMT","server":"nginx","skip-error-remapping":"true","strict-transport-security":"max-age=31536000; includeSubDomains; preload","via":"1.1 Caddy","x-content-type-options":"nosniff","x-ms-client-request-id":"Not-Set","x-ms-is-spilled-over":"false","x-ms-rai-invoked":"false","x-ms-region":"West US","x-new-api-version":"0.4.35","x-oneapi-request-id":"202604300109501110489108268d9d60BPxYMxq","x-ratelimit-abusepenalty-active":"False","x-ratelimit-key":"gpt-5-chat-global","x-ratelimit-limit-requests":"1000","x-ratelimit-limit-tokens":"1000000","x-ratelimit-remaining-requests":"999","x-ratelimit-remaining-tokens":"998316","x-ratelimit-renewalperiod-requests":"60","x-ratelimit-renewalperiod-tokens":"60","x-ratelimit-reset-requests":"60","x-ratelimit-reset-tokens":"101","x-request-id":"147e1b8e-16db-48af-a399-56454fe3bfe0"}</t>
        </is>
      </c>
      <c r="N108" t="inlineStr">
        <is>
          <t>Arc'teryx Blue Outdoor Hiking Backpack, made of durable waterproof nylon, lightweight and breathable, ergonomic multi-layer storage, dynamic 3D design with signature rock totem, unisex sporty style.</t>
        </is>
      </c>
      <c r="O108" t="inlineStr">
        <is>
          <t>{"id":"chatcmpl-DaARg64yzUrNTXied9uo8G9YHneZH","object":"chat.completion","created":1777512332,"model":"gpt-5-chat-2025-10-03","choices":[{"index":0,"message":{"role":"assistant","content":"Arc'teryx,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08" t="inlineStr">
        <is>
          <t>Arc'teryx, Accessories, kakobuy, kakebuy2026, kekobuysheet, kakobuysheet2026, 2026kakobuy, kakobuyspreadsheeet, kakobuylink, kakebuylist, Kakobuy MEGA Spreadsheet, kakobuysheetfind, kakobuysheetfind2026, 2026kakobuysheetfind, kakobuysheet2026</t>
        </is>
      </c>
      <c r="Q108" t="inlineStr">
        <is>
          <t>Backpack, Hiking Shoes, Nylon, Waterproof, Unisex, Outdoor</t>
        </is>
      </c>
      <c r="R108" t="inlineStr">
        <is>
          <t>recvhju1Cr7mn1</t>
        </is>
      </c>
      <c r="S108" t="inlineStr">
        <is>
          <t>arcteryx-blue-waterproof-outdoor-hiking-backpack-recvhju1cr7mn1</t>
        </is>
      </c>
      <c r="T108"/>
      <c r="U108"/>
      <c r="V108"/>
      <c r="W108" t="inlineStr">
        <is>
          <t>{"id":"chatcmpl-Da9rW6ui9oAO7Mz7sNqxmll9IqvD6","object":"chat.completion","created":1777510090,"model":"gpt-5-chat-2025-10-03","choices":[{"index":0,"message":{"role":"assistant","content":"Arc'teryx 蓝色户外登山背包，采用耐磨防水尼龙材质，轻盈透气，人体工学多层收纳设计，立体剪裁呈现动感轮廓，配以品牌标志性山岩图腾，适合男女通用，全能型运动风格，兼具功能与时尚，彰显高性能户外美学。","refusal":null,"annotations":[]},"logprobs":null,"finish_reason":"stop"}],"usage":{"prompt_tokens":1299,"completion_tokens":89,"total_tokens":1388,"prompt_tokens_details":{"cached_tokens":1280,"audio_tokens":0},"completion_tokens_details":{"reasoning_tokens":0,"audio_tokens":0,"accepted_prediction_tokens":0,"rejected_prediction_tokens":0}},"service_tier":"default","system_fingerprint":"fp_fd471178c5"}</t>
        </is>
      </c>
      <c r="X108" t="inlineStr">
        <is>
          <t>Arc'teryx 蓝色户外登山背包，采用耐磨防水尼龙材质，轻盈透气，人体工学多层收纳设计，立体剪裁呈现动感轮廓，配以品牌标志性山岩图腾，适合男女通用，全能型运动风格，兼具功能与时尚，彰显高性能户外美学。</t>
        </is>
      </c>
    </row>
    <row r="109" ht="25.5" customHeight="1">
      <c r="A109">
        <v>1654975475</v>
      </c>
      <c r="B109">
        <v>7626862794</v>
      </c>
      <c r="C109" s="2" t="str">
        <f>=HYPERLINK("https://weidian.com/item.html?itemID=7626862794", "https://weidian.com/item.html?itemID=7626862794")</f>
        <v>https://weidian.com/item.html?itemID=7626862794</v>
      </c>
      <c r="D109"/>
      <c r="E109" s="2" t="str">
        <f>=HYPERLINK("https://si.geilicdn.com/pcitem2014204438-6a880000019ae48519010a210256_1440_1919.jpg?w=640&amp;h=640", "https://si.geilicdn.com/pcitem2014204438-6a880000019ae48519010a210256_1440_1919.jpg?w=640&amp;h=640")</f>
        <v>https://si.geilicdn.com/pcitem2014204438-6a880000019ae48519010a210256_1440_1919.jpg?w=640&amp;h=640</v>
      </c>
      <c r="F109" t="inlineStr">
        <is>
          <t>Accessories</t>
        </is>
      </c>
      <c r="G109" t="inlineStr">
        <is>
          <t>Arc teryx</t>
        </is>
      </c>
      <c r="H109">
        <v>260</v>
      </c>
      <c r="I109">
        <v>37.68</v>
      </c>
      <c r="J109" t="inlineStr">
        <is>
          <t>{"id":"chatcmpl-DaAFHto3C6qMm1tcO6OYdhXSyz3mm","object":"chat.completion","created":1777511563,"model":"gpt-5-chat-2025-10-03","choices":[{"index":0,"message":{"role":"assistant","content":"Arc'teryx White Waterproof Nylon Backpack Outdoor Travel Bag","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ad66631dec"}</t>
        </is>
      </c>
      <c r="K109" t="inlineStr">
        <is>
          <t>Arc'teryx White Waterproof Nylon Backpack Outdoor Travel Bag</t>
        </is>
      </c>
      <c r="L109" t="inlineStr">
        <is>
          <t>{"id":"chatcmpl-DaADC7VmkRv2DoR2LW4Wck8tOVwhV","object":"chat.completion","created":1777511434,"model":"gpt-5-chat-2025-10-03","choices":[{"index":0,"message":{"role":"assistant","content":"Arc’teryx White Lightweight Waterproof Nylon Backpack – Minimalist Urban Design, Durable and Breathable, Unisex, Ideal for Outdoor Commuting and Travel, Showcasing High‑Performance Aesthetics.","refusal":null,"annotations":[]},"logprobs":null,"finish_reason":"stop"}],"usage":{"prompt_tokens":883,"completion_tokens":43,"total_tokens":926,"prompt_tokens_details":{"cached_tokens":0,"audio_tokens":0},"completion_tokens_details":{"reasoning_tokens":0,"audio_tokens":0,"accepted_prediction_tokens":0,"rejected_prediction_tokens":0}},"service_tier":"default","system_fingerprint":"fp_fd471178c5"}</t>
        </is>
      </c>
      <c r="M109" t="inlineStr">
        <is>
          <t>{"alt-svc":"h3=\":443\"; ma=2592000","apim-request-id":"90f8f676-d2ab-468c-be20-2184a8d20ebe","azureml-model-session":"d20260429094557-48622491","cache-control":"no-cache","connection":"close","content-length":"1006","content-type":"application/json","date":"Thu, 30 Apr 2026 01:10:36 GMT","server":"Caddy","skip-error-remapping":"true","strict-transport-security":"max-age=31536000; includeSubDomains; preload","x-content-type-options":"nosniff","x-ms-client-request-id":"Not-Set","x-ms-is-spilled-over":"false","x-ms-rai-invoked":"false","x-ms-region":"East US 2","x-new-api-version":"0.4.35","x-oneapi-request-id":"202604300110333974912218268d9d66tlqCqcE","x-ratelimit-abusepenalty-active":"False","x-ratelimit-key":"gpt-5-chat-global","x-ratelimit-limit-requests":"1000","x-ratelimit-limit-tokens":"1000000","x-ratelimit-remaining-requests":"999","x-ratelimit-remaining-tokens":"998355","x-ratelimit-renewalperiod-requests":"60","x-ratelimit-renewalperiod-tokens":"60","x-ratelimit-reset-requests":"60","x-ratelimit-reset-tokens":"98","x-request-id":"4cfdaded-47bc-43f5-a6a5-a184db5e16de"}</t>
        </is>
      </c>
      <c r="N109" t="inlineStr">
        <is>
          <t>Arc’teryx White Lightweight Waterproof Nylon Backpack – Minimalist Urban Design, Durable and Breathable, Unisex, Ideal for Outdoor Commuting and Travel, Showcasing High‑Performance Aesthetics.</t>
        </is>
      </c>
      <c r="O109" t="inlineStr">
        <is>
          <t>{"id":"chatcmpl-DaAPLTSOM6fzntZ6MjN2xBbF43gTt","object":"chat.completion","created":1777512187,"model":"gpt-5-chat-2025-10-03","choices":[{"index":0,"message":{"role":"assistant","content":"Arc'teryx,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09" t="inlineStr">
        <is>
          <t>Arc'teryx, Backpack, kakobuy, kakebuy2026, kekobuysheet, kakobuysheet2026, 2026kakobuy, kakobuyspreadsheeet, kakobuylink, kakebuylist, Kakobuy MEGA Spreadsheet, kakobuysheetfind, kakobuysheetfind2026, 2026kakobuysheetfind, kakobuysheet2026</t>
        </is>
      </c>
      <c r="Q109" t="inlineStr">
        <is>
          <t>Backpack, White, Minimalist, Unisex, Nylon, Waterproof</t>
        </is>
      </c>
      <c r="R109" t="inlineStr">
        <is>
          <t>recvhju1Cr1s5V</t>
        </is>
      </c>
      <c r="S109" t="inlineStr">
        <is>
          <t>arcteryx-white-waterproof-nylon-backpack-recvhju1cr1s5v</t>
        </is>
      </c>
      <c r="T109"/>
      <c r="U109"/>
      <c r="V109"/>
      <c r="W109" t="inlineStr">
        <is>
          <t>{"id":"chatcmpl-Da9mvv1bkeYLqIPZnC27Hx5OwSZ5D","object":"chat.completion","created":1777509805,"model":"gpt-5-chat-2025-10-03","choices":[{"index":0,"message":{"role":"assistant","content":"Arc’teryx：白色轻量防水尼龙双肩背包，极简都市风设计，耐磨透气，男女通用，适合户外通勤与旅行，展现高性能美学。","refusal":null,"annotations":[]},"logprobs":null,"finish_reason":"stop"}],"usage":{"prompt_tokens":1299,"completion_tokens":50,"total_tokens":1349,"prompt_tokens_details":{"cached_tokens":1280,"audio_tokens":0},"completion_tokens_details":{"reasoning_tokens":0,"audio_tokens":0,"accepted_prediction_tokens":0,"rejected_prediction_tokens":0}},"service_tier":"default","system_fingerprint":"fp_fd471178c5"}</t>
        </is>
      </c>
      <c r="X109" t="inlineStr">
        <is>
          <t>Arc’teryx：白色轻量防水尼龙双肩背包，极简都市风设计，耐磨透气，男女通用，适合户外通勤与旅行，展现高性能美学。</t>
        </is>
      </c>
    </row>
    <row r="110" ht="25.5" customHeight="1">
      <c r="A110">
        <v>1654975475</v>
      </c>
      <c r="B110">
        <v>7626127830</v>
      </c>
      <c r="C110" s="2" t="str">
        <f>=HYPERLINK("https://weidian.com/item.html?itemID=7626127830", "https://weidian.com/item.html?itemID=7626127830")</f>
        <v>https://weidian.com/item.html?itemID=7626127830</v>
      </c>
      <c r="D110"/>
      <c r="E110" s="2" t="str">
        <f>=HYPERLINK("https://si.geilicdn.com/pcitem2014204438-37b30000019ade1681000a239646_1440_1920.jpg?w=640&amp;h=640", "https://si.geilicdn.com/pcitem2014204438-37b30000019ade1681000a239646_1440_1920.jpg?w=640&amp;h=640")</f>
        <v>https://si.geilicdn.com/pcitem2014204438-37b30000019ade1681000a239646_1440_1920.jpg?w=640&amp;h=640</v>
      </c>
      <c r="F110" t="inlineStr">
        <is>
          <t>Glasses</t>
        </is>
      </c>
      <c r="G110" t="inlineStr">
        <is>
          <t>Tiffany</t>
        </is>
      </c>
      <c r="H110">
        <v>390</v>
      </c>
      <c r="I110">
        <v>56.52</v>
      </c>
      <c r="J110" t="inlineStr">
        <is>
          <t>{"id":"chatcmpl-DaAKNU5jVea9AchEuCQoKNOGQRDqm","object":"chat.completion","created":1777511879,"model":"gpt-5-chat-2025-10-03","choices":[{"index":0,"message":{"role":"assistant","content":"Tiffany &amp; Co Black Gradient Lens Sunglass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fd471178c5"}</t>
        </is>
      </c>
      <c r="K110" t="inlineStr">
        <is>
          <t>Tiffany &amp; Co Black Gradient Lens Sunglasses</t>
        </is>
      </c>
      <c r="L110" t="inlineStr">
        <is>
          <t>{"id":"chatcmpl-DaA5j3JPq42h7MXbwi1StVNRoI4Et","object":"chat.completion","created":1777510971,"model":"gpt-5-chat-2025-10-03","choices":[{"index":0,"message":{"role":"assistant","content":"Tiffany &amp; Co Black Gradient Lens Sunglasses, premium acetate frame with metal hinges, elegant urban design for men and women, showcasing timeless luxury and modern sophistication.","refusal":null,"annotations":[]},"logprobs":null,"finish_reason":"stop"}],"usage":{"prompt_tokens":895,"completion_tokens":33,"total_tokens":928,"prompt_tokens_details":{"cached_tokens":0,"audio_tokens":0},"completion_tokens_details":{"reasoning_tokens":0,"audio_tokens":0,"accepted_prediction_tokens":0,"rejected_prediction_tokens":0}},"service_tier":"default","system_fingerprint":"fp_fd471178c5"}</t>
        </is>
      </c>
      <c r="M110" t="inlineStr">
        <is>
          <t>{"alt-svc":"h3=\":443\"; ma=2592000","apim-request-id":"10ae08a7-22c2-4a4a-9ef2-4b558c9707fa","azureml-model-session":"d20260428205641-55ca9797","cache-control":"no-cache","connection":"close","content-length":"987","content-type":"application/json","date":"Thu, 30 Apr 2026 01:02:52 GMT","server":"Caddy","skip-error-remapping":"true","strict-transport-security":"max-age=31536000; includeSubDomains; preload","x-content-type-options":"nosniff","x-ms-client-request-id":"Not-Set","x-ms-is-spilled-over":"false","x-ms-rai-invoked":"false","x-ms-region":"East US 2","x-new-api-version":"0.4.35","x-oneapi-request-id":"202604300102502266029318268d9d6tIYAbEE3","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27e4ba22-fd0d-41a6-9f55-06c93490ccdf"}</t>
        </is>
      </c>
      <c r="N110" t="inlineStr">
        <is>
          <t>Tiffany &amp; Co Black Gradient Lens Sunglasses, premium acetate frame with metal hinges, elegant urban design for men and women, showcasing timeless luxury and modern sophistication.</t>
        </is>
      </c>
      <c r="O110" t="inlineStr">
        <is>
          <t>{"id":"chatcmpl-DaAT8JqiRrh8yqF10gTv9zqhuCnFC","object":"chat.completion","created":1777512422,"model":"gpt-5-chat-2025-10-03","choices":[{"index":0,"message":{"role":"assistant","content":"Tiffany &amp; Co,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93,"total_tokens":876,"prompt_tokens_details":{"cached_tokens":0,"audio_tokens":0},"completion_tokens_details":{"reasoning_tokens":0,"audio_tokens":0,"accepted_prediction_tokens":0,"rejected_prediction_tokens":0}},"service_tier":"default","system_fingerprint":"fp_ad66631dec"}</t>
        </is>
      </c>
      <c r="P110" t="inlineStr">
        <is>
          <t>Tiffany &amp; Co, sunglasses, kakobuy, kakebuy2026, kekobuysheet, kakobuysheet2026, 2026kakobuy, kakobuyspreadsheeet, kakobuylink, kakebuylist, Kakobuy MEGA Spreadsheet, kakobuysheetfind, kakobuysheetfind2026, 2026kakobuysheetfind, kakobuysheet2026</t>
        </is>
      </c>
      <c r="Q110" t="inlineStr">
        <is>
          <t>Elegant, Unisex, Acetate Fiber, Gradient, Black</t>
        </is>
      </c>
      <c r="R110" t="inlineStr">
        <is>
          <t>recvhju1CrXrvG</t>
        </is>
      </c>
      <c r="S110" t="inlineStr">
        <is>
          <t>tiffany-black-gradient-sunglasses-recvhju1crxrvG</t>
        </is>
      </c>
      <c r="T110"/>
      <c r="U110"/>
      <c r="V110"/>
      <c r="W110" t="inlineStr">
        <is>
          <t>{"id":"chatcmpl-Da9oCVyH6TIKqMMgBwO26kIDClglK","object":"chat.completion","created":1777509884,"model":"gpt-5-chat-2025-10-03","choices":[{"index":0,"message":{"role":"assistant","content":"Tiffany&amp;Co：黑色渐变镜片时尚太阳眼镜，精选醋酸纤维镜架，金属铰链巧饰品牌标识，现代优雅设计，适合男女佩戴，彰显都市奢华格调与经典美学。","refusal":null,"annotations":[]},"logprobs":null,"finish_reason":"stop"}],"usage":{"prompt_tokens":1296,"completion_tokens":63,"total_tokens":1359,"prompt_tokens_details":{"cached_tokens":0,"audio_tokens":0},"completion_tokens_details":{"reasoning_tokens":0,"audio_tokens":0,"accepted_prediction_tokens":0,"rejected_prediction_tokens":0}},"service_tier":"default","system_fingerprint":"fp_fd471178c5"}</t>
        </is>
      </c>
      <c r="X110" t="inlineStr">
        <is>
          <t>Tiffany&amp;Co：黑色渐变镜片时尚太阳眼镜，精选醋酸纤维镜架，金属铰链巧饰品牌标识，现代优雅设计，适合男女佩戴，彰显都市奢华格调与经典美学。</t>
        </is>
      </c>
    </row>
    <row r="111" ht="25.5" customHeight="1">
      <c r="A111">
        <v>1654975475</v>
      </c>
      <c r="B111">
        <v>7623782889</v>
      </c>
      <c r="C111" s="2" t="str">
        <f>=HYPERLINK("https://weidian.com/item.html?itemID=7623782889", "https://weidian.com/item.html?itemID=7623782889")</f>
        <v>https://weidian.com/item.html?itemID=7623782889</v>
      </c>
      <c r="D111"/>
      <c r="E111" s="2" t="str">
        <f>=HYPERLINK("https://si.geilicdn.com/pcitem2014204438-5adc0000019ae45dfc020a23047e_1440_1920.jpg?w=640&amp;h=640", "https://si.geilicdn.com/pcitem2014204438-5adc0000019ae45dfc020a23047e_1440_1920.jpg?w=640&amp;h=640")</f>
        <v>https://si.geilicdn.com/pcitem2014204438-5adc0000019ae45dfc020a23047e_1440_1920.jpg?w=640&amp;h=640</v>
      </c>
      <c r="F111" t="inlineStr">
        <is>
          <t>Glasses</t>
        </is>
      </c>
      <c r="G111" t="inlineStr">
        <is>
          <t>Longchamp</t>
        </is>
      </c>
      <c r="H111">
        <v>360</v>
      </c>
      <c r="I111">
        <v>52.17</v>
      </c>
      <c r="J111" t="inlineStr">
        <is>
          <t>{"id":"chatcmpl-DaAIj34UHJoyaQNsUCSEjKfeRVwLq","object":"chat.completion","created":1777511777,"model":"gpt-5-chat-2025-10-03","choices":[{"index":0,"message":{"role":"assistant","content":"Longchamp Le Pliage Black Nylon Leather Travel Bag","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fd471178c5"}</t>
        </is>
      </c>
      <c r="K111" t="inlineStr">
        <is>
          <t>Longchamp Le Pliage Black Nylon Leather Travel Bag</t>
        </is>
      </c>
      <c r="L111" t="inlineStr">
        <is>
          <t>{"id":"chatcmpl-DaA9u8B9KFz93ZwoZYX1TAEloV1b2","object":"chat.completion","created":1777511230,"model":"gpt-5-chat-2025-10-03","choices":[{"index":0,"message":{"role":"assistant","content":"Longchamp Le Pliage black nylon travel bag with genuine leather trim, foldable lightweight design, durable and stylish, unisex, showcasing French elegance and practical sophistication.","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ad66631dec"}</t>
        </is>
      </c>
      <c r="M111" t="inlineStr">
        <is>
          <t>{"alt-svc":"h3=\":443\"; ma=2592000","apim-request-id":"1e4ffad1-e01d-46b2-aacd-87a026bb4f3b","azureml-model-session":"d20260402083108-57a85543","cache-control":"no-cache","connection":"close","content-length":"992","content-type":"application/json","date":"Thu, 30 Apr 2026 01:07:12 GMT","server":"nginx","skip-error-remapping":"true","strict-transport-security":"max-age=31536000; includeSubDomains; preload","via":"1.1 Caddy","x-content-type-options":"nosniff","x-ms-client-request-id":"Not-Set","x-ms-is-spilled-over":"false","x-ms-rai-invoked":"false","x-ms-region":"Central US","x-new-api-version":"0.4.35","x-oneapi-request-id":"202604300107097529326758268d9d6ZaHPyX19","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6326d41f-1501-4c07-960f-5e46975f70ff"}</t>
        </is>
      </c>
      <c r="N111" t="inlineStr">
        <is>
          <t>Longchamp Le Pliage black nylon travel bag with genuine leather trim, foldable lightweight design, durable and stylish, unisex, showcasing French elegance and practical sophistication.</t>
        </is>
      </c>
      <c r="O111" t="inlineStr">
        <is>
          <t>{"id":"chatcmpl-DaAWsNOWspGB9uDwQE8RCZM8eONvD","object":"chat.completion","created":1777512654,"model":"gpt-5-chat-2025-10-03","choices":[{"index":0,"message":{"role":"assistant","content":"Longchamp,bag,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11" t="inlineStr">
        <is>
          <t>Longchamp,bag,kakobuy,kakebuy2026,kekobuysheet,kakobuysheet2026,2026kakobuy,kakobuyspreadsheeet,kakobuylink,kakebuylist,Kakobuy MEGA Spreadsheet,kakobuysheetfind,kakobuysheetfind2026,2026kakobuysheetfind,kakobuysheet2026</t>
        </is>
      </c>
      <c r="Q111" t="inlineStr">
        <is>
          <t>Nylon, Genuine Leather, Foldable, Lightweight, Unisex, Elegant</t>
        </is>
      </c>
      <c r="R111" t="inlineStr">
        <is>
          <t>recvhju1CrMKpw</t>
        </is>
      </c>
      <c r="S111" t="inlineStr">
        <is>
          <t>longchamp-le-pliage-black-nylon-leather-travel-bag-recvhju1crmkpw</t>
        </is>
      </c>
      <c r="T111"/>
      <c r="U111"/>
      <c r="V111"/>
      <c r="W111" t="inlineStr">
        <is>
          <t>{"id":"chatcmpl-Da9o6ibN4LQn0IqApVSs5TVvuF6hV","object":"chat.completion","created":1777509878,"model":"gpt-5-chat-2025-10-03","choices":[{"index":0,"message":{"role":"assistant","content":"Longchamp：Le Pliage系列黑色尼龙旅行包，拼接质感头层牛皮饰边，简约折叠设计，耐用轻盈，男女皆宜，展现法式优雅与实用主义风格。","refusal":null,"annotations":[]},"logprobs":null,"finish_reason":"stop"}],"usage":{"prompt_tokens":1300,"completion_tokens":56,"total_tokens":1356,"prompt_tokens_details":{"cached_tokens":0,"audio_tokens":0},"completion_tokens_details":{"reasoning_tokens":0,"audio_tokens":0,"accepted_prediction_tokens":0,"rejected_prediction_tokens":0}},"service_tier":"default","system_fingerprint":"fp_fd471178c5"}</t>
        </is>
      </c>
      <c r="X111" t="inlineStr">
        <is>
          <t>Longchamp：Le Pliage系列黑色尼龙旅行包，拼接质感头层牛皮饰边，简约折叠设计，耐用轻盈，男女皆宜，展现法式优雅与实用主义风格。</t>
        </is>
      </c>
    </row>
    <row r="112" ht="25.5" customHeight="1">
      <c r="A112">
        <v>1654975475</v>
      </c>
      <c r="B112">
        <v>7623835863</v>
      </c>
      <c r="C112" s="2" t="str">
        <f>=HYPERLINK("https://weidian.com/item.html?itemID=7623835863", "https://weidian.com/item.html?itemID=7623835863")</f>
        <v>https://weidian.com/item.html?itemID=7623835863</v>
      </c>
      <c r="D112"/>
      <c r="E112" s="2" t="str">
        <f>=HYPERLINK("https://si.geilicdn.com/pcitem2014204438-21fe0000019ae44faf7d0a811411_1271_1271.jpg?w=640&amp;h=640", "https://si.geilicdn.com/pcitem2014204438-21fe0000019ae44faf7d0a811411_1271_1271.jpg?w=640&amp;h=640")</f>
        <v>https://si.geilicdn.com/pcitem2014204438-21fe0000019ae44faf7d0a811411_1271_1271.jpg?w=640&amp;h=640</v>
      </c>
      <c r="F112" t="inlineStr">
        <is>
          <t>Accessories</t>
        </is>
      </c>
      <c r="G112" t="inlineStr">
        <is>
          <t xml:space="preserve"> Louis Vuitton</t>
        </is>
      </c>
      <c r="H112">
        <v>800</v>
      </c>
      <c r="I112">
        <v>115.94</v>
      </c>
      <c r="J112" t="inlineStr">
        <is>
          <t>{"id":"chatcmpl-DaAKnnnI6lC8jJMWn7tWVk9R71QEm","object":"chat.completion","created":1777511905,"model":"gpt-5-chat-2025-10-03","choices":[{"index":0,"message":{"role":"assistant","content":"Louis Vuitton Monogram Black Leather Backpack","refusal":null,"annotations":[]},"logprobs":null,"finish_reason":"stop"}],"usage":{"prompt_tokens":879,"completion_tokens":8,"total_tokens":887,"prompt_tokens_details":{"cached_tokens":0,"audio_tokens":0},"completion_tokens_details":{"reasoning_tokens":0,"audio_tokens":0,"accepted_prediction_tokens":0,"rejected_prediction_tokens":0}},"service_tier":"default","system_fingerprint":"fp_fd471178c5"}</t>
        </is>
      </c>
      <c r="K112" t="inlineStr">
        <is>
          <t>Louis Vuitton Monogram Black Leather Backpack</t>
        </is>
      </c>
      <c r="L112" t="inlineStr">
        <is>
          <t>{"id":"chatcmpl-DaA9hk8m9XLDm0myg8ew5aYT1VdzO","object":"chat.completion","created":1777511217,"model":"gpt-5-chat-2025-10-03","choices":[{"index":0,"message":{"role":"assistant","content":"Louis Vuitton Monogram black leather backpack, crafted from premium grained cowhide. Stylish urban design with large main zip compartment and front pocket, ideal for work, travel, and daily use.","refusal":null,"annotations":[]},"logprobs":null,"finish_reason":"stop"}],"usage":{"prompt_tokens":919,"completion_tokens":39,"total_tokens":958,"prompt_tokens_details":{"cached_tokens":0,"audio_tokens":0},"completion_tokens_details":{"reasoning_tokens":0,"audio_tokens":0,"accepted_prediction_tokens":0,"rejected_prediction_tokens":0}},"service_tier":"default","system_fingerprint":"fp_fd471178c5"}</t>
        </is>
      </c>
      <c r="M112" t="inlineStr">
        <is>
          <t>{"alt-svc":"h3=\":443\"; ma=2592000","apim-request-id":"a04569c6-deb9-4103-9ec7-2396f669566f","azureml-model-session":"d20260428205641-55ca9797","cache-control":"no-cache","connection":"close","content-length":"1002","content-type":"application/json","date":"Thu, 30 Apr 2026 01:06:58 GMT","server":"nginx","skip-error-remapping":"true","strict-transport-security":"max-age=31536000; includeSubDomains; preload","via":"1.1 Caddy","x-content-type-options":"nosniff","x-ms-client-request-id":"Not-Set","x-ms-is-spilled-over":"false","x-ms-rai-invoked":"false","x-ms-region":"Poland Central","x-new-api-version":"0.4.35","x-oneapi-request-id":"20260430010657928439888268d9d6adMTCI2s","x-ratelimit-abusepenalty-active":"False","x-ratelimit-key":"gpt-5-chat-global","x-ratelimit-limit-requests":"1000","x-ratelimit-limit-tokens":"1000000","x-ratelimit-remaining-requests":"999","x-ratelimit-remaining-tokens":"997991","x-ratelimit-renewalperiod-requests":"60","x-ratelimit-renewalperiod-tokens":"60","x-ratelimit-reset-requests":"60","x-ratelimit-reset-tokens":"120","x-request-id":"4da791f5-7735-4212-8ddd-197eccd657c6"}</t>
        </is>
      </c>
      <c r="N112" t="inlineStr">
        <is>
          <t>Louis Vuitton Monogram black leather backpack, crafted from premium grained cowhide. Stylish urban design with large main zip compartment and front pocket, ideal for work, travel, and daily use.</t>
        </is>
      </c>
      <c r="O112" t="inlineStr">
        <is>
          <t>{"id":"chatcmpl-DaAWVz6Cv6RfcMx1UrKqhful1KsLG","object":"chat.completion","created":1777512631,"model":"gpt-5-chat-2025-10-03","choices":[{"index":0,"message":{"role":"assistant","content":"Louis Vuitton,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12" t="inlineStr">
        <is>
          <t>Louis Vuitton, Backpack, kakobuy, kakebuy2026, kekobuysheet, kakobuysheet2026, 2026kakobuy, kakobuyspreadsheeet, kakobuylink, kakebuylist, Kakobuy MEGA Spreadsheet, kakobuysheetfind, kakobuysheetfind2026, 2026kakobuysheetfind, kakobuysheet2026</t>
        </is>
      </c>
      <c r="Q112" t="inlineStr">
        <is>
          <t>LV, Backpack, Leather, Black, Cowhide, Streetwear</t>
        </is>
      </c>
      <c r="R112" t="inlineStr">
        <is>
          <t>recvhju1CrXOku</t>
        </is>
      </c>
      <c r="S112" t="inlineStr">
        <is>
          <t>louis-vuitton-monogram-black-leather-backpack-recvhju1crxoku</t>
        </is>
      </c>
      <c r="T112"/>
      <c r="U112"/>
      <c r="V112"/>
      <c r="W112" t="inlineStr">
        <is>
          <t>{"id":"chatcmpl-Da9uRwGa0Hg4ktFBsdEJ8k9cejHiw","object":"chat.completion","created":1777510271,"model":"gpt-5-chat-2025-10-03","choices":[{"index":0,"message":{"role":"assistant","content":"Louis Vuitton：Monogram黑色真皮双肩背包，简约都市风格设计，精选粒面牛皮材质，质感细腻耐磨。主拉链大容量收纳系统搭配前置拉链口袋，兼顾美观与实用性。男女皆宜，彰显时尚轻奢格调，适合通勤与旅行使用。","refusal":null,"annotations":[]},"logprobs":null,"finish_reason":"stop"}],"usage":{"prompt_tokens":1299,"completion_tokens":86,"total_tokens":1385,"prompt_tokens_details":{"cached_tokens":0,"audio_tokens":0},"completion_tokens_details":{"reasoning_tokens":0,"audio_tokens":0,"accepted_prediction_tokens":0,"rejected_prediction_tokens":0}},"service_tier":"default","system_fingerprint":"fp_fd471178c5"}</t>
        </is>
      </c>
      <c r="X112" t="inlineStr">
        <is>
          <t>Louis Vuitton：Monogram黑色真皮双肩背包，简约都市风格设计，精选粒面牛皮材质，质感细腻耐磨。主拉链大容量收纳系统搭配前置拉链口袋，兼顾美观与实用性。男女皆宜，彰显时尚轻奢格调，适合通勤与旅行使用。</t>
        </is>
      </c>
    </row>
    <row r="113" ht="25.5" customHeight="1">
      <c r="A113">
        <v>1654975475</v>
      </c>
      <c r="B113">
        <v>7623824765</v>
      </c>
      <c r="C113" s="2" t="str">
        <f>=HYPERLINK("https://weidian.com/item.html?itemID=7623824765", "https://weidian.com/item.html?itemID=7623824765")</f>
        <v>https://weidian.com/item.html?itemID=7623824765</v>
      </c>
      <c r="D113"/>
      <c r="E113" s="2" t="str">
        <f>=HYPERLINK("https://si.geilicdn.com/pcitem2014204438-52940000019ae44dc62f0a2102c5_1440_1440.jpg?w=640&amp;h=640", "https://si.geilicdn.com/pcitem2014204438-52940000019ae44dc62f0a2102c5_1440_1440.jpg?w=640&amp;h=640")</f>
        <v>https://si.geilicdn.com/pcitem2014204438-52940000019ae44dc62f0a2102c5_1440_1440.jpg?w=640&amp;h=640</v>
      </c>
      <c r="F113" t="inlineStr">
        <is>
          <t>Accessories</t>
        </is>
      </c>
      <c r="G113" t="inlineStr">
        <is>
          <t>Montblanc</t>
        </is>
      </c>
      <c r="H113">
        <v>600</v>
      </c>
      <c r="I113">
        <v>86.96</v>
      </c>
      <c r="J113" t="inlineStr">
        <is>
          <t>{"id":"chatcmpl-DaAF6j2BEQ6aiyHYg4fFpl2PMcwUM","object":"chat.completion","created":1777511552,"model":"gpt-5-chat-2025-10-03","choices":[{"index":0,"message":{"role":"assistant","content":"Montblanc Black Leather Crossbody Bag for Men","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113" t="inlineStr">
        <is>
          <t>Montblanc Black Leather Crossbody Bag for Men</t>
        </is>
      </c>
      <c r="L113" t="inlineStr">
        <is>
          <t>{"id":"chatcmpl-DaAALMvz5AJ516Ho6AayMN9XbElxi","object":"chat.completion","created":1777511257,"model":"gpt-5-chat-2025-10-03","choices":[{"index":0,"message":{"role":"assistant","content":"Montblanc Black Grained Leather Crossbody Bag crafted from premium cowhide, features sleek structured lines, metal star emblem, adjustable webbing strap, perfect for business or casual urban style.","refusal":null,"annotations":[]},"logprobs":null,"finish_reason":"stop"}],"usage":{"prompt_tokens":905,"completion_tokens":39,"total_tokens":944,"prompt_tokens_details":{"cached_tokens":0,"audio_tokens":0},"completion_tokens_details":{"reasoning_tokens":0,"audio_tokens":0,"accepted_prediction_tokens":0,"rejected_prediction_tokens":0}},"service_tier":"default","system_fingerprint":"fp_fd471178c5"}</t>
        </is>
      </c>
      <c r="M113" t="inlineStr">
        <is>
          <t>{"alt-svc":"h3=\":443\"; ma=2592000","apim-request-id":"1910bc26-d854-4378-9866-67803abbae1f","azureml-model-session":"d20260428205641-55ca9797","cache-control":"no-cache","connection":"close","content-length":"1005","content-type":"application/json","date":"Thu, 30 Apr 2026 01:07:38 GMT","server":"Caddy","skip-error-remapping":"true","strict-transport-security":"max-age=31536000; includeSubDomains; preload","x-content-type-options":"nosniff","x-ms-client-request-id":"Not-Set","x-ms-is-spilled-over":"false","x-ms-rai-invoked":"false","x-ms-region":"East US 2","x-new-api-version":"0.4.35","x-oneapi-request-id":"202604300107367270400728268d9d67b1v77Rx","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a3aaee39-a26c-474a-8fe9-e95fb2755887"}</t>
        </is>
      </c>
      <c r="N113" t="inlineStr">
        <is>
          <t>Montblanc Black Grained Leather Crossbody Bag crafted from premium cowhide, features sleek structured lines, metal star emblem, adjustable webbing strap, perfect for business or casual urban style.</t>
        </is>
      </c>
      <c r="O113" t="inlineStr">
        <is>
          <t>{"id":"chatcmpl-DaAU4OtfNrNrYzh97iNLWojVIUaGW","object":"chat.completion","created":1777512480,"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13" t="inlineStr">
        <is>
          <t>Montblanc,Accessories,kakobuy,kakebuy2026,kekobuysheet,kakobuysheet2026,2026kakobuy,kakobuyspreadsheeet,kakobuylink,kakebuylist,Kakobuy MEGA Spreadsheet,kakobuysheetfind,kakobuysheetfind2026,2026kakobuysheetfind,kakobuysheet2026</t>
        </is>
      </c>
      <c r="Q113" t="inlineStr">
        <is>
          <t>Leather, Cowhide, Business, Black, Sleek</t>
        </is>
      </c>
      <c r="R113" t="inlineStr">
        <is>
          <t>recvhju1CrRQbL</t>
        </is>
      </c>
      <c r="S113" t="inlineStr">
        <is>
          <t>montblanc-black-leather-crossbody-bag-recvhju1crrqbl</t>
        </is>
      </c>
      <c r="T113"/>
      <c r="U113"/>
      <c r="V113"/>
      <c r="W113" t="inlineStr">
        <is>
          <t>{"id":"chatcmpl-Da9owNr6cKnY6yYyqkzGQdbawkidl","object":"chat.completion","created":1777509930,"model":"gpt-5-chat-2025-10-03","choices":[{"index":0,"message":{"role":"assistant","content":"Montblanc：黑色粒面皮革单肩包，甄选优质牛皮打造，简约硬挺线条设计，金属星徽饰钉点缀质感，配可调节织带肩带，商务与休闲兼顾，男女皆宜的现代都市风格。","refusal":null,"annotations":[]},"logprobs":null,"finish_reason":"stop"}],"usage":{"prompt_tokens":1303,"completion_tokens":70,"total_tokens":1373,"prompt_tokens_details":{"cached_tokens":1280,"audio_tokens":0},"completion_tokens_details":{"reasoning_tokens":0,"audio_tokens":0,"accepted_prediction_tokens":0,"rejected_prediction_tokens":0}},"service_tier":"default","system_fingerprint":"fp_ad66631dec"}</t>
        </is>
      </c>
      <c r="X113" t="inlineStr">
        <is>
          <t>Montblanc：黑色粒面皮革单肩包，甄选优质牛皮打造，简约硬挺线条设计，金属星徽饰钉点缀质感，配可调节织带肩带，商务与休闲兼顾，男女皆宜的现代都市风格。</t>
        </is>
      </c>
    </row>
    <row r="114" ht="25.5" customHeight="1">
      <c r="A114">
        <v>1654975475</v>
      </c>
      <c r="B114">
        <v>7626230330</v>
      </c>
      <c r="C114" s="2" t="str">
        <f>=HYPERLINK("https://weidian.com/item.html?itemID=7626230330", "https://weidian.com/item.html?itemID=7626230330")</f>
        <v>https://weidian.com/item.html?itemID=7626230330</v>
      </c>
      <c r="D114"/>
      <c r="E114" s="2" t="str">
        <f>=HYPERLINK("https://si.geilicdn.com/pcitem2014204438-7b670000019adf6e159c0a811411_1512_2016.jpg?w=640&amp;h=640", "https://si.geilicdn.com/pcitem2014204438-7b670000019adf6e159c0a811411_1512_2016.jpg?w=640&amp;h=640")</f>
        <v>https://si.geilicdn.com/pcitem2014204438-7b670000019adf6e159c0a811411_1512_2016.jpg?w=640&amp;h=640</v>
      </c>
      <c r="F114" t="inlineStr">
        <is>
          <t>Glasses</t>
        </is>
      </c>
      <c r="G114" t="inlineStr">
        <is>
          <t>Dior</t>
        </is>
      </c>
      <c r="H114">
        <v>460</v>
      </c>
      <c r="I114">
        <v>66.67</v>
      </c>
      <c r="J114" t="inlineStr">
        <is>
          <t>{"id":"chatcmpl-DaAK5E4YggU0dXy5B7pBdGAJXra1e","object":"chat.completion","created":1777511861,"model":"gpt-5-chat-2025-10-03","choices":[{"index":0,"message":{"role":"assistant","content":"Dior Vintage Brown Oval Unisex Luxury Sunglasse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fd471178c5"}</t>
        </is>
      </c>
      <c r="K114" t="inlineStr">
        <is>
          <t>Dior Vintage Brown Oval Unisex Luxury Sunglasses</t>
        </is>
      </c>
      <c r="L114" t="inlineStr">
        <is>
          <t>{"id":"chatcmpl-DaA51txhNyxwamTz393A827m2pZeb","object":"chat.completion","created":1777510927,"model":"gpt-5-chat-2025-10-03","choices":[{"index":0,"message":{"role":"assistant","content":"Dior Vintage Brown Oval Sunglasses crafted from premium acetate, featuring gold metal logo temples, unisex French chic style, lightweight comfort, and timeless luxury fashion appeal.","refusal":null,"annotations":[]},"logprobs":null,"finish_reason":"stop"}],"usage":{"prompt_tokens":905,"completion_tokens":34,"total_tokens":939,"prompt_tokens_details":{"cached_tokens":0,"audio_tokens":0},"completion_tokens_details":{"reasoning_tokens":0,"audio_tokens":0,"accepted_prediction_tokens":0,"rejected_prediction_tokens":0}},"service_tier":"default","system_fingerprint":"fp_fd471178c5"}</t>
        </is>
      </c>
      <c r="M114" t="inlineStr">
        <is>
          <t>{"alt-svc":"h3=\":443\"; ma=2592000","apim-request-id":"98c2c447-cb7d-49d2-9c0a-82b9c2f37579","azureml-model-session":"d20260428165144-a78ba574","cache-control":"no-cache","connection":"close","content-length":"990","content-type":"application/json","date":"Thu, 30 Apr 2026 01:02:09 GMT","server":"nginx","skip-error-remapping":"true","strict-transport-security":"max-age=31536000; includeSubDomains; preload","via":"1.1 Caddy","x-content-type-options":"nosniff","x-ms-client-request-id":"Not-Set","x-ms-is-spilled-over":"false","x-ms-rai-invoked":"false","x-ms-region":"Poland Central","x-new-api-version":"0.4.35","x-oneapi-request-id":"202604300102063557607538268d9d6xlEHYdNL","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6cd7e86a-6c7d-4da2-b43f-165f7d056ced"}</t>
        </is>
      </c>
      <c r="N114" t="inlineStr">
        <is>
          <t>Dior Vintage Brown Oval Sunglasses crafted from premium acetate, featuring gold metal logo temples, unisex French chic style, lightweight comfort, and timeless luxury fashion appeal.</t>
        </is>
      </c>
      <c r="O114" t="inlineStr">
        <is>
          <t>{"id":"chatcmpl-DaAW3z5TcJyaXXaEloIk1gfiaQTpw","object":"chat.completion","created":1777512603,"model":"gpt-5-chat-2025-10-03","choices":[{"index":0,"message":{"role":"assistant","content":"Dior,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14" t="inlineStr">
        <is>
          <t>Dior, Sunglasses, kakobuy, kakebuy2026, kekobuysheet, kakobuysheet2026, 2026kakobuy, kakobuyspreadsheeet, kakobuylink, kakebuylist, Kakobuy MEGA Spreadsheet, kakobuysheetfind, kakobuysheetfind2026, 2026kakobuysheetfind, kakobuysheet2026</t>
        </is>
      </c>
      <c r="Q114" t="inlineStr">
        <is>
          <t>Dior, Brown, Acetate Fiber, Gold, Unisex, Vintage</t>
        </is>
      </c>
      <c r="R114" t="inlineStr">
        <is>
          <t>recvhju1CrQqM6</t>
        </is>
      </c>
      <c r="S114" t="inlineStr">
        <is>
          <t>dior-vintage-brown-oval-sunglasses-recvhju1crqqm6</t>
        </is>
      </c>
      <c r="T114"/>
      <c r="U114"/>
      <c r="V114"/>
      <c r="W114" t="inlineStr">
        <is>
          <t>{"id":"chatcmpl-Da9sZ1C92AZPqjU53dCTd2nXwkwNV","object":"chat.completion","created":1777510155,"model":"gpt-5-chat-2025-10-03","choices":[{"index":0,"message":{"role":"assistant","content":"Dior：复古棕色椭圆框太阳眼镜，采用高级醋酸纤维材质，镜腿饰以品牌金属标识，融合优雅与现代设计，彰显法式摩登风格，男女皆宜，轻盈舒适，尽显高定格调。","refusal":null,"annotations":[]},"logprobs":null,"finish_reason":"stop"}],"usage":{"prompt_tokens":1302,"completion_tokens":70,"total_tokens":1372,"prompt_tokens_details":{"cached_tokens":1280,"audio_tokens":0},"completion_tokens_details":{"reasoning_tokens":0,"audio_tokens":0,"accepted_prediction_tokens":0,"rejected_prediction_tokens":0}},"service_tier":"default","system_fingerprint":"fp_ad66631dec"}</t>
        </is>
      </c>
      <c r="X114" t="inlineStr">
        <is>
          <t>Dior：复古棕色椭圆框太阳眼镜，采用高级醋酸纤维材质，镜腿饰以品牌金属标识，融合优雅与现代设计，彰显法式摩登风格，男女皆宜，轻盈舒适，尽显高定格调。</t>
        </is>
      </c>
    </row>
    <row r="115" ht="25.5" customHeight="1">
      <c r="A115">
        <v>1654975475</v>
      </c>
      <c r="B115">
        <v>7626222628</v>
      </c>
      <c r="C115" s="2" t="str">
        <f>=HYPERLINK("https://weidian.com/item.html?itemID=7626222628", "https://weidian.com/item.html?itemID=7626222628")</f>
        <v>https://weidian.com/item.html?itemID=7626222628</v>
      </c>
      <c r="D115"/>
      <c r="E115" s="2" t="str">
        <f>=HYPERLINK("https://si.geilicdn.com/pcitem2014204438-25810000019adf6a633a0a20e7c7_1536_2048.jpg?w=640&amp;h=640", "https://si.geilicdn.com/pcitem2014204438-25810000019adf6a633a0a20e7c7_1536_2048.jpg?w=640&amp;h=640")</f>
        <v>https://si.geilicdn.com/pcitem2014204438-25810000019adf6a633a0a20e7c7_1536_2048.jpg?w=640&amp;h=640</v>
      </c>
      <c r="F115" t="inlineStr">
        <is>
          <t>hats</t>
        </is>
      </c>
      <c r="G115" t="inlineStr">
        <is>
          <t>Dior</t>
        </is>
      </c>
      <c r="H115">
        <v>360</v>
      </c>
      <c r="I115">
        <v>52.17</v>
      </c>
      <c r="J115" t="inlineStr">
        <is>
          <t>{"id":"chatcmpl-DaALvOftYwnexgIoV9lG3CXO3RK45","object":"chat.completion","created":1777511975,"model":"gpt-5-chat-2025-10-03","choices":[{"index":0,"message":{"role":"assistant","content":"Dior Transparent Brown Sport Sun Visor Hat","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fd471178c5"}</t>
        </is>
      </c>
      <c r="K115" t="inlineStr">
        <is>
          <t>Dior Transparent Brown Sport Sun Visor Hat</t>
        </is>
      </c>
      <c r="L115" t="inlineStr">
        <is>
          <t>{"id":"chatcmpl-DaA9TDN2Nmi7Q1MfU6JaNH6wvKT8Y","object":"chat.completion","created":1777511203,"model":"gpt-5-chat-2025-10-03","choices":[{"index":0,"message":{"role":"assistant","content":"Dior Transparent Brown Sun Visor – lightweight polycarbonate with curved shield lens for sun protection and style, comfy anti-slip lining, adjustable rose-pink strap, unisex modern sporty luxury.","refusal":null,"annotations":[]},"logprobs":null,"finish_reason":"stop"}],"usage":{"prompt_tokens":913,"completion_tokens":39,"total_tokens":952,"prompt_tokens_details":{"cached_tokens":0,"audio_tokens":0},"completion_tokens_details":{"reasoning_tokens":0,"audio_tokens":0,"accepted_prediction_tokens":0,"rejected_prediction_tokens":0}},"service_tier":"default","system_fingerprint":"fp_fd471178c5"}</t>
        </is>
      </c>
      <c r="M115" t="inlineStr">
        <is>
          <t>{"alt-svc":"h3=\":443\"; ma=2592000","apim-request-id":"0be62dbe-b19e-4ea5-9725-3256e92c9cba","azureml-model-session":"d20260428205641-55ca9797","cache-control":"no-cache","connection":"close","content-length":"1005","content-type":"application/json","date":"Thu, 30 Apr 2026 01:06:44 GMT","server":"Caddy","skip-error-remapping":"true","strict-transport-security":"max-age=31536000; includeSubDomains; preload","x-content-type-options":"nosniff","x-ms-client-request-id":"Not-Set","x-ms-is-spilled-over":"false","x-ms-rai-invoked":"false","x-ms-region":"North Central US","x-new-api-version":"0.4.35","x-oneapi-request-id":"202604300106426563054568268d9d6KHoTcUud","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6f60178d-325e-41e4-848f-b0c686542487"}</t>
        </is>
      </c>
      <c r="N115" t="inlineStr">
        <is>
          <t>Dior Transparent Brown Sun Visor – lightweight polycarbonate with curved shield lens for sun protection and style, comfy anti-slip lining, adjustable rose-pink strap, unisex modern sporty luxury.</t>
        </is>
      </c>
      <c r="O115" t="inlineStr">
        <is>
          <t>{"id":"chatcmpl-DaAUqqTVJWLAYd7NhArVB81ZtmfrV","object":"chat.completion","created":1777512528,"model":"gpt-5-chat-2025-10-03","choices":[{"index":0,"message":{"role":"assistant","content":"Dior, visor,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15" t="inlineStr">
        <is>
          <t>Dior, visor, kakobuy, kakebuy2026, kekobuysheet, kakobuysheet2026, 2026kakobuy, kakobuyspreadsheeet, kakobuylink, kakebuylist, Kakobuy MEGA Spreadsheet, kakobuysheetfind, kakobuysheetfind2026, 2026kakobuysheetfind, kakobuysheet2026</t>
        </is>
      </c>
      <c r="Q115" t="inlineStr">
        <is>
          <t>Dior, Lightweight, Sun Protection, Unisex, Modern, Sporty</t>
        </is>
      </c>
      <c r="R115" t="inlineStr">
        <is>
          <t>recvhju1Croyeh</t>
        </is>
      </c>
      <c r="S115" t="inlineStr">
        <is>
          <t>dior-transparent-brown-sport-sun-visor-hat-recvhju1croyeh</t>
        </is>
      </c>
      <c r="T115"/>
      <c r="U115"/>
      <c r="V115"/>
      <c r="W115" t="inlineStr">
        <is>
          <t>{"id":"chatcmpl-Da9uFSVZPabpMltzJORBElLCFl4Vr","object":"chat.completion","created":1777510259,"model":"gpt-5-chat-2025-10-03","choices":[{"index":0,"message":{"role":"assistant","content":"Dior：透明棕色遮阳帽，轻盈聚碳酸酯材质打造，弧面镜片设计兼具防晒与时尚感，内衬舒适防滑带，玫瑰粉可调节后带，男女皆宜，彰显现代优雅与运动奢华风格。","refusal":null,"annotations":[]},"logprobs":null,"finish_reason":"stop"}],"usage":{"prompt_tokens":1306,"completion_tokens":76,"total_tokens":1382,"prompt_tokens_details":{"cached_tokens":0,"audio_tokens":0},"completion_tokens_details":{"reasoning_tokens":0,"audio_tokens":0,"accepted_prediction_tokens":0,"rejected_prediction_tokens":0}},"service_tier":"default","system_fingerprint":"fp_ad66631dec"}</t>
        </is>
      </c>
      <c r="X115" t="inlineStr">
        <is>
          <t>Dior：透明棕色遮阳帽，轻盈聚碳酸酯材质打造，弧面镜片设计兼具防晒与时尚感，内衬舒适防滑带，玫瑰粉可调节后带，男女皆宜，彰显现代优雅与运动奢华风格。</t>
        </is>
      </c>
    </row>
    <row r="116" ht="25.5" customHeight="1">
      <c r="A116">
        <v>1654975475</v>
      </c>
      <c r="B116">
        <v>7623217067</v>
      </c>
      <c r="C116" s="2" t="str">
        <f>=HYPERLINK("https://weidian.com/item.html?itemID=7623217067", "https://weidian.com/item.html?itemID=7623217067")</f>
        <v>https://weidian.com/item.html?itemID=7623217067</v>
      </c>
      <c r="D116"/>
      <c r="E116" s="2" t="str">
        <f>=HYPERLINK("https://si.geilicdn.com/pcitem2014204438-26350000019adf61ebeb0a2396f4_750_1045.jpg?w=640&amp;h=640", "https://si.geilicdn.com/pcitem2014204438-26350000019adf61ebeb0a2396f4_750_1045.jpg?w=640&amp;h=640")</f>
        <v>https://si.geilicdn.com/pcitem2014204438-26350000019adf61ebeb0a2396f4_750_1045.jpg?w=640&amp;h=640</v>
      </c>
      <c r="F116" t="inlineStr">
        <is>
          <t>Glasses</t>
        </is>
      </c>
      <c r="G116" t="inlineStr">
        <is>
          <t>Dior</t>
        </is>
      </c>
      <c r="H116">
        <v>450</v>
      </c>
      <c r="I116">
        <v>65.22</v>
      </c>
      <c r="J116" t="inlineStr">
        <is>
          <t>{"id":"chatcmpl-DaAMHmwonUDcUNPUw0zYPVyHx1W7L","object":"chat.completion","created":1777511997,"model":"gpt-5-chat-2025-10-03","choices":[{"index":0,"message":{"role":"assistant","content":"Dior Gray White Checked Wool Scarf for Winter Fashion","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16" t="inlineStr">
        <is>
          <t>Dior Gray White Checked Wool Scarf for Winter Fashion</t>
        </is>
      </c>
      <c r="L116" t="inlineStr">
        <is>
          <t>{"id":"chatcmpl-DaA6RGrqNKkPZz0iB09p31JmlSWuy","object":"chat.completion","created":1777511015,"model":"gpt-5-chat-2025-10-03","choices":[{"index":0,"message":{"role":"assistant","content":"Dior Gray-White Checked Wool Scarf, soft and warm premium material with signature logo pattern, French luxury style for men and women, adding elegance and fashion to winter outfits.","refusal":null,"annotations":[]},"logprobs":null,"finish_reason":"stop"}],"usage":{"prompt_tokens":893,"completion_tokens":37,"total_tokens":930,"prompt_tokens_details":{"cached_tokens":0,"audio_tokens":0},"completion_tokens_details":{"reasoning_tokens":0,"audio_tokens":0,"accepted_prediction_tokens":0,"rejected_prediction_tokens":0}},"service_tier":"default","system_fingerprint":"fp_fd471178c5"}</t>
        </is>
      </c>
      <c r="M116" t="inlineStr">
        <is>
          <t>{"alt-svc":"h3=\":443\"; ma=2592000","apim-request-id":"9f651eb8-b8ef-4abd-86af-2064d486a30c","azureml-model-session":"d20260428205641-55ca9797","cache-control":"no-cache","connection":"close","content-length":"989","content-type":"application/json","date":"Thu, 30 Apr 2026 01:03:35 GMT","server":"Caddy","skip-error-remapping":"true","strict-transport-security":"max-age=31536000; includeSubDomains; preload","x-content-type-options":"nosniff","x-ms-client-request-id":"Not-Set","x-ms-is-spilled-over":"false","x-ms-rai-invoked":"false","x-ms-region":"North Central US","x-new-api-version":"0.4.35","x-oneapi-request-id":"202604300103335792772328268d9d6ZZAoROag","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ebcff4a2-4be0-4558-9aa6-0e66a6367875"}</t>
        </is>
      </c>
      <c r="N116" t="inlineStr">
        <is>
          <t>Dior Gray-White Checked Wool Scarf, soft and warm premium material with signature logo pattern, French luxury style for men and women, adding elegance and fashion to winter outfits.</t>
        </is>
      </c>
      <c r="O116" t="inlineStr">
        <is>
          <t>{"id":"chatcmpl-DaAR3a7kLUL5mQv7WDLx0E926S8X2","object":"chat.completion","created":1777512293,"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16" t="inlineStr">
        <is>
          <t>Dior,Glasses,kakobuy,kakebuy2026,kekobuysheet,kakobuysheet2026,2026kakobuy,kakobuyspreadsheeet,kakobuylink,kakebuylist,Kakobuy MEGA Spreadsheet,kakobuysheetfind,kakobuysheetfind2026,2026kakobuysheetfind,kakobuysheet2026</t>
        </is>
      </c>
      <c r="Q116" t="inlineStr">
        <is>
          <t>Dior, Wool, Gray, White, Elegant, Winter</t>
        </is>
      </c>
      <c r="R116" t="inlineStr">
        <is>
          <t>recvhju1Crj8Xj</t>
        </is>
      </c>
      <c r="S116" t="inlineStr">
        <is>
          <t>dior-gray-white-checked-wool-scarf-winter-recvhju1crj8xj</t>
        </is>
      </c>
      <c r="T116"/>
      <c r="U116"/>
      <c r="V116"/>
      <c r="W116" t="inlineStr">
        <is>
          <t>{"id":"chatcmpl-Da9toiQ2j7CnzWdLmZvxtbdNPUJER","object":"chat.completion","created":1777510232,"model":"gpt-5-chat-2025-10-03","choices":[{"index":0,"message":{"role":"assistant","content":"Dior灰白格纹羊毛围巾，柔软保暖高档材质，饰以品牌标识图腾，经典法式轻奢风格，适合男女冬季穿搭，彰显优雅品味与时尚格调。","refusal":null,"annotations":[]},"logprobs":null,"finish_reason":"stop"}],"usage":{"prompt_tokens":1300,"completion_tokens":59,"total_tokens":1359,"prompt_tokens_details":{"cached_tokens":0,"audio_tokens":0},"completion_tokens_details":{"reasoning_tokens":0,"audio_tokens":0,"accepted_prediction_tokens":0,"rejected_prediction_tokens":0}},"service_tier":"default","system_fingerprint":"fp_fd471178c5"}</t>
        </is>
      </c>
      <c r="X116" t="inlineStr">
        <is>
          <t>Dior灰白格纹羊毛围巾，柔软保暖高档材质，饰以品牌标识图腾，经典法式轻奢风格，适合男女冬季穿搭，彰显优雅品味与时尚格调。</t>
        </is>
      </c>
    </row>
    <row r="117" ht="25.5" customHeight="1">
      <c r="A117">
        <v>1654975475</v>
      </c>
      <c r="B117">
        <v>7626164906</v>
      </c>
      <c r="C117" s="2" t="str">
        <f>=HYPERLINK("https://weidian.com/item.html?itemID=7626164906", "https://weidian.com/item.html?itemID=7626164906")</f>
        <v>https://weidian.com/item.html?itemID=7626164906</v>
      </c>
      <c r="D117"/>
      <c r="E117" s="2" t="str">
        <f>=HYPERLINK("https://si.geilicdn.com/pcitem2014204438-23270000019adf590a4b0a2396f4_1440_1920.jpg?w=640&amp;h=640", "https://si.geilicdn.com/pcitem2014204438-23270000019adf590a4b0a2396f4_1440_1920.jpg?w=640&amp;h=640")</f>
        <v>https://si.geilicdn.com/pcitem2014204438-23270000019adf590a4b0a2396f4_1440_1920.jpg?w=640&amp;h=640</v>
      </c>
      <c r="F117" t="inlineStr">
        <is>
          <t>Glasses</t>
        </is>
      </c>
      <c r="G117" t="inlineStr">
        <is>
          <t>Chrome Hearts</t>
        </is>
      </c>
      <c r="H117">
        <v>360</v>
      </c>
      <c r="I117">
        <v>52.17</v>
      </c>
      <c r="J117" t="inlineStr">
        <is>
          <t>{"id":"chatcmpl-DaAFNkLvemCFqYMYoMNbd0gyLPsn9","object":"chat.completion","created":1777511569,"model":"gpt-5-chat-2025-10-03","choices":[{"index":0,"message":{"role":"assistant","content":"Chrome Hearts Black Square Metal Sunglasses","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fd471178c5"}</t>
        </is>
      </c>
      <c r="K117" t="inlineStr">
        <is>
          <t>Chrome Hearts Black Square Metal Sunglasses</t>
        </is>
      </c>
      <c r="L117" t="inlineStr">
        <is>
          <t>{"id":"chatcmpl-DaA9xCvGapjGDNtJzNj0Q3fjJr3yr","object":"chat.completion","created":1777511233,"model":"gpt-5-chat-2025-10-03","choices":[{"index":0,"message":{"role":"assistant","content":"Chrome Hearts black square sunglasses with high-strength metal frame and gray lenses, sleek gothic luxury design, silver temple details, unisex style perfect for urban fashion and daily wear.","refusal":null,"annotations":[]},"logprobs":null,"finish_reason":"stop"}],"usage":{"prompt_tokens":907,"completion_tokens":35,"total_tokens":942,"prompt_tokens_details":{"cached_tokens":0,"audio_tokens":0},"completion_tokens_details":{"reasoning_tokens":0,"audio_tokens":0,"accepted_prediction_tokens":0,"rejected_prediction_tokens":0}},"service_tier":"default","system_fingerprint":"fp_fd471178c5"}</t>
        </is>
      </c>
      <c r="M117" t="inlineStr">
        <is>
          <t>{"alt-svc":"h3=\":443\"; ma=2592000","apim-request-id":"61260ee1-f5ac-4a18-954a-8b86820d23b3","azureml-model-session":"d20260428205641-55ca9797","cache-control":"no-cache","connection":"close","content-length":"999","content-type":"application/json","date":"Thu, 30 Apr 2026 01:07:14 GMT","server":"Caddy","skip-error-remapping":"true","strict-transport-security":"max-age=31536000; includeSubDomains; preload","x-content-type-options":"nosniff","x-ms-client-request-id":"Not-Set","x-ms-is-spilled-over":"false","x-ms-rai-invoked":"false","x-ms-region":"West US","x-new-api-version":"0.4.35","x-oneapi-request-id":"202604300107126098218518268d9d6oifKs2Yh","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ffdba5f7-4812-4afd-a0b4-e98c44898b2a"}</t>
        </is>
      </c>
      <c r="N117" t="inlineStr">
        <is>
          <t>Chrome Hearts black square sunglasses with high-strength metal frame and gray lenses, sleek gothic luxury design, silver temple details, unisex style perfect for urban fashion and daily wear.</t>
        </is>
      </c>
      <c r="O117" t="inlineStr">
        <is>
          <t>{"id":"chatcmpl-DaARjf8Kk6ewZAY16aSGeHLOlI2AG","object":"chat.completion","created":1777512335,"model":"gpt-5-chat-2025-10-03","choices":[{"index":0,"message":{"role":"assistant","content":"Chrome Hearts,Glasses,kakobuy,kakebuy2026,kekobuysheet,kakobuysheet2026,2026kakobuy,kakobuyspreadsheeet,kakobuylink,kakebuylist,Kakobuy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17" t="inlineStr">
        <is>
          <t>Chrome Hearts,Glasses,kakobuy,kakebuy2026,kekobuysheet,kakobuysheet2026,2026kakobuy,kakobuyspreadsheeet,kakobuylink,kakebuylist,Kakobuy MEGA Spreadsheet,kakobuysheetfind,kakobuysheetfind2026,2026kakobuysheetfind,kakobuysheet2026</t>
        </is>
      </c>
      <c r="Q117"/>
      <c r="R117" t="inlineStr">
        <is>
          <t>recvhju1Cr6VKj</t>
        </is>
      </c>
      <c r="S117" t="inlineStr">
        <is>
          <t>chrome-hearts-black-square-metal-sunglasses-recvhju1cr6vkj</t>
        </is>
      </c>
      <c r="T117"/>
      <c r="U117"/>
      <c r="V117"/>
      <c r="W117" t="inlineStr">
        <is>
          <t>{"id":"chatcmpl-Da9uQooDcv2UMjKEcYmTiLHzSQAIF","object":"chat.completion","created":1777510270,"model":"gpt-5-chat-2025-10-03","choices":[{"index":0,"message":{"role":"assistant","content":"Chrome Hearts：黑色方框太阳眼镜，采用高强度金属镜架与灰色镜片，设计简约硬朗，彰显哥特奢华风格。镜腿刻有品牌银饰图腾细节，男女皆宜，适合都市潮流与日常出行配戴。","refusal":null,"annotations":[]},"logprobs":null,"finish_reason":"stop"}],"usage":{"prompt_tokens":1304,"completion_tokens":71,"total_tokens":1375,"prompt_tokens_details":{"cached_tokens":0,"audio_tokens":0},"completion_tokens_details":{"reasoning_tokens":0,"audio_tokens":0,"accepted_prediction_tokens":0,"rejected_prediction_tokens":0}},"service_tier":"default","system_fingerprint":"fp_ad66631dec"}</t>
        </is>
      </c>
      <c r="X117" t="inlineStr">
        <is>
          <t>Chrome Hearts：黑色方框太阳眼镜，采用高强度金属镜架与灰色镜片，设计简约硬朗，彰显哥特奢华风格。镜腿刻有品牌银饰图腾细节，男女皆宜，适合都市潮流与日常出行配戴。</t>
        </is>
      </c>
    </row>
    <row r="118" ht="25.5" customHeight="1">
      <c r="A118">
        <v>1654975475</v>
      </c>
      <c r="B118">
        <v>7623269953</v>
      </c>
      <c r="C118" s="2" t="str">
        <f>=HYPERLINK("https://weidian.com/item.html?itemID=7623269953", "https://weidian.com/item.html?itemID=7623269953")</f>
        <v>https://weidian.com/item.html?itemID=7623269953</v>
      </c>
      <c r="D118"/>
      <c r="E118" s="2" t="str">
        <f>=HYPERLINK("https://si.geilicdn.com/pcitem2014204438-1be00000019adf58ab480a239646_1440_1920.jpg?w=640&amp;h=640", "https://si.geilicdn.com/pcitem2014204438-1be00000019adf58ab480a239646_1440_1920.jpg?w=640&amp;h=640")</f>
        <v>https://si.geilicdn.com/pcitem2014204438-1be00000019adf58ab480a239646_1440_1920.jpg?w=640&amp;h=640</v>
      </c>
      <c r="F118" t="inlineStr">
        <is>
          <t>Glasses</t>
        </is>
      </c>
      <c r="G118" t="inlineStr">
        <is>
          <t>Gucci</t>
        </is>
      </c>
      <c r="H118">
        <v>380</v>
      </c>
      <c r="I118">
        <v>55.07</v>
      </c>
      <c r="J118" t="inlineStr">
        <is>
          <t>{"id":"chatcmpl-DaAG49NrMzVkXTn13od3O2Bgh9o5C","object":"chat.completion","created":1777511612,"model":"gpt-5-chat-2025-10-03","choices":[{"index":0,"message":{"role":"assistant","content":"Gucci Silver Round Sunglasses Metal Frame Gray Lenses","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18" t="inlineStr">
        <is>
          <t>Gucci Silver Round Sunglasses Metal Frame Gray Lenses</t>
        </is>
      </c>
      <c r="L118" t="inlineStr">
        <is>
          <t>{"id":"chatcmpl-DaA8fQJFenW0KSniSrTjsP5tFg4FP","object":"chat.completion","created":1777511153,"model":"gpt-5-chat-2025-10-03","choices":[{"index":0,"message":{"role":"assistant","content":"Gucci Classic Silver Round Sunglasses – lightweight metal frame with gray-black lenses, minimalist retro design for men and women, Italian elegance and modern style in one timeless accessory.","refusal":null,"annotations":[]},"logprobs":null,"finish_reason":"stop"}],"usage":{"prompt_tokens":891,"completion_tokens":35,"total_tokens":926,"prompt_tokens_details":{"cached_tokens":0,"audio_tokens":0},"completion_tokens_details":{"reasoning_tokens":0,"audio_tokens":0,"accepted_prediction_tokens":0,"rejected_prediction_tokens":0}},"service_tier":"default","system_fingerprint":"fp_fd471178c5"}</t>
        </is>
      </c>
      <c r="M118" t="inlineStr">
        <is>
          <t>{"alt-svc":"h3=\":443\"; ma=2592000","apim-request-id":"129cd368-57d6-49c1-bef7-a49a5fa22087","azureml-model-session":"d20260428174121-807d9cc5","cache-control":"no-cache","connection":"close","content-length":"1001","content-type":"application/json","date":"Thu, 30 Apr 2026 01:05:54 GMT","server":"Caddy","skip-error-remapping":"true","strict-transport-security":"max-age=31536000; includeSubDomains; preload","x-content-type-options":"nosniff","x-ms-client-request-id":"Not-Set","x-ms-is-spilled-over":"false","x-ms-rai-invoked":"false","x-ms-region":"East US 2","x-new-api-version":"0.4.35","x-oneapi-request-id":"202604300105522453266238268d9d6Nt0FUtyK","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8030d0b1-1663-4b8c-9d54-87133134ab83"}</t>
        </is>
      </c>
      <c r="N118" t="inlineStr">
        <is>
          <t>Gucci Classic Silver Round Sunglasses – lightweight metal frame with gray-black lenses, minimalist retro design for men and women, Italian elegance and modern style in one timeless accessory.</t>
        </is>
      </c>
      <c r="O118" t="inlineStr">
        <is>
          <t>{"id":"chatcmpl-DaAPQfkeRsPn5sgvK5Qb1RdnDKjFi","object":"chat.completion","created":1777512192,"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18" t="inlineStr">
        <is>
          <t>Gucci,Glasses,kakobuy,kakebuy2026,kekobuysheet,kakobuysheet2026,2026kakobuy,kakobuyspreadsheeet,kakobuylink,kakebuylist,Kakobuy MEGA Spreadsheet,kakobuysheetfind,kakobuysheetfind2026,2026kakobuysheetfind,kakobuysheet2026</t>
        </is>
      </c>
      <c r="Q118" t="inlineStr">
        <is>
          <t>Silver, Minimalist, Retro, Unisex, Elegant</t>
        </is>
      </c>
      <c r="R118" t="inlineStr">
        <is>
          <t>recvhju1Cr7McA</t>
        </is>
      </c>
      <c r="S118" t="inlineStr">
        <is>
          <t>gucci-silver-round-sunglasses-recvhju1cr7mca</t>
        </is>
      </c>
      <c r="T118"/>
      <c r="U118"/>
      <c r="V118"/>
      <c r="W118" t="inlineStr">
        <is>
          <t>{"id":"chatcmpl-Da9oYObBMbwY99hRH8x0kuHK6kn13","object":"chat.completion","created":1777509906,"model":"gpt-5-chat-2025-10-03","choices":[{"index":0,"message":{"role":"assistant","content":"Gucci：经典银色圆框太阳眼镜，采用轻盈金属材质搭配灰黑镜片，极简复古设计彰显意式优雅，男女皆宜，时尚与实用并存，尽显摩登格调。","refusal":null,"annotations":[]},"logprobs":null,"finish_reason":"stop"}],"usage":{"prompt_tokens":1298,"completion_tokens":58,"total_tokens":1356,"prompt_tokens_details":{"cached_tokens":1280,"audio_tokens":0},"completion_tokens_details":{"reasoning_tokens":0,"audio_tokens":0,"accepted_prediction_tokens":0,"rejected_prediction_tokens":0}},"service_tier":"default","system_fingerprint":"fp_ad66631dec"}</t>
        </is>
      </c>
      <c r="X118" t="inlineStr">
        <is>
          <t>Gucci：经典银色圆框太阳眼镜，采用轻盈金属材质搭配灰黑镜片，极简复古设计彰显意式优雅，男女皆宜，时尚与实用并存，尽显摩登格调。</t>
        </is>
      </c>
    </row>
    <row r="119" ht="25.5" customHeight="1">
      <c r="A119">
        <v>1654975475</v>
      </c>
      <c r="B119">
        <v>7626210352</v>
      </c>
      <c r="C119" s="2" t="str">
        <f>=HYPERLINK("https://weidian.com/item.html?itemID=7626210352", "https://weidian.com/item.html?itemID=7626210352")</f>
        <v>https://weidian.com/item.html?itemID=7626210352</v>
      </c>
      <c r="D119"/>
      <c r="E119" s="2" t="str">
        <f>=HYPERLINK("https://si.geilicdn.com/pcitem2014204438-23580000019adf52db7a0a20e672_1440_1920.jpg?w=640&amp;h=640", "https://si.geilicdn.com/pcitem2014204438-23580000019adf52db7a0a20e672_1440_1920.jpg?w=640&amp;h=640")</f>
        <v>https://si.geilicdn.com/pcitem2014204438-23580000019adf52db7a0a20e672_1440_1920.jpg?w=640&amp;h=640</v>
      </c>
      <c r="F119" t="inlineStr">
        <is>
          <t>Glasses</t>
        </is>
      </c>
      <c r="G119" t="inlineStr">
        <is>
          <t>Gucci</t>
        </is>
      </c>
      <c r="H119">
        <v>380</v>
      </c>
      <c r="I119">
        <v>55.07</v>
      </c>
      <c r="J119" t="inlineStr">
        <is>
          <t>{"id":"chatcmpl-DaAIfxzn83L2gs0GG2GnoIVmnGiTo","object":"chat.completion","created":1777511773,"model":"gpt-5-chat-2025-10-03","choices":[{"index":0,"message":{"role":"assistant","content":"Gucci Aviator Black Polarized Metal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fd471178c5"}</t>
        </is>
      </c>
      <c r="K119" t="inlineStr">
        <is>
          <t>Gucci Aviator Black Polarized Metal Sunglasses</t>
        </is>
      </c>
      <c r="L119" t="inlineStr">
        <is>
          <t>{"id":"chatcmpl-DaACQGMQsEfsNBWfEuoxLeWMt5x7D","object":"chat.completion","created":1777511386,"model":"gpt-5-chat-2025-10-03","choices":[{"index":0,"message":{"role":"assistant","content":"Gucci Aviator Black Sunglasses with sleek metal frame and gray polarized lenses. Unisex luxury eyewear blending retro charm and modern style, perfect for city travel and casual fashion.","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fd471178c5"}</t>
        </is>
      </c>
      <c r="M119" t="inlineStr">
        <is>
          <t>{"alt-svc":"h3=\":443\"; ma=2592000","apim-request-id":"63e40837-283e-4f92-8926-e18cff915d55","azureml-model-session":"d20260428205641-55ca9797","cache-control":"no-cache","connection":"close","content-length":"993","content-type":"application/json","date":"Thu, 30 Apr 2026 01:09:47 GMT","server":"Caddy","skip-error-remapping":"true","strict-transport-security":"max-age=31536000; includeSubDomains; preload","x-content-type-options":"nosniff","x-ms-client-request-id":"Not-Set","x-ms-is-spilled-over":"false","x-ms-rai-invoked":"false","x-ms-region":"East US","x-new-api-version":"0.4.35","x-oneapi-request-id":"202604300109449528529538268d9d64FqLUaAw","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ffd848b2-a280-4571-8dd3-369493569455"}</t>
        </is>
      </c>
      <c r="N119" t="inlineStr">
        <is>
          <t>Gucci Aviator Black Sunglasses with sleek metal frame and gray polarized lenses. Unisex luxury eyewear blending retro charm and modern style, perfect for city travel and casual fashion.</t>
        </is>
      </c>
      <c r="O119" t="inlineStr">
        <is>
          <t>{"id":"chatcmpl-DaAVRhzvhW6fZiQ6QFIbFVEM5UFTs","object":"chat.completion","created":1777512565,"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19" t="inlineStr">
        <is>
          <t>Gucci,Glasses,kakobuy,kakebuy2026,kekobuysheet,kakobuysheet2026,2026kakobuy,kakobuyspreadsheeet,kakobuylink,kakebuylist,Kakobuy MEGA Spreadsheet,kakobuysheetfind,kakobuysheetfind2026,2026kakobuysheetfind,kakobuysheet2026</t>
        </is>
      </c>
      <c r="Q119" t="inlineStr">
        <is>
          <t>Black, Gray, Retro, Modern, Unisex</t>
        </is>
      </c>
      <c r="R119" t="inlineStr">
        <is>
          <t>recvhju1CrYLXH</t>
        </is>
      </c>
      <c r="S119" t="inlineStr">
        <is>
          <t>gucci-aviator-black-polarized-metal-sunglasses-recvhju1crylxh</t>
        </is>
      </c>
      <c r="T119"/>
      <c r="U119"/>
      <c r="V119"/>
      <c r="W119" t="inlineStr">
        <is>
          <t>{"id":"chatcmpl-Da9nPVxSygxBw5aeBGSDXI9VNcNec","object":"chat.completion","created":1777509835,"model":"gpt-5-chat-2025-10-03","choices":[{"index":0,"message":{"role":"assistant","content":"Gucci：飞行员系列黑色太阳镜，采用金属镜框与灰色偏光镜片设计，线条简约利落，彰显现代奢华美学。男女通用款，融合复古与时尚元素，适合都市出行与休闲穿搭。","refusal":null,"annotations":[]},"logprobs":null,"finish_reason":"stop"}],"usage":{"prompt_tokens":1302,"completion_tokens":67,"total_tokens":1369,"prompt_tokens_details":{"cached_tokens":1280,"audio_tokens":0},"completion_tokens_details":{"reasoning_tokens":0,"audio_tokens":0,"accepted_prediction_tokens":0,"rejected_prediction_tokens":0}},"service_tier":"default","system_fingerprint":"fp_fd471178c5"}</t>
        </is>
      </c>
      <c r="X119" t="inlineStr">
        <is>
          <t>Gucci：飞行员系列黑色太阳镜，采用金属镜框与灰色偏光镜片设计，线条简约利落，彰显现代奢华美学。男女通用款，融合复古与时尚元素，适合都市出行与休闲穿搭。</t>
        </is>
      </c>
    </row>
    <row r="120" ht="25.5" customHeight="1">
      <c r="A120">
        <v>1654975475</v>
      </c>
      <c r="B120">
        <v>7623258021</v>
      </c>
      <c r="C120" s="2" t="str">
        <f>=HYPERLINK("https://weidian.com/item.html?itemID=7623258021", "https://weidian.com/item.html?itemID=7623258021")</f>
        <v>https://weidian.com/item.html?itemID=7623258021</v>
      </c>
      <c r="D120"/>
      <c r="E120" s="2" t="str">
        <f>=HYPERLINK("https://si.geilicdn.com/pcitem2014204438-12b00000019adf3cf86a0a239646_1440_1920.jpg?w=640&amp;h=640", "https://si.geilicdn.com/pcitem2014204438-12b00000019adf3cf86a0a239646_1440_1920.jpg?w=640&amp;h=640")</f>
        <v>https://si.geilicdn.com/pcitem2014204438-12b00000019adf3cf86a0a239646_1440_1920.jpg?w=640&amp;h=640</v>
      </c>
      <c r="F120" t="inlineStr">
        <is>
          <t>Glasses</t>
        </is>
      </c>
      <c r="G120" t="inlineStr">
        <is>
          <t>Dior</t>
        </is>
      </c>
      <c r="H120">
        <v>360</v>
      </c>
      <c r="I120">
        <v>52.17</v>
      </c>
      <c r="J120" t="inlineStr">
        <is>
          <t>{"id":"chatcmpl-DaAGllMEutmv4Npw02Yj9MfPpDcir","object":"chat.completion","created":1777511655,"model":"gpt-5-chat-2025-10-03","choices":[{"index":0,"message":{"role":"assistant","content":"Dior Charisma Black Purple Gradient Square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fd471178c5"}</t>
        </is>
      </c>
      <c r="K120" t="inlineStr">
        <is>
          <t>Dior Charisma Black Purple Gradient Square Sunglasses</t>
        </is>
      </c>
      <c r="L120" t="inlineStr">
        <is>
          <t>{"id":"chatcmpl-DaA7x0ZZpTtNocW1IJkFLz759hVmi","object":"chat.completion","created":1777511109,"model":"gpt-5-chat-2025-10-03","choices":[{"index":0,"message":{"role":"assistant","content":"Dior CHARISMA Series Black-Purple Gradient Square Sunglasses, crafted from lightweight acetate with sleek metal temples. Unisex design, exuding French elegance and modern fashion appeal.","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120" t="inlineStr">
        <is>
          <t>{"alt-svc":"h3=\":443\"; ma=2592000","apim-request-id":"fc0c9db1-d016-4c44-812a-14449214b1ec","azureml-model-session":"d20260402075109-1fc5a0ec","cache-control":"no-cache","connection":"close","content-length":"994","content-type":"application/json","date":"Thu, 30 Apr 2026 01:05:10 GMT","server":"nginx","skip-error-remapping":"true","strict-transport-security":"max-age=31536000; includeSubDomains; preload","via":"1.1 Caddy","x-content-type-options":"nosniff","x-ms-client-request-id":"Not-Set","x-ms-is-spilled-over":"false","x-ms-rai-invoked":"false","x-ms-region":"North Central US","x-new-api-version":"0.4.35","x-oneapi-request-id":"202604300105081307403998268d9d6yZlhUWkT","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6525736e-3d94-4358-9761-eb9d05afbd11"}</t>
        </is>
      </c>
      <c r="N120" t="inlineStr">
        <is>
          <t>Dior CHARISMA Series Black-Purple Gradient Square Sunglasses, crafted from lightweight acetate with sleek metal temples. Unisex design, exuding French elegance and modern fashion appeal.</t>
        </is>
      </c>
      <c r="O120" t="inlineStr">
        <is>
          <t>{"id":"chatcmpl-DaAQGVSbKCYk4hrIZ6iJWU94VwBjl","object":"chat.completion","created":1777512244,"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0" t="inlineStr">
        <is>
          <t>Dior,Glasses,kakobuy,kakebuy2026,kekobuysheet,kakobuysheet2026,2026kakobuy,kakobuyspreadsheeet,kakobuylink,kakebuylist,Kakobuy MEGA Spreadsheet,kakobuysheetfind,kakobuysheetfind2026,2026kakobuysheetfind,kakobuysheet2026</t>
        </is>
      </c>
      <c r="Q120" t="inlineStr">
        <is>
          <t>Dior, Unisex, Elegant, Modern, Acetate Fiber, Sleek</t>
        </is>
      </c>
      <c r="R120" t="inlineStr">
        <is>
          <t>recvhju1CrcceH</t>
        </is>
      </c>
      <c r="S120" t="inlineStr">
        <is>
          <t>dior-charisma-black-purple-gradient-square-sunglasses-recvhju1crcceh</t>
        </is>
      </c>
      <c r="T120"/>
      <c r="U120"/>
      <c r="V120"/>
      <c r="W120" t="inlineStr">
        <is>
          <t>{"id":"chatcmpl-Da9qEuLDLtBN7BmWCvAR2wAiuxXUx","object":"chat.completion","created":1777510010,"model":"gpt-5-chat-2025-10-03","choices":[{"index":0,"message":{"role":"assistant","content":"Dior：CHARISMA系列黑紫渐变镜片方框太阳镜，采用轻盈醋酸纤维材质与金属腿设计，彰显法式优雅格调，男女通用，现代时尚必备单品。","refusal":null,"annotations":[]},"logprobs":null,"finish_reason":"stop"}],"usage":{"prompt_tokens":1302,"completion_tokens":57,"total_tokens":1359,"prompt_tokens_details":{"cached_tokens":0,"audio_tokens":0},"completion_tokens_details":{"reasoning_tokens":0,"audio_tokens":0,"accepted_prediction_tokens":0,"rejected_prediction_tokens":0}},"service_tier":"default","system_fingerprint":"fp_fd471178c5"}</t>
        </is>
      </c>
      <c r="X120" t="inlineStr">
        <is>
          <t>Dior：CHARISMA系列黑紫渐变镜片方框太阳镜，采用轻盈醋酸纤维材质与金属腿设计，彰显法式优雅格调，男女通用，现代时尚必备单品。</t>
        </is>
      </c>
    </row>
    <row r="121" ht="25.5" customHeight="1">
      <c r="A121">
        <v>1654975475</v>
      </c>
      <c r="B121">
        <v>7623163549</v>
      </c>
      <c r="C121" s="2" t="str">
        <f>=HYPERLINK("https://weidian.com/item.html?itemID=7623163549", "https://weidian.com/item.html?itemID=7623163549")</f>
        <v>https://weidian.com/item.html?itemID=7623163549</v>
      </c>
      <c r="D121"/>
      <c r="E121" s="2" t="str">
        <f>=HYPERLINK("https://si.geilicdn.com/pcitem2014204438-20ec0000019adf37c3f90a2301b4_790_1022.jpg?w=640&amp;h=640", "https://si.geilicdn.com/pcitem2014204438-20ec0000019adf37c3f90a2301b4_790_1022.jpg?w=640&amp;h=640")</f>
        <v>https://si.geilicdn.com/pcitem2014204438-20ec0000019adf37c3f90a2301b4_790_1022.jpg?w=640&amp;h=640</v>
      </c>
      <c r="F121" t="inlineStr">
        <is>
          <t>Glasses</t>
        </is>
      </c>
      <c r="G121" t="inlineStr">
        <is>
          <t>Celine</t>
        </is>
      </c>
      <c r="H121">
        <v>390</v>
      </c>
      <c r="I121">
        <v>56.52</v>
      </c>
      <c r="J121" t="inlineStr">
        <is>
          <t>{"id":"chatcmpl-DaAJUekfE07C8FZzqTAuFH1lKGEzQ","object":"chat.completion","created":1777511824,"model":"gpt-5-chat-2025-10-03","choices":[{"index":0,"message":{"role":"assistant","content":"CELINE Triomphe Black Acetate Unisex Sunglasses","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fd471178c5"}</t>
        </is>
      </c>
      <c r="K121" t="inlineStr">
        <is>
          <t>CELINE Triomphe Black Acetate Unisex Sunglasses</t>
        </is>
      </c>
      <c r="L121" t="inlineStr">
        <is>
          <t>{"id":"chatcmpl-DaADU5FHTIIkcYK5KMbKxIjENk3TW","object":"chat.completion","created":1777511452,"model":"gpt-5-chat-2025-10-03","choices":[{"index":0,"message":{"role":"assistant","content":"CELINE Triomphe Black Sunglasses feature premium acetate, sleek bold lines, and a blend of retro and modern Parisian style. Unisex design with superior UV protection and timeless elegance.","refusal":null,"annotations":[]},"logprobs":null,"finish_reason":"stop"}],"usage":{"prompt_tokens":918,"completion_tokens":39,"total_tokens":957,"prompt_tokens_details":{"cached_tokens":0,"audio_tokens":0},"completion_tokens_details":{"reasoning_tokens":0,"audio_tokens":0,"accepted_prediction_tokens":0,"rejected_prediction_tokens":0}},"service_tier":"default","system_fingerprint":"fp_ad66631dec"}</t>
        </is>
      </c>
      <c r="M121" t="inlineStr">
        <is>
          <t>{"alt-svc":"h3=\":443\"; ma=2592000","apim-request-id":"65cd6e79-637f-442d-971f-cdd6db274739","azureml-model-session":"d20260402084046-4209e968","cache-control":"no-cache","connection":"close","content-length":"996","content-type":"application/json","date":"Thu, 30 Apr 2026 01:10:54 GMT","server":"Caddy","skip-error-remapping":"true","strict-transport-security":"max-age=31536000; includeSubDomains; preload","x-content-type-options":"nosniff","x-ms-client-request-id":"Not-Set","x-ms-is-spilled-over":"false","x-ms-rai-invoked":"false","x-ms-region":"Poland Central","x-new-api-version":"0.4.35","x-oneapi-request-id":"202604300110511299028048268d9d6JdKXycgK","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c22ab02f-c4ce-455f-b43f-5f59a50c01a3"}</t>
        </is>
      </c>
      <c r="N121" t="inlineStr">
        <is>
          <t>CELINE Triomphe Black Sunglasses feature premium acetate, sleek bold lines, and a blend of retro and modern Parisian style. Unisex design with superior UV protection and timeless elegance.</t>
        </is>
      </c>
      <c r="O121" t="inlineStr">
        <is>
          <t>{"id":"chatcmpl-DaAQpBW8xVVOtywuTJ6vFy2OjpLia","object":"chat.completion","created":1777512279,"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1" t="inlineStr">
        <is>
          <t>Celine,Glasses,kakobuy,kakebuy2026,kekobuysheet,kakobuysheet2026,2026kakobuy,kakobuyspreadsheeet,kakobuylink,kakebuylist,Kakobuy MEGA Spreadsheet,kakobuysheetfind,kakobuysheetfind2026,2026kakobuysheetfind,kakobuysheet2026</t>
        </is>
      </c>
      <c r="Q121" t="inlineStr">
        <is>
          <t>Celine, Acetate Fiber, Retro, Modern, Unisex, Anti-Ultraviolet</t>
        </is>
      </c>
      <c r="R121" t="inlineStr">
        <is>
          <t>recvhju1CrRBLC</t>
        </is>
      </c>
      <c r="S121" t="inlineStr">
        <is>
          <t>celine-triomphe-black-acetate-sunglasses-recvhju1crrblc</t>
        </is>
      </c>
      <c r="T121"/>
      <c r="U121"/>
      <c r="V121"/>
      <c r="W121" t="inlineStr">
        <is>
          <t>{"id":"chatcmpl-Da9pQVeiSrobiNkAA3hgIrO8UwT4k","object":"chat.completion","created":1777509960,"model":"gpt-5-chat-2025-10-03","choices":[{"index":0,"message":{"role":"assistant","content":"CELINE：凯旋门标识系列黑色墨镜，采用高品质醋酸纤维材质，镜框线条硬朗流畅，展现复古与现代结合的极简设计风格。男女皆宜款，彰显巴黎时尚格调，防紫外线性能卓越，尽显优雅魅力与都市自信。","refusal":null,"annotations":[]},"logprobs":null,"finish_reason":"stop"}],"usage":{"prompt_tokens":1304,"completion_tokens":82,"total_tokens":1386,"prompt_tokens_details":{"cached_tokens":0,"audio_tokens":0},"completion_tokens_details":{"reasoning_tokens":0,"audio_tokens":0,"accepted_prediction_tokens":0,"rejected_prediction_tokens":0}},"service_tier":"default","system_fingerprint":"fp_fd471178c5"}</t>
        </is>
      </c>
      <c r="X121" t="inlineStr">
        <is>
          <t>CELINE：凯旋门标识系列黑色墨镜，采用高品质醋酸纤维材质，镜框线条硬朗流畅，展现复古与现代结合的极简设计风格。男女皆宜款，彰显巴黎时尚格调，防紫外线性能卓越，尽显优雅魅力与都市自信。</t>
        </is>
      </c>
    </row>
    <row r="122" ht="25.5" customHeight="1">
      <c r="A122">
        <v>1654975475</v>
      </c>
      <c r="B122">
        <v>7623269613</v>
      </c>
      <c r="C122" s="2" t="str">
        <f>=HYPERLINK("https://weidian.com/item.html?itemID=7623269613", "https://weidian.com/item.html?itemID=7623269613")</f>
        <v>https://weidian.com/item.html?itemID=7623269613</v>
      </c>
      <c r="D122"/>
      <c r="E122" s="2" t="str">
        <f>=HYPERLINK("https://si.geilicdn.com/pcitem2014204438-11400000019adf1cb6540a8134f0_1440_1920.jpg?w=640&amp;h=640", "https://si.geilicdn.com/pcitem2014204438-11400000019adf1cb6540a8134f0_1440_1920.jpg?w=640&amp;h=640")</f>
        <v>https://si.geilicdn.com/pcitem2014204438-11400000019adf1cb6540a8134f0_1440_1920.jpg?w=640&amp;h=640</v>
      </c>
      <c r="F122" t="inlineStr">
        <is>
          <t>Glasses</t>
        </is>
      </c>
      <c r="G122" t="inlineStr">
        <is>
          <t>Chanel</t>
        </is>
      </c>
      <c r="H122">
        <v>370</v>
      </c>
      <c r="I122">
        <v>53.62</v>
      </c>
      <c r="J122" t="inlineStr">
        <is>
          <t>{"id":"chatcmpl-DaAJAXDyxsZOPXWcdlE1AE7QjLJiB","object":"chat.completion","created":1777511804,"model":"gpt-5-chat-2025-10-03","choices":[{"index":0,"message":{"role":"assistant","content":"Chanel Gradient Gray Purple Metal Frame Unisex Sunglasses","refusal":null,"annotations":[]},"logprobs":null,"finish_reason":"stop"}],"usage":{"prompt_tokens":866,"completion_tokens":12,"total_tokens":878,"prompt_tokens_details":{"cached_tokens":0,"audio_tokens":0},"completion_tokens_details":{"reasoning_tokens":0,"audio_tokens":0,"accepted_prediction_tokens":0,"rejected_prediction_tokens":0}},"service_tier":"default","system_fingerprint":"fp_ad66631dec"}</t>
        </is>
      </c>
      <c r="K122" t="inlineStr">
        <is>
          <t>Chanel Gradient Gray Purple Metal Frame Unisex Sunglasses</t>
        </is>
      </c>
      <c r="L122" t="inlineStr">
        <is>
          <t>{"id":"chatcmpl-DaAB7W3n6B64oDWoZdPnERHKxLlH8","object":"chat.completion","created":1777511305,"model":"gpt-5-chat-2025-10-03","choices":[{"index":0,"message":{"role":"assistant","content":"Chanel gradient gray-purple sunglasses with lightweight metal geometric frame, minimalist unisex design, showcasing modern urban elegance and high-fashion style for a chic luxury look.","refusal":null,"annotations":[]},"logprobs":null,"finish_reason":"stop"}],"usage":{"prompt_tokens":885,"completion_tokens":32,"total_tokens":917,"prompt_tokens_details":{"cached_tokens":0,"audio_tokens":0},"completion_tokens_details":{"reasoning_tokens":0,"audio_tokens":0,"accepted_prediction_tokens":0,"rejected_prediction_tokens":0}},"service_tier":"default","system_fingerprint":"fp_ad66631dec"}</t>
        </is>
      </c>
      <c r="M122" t="inlineStr">
        <is>
          <t>{"alt-svc":"h3=\":443\"; ma=2592000","apim-request-id":"1f74f54d-acc1-49cd-b239-2306a41cbc52","azureml-model-session":"d20260402083108-57a85543","cache-control":"no-cache","connection":"close","content-length":"992","content-type":"application/json","date":"Thu, 30 Apr 2026 01:08:26 GMT","server":"Caddy","skip-error-remapping":"true","strict-transport-security":"max-age=31536000; includeSubDomains; preload","x-content-type-options":"nosniff","x-ms-client-request-id":"Not-Set","x-ms-is-spilled-over":"false","x-ms-rai-invoked":"false","x-ms-region":"Central US","x-new-api-version":"0.4.35","x-oneapi-request-id":"202604300108245610940808268d9d63HBNW0Ou","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9e1a1cd4-3365-42a2-ad85-6e1e0d11091b"}</t>
        </is>
      </c>
      <c r="N122" t="inlineStr">
        <is>
          <t>Chanel gradient gray-purple sunglasses with lightweight metal geometric frame, minimalist unisex design, showcasing modern urban elegance and high-fashion style for a chic luxury look.</t>
        </is>
      </c>
      <c r="O122" t="inlineStr">
        <is>
          <t>{"id":"chatcmpl-DaAUZO1Sdg5LLAIon7KMDbMnC2JP7","object":"chat.completion","created":1777512511,"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2" t="inlineStr">
        <is>
          <t>Chanel,Glasses,kakobuy,kakebuy2026,kekobuysheet,kakobuysheet2026,2026kakobuy,kakobuyspreadsheeet,kakobuylink,kakebuylist,Kakobuy MEGA Spreadsheet,kakobuysheetfind,kakobuysheetfind2026,2026kakobuysheetfind,kakobuysheet2026</t>
        </is>
      </c>
      <c r="Q122" t="inlineStr">
        <is>
          <t>Chanel, Gradient, Gray, Purple, Minimalist, Unisex</t>
        </is>
      </c>
      <c r="R122" t="inlineStr">
        <is>
          <t>recvhju1CrMOrf</t>
        </is>
      </c>
      <c r="S122" t="inlineStr">
        <is>
          <t>chanel-gradient-gray-purple-sunglasses-recvhju1crmorf</t>
        </is>
      </c>
      <c r="T122"/>
      <c r="U122"/>
      <c r="V122"/>
      <c r="W122" t="inlineStr">
        <is>
          <t>{"id":"chatcmpl-Da9nJUTN46LmceBPDJAuKXpW8YfHU","object":"chat.completion","created":1777509829,"model":"gpt-5-chat-2025-10-03","choices":[{"index":0,"message":{"role":"assistant","content":"Chanel：渐变灰紫镜片轻盈金属镜框太阳眼镜，简约优雅几何设计，彰显都市摩登风格，适合男女佩戴，打造高定时尚格调。","refusal":null,"annotations":[]},"logprobs":null,"finish_reason":"stop"}],"usage":{"prompt_tokens":1302,"completion_tokens":50,"total_tokens":1352,"prompt_tokens_details":{"cached_tokens":0,"audio_tokens":0},"completion_tokens_details":{"reasoning_tokens":0,"audio_tokens":0,"accepted_prediction_tokens":0,"rejected_prediction_tokens":0}},"service_tier":"default","system_fingerprint":"fp_ad66631dec"}</t>
        </is>
      </c>
      <c r="X122" t="inlineStr">
        <is>
          <t>Chanel：渐变灰紫镜片轻盈金属镜框太阳眼镜，简约优雅几何设计，彰显都市摩登风格，适合男女佩戴，打造高定时尚格调。</t>
        </is>
      </c>
    </row>
    <row r="123" ht="25.5" customHeight="1">
      <c r="A123">
        <v>1654975475</v>
      </c>
      <c r="B123">
        <v>7626207846</v>
      </c>
      <c r="C123" s="2" t="str">
        <f>=HYPERLINK("https://weidian.com/item.html?itemID=7626207846", "https://weidian.com/item.html?itemID=7626207846")</f>
        <v>https://weidian.com/item.html?itemID=7626207846</v>
      </c>
      <c r="D123"/>
      <c r="E123" s="2" t="str">
        <f>=HYPERLINK("https://si.geilicdn.com/pcitem2014204438-468c0000019ade8d63ba0a20e2c5_1440_1920.jpg?w=640&amp;h=640", "https://si.geilicdn.com/pcitem2014204438-468c0000019ade8d63ba0a20e2c5_1440_1920.jpg?w=640&amp;h=640")</f>
        <v>https://si.geilicdn.com/pcitem2014204438-468c0000019ade8d63ba0a20e2c5_1440_1920.jpg?w=640&amp;h=640</v>
      </c>
      <c r="F123" t="inlineStr">
        <is>
          <t>Glasses</t>
        </is>
      </c>
      <c r="G123" t="inlineStr">
        <is>
          <t>Gucci</t>
        </is>
      </c>
      <c r="H123">
        <v>370</v>
      </c>
      <c r="I123">
        <v>53.62</v>
      </c>
      <c r="J123" t="inlineStr">
        <is>
          <t>{"id":"chatcmpl-DaAFuOIvI42IZKBRPXZdlYXZOqi51","object":"chat.completion","created":1777511602,"model":"gpt-5-chat-2025-10-03","choices":[{"index":0,"message":{"role":"assistant","content":"Gucci Classic Black Cat Eye Unisex Sunglasses Vintage Style","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123" t="inlineStr">
        <is>
          <t>Gucci Classic Black Cat Eye Unisex Sunglasses Vintage Style</t>
        </is>
      </c>
      <c r="L123" t="inlineStr">
        <is>
          <t>{"id":"chatcmpl-DaA9IRe0hVvhhMVeE4o2g4vzpJB6g","object":"chat.completion","created":1777511192,"model":"gpt-5-chat-2025-10-03","choices":[{"index":0,"message":{"role":"assistant","content":"Gucci Classic Black Cat-Eye Sunglasses feature glossy acetate frames, dark gray lenses, and subtle metal accents for a vintage yet modern look. Unisex design enhances any face shape with timeless elegance.","refusal":null,"annotations":[]},"logprobs":null,"finish_reason":"stop"}],"usage":{"prompt_tokens":910,"completion_tokens":41,"total_tokens":951,"prompt_tokens_details":{"cached_tokens":0,"audio_tokens":0},"completion_tokens_details":{"reasoning_tokens":0,"audio_tokens":0,"accepted_prediction_tokens":0,"rejected_prediction_tokens":0}},"service_tier":"default","system_fingerprint":"fp_ad66631dec"}</t>
        </is>
      </c>
      <c r="M123" t="inlineStr">
        <is>
          <t>{"alt-svc":"h3=\":443\"; ma=2592000","apim-request-id":"a11eca77-daee-4b7b-91c3-f8f7af422a3e","azureml-model-session":"d20260402084046-4209e968","cache-control":"no-cache","connection":"close","content-length":"1013","content-type":"application/json","date":"Thu, 30 Apr 2026 01:06:33 GMT","server":"nginx","skip-error-remapping":"true","strict-transport-security":"max-age=31536000; includeSubDomains; preload","via":"1.1 Caddy","x-content-type-options":"nosniff","x-ms-client-request-id":"Not-Set","x-ms-is-spilled-over":"false","x-ms-rai-invoked":"false","x-ms-region":"South Central US","x-new-api-version":"0.4.35","x-oneapi-request-id":"202604300106308251816678268d9d6jfhm0ESd","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f823b784-9fe9-413d-a293-d4783e88ac11"}</t>
        </is>
      </c>
      <c r="N123" t="inlineStr">
        <is>
          <t>Gucci Classic Black Cat-Eye Sunglasses feature glossy acetate frames, dark gray lenses, and subtle metal accents for a vintage yet modern look. Unisex design enhances any face shape with timeless elegance.</t>
        </is>
      </c>
      <c r="O123" t="inlineStr">
        <is>
          <t>{"id":"chatcmpl-DaASweK6Xyt2EzSW1VBOirdQclWGP","object":"chat.completion","created":1777512410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23" t="inlineStr">
        <is>
          <t>Gucci,Glasses,kakobuy,kakebuy2026,kekobuysheet,kakobuysheet2026,2026kakobuy,kakobuyspreadsheeet,kakobuylink,kakebuylist,Kakobuy MEGA Spreadsheet,kakobuysheetfind,kakobuysheetfind2026,2026kakobuysheetfind,kakobuysheet2026</t>
        </is>
      </c>
      <c r="Q123" t="inlineStr">
        <is>
          <t>Black, Vintage, Modern, Elegant, Unisex, Acetate Fiber</t>
        </is>
      </c>
      <c r="R123" t="inlineStr">
        <is>
          <t>recvhju1CratAg</t>
        </is>
      </c>
      <c r="S123" t="inlineStr">
        <is>
          <t>gucci-black-cat-eye-vintage-recvhju1cratag</t>
        </is>
      </c>
      <c r="T123"/>
      <c r="U123"/>
      <c r="V123"/>
      <c r="W123" t="inlineStr">
        <is>
          <t>{"id":"chatcmpl-Da9qbGcsMA1cOrvL2MUshVsYgg8bU","object":"chat.completion","created":1777510033,"model":"gpt-5-chat-2025-10-03","choices":[{"index":0,"message":{"role":"assistant","content":"Gucci：经典黑色猫眼太阳镜，采用高光泽醋酸纤维镜框与深灰镜片，配以金属装饰细节，展现复古优雅与现代摩登气息。男女皆宜设计，完美修饰脸型，彰显精致时尚格调。","refusal":null,"annotations":[]},"logprobs":null,"finish_reason":"stop"}],"usage":{"prompt_tokens":1306,"completion_tokens":73,"total_tokens":1379,"prompt_tokens_details":{"cached_tokens":0,"audio_tokens":0},"completion_tokens_details":{"reasoning_tokens":0,"audio_tokens":0,"accepted_prediction_tokens":0,"rejected_prediction_tokens":0}},"service_tier":"default","system_fingerprint":"fp_ad66631dec"}</t>
        </is>
      </c>
      <c r="X123" t="inlineStr">
        <is>
          <t>Gucci：经典黑色猫眼太阳镜，采用高光泽醋酸纤维镜框与深灰镜片，配以金属装饰细节，展现复古优雅与现代摩登气息。男女皆宜设计，完美修饰脸型，彰显精致时尚格调。</t>
        </is>
      </c>
    </row>
    <row r="124" ht="25.5" customHeight="1">
      <c r="A124">
        <v>1654975475</v>
      </c>
      <c r="B124">
        <v>7626087224</v>
      </c>
      <c r="C124" s="2" t="str">
        <f>=HYPERLINK("https://weidian.com/item.html?itemID=7626087224", "https://weidian.com/item.html?itemID=7626087224")</f>
        <v>https://weidian.com/item.html?itemID=7626087224</v>
      </c>
      <c r="D124"/>
      <c r="E124" s="2" t="str">
        <f>=HYPERLINK("https://si.geilicdn.com/pcitem2014204438-24320000019ade876a970a21146b_1074_1074.jpg?w=640&amp;h=640", "https://si.geilicdn.com/pcitem2014204438-24320000019ade876a970a21146b_1074_1074.jpg?w=640&amp;h=640")</f>
        <v>https://si.geilicdn.com/pcitem2014204438-24320000019ade876a970a21146b_1074_1074.jpg?w=640&amp;h=640</v>
      </c>
      <c r="F124" t="inlineStr">
        <is>
          <t>Glasses</t>
        </is>
      </c>
      <c r="G124" t="inlineStr">
        <is>
          <t xml:space="preserve"> Louis Vuitton</t>
        </is>
      </c>
      <c r="H124">
        <v>370</v>
      </c>
      <c r="I124">
        <v>53.62</v>
      </c>
      <c r="J124" t="inlineStr">
        <is>
          <t>{"id":"chatcmpl-DaAGgrikqLRersXIFrsaLyDyVhqTB","object":"chat.completion","created":1777511650,"model":"gpt-5-chat-2025-10-03","choices":[{"index":0,"message":{"role":"assistant","content":"Louis Vuitton Classic Square Green Grey Unisex Sunglasse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124" t="inlineStr">
        <is>
          <t>Louis Vuitton Classic Square Green Grey Unisex Sunglasses</t>
        </is>
      </c>
      <c r="L124" t="inlineStr">
        <is>
          <t>{"id":"chatcmpl-DaA8K8uvFHbuQvnJjLDUKmL09ZZTP","object":"chat.completion","created":1777511132,"model":"gpt-5-chat-2025-10-03","choices":[{"index":0,"message":{"role":"assistant","content":"Louis Vuitton Classic Square Green-Grey Sunglasses, featuring acetate frame with metal LV logo accents, unisex design, blending minimalist elegance and luxury for timeless fashion appeal.","refusal":null,"annotations":[]},"logprobs":null,"finish_reason":"stop"}],"usage":{"prompt_tokens":885,"completion_tokens":34,"total_tokens":919,"prompt_tokens_details":{"cached_tokens":0,"audio_tokens":0},"completion_tokens_details":{"reasoning_tokens":0,"audio_tokens":0,"accepted_prediction_tokens":0,"rejected_prediction_tokens":0}},"service_tier":"default","system_fingerprint":"fp_ad66631dec"}</t>
        </is>
      </c>
      <c r="M124" t="inlineStr">
        <is>
          <t>{"alt-svc":"h3=\":443\"; ma=2592000","apim-request-id":"00b2e5c0-0f83-4eac-aeae-3778ee23aee4","azureml-model-session":"d20260402083108-57a85543","cache-control":"no-cache","connection":"close","content-length":"995","content-type":"application/json","date":"Thu, 30 Apr 2026 01:05:33 GMT","server":"Caddy","skip-error-remapping":"true","strict-transport-security":"max-age=31536000; includeSubDomains; preload","x-content-type-options":"nosniff","x-ms-client-request-id":"Not-Set","x-ms-is-spilled-over":"false","x-ms-rai-invoked":"false","x-ms-region":"East US 2","x-new-api-version":"0.4.35","x-oneapi-request-id":"202604300105301823684178268d9d6cTuhDq0A","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481661bd-f0fd-4753-bf23-35302577bba4"}</t>
        </is>
      </c>
      <c r="N124" t="inlineStr">
        <is>
          <t>Louis Vuitton Classic Square Green-Grey Sunglasses, featuring acetate frame with metal LV logo accents, unisex design, blending minimalist elegance and luxury for timeless fashion appeal.</t>
        </is>
      </c>
      <c r="O124" t="inlineStr">
        <is>
          <t>{"id":"chatcmpl-DaARCYyfKzXoHaP3R5yR3Zq8cZhaD","object":"chat.completion","created":1777512302,"model":"gpt-5-chat-2025-10-03","choices":[{"index":0,"message":{"role":"assistant","content":"Louis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24" t="inlineStr">
        <is>
          <t>Louis Vuitton,Glasses,kakobuy,kakebuy2026,kekobuysheet,kakobuysheet2026,2026kakobuy,kakobuyspreadsheeet,kakobuylink,kakebuylist,Kakobuy MEGA Spreadsheet,kakobuysheetfind,kakobuysheetfind2026,2026kakobuysheetfind,kakobuysheet2026</t>
        </is>
      </c>
      <c r="Q124" t="inlineStr">
        <is>
          <t>LV, Green, Grey, Unisex, Minimalist, Elegant</t>
        </is>
      </c>
      <c r="R124" t="inlineStr">
        <is>
          <t>recvhju1Crmhpo</t>
        </is>
      </c>
      <c r="S124" t="inlineStr">
        <is>
          <t>louis-vuitton-classic-square-green-grey-recvhju1crmhpo</t>
        </is>
      </c>
      <c r="T124"/>
      <c r="U124"/>
      <c r="V124"/>
      <c r="W124" t="inlineStr">
        <is>
          <t>{"id":"chatcmpl-Da9ri1wNceKv7nZYDxxuV8JgWdzbw","object":"chat.completion","created":1777510102,"model":"gpt-5-chat-2025-10-03","choices":[{"index":0,"message":{"role":"assistant","content":"Louis Vuitton：经典方框灰绿色太阳镜，醋酸纤维镜框搭配金属LV标识装饰，简约奢华风格，男女通用，彰显时尚品味与品牌格调。","refusal":null,"annotations":[]},"logprobs":null,"finish_reason":"stop"}],"usage":{"prompt_tokens":1296,"completion_tokens":53,"total_tokens":1349,"prompt_tokens_details":{"cached_tokens":0,"audio_tokens":0},"completion_tokens_details":{"reasoning_tokens":0,"audio_tokens":0,"accepted_prediction_tokens":0,"rejected_prediction_tokens":0}},"service_tier":"default","system_fingerprint":"fp_fd471178c5"}</t>
        </is>
      </c>
      <c r="X124" t="inlineStr">
        <is>
          <t>Louis Vuitton：经典方框灰绿色太阳镜，醋酸纤维镜框搭配金属LV标识装饰，简约奢华风格，男女通用，彰显时尚品味与品牌格调。</t>
        </is>
      </c>
    </row>
    <row r="125" ht="25.5" customHeight="1">
      <c r="A125">
        <v>1654975475</v>
      </c>
      <c r="B125">
        <v>7623178595</v>
      </c>
      <c r="C125" s="2" t="str">
        <f>=HYPERLINK("https://weidian.com/item.html?itemID=7623178595", "https://weidian.com/item.html?itemID=7623178595")</f>
        <v>https://weidian.com/item.html?itemID=7623178595</v>
      </c>
      <c r="D125"/>
      <c r="E125" s="2" t="str">
        <f>=HYPERLINK("https://si.geilicdn.com/pcitem2014204438-34b20000019ade87deda0a231316_1074_1074.jpg?w=640&amp;h=640", "https://si.geilicdn.com/pcitem2014204438-34b20000019ade87deda0a231316_1074_1074.jpg?w=640&amp;h=640")</f>
        <v>https://si.geilicdn.com/pcitem2014204438-34b20000019ade87deda0a231316_1074_1074.jpg?w=640&amp;h=640</v>
      </c>
      <c r="F125" t="inlineStr">
        <is>
          <t>Glasses</t>
        </is>
      </c>
      <c r="G125" t="inlineStr">
        <is>
          <t>Prada</t>
        </is>
      </c>
      <c r="H125">
        <v>370</v>
      </c>
      <c r="I125">
        <v>53.62</v>
      </c>
      <c r="J125" t="inlineStr">
        <is>
          <t>{"id":"chatcmpl-DaAKDni9Vzm7uIFzIw3nlmxk3JsvV","object":"chat.completion","created":1777511869,"model":"gpt-5-chat-2025-10-03","choices":[{"index":0,"message":{"role":"assistant","content":"Prada Gold Round Frame Black Lens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fd471178c5"}</t>
        </is>
      </c>
      <c r="K125" t="inlineStr">
        <is>
          <t>Prada Gold Round Frame Black Lens Sunglasses</t>
        </is>
      </c>
      <c r="L125" t="inlineStr">
        <is>
          <t>{"id":"chatcmpl-DaACKlp2U8fyveirNy0yK2FNBZuRk","object":"chat.completion","created":1777511380,"model":"gpt-5-chat-2025-10-03","choices":[{"index":0,"message":{"role":"assistant","content":"Prada Gold Round Frame Sunglasses with Black Lenses, crafted from lightweight alloy and acetate. Unisex retro minimalist design with high UV protection for a sleek modern luxury look.","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fd471178c5"}</t>
        </is>
      </c>
      <c r="M125" t="inlineStr">
        <is>
          <t>{"alt-svc":"h3=\":443\"; ma=2592000","apim-request-id":"8f147e36-745f-45e5-a244-05855b479a7e","azureml-model-session":"d20260428174121-807d9cc5","cache-control":"no-cache","connection":"close","content-length":"991","content-type":"application/json","date":"Thu, 30 Apr 2026 01:09:41 GMT","server":"nginx","skip-error-remapping":"true","strict-transport-security":"max-age=31536000; includeSubDomains; preload","via":"1.1 Caddy","x-content-type-options":"nosniff","x-ms-client-request-id":"Not-Set","x-ms-is-spilled-over":"false","x-ms-rai-invoked":"false","x-ms-region":"East US","x-new-api-version":"0.4.35","x-oneapi-request-id":"20260430010940620292718268d9d6G3qvMkoU","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52a1b93c-aa94-4355-b6d4-2f89cf5bd753"}</t>
        </is>
      </c>
      <c r="N125" t="inlineStr">
        <is>
          <t>Prada Gold Round Frame Sunglasses with Black Lenses, crafted from lightweight alloy and acetate. Unisex retro minimalist design with high UV protection for a sleek modern luxury look.</t>
        </is>
      </c>
      <c r="O125" t="inlineStr">
        <is>
          <t>{"id":"chatcmpl-DaAR7WJnQf9jeYNu9RgKIgfrGNtZr","object":"chat.completion","created":1777512297,"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5" t="inlineStr">
        <is>
          <t>Prada,Glasses,kakobuy,kakebuy2026,kekobuysheet,kakobuysheet2026,2026kakobuy,kakobuyspreadsheeet,kakobuylink,kakebuylist,Kakobuy MEGA Spreadsheet,kakobuysheetfind,kakobuysheetfind2026,2026kakobuysheetfind,kakobuysheet2026</t>
        </is>
      </c>
      <c r="Q125" t="inlineStr">
        <is>
          <t>Gold, Retro, Minimalist, Sleek, Unisex, Anti-Ultraviolet</t>
        </is>
      </c>
      <c r="R125" t="inlineStr">
        <is>
          <t>recvhju1CrgBRF</t>
        </is>
      </c>
      <c r="S125" t="inlineStr">
        <is>
          <t>prada-gold-round-frame-black-lens-sunglasses-recvhju1crgbrf</t>
        </is>
      </c>
      <c r="T125"/>
      <c r="U125"/>
      <c r="V125"/>
      <c r="W125" t="inlineStr">
        <is>
          <t>{"id":"chatcmpl-Da9rLOPLQlJfCWqwvOICHdB9eh65W","object":"chat.completion","created":1777510079,"model":"gpt-5-chat-2025-10-03","choices":[{"index":0,"message":{"role":"assistant","content":"Prada：金色圆框黑镜片太阳眼镜，采用轻盈合金与醋酸纤维材质，流畅极简设计融合复古优雅风格，适合男女通用。高防UV功能保护双眼，展现现代奢华格调。","refusal":null,"annotations":[]},"logprobs":null,"finish_reason":"stop"}],"usage":{"prompt_tokens":1298,"completion_tokens":66,"total_tokens":1364,"prompt_tokens_details":{"cached_tokens":0,"audio_tokens":0},"completion_tokens_details":{"reasoning_tokens":0,"audio_tokens":0,"accepted_prediction_tokens":0,"rejected_prediction_tokens":0}},"service_tier":"default","system_fingerprint":"fp_ad66631dec"}</t>
        </is>
      </c>
      <c r="X125" t="inlineStr">
        <is>
          <t>Prada：金色圆框黑镜片太阳眼镜，采用轻盈合金与醋酸纤维材质，流畅极简设计融合复古优雅风格，适合男女通用。高防UV功能保护双眼，展现现代奢华格调。</t>
        </is>
      </c>
    </row>
    <row r="126" ht="25.5" customHeight="1">
      <c r="A126">
        <v>1654975475</v>
      </c>
      <c r="B126">
        <v>7623120941</v>
      </c>
      <c r="C126" s="2" t="str">
        <f>=HYPERLINK("https://weidian.com/item.html?itemID=7623120941", "https://weidian.com/item.html?itemID=7623120941")</f>
        <v>https://weidian.com/item.html?itemID=7623120941</v>
      </c>
      <c r="D126"/>
      <c r="E126" s="2" t="str">
        <f>=HYPERLINK("https://si.geilicdn.com/pcitem2014204438-6f1a0000019ade8113060a8133cc_1440_1920.jpg?w=640&amp;h=640", "https://si.geilicdn.com/pcitem2014204438-6f1a0000019ade8113060a8133cc_1440_1920.jpg?w=640&amp;h=640")</f>
        <v>https://si.geilicdn.com/pcitem2014204438-6f1a0000019ade8113060a8133cc_1440_1920.jpg?w=640&amp;h=640</v>
      </c>
      <c r="F126" t="inlineStr">
        <is>
          <t>Glasses</t>
        </is>
      </c>
      <c r="G126" t="inlineStr">
        <is>
          <t>Celine</t>
        </is>
      </c>
      <c r="H126">
        <v>350</v>
      </c>
      <c r="I126">
        <v>50.72</v>
      </c>
      <c r="J126" t="inlineStr">
        <is>
          <t>{"id":"chatcmpl-DaAHATEHhAjgHFQVkcg4CUisa07Ki","object":"chat.completion","created":1777511680,"model":"gpt-5-chat-2025-10-03","choices":[{"index":0,"message":{"role":"assistant","content":"Chanel Gold Frame Gradient Gray Oval Unisex Sunglasses","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26" t="inlineStr">
        <is>
          <t>Chanel Gold Frame Gradient Gray Oval Unisex Sunglasses</t>
        </is>
      </c>
      <c r="L126" t="inlineStr">
        <is>
          <t>{"id":"chatcmpl-DaA6hRbnRx0NQHig0taUMUWIHvAOw","object":"chat.completion","created":1777511031,"model":"gpt-5-chat-2025-10-03","choices":[{"index":0,"message":{"role":"assistant","content":"Chanel Gold Frame Gradient Gray Lens Oval Sunglasses, sleek minimal French design, lightweight metal, unisex fashion eyewear combining elegance, comfort and UV protection.","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126" t="inlineStr">
        <is>
          <t>{"alt-svc":"h3=\":443\"; ma=2592000","apim-request-id":"d41eb93c-ad3f-4045-ae98-e14a8291f3df","azureml-model-session":"d20260402083108-57a85543","cache-control":"no-cache","connection":"close","content-length":"979","content-type":"application/json","date":"Thu, 30 Apr 2026 01:03:52 GMT","server":"Caddy","skip-error-remapping":"true","strict-transport-security":"max-age=31536000; includeSubDomains; preload","x-content-type-options":"nosniff","x-ms-client-request-id":"Not-Set","x-ms-is-spilled-over":"false","x-ms-rai-invoked":"false","x-ms-region":"East US","x-new-api-version":"0.4.35","x-oneapi-request-id":"202604300103508643557298268d9d6bg0DCyZL","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b3b8ec95-2f2d-405e-a47b-bb3347a1135a"}</t>
        </is>
      </c>
      <c r="N126" t="inlineStr">
        <is>
          <t>Chanel Gold Frame Gradient Gray Lens Oval Sunglasses, sleek minimal French design, lightweight metal, unisex fashion eyewear combining elegance, comfort and UV protection.</t>
        </is>
      </c>
      <c r="O126" t="inlineStr">
        <is>
          <t>{"id":"chatcmpl-DaASawCgdCt5jM6H0FWwzPaNxuGNl","object":"chat.completion","created":1777512388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6" t="inlineStr">
        <is>
          <t>Chanel,glasses,kakobuy,kakebuy2026,kekobuysheet,kakobuysheet2026,2026kakobuy,kakobuyspreadsheeet,kakobuylink,kakebuylist,Kakobuy MEGA Spreadsheet,kakobuysheetfind,kakobuysheetfind2026,2026kakobuysheetfind,kakobuysheet2026</t>
        </is>
      </c>
      <c r="Q126" t="inlineStr">
        <is>
          <t>Chanel, Unisex, Elegant, Minimalist, Anti-Ultraviolet, Lightweight</t>
        </is>
      </c>
      <c r="R126" t="inlineStr">
        <is>
          <t>recvhju1CrS1Aq</t>
        </is>
      </c>
      <c r="S126" t="inlineStr">
        <is>
          <t>chanel-gold-frame-gradient-gray-oval-sunglasses-recvhju1crS1Aq</t>
        </is>
      </c>
      <c r="T126"/>
      <c r="U126"/>
      <c r="V126"/>
      <c r="W126" t="inlineStr">
        <is>
          <t>{"id":"chatcmpl-Da9qFzA9pRrKieDxOA2nJxm0H5M1U","object":"chat.completion","created":1777510011,"model":"gpt-5-chat-2025-10-03","choices":[{"index":0,"message":{"role":"assistant","content":"Chanel金色边框渐变灰镜片太阳眼镜，经典椭圆设计融合现代极简风，轻盈金属材质打造高雅质感，男女通用，时尚与功能兼具，展现法式优雅格调。","refusal":null,"annotations":[]},"logprobs":null,"finish_reason":"stop"}],"usage":{"prompt_tokens":1302,"completion_tokens":59,"total_tokens":1361,"prompt_tokens_details":{"cached_tokens":1280,"audio_tokens":0},"completion_tokens_details":{"reasoning_tokens":0,"audio_tokens":0,"accepted_prediction_tokens":0,"rejected_prediction_tokens":0}},"service_tier":"default","system_fingerprint":"fp_ad66631dec"}</t>
        </is>
      </c>
      <c r="X126" t="inlineStr">
        <is>
          <t>Chanel金色边框渐变灰镜片太阳眼镜，经典椭圆设计融合现代极简风，轻盈金属材质打造高雅质感，男女通用，时尚与功能兼具，展现法式优雅格调。</t>
        </is>
      </c>
    </row>
    <row r="127" ht="25.5" customHeight="1">
      <c r="A127">
        <v>1654975475</v>
      </c>
      <c r="B127">
        <v>7626155844</v>
      </c>
      <c r="C127" s="2" t="str">
        <f>=HYPERLINK("https://weidian.com/item.html?itemID=7626155844", "https://weidian.com/item.html?itemID=7626155844")</f>
        <v>https://weidian.com/item.html?itemID=7626155844</v>
      </c>
      <c r="D127"/>
      <c r="E127" s="2" t="str">
        <f>=HYPERLINK("https://si.geilicdn.com/pcitem2014204438-51530000019ade20aab70a2303ee_1440_1920.jpg?w=640&amp;h=640", "https://si.geilicdn.com/pcitem2014204438-51530000019ade20aab70a2303ee_1440_1920.jpg?w=640&amp;h=640")</f>
        <v>https://si.geilicdn.com/pcitem2014204438-51530000019ade20aab70a2303ee_1440_1920.jpg?w=640&amp;h=640</v>
      </c>
      <c r="F127" t="inlineStr">
        <is>
          <t>Glasses</t>
        </is>
      </c>
      <c r="G127" t="inlineStr">
        <is>
          <t>Tiffany</t>
        </is>
      </c>
      <c r="H127">
        <v>390</v>
      </c>
      <c r="I127">
        <v>56.52</v>
      </c>
      <c r="J127" t="inlineStr">
        <is>
          <t>{"id":"chatcmpl-DaAIpFlgyIXL6KADT9rAMTpKkn9AH","object":"chat.completion","created":1777511783,"model":"gpt-5-chat-2025-10-03","choices":[{"index":0,"message":{"role":"assistant","content":"Tiffany &amp; Co Black Gray Gradient Heart Sun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127" t="inlineStr">
        <is>
          <t>Tiffany &amp; Co Black Gray Gradient Heart Sunglasses</t>
        </is>
      </c>
      <c r="L127" t="inlineStr">
        <is>
          <t>{"id":"chatcmpl-DaA5w1LJe8pp3iGE4Odj31mSoxlbA","object":"chat.completion","created":1777510984,"model":"gpt-5-chat-2025-10-03","choices":[{"index":0,"message":{"role":"assistant","content":"Tiffany &amp; Co. classic black-gray gradient sunglasses with heart metal accents and Tiffany Blue temples, lightweight acetate frame, stylish and versatile for men and women, modern urban elegance.","refusal":null,"annotations":[]},"logprobs":null,"finish_reason":"stop"}],"usage":{"prompt_tokens":905,"completion_tokens":36,"total_tokens":941,"prompt_tokens_details":{"cached_tokens":0,"audio_tokens":0},"completion_tokens_details":{"reasoning_tokens":0,"audio_tokens":0,"accepted_prediction_tokens":0,"rejected_prediction_tokens":0}},"service_tier":"default","system_fingerprint":"fp_fd471178c5"}</t>
        </is>
      </c>
      <c r="M127" t="inlineStr">
        <is>
          <t>{"alt-svc":"h3=\":443\"; ma=2592000","apim-request-id":"235547be-e761-48d9-a582-a6991ddf30c2","azureml-model-session":"d20260428174121-807d9cc5","cache-control":"no-cache","connection":"close","content-length":"1002","content-type":"application/json","date":"Thu, 30 Apr 2026 01:03:06 GMT","server":"nginx","skip-error-remapping":"true","strict-transport-security":"max-age=31536000; includeSubDomains; preload","via":"1.1 Caddy","x-content-type-options":"nosniff","x-ms-client-request-id":"Not-Set","x-ms-is-spilled-over":"false","x-ms-rai-invoked":"false","x-ms-region":"Sweden Central","x-new-api-version":"0.4.35","x-oneapi-request-id":"202604300103041495652238268d9d6PPv0INNC","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aa068e7d-af92-42e6-b847-f2c48d7fd043"}</t>
        </is>
      </c>
      <c r="N127" t="inlineStr">
        <is>
          <t>Tiffany &amp; Co. classic black-gray gradient sunglasses with heart metal accents and Tiffany Blue temples, lightweight acetate frame, stylish and versatile for men and women, modern urban elegance.</t>
        </is>
      </c>
      <c r="O127" t="inlineStr">
        <is>
          <t>{"id":"chatcmpl-DaARquHAd7h5EiypdLxhxCYxXG4pi","object":"chat.completion","created":1777512342,"model":"gpt-5-chat-2025-10-03","choices":[{"index":0,"message":{"role":"assistant","content":"Tiffany,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27" t="inlineStr">
        <is>
          <t>Tiffany,Glasses,kakobuy,kakebuy2026,kekobuysheet,kakobuysheet2026,2026kakobuy,kakobuyspreadsheeet,kakobuylink,kakebuylist,Kakobuy MEGA Spreadsheet,kakobuysheetfind,kakobuysheetfind2026,2026kakobuysheetfind,kakobuysheet2026</t>
        </is>
      </c>
      <c r="Q127" t="inlineStr">
        <is>
          <t>Black, Grey, Gradient, Lightweight, Acetate Fiber, Unisex</t>
        </is>
      </c>
      <c r="R127" t="inlineStr">
        <is>
          <t>recvhju1CrLOjD</t>
        </is>
      </c>
      <c r="S127" t="inlineStr">
        <is>
          <t>tiffany-black-gray-gradient-heart-sunglasses-recvhju1crlojdd</t>
        </is>
      </c>
      <c r="T127"/>
      <c r="U127"/>
      <c r="V127"/>
      <c r="W127" t="inlineStr">
        <is>
          <t>{"id":"chatcmpl-Da9qyBZ3LvZPt2GwcYKov1kgoiT4c","object":"chat.completion","created":1777510056,"model":"gpt-5-chat-2025-10-03","choices":[{"index":0,"message":{"role":"assistant","content":"Tiffany &amp; Co.: 经典黑灰渐变镜片太阳眼镜，金属心形装饰搭配蒂芙尼蓝镜脚，彰显优雅现代设计感，轻盈醋酸纤维材质，时尚百搭，适合男女佩戴，尽显都市摩登气质。","refusal":null,"annotations":[]},"logprobs":null,"finish_reason":"stop"}],"usage":{"prompt_tokens":1298,"completion_tokens":72,"total_tokens":1370,"prompt_tokens_details":{"cached_tokens":0,"audio_tokens":0},"completion_tokens_details":{"reasoning_tokens":0,"audio_tokens":0,"accepted_prediction_tokens":0,"rejected_prediction_tokens":0}},"service_tier":"default","system_fingerprint":"fp_ad66631dec"}</t>
        </is>
      </c>
      <c r="X127" t="inlineStr">
        <is>
          <t>Tiffany &amp; Co.: 经典黑灰渐变镜片太阳眼镜，金属心形装饰搭配蒂芙尼蓝镜脚，彰显优雅现代设计感，轻盈醋酸纤维材质，时尚百搭，适合男女佩戴，尽显都市摩登气质。</t>
        </is>
      </c>
    </row>
    <row r="128" ht="25.5" customHeight="1">
      <c r="A128">
        <v>1654975475</v>
      </c>
      <c r="B128">
        <v>7626119706</v>
      </c>
      <c r="C128" s="2" t="str">
        <f>=HYPERLINK("https://weidian.com/item.html?itemID=7626119706", "https://weidian.com/item.html?itemID=7626119706")</f>
        <v>https://weidian.com/item.html?itemID=7626119706</v>
      </c>
      <c r="D128"/>
      <c r="E128" s="2" t="str">
        <f>=HYPERLINK("https://si.geilicdn.com/pcitem2014204438-1ee50000019ade149e770a20e2c5_1440_1920.jpg?w=640&amp;h=640", "https://si.geilicdn.com/pcitem2014204438-1ee50000019ade149e770a20e2c5_1440_1920.jpg?w=640&amp;h=640")</f>
        <v>https://si.geilicdn.com/pcitem2014204438-1ee50000019ade149e770a20e2c5_1440_1920.jpg?w=640&amp;h=640</v>
      </c>
      <c r="F128" t="inlineStr">
        <is>
          <t>Glasses</t>
        </is>
      </c>
      <c r="G128" t="inlineStr">
        <is>
          <t>Dior</t>
        </is>
      </c>
      <c r="H128">
        <v>404</v>
      </c>
      <c r="I128">
        <v>58.55</v>
      </c>
      <c r="J128" t="inlineStr">
        <is>
          <t>{"id":"chatcmpl-DaALt2aZm9SBRY4Hw0AxMs4YCCyWD","object":"chat.completion","created":1777511973,"model":"gpt-5-chat-2025-10-03","choices":[{"index":0,"message":{"role":"assistant","content":"Dior Black Resin Unisex UV400 Fashion Sunglasses","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28" t="inlineStr">
        <is>
          <t>Dior Black Resin Unisex UV400 Fashion Sunglasses</t>
        </is>
      </c>
      <c r="L128" t="inlineStr">
        <is>
          <t>{"id":"chatcmpl-DaA755ISYy9A5OyLLwijQwjlNsMDT","object":"chat.completion","created":1777511055,"model":"gpt-5-chat-2025-10-03","choices":[{"index":0,"message":{"role":"assistant","content":"Dior Black Resin Sunglasses – Sleek modern minimal frame, lightweight and comfortable fit, UV400 protection, unisex design blending elegance and fashion for premium everyday style.","refusal":null,"annotations":[]},"logprobs":null,"finish_reason":"stop"}],"usage":{"prompt_tokens":894,"completion_tokens":35,"total_tokens":929,"prompt_tokens_details":{"cached_tokens":0,"audio_tokens":0},"completion_tokens_details":{"reasoning_tokens":0,"audio_tokens":0,"accepted_prediction_tokens":0,"rejected_prediction_tokens":0}},"service_tier":"default","system_fingerprint":"fp_fd471178c5"}</t>
        </is>
      </c>
      <c r="M128" t="inlineStr">
        <is>
          <t>{"alt-svc":"h3=\":443\"; ma=2592000","apim-request-id":"03e7863f-4530-4e63-ade9-7ca88e7f4125","azureml-model-session":"d20260428205641-55ca9797","cache-control":"no-cache","connection":"close","content-length":"990","content-type":"application/json","date":"Thu, 30 Apr 2026 01:04:15 GMT","server":"Caddy","skip-error-remapping":"true","strict-transport-security":"max-age=31536000; includeSubDomains; preload","x-content-type-options":"nosniff","x-ms-client-request-id":"Not-Set","x-ms-is-spilled-over":"false","x-ms-rai-invoked":"false","x-ms-region":"West US","x-new-api-version":"0.4.35","x-oneapi-request-id":"202604300104136503251318268d9d6PDshDwV7","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06b2a0f0-d47a-4b6a-9ba2-7f1ccafd5342"}</t>
        </is>
      </c>
      <c r="N128" t="inlineStr">
        <is>
          <t>Dior Black Resin Sunglasses – Sleek modern minimal frame, lightweight and comfortable fit, UV400 protection, unisex design blending elegance and fashion for premium everyday style.</t>
        </is>
      </c>
      <c r="O128" t="inlineStr">
        <is>
          <t>{"id":"chatcmpl-DaAQYSYncNvC6oCGmimDl8tWk7sE5","object":"chat.completion","created":1777512262,"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8" t="inlineStr">
        <is>
          <t>Dior,Glasses,kakobuy,kakebuy2026,kekobuysheet,kakobuysheet2026,2026kakobuy,kakobuyspreadsheeet,kakobuylink,kakebuylist,Kakobuy MEGA Spreadsheet,kakobuysheetfind,kakobuysheetfind2026,2026kakobuysheetfind,kakobuysheet2026</t>
        </is>
      </c>
      <c r="Q128" t="inlineStr">
        <is>
          <t>Dior, Unisex, Elegant, Fashion, Lightweight, Anti-Ultraviolet</t>
        </is>
      </c>
      <c r="R128" t="inlineStr">
        <is>
          <t>recvhju1CrDp6Q</t>
        </is>
      </c>
      <c r="S128" t="inlineStr">
        <is>
          <t>dior-black-resin-uv400-sunglasses-recvhju1crdp6q</t>
        </is>
      </c>
      <c r="T128"/>
      <c r="U128"/>
      <c r="V128"/>
      <c r="W128" t="inlineStr">
        <is>
          <t>{"id":"chatcmpl-Da9p3ZCcFS7iC1Mknq6doZFjLh9Ji","object":"chat.completion","created":1777509937,"model":"gpt-5-chat-2025-10-03","choices":[{"index":0,"message":{"role":"assistant","content":"Dior：黑色高级树脂太阳镜，流线型镜框设计展现现代极简风格，轻盈舒适贴合面部，防UV400镜片有效防护，男女通用款，融合优雅与时尚于一体。","refusal":null,"annotations":[]},"logprobs":null,"finish_reason":"stop"}],"usage":{"prompt_tokens":1302,"completion_tokens":59,"total_tokens":1361,"prompt_tokens_details":{"cached_tokens":0,"audio_tokens":0},"completion_tokens_details":{"reasoning_tokens":0,"audio_tokens":0,"accepted_prediction_tokens":0,"rejected_prediction_tokens":0}},"service_tier":"default","system_fingerprint":"fp_fd471178c5"}</t>
        </is>
      </c>
      <c r="X128" t="inlineStr">
        <is>
          <t>Dior：黑色高级树脂太阳镜，流线型镜框设计展现现代极简风格，轻盈舒适贴合面部，防UV400镜片有效防护，男女通用款，融合优雅与时尚于一体。</t>
        </is>
      </c>
    </row>
    <row r="129" ht="25.5" customHeight="1">
      <c r="A129">
        <v>1654975475</v>
      </c>
      <c r="B129">
        <v>7626769374</v>
      </c>
      <c r="C129" s="2" t="str">
        <f>=HYPERLINK("https://weidian.com/item.html?itemID=7626769374", "https://weidian.com/item.html?itemID=7626769374")</f>
        <v>https://weidian.com/item.html?itemID=7626769374</v>
      </c>
      <c r="D129"/>
      <c r="E129" s="2" t="str">
        <f>=HYPERLINK("https://si.geilicdn.com/pcitem2014204438-04b80000019ae45d69430a2103bd_1290_1846.jpg?w=640&amp;h=640", "https://si.geilicdn.com/pcitem2014204438-04b80000019ae45d69430a2103bd_1290_1846.jpg?w=640&amp;h=640")</f>
        <v>https://si.geilicdn.com/pcitem2014204438-04b80000019ae45d69430a2103bd_1290_1846.jpg?w=640&amp;h=640</v>
      </c>
      <c r="F129" t="inlineStr">
        <is>
          <t>Accessories</t>
        </is>
      </c>
      <c r="G129" t="inlineStr">
        <is>
          <t>Cotopaxi</t>
        </is>
      </c>
      <c r="H129">
        <v>170</v>
      </c>
      <c r="I129">
        <v>24.64</v>
      </c>
      <c r="J129" t="inlineStr">
        <is>
          <t>{"id":"chatcmpl-DaAL0vTdT5Lu1nQ9re030GFcVPxei","object":"chat.completion","created":1777511918,"model":"gpt-5-chat-2025-10-03","choices":[{"index":0,"message":{"role":"assistant","content":"Cotopaxi Lago Purple Travel Organizer Bag","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fd471178c5"}</t>
        </is>
      </c>
      <c r="K129" t="inlineStr">
        <is>
          <t>Cotopaxi Lago Purple Travel Organizer Bag</t>
        </is>
      </c>
      <c r="L129" t="inlineStr">
        <is>
          <t>{"id":"chatcmpl-DaABSOyNnbMveZrjMoYDPPN4E9vaz","object":"chat.completion","created":1777511326,"model":"gpt-5-chat-2025-10-03","choices":[{"index":0,"message":{"role":"assistant","content":"Cotopaxi Lago Purple Organizer Bag – Lightweight, durable nylon with vibrant color-block design; unisex and eco-friendly, perfect for travel, adventure, and sustainable outdoor style.","refusal":null,"annotations":[]},"logprobs":null,"finish_reason":"stop"}],"usage":{"prompt_tokens":890,"completion_tokens":36,"total_tokens":926,"prompt_tokens_details":{"cached_tokens":0,"audio_tokens":0},"completion_tokens_details":{"reasoning_tokens":0,"audio_tokens":0,"accepted_prediction_tokens":0,"rejected_prediction_tokens":0}},"service_tier":"default","system_fingerprint":"fp_fd471178c5"}</t>
        </is>
      </c>
      <c r="M129" t="inlineStr">
        <is>
          <t>{"alt-svc":"h3=\":443\"; ma=2592000","apim-request-id":"9863dac4-b60d-43f8-9005-0e9d9cf17523","azureml-model-session":"d20260428174121-807d9cc5","cache-control":"no-cache","connection":"close","content-length":"993","content-type":"application/json","date":"Thu, 30 Apr 2026 01:08:47 GMT","server":"Caddy","skip-error-remapping":"true","strict-transport-security":"max-age=31536000; includeSubDomains; preload","x-content-type-options":"nosniff","x-ms-client-request-id":"Not-Set","x-ms-is-spilled-over":"false","x-ms-rai-invoked":"false","x-ms-region":"East US","x-new-api-version":"0.4.35","x-oneapi-request-id":"202604300108457116430518268d9d64InoAVoE","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00f4247a-9a33-4b59-a63d-9559a83a2b87"}</t>
        </is>
      </c>
      <c r="N129" t="inlineStr">
        <is>
          <t>Cotopaxi Lago Purple Organizer Bag – Lightweight, durable nylon with vibrant color-block design; unisex and eco-friendly, perfect for travel, adventure, and sustainable outdoor style.</t>
        </is>
      </c>
      <c r="O129" t="inlineStr">
        <is>
          <t>{"id":"chatcmpl-DaASkCYwrE6jTK31IpiBnKqDVPw21","object":"chat.completion","created":1777512398,"model":"gpt-5-chat-2025-10-03","choices":[{"index":0,"message":{"role":"assistant","content":"Cotopaxi,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29" t="inlineStr">
        <is>
          <t>Cotopaxi,Accessories,kakobuy,kakebuy2026,kekobuysheet,kakobuysheet2026,2026kakobuy,kakobuyspreadsheeet,kakobuylink,kakebuylist,Kakobuy MEGA Spreadsheet,kakobuysheetfind,kakobuysheetfind2026,2026kakobuysheetfind,kakobuysheet2026</t>
        </is>
      </c>
      <c r="Q129" t="inlineStr">
        <is>
          <t>Color Block, Nylon, Unisex, Outdoor, Lightweight</t>
        </is>
      </c>
      <c r="R129" t="inlineStr">
        <is>
          <t>recvhju1CrXYSe</t>
        </is>
      </c>
      <c r="S129" t="inlineStr">
        <is>
          <t>cotopaxi-lago-purple-travel-organizer-bag-recvhju1crxyse</t>
        </is>
      </c>
      <c r="T129"/>
      <c r="U129"/>
      <c r="V129"/>
      <c r="W129" t="inlineStr">
        <is>
          <t>{"id":"chatcmpl-Da9n3qYXmyvFCmYoFS6wVdjaPzOwW","object":"chat.completion","created":1777509813,"model":"gpt-5-chat-2025-10-03","choices":[{"index":0,"message":{"role":"assistant","content":"Cotopaxi：Lago系列紫色多功能收纳包，采用轻质耐磨尼龙材质，撞色设计活力十足，中性风格适合男女使用，展现现代户外旅行精神与可持续时尚理念。","refusal":null,"annotations":[]},"logprobs":null,"finish_reason":"stop"}],"usage":{"prompt_tokens":1301,"completion_tokens":56,"total_tokens":1357,"prompt_tokens_details":{"cached_tokens":1280,"audio_tokens":0},"completion_tokens_details":{"reasoning_tokens":0,"audio_tokens":0,"accepted_prediction_tokens":0,"rejected_prediction_tokens":0}},"service_tier":"default","system_fingerprint":"fp_ad66631dec"}</t>
        </is>
      </c>
      <c r="X129" t="inlineStr">
        <is>
          <t>Cotopaxi：Lago系列紫色多功能收纳包，采用轻质耐磨尼龙材质，撞色设计活力十足，中性风格适合男女使用，展现现代户外旅行精神与可持续时尚理念。</t>
        </is>
      </c>
    </row>
    <row r="130" ht="25.5" customHeight="1">
      <c r="A130">
        <v>1654975475</v>
      </c>
      <c r="B130">
        <v>7623837867</v>
      </c>
      <c r="C130" s="2" t="str">
        <f>=HYPERLINK("https://weidian.com/item.html?itemID=7623837867", "https://weidian.com/item.html?itemID=7623837867")</f>
        <v>https://weidian.com/item.html?itemID=7623837867</v>
      </c>
      <c r="D130"/>
      <c r="E130" s="2" t="str">
        <f>=HYPERLINK("https://si.geilicdn.com/pcitem2014204438-51d80000019ae4555b5b0a2396f4_1440_1920.jpg?w=640&amp;h=640", "https://si.geilicdn.com/pcitem2014204438-51d80000019ae4555b5b0a2396f4_1440_1920.jpg?w=640&amp;h=640")</f>
        <v>https://si.geilicdn.com/pcitem2014204438-51d80000019ae4555b5b0a2396f4_1440_1920.jpg?w=640&amp;h=640</v>
      </c>
      <c r="F130" t="inlineStr">
        <is>
          <t>Accessories</t>
        </is>
      </c>
      <c r="G130" t="inlineStr">
        <is>
          <t>Prada</t>
        </is>
      </c>
      <c r="H130">
        <v>640</v>
      </c>
      <c r="I130">
        <v>92.75</v>
      </c>
      <c r="J130" t="inlineStr">
        <is>
          <t>{"id":"chatcmpl-DaAG2L97IIt55e6h0cUmc6X4giG9S","object":"chat.completion","created":1777511610,"model":"gpt-5-chat-2025-10-03","choices":[{"index":0,"message":{"role":"assistant","content":"Prada Black Leather Crossbody Bag for Men","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fd471178c5"}</t>
        </is>
      </c>
      <c r="K130" t="inlineStr">
        <is>
          <t>Prada Black Leather Crossbody Bag for Men</t>
        </is>
      </c>
      <c r="L130" t="inlineStr">
        <is>
          <t>{"id":"chatcmpl-DaAB7g5vrqTGhYLodCWWisSk5guN4","object":"chat.completion","created":1777511305,"model":"gpt-5-chat-2025-10-03","choices":[{"index":0,"message":{"role":"assistant","content":"Prada black crossbody bag crafted from supple calf leather with a smooth texture, metal zipper, logo strap, and multi-compartment design for lightweight everyday luxury.","refusal":null,"annotations":[]},"logprobs":null,"finish_reason":"stop"}],"usage":{"prompt_tokens":911,"completion_tokens":33,"total_tokens":944,"prompt_tokens_details":{"cached_tokens":0,"audio_tokens":0},"completion_tokens_details":{"reasoning_tokens":0,"audio_tokens":0,"accepted_prediction_tokens":0,"rejected_prediction_tokens":0}},"service_tier":"default","system_fingerprint":"fp_fd471178c5"}</t>
        </is>
      </c>
      <c r="M130" t="inlineStr">
        <is>
          <t>{"alt-svc":"h3=\":443\"; ma=2592000","apim-request-id":"75c48d00-14c2-4d59-b63c-3a6facddc6bc","azureml-model-session":"d20260429094557-48622491","cache-control":"no-cache","connection":"close","content-length":"977","content-type":"application/json","date":"Thu, 30 Apr 2026 01:08:27 GMT","server":"nginx","skip-error-remapping":"true","strict-transport-security":"max-age=31536000; includeSubDomains; preload","via":"1.1 Caddy","x-content-type-options":"nosniff","x-ms-client-request-id":"Not-Set","x-ms-is-spilled-over":"false","x-ms-rai-invoked":"false","x-ms-region":"Poland Central","x-new-api-version":"0.4.35","x-oneapi-request-id":"202604300108244114414798268d9d6Ak8atWxM","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44066cc1-63bb-4250-b88b-865bc6cd391a"}</t>
        </is>
      </c>
      <c r="N130" t="inlineStr">
        <is>
          <t>Prada black crossbody bag crafted from supple calf leather with a smooth texture, metal zipper, logo strap, and multi-compartment design for lightweight everyday luxury.</t>
        </is>
      </c>
      <c r="O130" t="inlineStr">
        <is>
          <t>{"id":"chatcmpl-DaARKPE022ozutO2TiPP0ViXaZdWL","object":"chat.completion","created":1777512310,"model":"gpt-5-chat-2025-10-03","choices":[{"index":0,"message":{"role":"assistant","content":"Prada,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fd471178c5"}</t>
        </is>
      </c>
      <c r="P130" t="inlineStr">
        <is>
          <t>Prada,Accessories,kakobuy,kakebuy2026,kekobuysheet,kakobuysheet2026,2026kakobuy,kakobuyspreadsheeet,kakobuylink,kakebuylist,Kakobuy MEGA Spreadsheet,kakobuysheetfind,kakobuysheetfind2026,2026kakobuysheetfind,kakobuysheet2026</t>
        </is>
      </c>
      <c r="Q130"/>
      <c r="R130" t="inlineStr">
        <is>
          <t>recvhju1Cr2Si8</t>
        </is>
      </c>
      <c r="S130" t="inlineStr">
        <is>
          <t>prada-black-leather-crossbody-bag-men-recvhju1cr2si8</t>
        </is>
      </c>
      <c r="T130"/>
      <c r="U130"/>
      <c r="V130"/>
      <c r="W130" t="inlineStr">
        <is>
          <t>{"id":"chatcmpl-Da9pO650tAi9XLexqhhbHVm8TGLFl","object":"chat.completion","created":1777509958,"model":"gpt-5-chat-2025-10-03","choices":[{"index":0,"message":{"role":"assistant","content":"Prada：黑色简约斜挎包，以柔韧小牛皮打造，触感细腻。配金属拉链与品牌Logo织带肩带，展现极简奢华风格。实用多隔层设计，轻盈便携，适合男女日常通勤或休闲使用。","refusal":null,"annotations":[]},"logprobs":null,"finish_reason":"stop"}],"usage":{"prompt_tokens":1305,"completion_tokens":75,"total_tokens":1380,"prompt_tokens_details":{"cached_tokens":0,"audio_tokens":0},"completion_tokens_details":{"reasoning_tokens":0,"audio_tokens":0,"accepted_prediction_tokens":0,"rejected_prediction_tokens":0}},"service_tier":"default","system_fingerprint":"fp_ad66631dec"}</t>
        </is>
      </c>
      <c r="X130" t="inlineStr">
        <is>
          <t>Prada：黑色简约斜挎包，以柔韧小牛皮打造，触感细腻。配金属拉链与品牌Logo织带肩带，展现极简奢华风格。实用多隔层设计，轻盈便携，适合男女日常通勤或休闲使用。</t>
        </is>
      </c>
    </row>
    <row r="131" ht="25.5" customHeight="1">
      <c r="A131">
        <v>1654975475</v>
      </c>
      <c r="B131">
        <v>7623800679</v>
      </c>
      <c r="C131" s="2" t="str">
        <f>=HYPERLINK("https://weidian.com/item.html?itemID=7623800679", "https://weidian.com/item.html?itemID=7623800679")</f>
        <v>https://weidian.com/item.html?itemID=7623800679</v>
      </c>
      <c r="D131"/>
      <c r="E131" s="2" t="str">
        <f>=HYPERLINK("https://si.geilicdn.com/pcitem2014204438-5b530000019ae44ee0070a23037f_1440_1440.jpg?w=640&amp;h=640", "https://si.geilicdn.com/pcitem2014204438-5b530000019ae44ee0070a23037f_1440_1440.jpg?w=640&amp;h=640")</f>
        <v>https://si.geilicdn.com/pcitem2014204438-5b530000019ae44ee0070a23037f_1440_1440.jpg?w=640&amp;h=640</v>
      </c>
      <c r="F131" t="inlineStr">
        <is>
          <t>Accessories</t>
        </is>
      </c>
      <c r="G131" t="inlineStr">
        <is>
          <t>Hermes</t>
        </is>
      </c>
      <c r="H131">
        <v>640</v>
      </c>
      <c r="I131">
        <v>92.75</v>
      </c>
      <c r="J131" t="inlineStr">
        <is>
          <t>{"id":"chatcmpl-DaALSRcHXo2qp2Vbhw7zy1NjtWN3F","object":"chat.completion","created":1777511946,"model":"gpt-5-chat-2025-10-03","choices":[{"index":0,"message":{"role":"assistant","content":"Hermes Black Togo Leather H Buckle Messenger Bag","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fd471178c5"}</t>
        </is>
      </c>
      <c r="K131" t="inlineStr">
        <is>
          <t>Hermes Black Togo Leather H Buckle Messenger Bag</t>
        </is>
      </c>
      <c r="L131" t="inlineStr">
        <is>
          <t>{"id":"chatcmpl-DaAD5T6jb9DTdWq6EDpAekO7G70cz","object":"chat.completion","created":1777511427,"model":"gpt-5-chat-2025-10-03","choices":[{"index":0,"message":{"role":"assistant","content":"Hermes Black Togo Leather Messenger Bag, featuring signature H buckle design, adjustable fabric strap, sleek unisex style for business or casual looks, durable, refined, and timelessly luxurious.","refusal":null,"annotations":[]},"logprobs":null,"finish_reason":"stop"}],"usage":{"prompt_tokens":910,"completion_tokens":39,"total_tokens":949,"prompt_tokens_details":{"cached_tokens":0,"audio_tokens":0},"completion_tokens_details":{"reasoning_tokens":0,"audio_tokens":0,"accepted_prediction_tokens":0,"rejected_prediction_tokens":0}},"service_tier":"default","system_fingerprint":"fp_ad66631dec"}</t>
        </is>
      </c>
      <c r="M131" t="inlineStr">
        <is>
          <t>{"alt-svc":"h3=\":443\"; ma=2592000","apim-request-id":"87f8cc8a-4d0c-41b4-bd82-3b8356959953","azureml-model-session":"d20260402084046-4209e968","cache-control":"no-cache","connection":"close","content-length":"1003","content-type":"application/json","date":"Thu, 30 Apr 2026 01:10:29 GMT","server":"nginx","skip-error-remapping":"true","strict-transport-security":"max-age=31536000; includeSubDomains; preload","via":"1.1 Caddy","x-content-type-options":"nosniff","x-ms-client-request-id":"Not-Set","x-ms-is-spilled-over":"false","x-ms-rai-invoked":"false","x-ms-region":"Sweden Central","x-new-api-version":"0.4.35","x-oneapi-request-id":"202604300110264450752878268d9d6qgJyy3KC","x-ratelimit-abusepenalty-active":"False","x-ratelimit-key":"gpt-5-chat-global","x-ratelimit-limit-requests":"1000","x-ratelimit-limit-tokens":"1000000","x-ratelimit-remaining-requests":"999","x-ratelimit-remaining-tokens":"995427","x-ratelimit-renewalperiod-requests":"60","x-ratelimit-renewalperiod-tokens":"60","x-ratelimit-reset-requests":"60","x-ratelimit-reset-tokens":"274","x-request-id":"94fad125-c89f-4cfc-84c3-54dd091ad4d1"}</t>
        </is>
      </c>
      <c r="N131" t="inlineStr">
        <is>
          <t>Hermes Black Togo Leather Messenger Bag, featuring signature H buckle design, adjustable fabric strap, sleek unisex style for business or casual looks, durable, refined, and timelessly luxurious.</t>
        </is>
      </c>
      <c r="O131" t="inlineStr">
        <is>
          <t>{"id":"chatcmpl-DaAVCfrSMkymF0XuF4cTiPJbhh3Ng","object":"chat.completion","created":1777512550,"model":"gpt-5-chat-2025-10-03","choices":[{"index":0,"message":{"role":"assistant","content":"Hermes, Bag,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31" t="inlineStr">
        <is>
          <t>Hermes, Bag, kakobuy, kakebuy2026, kekobuysheet, kakobuysheet2026, 2026kakobuy, kakobuyspreadsheeet, kakobuylink, kakebuylist, Kakobuy MEGA Spreadsheet, kakobuysheetfind, kakobuysheetfind2026, 2026kakobuysheetfind, kakobuysheet2026</t>
        </is>
      </c>
      <c r="Q131"/>
      <c r="R131" t="inlineStr">
        <is>
          <t>recvhju1Cra4Tf</t>
        </is>
      </c>
      <c r="S131" t="inlineStr">
        <is>
          <t>hermes-black-togo-leather-h-buckle-messenger-bag-recvhju1cra4tf</t>
        </is>
      </c>
      <c r="T131"/>
      <c r="U131"/>
      <c r="V131"/>
      <c r="W131" t="inlineStr">
        <is>
          <t>{"id":"chatcmpl-Da9npKqG4OjB9JU7Lt2OSP4Nue3ls","object":"chat.completion","created":1777509861,"model":"gpt-5-chat-2025-10-03","choices":[{"index":0,"message":{"role":"assistant","content":"Hermes：黑色牛皮横款邮差包，甄选Togo真皮材质，立体H字扣设计，简约优雅风格，手感细腻耐磨，配可调节织物肩带，男女通用，兼具商务与休闲气质，展现低调奢华品质。","refusal":null,"annotations":[]},"logprobs":null,"finish_reason":"stop"}],"usage":{"prompt_tokens":1299,"completion_tokens":77,"total_tokens":1376,"prompt_tokens_details":{"cached_tokens":0,"audio_tokens":0},"completion_tokens_details":{"reasoning_tokens":0,"audio_tokens":0,"accepted_prediction_tokens":0,"rejected_prediction_tokens":0}},"service_tier":"default","system_fingerprint":"fp_ad66631dec"}</t>
        </is>
      </c>
      <c r="X131" t="inlineStr">
        <is>
          <t>Hermes：黑色牛皮横款邮差包，甄选Togo真皮材质，立体H字扣设计，简约优雅风格，手感细腻耐磨，配可调节织物肩带，男女通用，兼具商务与休闲气质，展现低调奢华品质。</t>
        </is>
      </c>
    </row>
    <row r="132" ht="25.5" customHeight="1">
      <c r="A132">
        <v>1654975475</v>
      </c>
      <c r="B132">
        <v>7623277923</v>
      </c>
      <c r="C132" s="2" t="str">
        <f>=HYPERLINK("https://weidian.com/item.html?itemID=7623277923", "https://weidian.com/item.html?itemID=7623277923")</f>
        <v>https://weidian.com/item.html?itemID=7623277923</v>
      </c>
      <c r="D132"/>
      <c r="E132" s="2" t="str">
        <f>=HYPERLINK("https://si.geilicdn.com/pcitem2014204438-30af0000019adf66cfa10a210256_1080_1440.jpg?w=640&amp;h=640", "https://si.geilicdn.com/pcitem2014204438-30af0000019adf66cfa10a210256_1080_1440.jpg?w=640&amp;h=640")</f>
        <v>https://si.geilicdn.com/pcitem2014204438-30af0000019adf66cfa10a210256_1080_1440.jpg?w=640&amp;h=640</v>
      </c>
      <c r="F132" t="inlineStr">
        <is>
          <t>Glasses</t>
        </is>
      </c>
      <c r="G132" t="inlineStr">
        <is>
          <t>Burberry</t>
        </is>
      </c>
      <c r="H132">
        <v>370</v>
      </c>
      <c r="I132">
        <v>53.62</v>
      </c>
      <c r="J132" t="inlineStr">
        <is>
          <t>{"id":"chatcmpl-DaAKg0kIGooQOPcmV7jfQaBeWNonN","object":"chat.completion","created":1777511898,"model":"gpt-5-chat-2025-10-03","choices":[{"index":0,"message":{"role":"assistant","content":"Burberry Square Black Polarized Unisex Sunglass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fd471178c5"}</t>
        </is>
      </c>
      <c r="K132" t="inlineStr">
        <is>
          <t>Burberry Square Black Polarized Unisex Sunglasses</t>
        </is>
      </c>
      <c r="L132" t="inlineStr">
        <is>
          <t>{"id":"chatcmpl-DaA9LNCUJyrREt58LM9zS5mUuFIhu","object":"chat.completion","created":1777511195,"model":"gpt-5-chat-2025-10-03","choices":[{"index":0,"message":{"role":"assistant","content":"Burberry Square Black Sunglasses feature premium acetate frame, polarized lenses and gold 3D logo, blending modern minimalism with vintage charm for stylish unisex urban wear.","refusal":null,"annotations":[]},"logprobs":null,"finish_reason":"stop"}],"usage":{"prompt_tokens":901,"completion_tokens":35,"total_tokens":936,"prompt_tokens_details":{"cached_tokens":0,"audio_tokens":0},"completion_tokens_details":{"reasoning_tokens":0,"audio_tokens":0,"accepted_prediction_tokens":0,"rejected_prediction_tokens":0}},"service_tier":"default","system_fingerprint":"fp_ad66631dec"}</t>
        </is>
      </c>
      <c r="M132" t="inlineStr">
        <is>
          <t>{"alt-svc":"h3=\":443\"; ma=2592000","apim-request-id":"6d9b3820-1065-4865-af4c-479e35548fed","azureml-model-session":"d20260402075109-1fc5a0ec","cache-control":"no-cache","connection":"close","content-length":"983","content-type":"application/json","date":"Thu, 30 Apr 2026 01:06:37 GMT","server":"Caddy","skip-error-remapping":"true","strict-transport-security":"max-age=31536000; includeSubDomains; preload","x-content-type-options":"nosniff","x-ms-client-request-id":"Not-Set","x-ms-is-spilled-over":"false","x-ms-rai-invoked":"false","x-ms-region":"West US","x-new-api-version":"0.4.35","x-oneapi-request-id":"202604300106345421132148268d9d64iipBUUZ","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e46048cf-3d5a-4d44-ac4d-afb71d8484a3"}</t>
        </is>
      </c>
      <c r="N132" t="inlineStr">
        <is>
          <t>Burberry Square Black Sunglasses feature premium acetate frame, polarized lenses and gold 3D logo, blending modern minimalism with vintage charm for stylish unisex urban wear.</t>
        </is>
      </c>
      <c r="O132" t="inlineStr">
        <is>
          <t>{"id":"chatcmpl-DaAUUjUmshBy91AribHMv38dUM5jT","object":"chat.completion","created":1777512506,"model":"gpt-5-chat-2025-10-03","choices":[{"index":0,"message":{"role":"assistant","content":"Burberry,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32" t="inlineStr">
        <is>
          <t>Burberry,Glasses,kakobuy,kakebuy2026,kekobuysheet,kakobuysheet2026,2026kakobuy,kakobuyspreadsheeet,kakobuylink,kakebuylist,Kakobuy MEGA Spreadsheet,kakobuysheetfind,kakobuysheetfind2026,2026kakobuysheetfind,kakobuysheet2026</t>
        </is>
      </c>
      <c r="Q132" t="inlineStr">
        <is>
          <t>Acetate Fiber, Gold, Modern, Minimalist, Vintage, Unisex</t>
        </is>
      </c>
      <c r="R132" t="inlineStr">
        <is>
          <t>recvhju1CrukOq</t>
        </is>
      </c>
      <c r="S132" t="inlineStr">
        <is>
          <t>burberry-square-black-polarized-sunglasses-recvhju1crukOq</t>
        </is>
      </c>
      <c r="T132"/>
      <c r="U132"/>
      <c r="V132"/>
      <c r="W132" t="inlineStr">
        <is>
          <t>{"id":"chatcmpl-Da9r7m0oeCo0yLHBG31kgnIPoAb9k","object":"chat.completion","created":1777510065,"model":"gpt-5-chat-2025-10-03","choices":[{"index":0,"message":{"role":"assistant","content":"Burberry：方形黑色太阳镜，采用优质醋酸纤维镜框与偏光镜片设计，金色立体Logo点缀彰显英伦格调，融合现代极简与复古元素，男女皆可佩戴，适合都市时尚出行。","refusal":null,"annotations":[]},"logprobs":null,"finish_reason":"stop"}],"usage":{"prompt_tokens":1300,"completion_tokens":67,"total_tokens":1367,"prompt_tokens_details":{"cached_tokens":0,"audio_tokens":0},"completion_tokens_details":{"reasoning_tokens":0,"audio_tokens":0,"accepted_prediction_tokens":0,"rejected_prediction_tokens":0}},"service_tier":"default","system_fingerprint":"fp_fd471178c5"}</t>
        </is>
      </c>
      <c r="X132" t="inlineStr">
        <is>
          <t>Burberry：方形黑色太阳镜，采用优质醋酸纤维镜框与偏光镜片设计，金色立体Logo点缀彰显英伦格调，融合现代极简与复古元素，男女皆可佩戴，适合都市时尚出行。</t>
        </is>
      </c>
    </row>
    <row r="133" ht="25.5" customHeight="1">
      <c r="A133">
        <v>1654975475</v>
      </c>
      <c r="B133">
        <v>7623205223</v>
      </c>
      <c r="C133" s="2" t="str">
        <f>=HYPERLINK("https://weidian.com/item.html?itemID=7623205223", "https://weidian.com/item.html?itemID=7623205223")</f>
        <v>https://weidian.com/item.html?itemID=7623205223</v>
      </c>
      <c r="D133"/>
      <c r="E133" s="2" t="str">
        <f>=HYPERLINK("https://si.geilicdn.com/pcitem2014204438-2b770000019adf596ce10a81347d_1440_1920.jpg?w=640&amp;h=640", "https://si.geilicdn.com/pcitem2014204438-2b770000019adf596ce10a81347d_1440_1920.jpg?w=640&amp;h=640")</f>
        <v>https://si.geilicdn.com/pcitem2014204438-2b770000019adf596ce10a81347d_1440_1920.jpg?w=640&amp;h=640</v>
      </c>
      <c r="F133" t="inlineStr">
        <is>
          <t>Glasses</t>
        </is>
      </c>
      <c r="G133" t="inlineStr">
        <is>
          <t>Gucci</t>
        </is>
      </c>
      <c r="H133">
        <v>370</v>
      </c>
      <c r="I133">
        <v>53.62</v>
      </c>
      <c r="J133" t="inlineStr">
        <is>
          <t>{"id":"chatcmpl-DaAFYvU6maSy75ral7QNdsW2C2bKj","object":"chat.completion","created":1777511580,"model":"gpt-5-chat-2025-10-03","choices":[{"index":0,"message":{"role":"assistant","content":"Gucci Black Square Gradient Lens Sunglasses","refusal":null,"annotations":[]},"logprobs":null,"finish_reason":"stop"}],"usage":{"prompt_tokens":862,"completion_tokens":9,"total_tokens":871,"prompt_tokens_details":{"cached_tokens":0,"audio_tokens":0},"completion_tokens_details":{"reasoning_tokens":0,"audio_tokens":0,"accepted_prediction_tokens":0,"rejected_prediction_tokens":0}},"service_tier":"default","system_fingerprint":"fp_fd471178c5"}</t>
        </is>
      </c>
      <c r="K133" t="inlineStr">
        <is>
          <t>Gucci Black Square Gradient Lens Sunglasses</t>
        </is>
      </c>
      <c r="L133" t="inlineStr">
        <is>
          <t>{"id":"chatcmpl-DaADyP7B9Yt5RDwoCPbyjMiZlJumf","object":"chat.completion","created":1777511482,"model":"gpt-5-chat-2025-10-03","choices":[{"index":0,"message":{"role":"assistant","content":"Gucci Black Gradient Lens Sunglasses, acetate frame with metal accents, modern square design for men and women, showcasing Italian luxury and urban elegance.","refusal":null,"annotations":[]},"logprobs":null,"finish_reason":"stop"}],"usage":{"prompt_tokens":891,"completion_tokens":30,"total_tokens":921,"prompt_tokens_details":{"cached_tokens":0,"audio_tokens":0},"completion_tokens_details":{"reasoning_tokens":0,"audio_tokens":0,"accepted_prediction_tokens":0,"rejected_prediction_tokens":0}},"service_tier":"default","system_fingerprint":"fp_ad66631dec"}</t>
        </is>
      </c>
      <c r="M133" t="inlineStr">
        <is>
          <t>{"alt-svc":"h3=\":443\"; ma=2592000","apim-request-id":"707cd07e-2a6a-4bb6-b892-3d3f18baf48b","azureml-model-session":"d20260402084046-4209e968","cache-control":"no-cache","connection":"close","content-length":"965","content-type":"application/json","date":"Thu, 30 Apr 2026 01:11:24 GMT","server":"Caddy","skip-error-remapping":"true","strict-transport-security":"max-age=31536000; includeSubDomains; preload","x-content-type-options":"nosniff","x-ms-client-request-id":"Not-Set","x-ms-is-spilled-over":"false","x-ms-rai-invoked":"false","x-ms-region":"South Central US","x-new-api-version":"0.4.35","x-oneapi-request-id":"202604300111207033524518268d9d6TZs5h5RU","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409aafcf-5311-4266-ae7a-315d70846cee"}</t>
        </is>
      </c>
      <c r="N133" t="inlineStr">
        <is>
          <t>Gucci Black Gradient Lens Sunglasses, acetate frame with metal accents, modern square design for men and women, showcasing Italian luxury and urban elegance.</t>
        </is>
      </c>
      <c r="O133" t="inlineStr">
        <is>
          <t>{"id":"chatcmpl-DaAQwc7wGQlqAiMxFHRBeqBqe0q9R","object":"chat.completion","created":1777512286,"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3" t="inlineStr">
        <is>
          <t>Gucci,Glasses,kakobuy,kakebuy2026,kekobuysheet,kakobuysheet2026,2026kakobuy,kakobuyspreadsheeet,kakobuylink,kakebuylist,Kakobuy MEGA Spreadsheet,kakobuysheetfind,kakobuysheetfind2026,2026kakobuysheetfind,kakobuysheet2026</t>
        </is>
      </c>
      <c r="Q133" t="inlineStr">
        <is>
          <t>Acetate Fiber, Modern, Men's And Women's, Black, Gradient</t>
        </is>
      </c>
      <c r="R133" t="inlineStr">
        <is>
          <t>recvhju1CrdmLa</t>
        </is>
      </c>
      <c r="S133" t="inlineStr">
        <is>
          <t>gucci-black-square-gradient-lens-sunglasses-recvhju1crdmla</t>
        </is>
      </c>
      <c r="T133"/>
      <c r="U133"/>
      <c r="V133"/>
      <c r="W133" t="inlineStr">
        <is>
          <t>{"id":"chatcmpl-Da9s6UV1zsQfYvHvpC9dRh1sMztnp","object":"chat.completion","created":1777510126,"model":"gpt-5-chat-2025-10-03","choices":[{"index":0,"message":{"role":"assistant","content":"Gucci：黑色渐变镜片太阳眼镜，醋酸纤维镜框搭配金属装饰细节，简约方形设计展现现代都市风格，男女皆宜，彰显意式奢华质感。","refusal":null,"annotations":[]},"logprobs":null,"finish_reason":"stop"}],"usage":{"prompt_tokens":1300,"completion_tokens":57,"total_tokens":1357,"prompt_tokens_details":{"cached_tokens":0,"audio_tokens":0},"completion_tokens_details":{"reasoning_tokens":0,"audio_tokens":0,"accepted_prediction_tokens":0,"rejected_prediction_tokens":0}},"service_tier":"default","system_fingerprint":"fp_ad66631dec"}</t>
        </is>
      </c>
      <c r="X133" t="inlineStr">
        <is>
          <t>Gucci：黑色渐变镜片太阳眼镜，醋酸纤维镜框搭配金属装饰细节，简约方形设计展现现代都市风格，男女皆宜，彰显意式奢华质感。</t>
        </is>
      </c>
    </row>
    <row r="134" ht="25.5" customHeight="1">
      <c r="A134">
        <v>1654975475</v>
      </c>
      <c r="B134">
        <v>7626196958</v>
      </c>
      <c r="C134" s="2" t="str">
        <f>=HYPERLINK("https://weidian.com/item.html?itemID=7626196958", "https://weidian.com/item.html?itemID=7626196958")</f>
        <v>https://weidian.com/item.html?itemID=7626196958</v>
      </c>
      <c r="D134"/>
      <c r="E134" s="2" t="str">
        <f>=HYPERLINK("https://si.geilicdn.com/pcitem2014204438-72700000019adf56221b0a231316_1440_1920.jpg?w=640&amp;h=640", "https://si.geilicdn.com/pcitem2014204438-72700000019adf56221b0a231316_1440_1920.jpg?w=640&amp;h=640")</f>
        <v>https://si.geilicdn.com/pcitem2014204438-72700000019adf56221b0a231316_1440_1920.jpg?w=640&amp;h=640</v>
      </c>
      <c r="F134" t="inlineStr">
        <is>
          <t>Glasses</t>
        </is>
      </c>
      <c r="G134" t="inlineStr">
        <is>
          <t>Fake me</t>
        </is>
      </c>
      <c r="H134">
        <v>550</v>
      </c>
      <c r="I134">
        <v>79.71</v>
      </c>
      <c r="J134" t="inlineStr">
        <is>
          <t>{"id":"chatcmpl-DaAM2o9Kp3V7orFEcDyScMGO1hTzB","object":"chat.completion","created":1777511982,"model":"gpt-5-chat-2025-10-03","choices":[{"index":0,"message":{"role":"assistant","content":"Fake Me White Retro Square UV Protection Sunglass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34" t="inlineStr">
        <is>
          <t>Fake Me White Retro Square UV Protection Sunglasses</t>
        </is>
      </c>
      <c r="L134" t="inlineStr">
        <is>
          <t>{"id":"chatcmpl-DaA71TEWvG90rpqLL7OoEEJtByPP6","object":"chat.completion","created":1777511051,"model":"gpt-5-chat-2025-10-03","choices":[{"index":0,"message":{"role":"assistant","content":"Fake me White Retro Square Sunglasses feature a lightweight resin frame, UV-protection lenses, chic black-white temples, and a unisex streetwear design blending modern minimalism for trendy outfits.","refusal":null,"annotations":[]},"logprobs":null,"finish_reason":"stop"}],"usage":{"prompt_tokens":895,"completion_tokens":39,"total_tokens":934,"prompt_tokens_details":{"cached_tokens":0,"audio_tokens":0},"completion_tokens_details":{"reasoning_tokens":0,"audio_tokens":0,"accepted_prediction_tokens":0,"rejected_prediction_tokens":0}},"service_tier":"default","system_fingerprint":"fp_ad66631dec"}</t>
        </is>
      </c>
      <c r="M134" t="inlineStr">
        <is>
          <t>{"alt-svc":"h3=\":443\"; ma=2592000","apim-request-id":"95342484-ae91-4092-819c-7ebc390f7dbe","azureml-model-session":"d20260402084046-4209e968","cache-control":"no-cache","connection":"close","content-length":"1006","content-type":"application/json","date":"Thu, 30 Apr 2026 01:04:11 GMT","server":"nginx","skip-error-remapping":"true","strict-transport-security":"max-age=31536000; includeSubDomains; preload","via":"1.1 Caddy","x-content-type-options":"nosniff","x-ms-client-request-id":"Not-Set","x-ms-is-spilled-over":"false","x-ms-rai-invoked":"false","x-ms-region":"East US 2","x-new-api-version":"0.4.35","x-oneapi-request-id":"202604300104101135331398268d9d6iCI9XDHA","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27593faf-6d78-4a1c-915f-26b57673ee3c"}</t>
        </is>
      </c>
      <c r="N134" t="inlineStr">
        <is>
          <t>Fake me White Retro Square Sunglasses feature a lightweight resin frame, UV-protection lenses, chic black-white temples, and a unisex streetwear design blending modern minimalism for trendy outfits.</t>
        </is>
      </c>
      <c r="O134" t="inlineStr">
        <is>
          <t>{"id":"chatcmpl-DaAPWJAxgIHmovsASWLnrOH5CaYfY","object":"chat.completion","created":1777512198,"model":"gpt-5-chat-2025-10-03","choices":[{"index":0,"message":{"role":"assistant","content":"Fakem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34" t="inlineStr">
        <is>
          <t>Fakeme,glasses,kakobuy,kakebuy2026,kekobuysheet,kakobuysheet2026,2026kakobuy,kakobuyspreadsheeet,kakobuylink,kakebuylist,Kakobuy MEGA Spreadsheet,kakobuysheetfind,kakobuysheetfind2026,2026kakobuysheetfind,kakobuysheet2026</t>
        </is>
      </c>
      <c r="Q134" t="inlineStr">
        <is>
          <t>White, Retro, Streetwear, Minimalist, Unisex, Anti-Ultraviolet</t>
        </is>
      </c>
      <c r="R134" t="inlineStr">
        <is>
          <t>recvhju1CrKeZX</t>
        </is>
      </c>
      <c r="S134" t="inlineStr">
        <is>
          <t>fake-me-white-retro-square-uv-sunglasses-recvhju1crkezx</t>
        </is>
      </c>
      <c r="T134"/>
      <c r="U134"/>
      <c r="V134"/>
      <c r="W134" t="inlineStr">
        <is>
          <t>{"id":"chatcmpl-Da9oDwPEjI4ikrTMOHdBe3Hu0qSQM","object":"chat.completion","created":1777509885,"model":"gpt-5-chat-2025-10-03","choices":[{"index":0,"message":{"role":"assistant","content":"Fake me：白色复古方框太阳眼镜，采用轻盈树脂镜框与防紫外线镜片设计，镜腿黑白拼配彰显个性，中性街头风格，融合现代极简美学，适合男女潮流穿搭。","refusal":null,"annotations":[]},"logprobs":null,"finish_reason":"stop"}],"usage":{"prompt_tokens":1298,"completion_tokens":63,"total_tokens":1361,"prompt_tokens_details":{"cached_tokens":0,"audio_tokens":0},"completion_tokens_details":{"reasoning_tokens":0,"audio_tokens":0,"accepted_prediction_tokens":0,"rejected_prediction_tokens":0}},"service_tier":"default","system_fingerprint":"fp_fd471178c5"}</t>
        </is>
      </c>
      <c r="X134" t="inlineStr">
        <is>
          <t>Fake me：白色复古方框太阳眼镜，采用轻盈树脂镜框与防紫外线镜片设计，镜腿黑白拼配彰显个性，中性街头风格，融合现代极简美学，适合男女潮流穿搭。</t>
        </is>
      </c>
    </row>
    <row r="135" ht="25.5" customHeight="1">
      <c r="A135">
        <v>1654975475</v>
      </c>
      <c r="B135">
        <v>7626159556</v>
      </c>
      <c r="C135" s="2" t="str">
        <f>=HYPERLINK("https://weidian.com/item.html?itemID=7626159556", "https://weidian.com/item.html?itemID=7626159556")</f>
        <v>https://weidian.com/item.html?itemID=7626159556</v>
      </c>
      <c r="D135"/>
      <c r="E135" s="2" t="str">
        <f>=HYPERLINK("https://si.geilicdn.com/pcitem2014204438-2bdd0000019adf4dd0ee0a23057e_1074_1074.jpg?w=640&amp;h=640", "https://si.geilicdn.com/pcitem2014204438-2bdd0000019adf4dd0ee0a23057e_1074_1074.jpg?w=640&amp;h=640")</f>
        <v>https://si.geilicdn.com/pcitem2014204438-2bdd0000019adf4dd0ee0a23057e_1074_1074.jpg?w=640&amp;h=640</v>
      </c>
      <c r="F135" t="inlineStr">
        <is>
          <t>Glasses</t>
        </is>
      </c>
      <c r="G135" t="inlineStr">
        <is>
          <t>Prada</t>
        </is>
      </c>
      <c r="H135">
        <v>380</v>
      </c>
      <c r="I135">
        <v>55.07</v>
      </c>
      <c r="J135" t="inlineStr">
        <is>
          <t>{"id":"chatcmpl-DaAHqAj6wlkdglgHJQ0pApAz2kXwO","object":"chat.completion","created":1777511722,"model":"gpt-5-chat-2025-10-03","choices":[{"index":0,"message":{"role":"assistant","content":"Prada Silver Black Aviator Gradient Lens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35" t="inlineStr">
        <is>
          <t>Prada Silver Black Aviator Gradient Lens Sunglasses</t>
        </is>
      </c>
      <c r="L135" t="inlineStr">
        <is>
          <t>{"id":"chatcmpl-DaABcjTr2hIdPNFe5Bz4iAguLWj1I","object":"chat.completion","created":1777511336,"model":"gpt-5-chat-2025-10-03","choices":[{"index":0,"message":{"role":"assistant","content":"Prada Silver-Black Gradient Lens Metal Sunglasses, lightweight and durable with a classic aviator design, offering a modern minimalist style for men and women, perfect for urban fashion travel.","refusal":null,"annotations":[]},"logprobs":null,"finish_reason":"stop"}],"usage":{"prompt_tokens":886,"completion_tokens":38,"total_tokens":924,"prompt_tokens_details":{"cached_tokens":0,"audio_tokens":0},"completion_tokens_details":{"reasoning_tokens":0,"audio_tokens":0,"accepted_prediction_tokens":0,"rejected_prediction_tokens":0}},"service_tier":"default","system_fingerprint":"fp_ad66631dec"}</t>
        </is>
      </c>
      <c r="M135" t="inlineStr">
        <is>
          <t>{"alt-svc":"h3=\":443\"; ma=2592000","apim-request-id":"95e65a22-2775-4ca6-b517-a4f8d44e8895","azureml-model-session":"d20260402084046-4209e968","cache-control":"no-cache","connection":"close","content-length":"1001","content-type":"application/json","date":"Thu, 30 Apr 2026 01:08:58 GMT","server":"Caddy","skip-error-remapping":"true","strict-transport-security":"max-age=31536000; includeSubDomains; preload","x-content-type-options":"nosniff","x-ms-client-request-id":"Not-Set","x-ms-is-spilled-over":"false","x-ms-rai-invoked":"false","x-ms-region":"Sweden Central","x-new-api-version":"0.4.35","x-oneapi-request-id":"202604300108558481212148268d9d6VSjgmyIx","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cf0db668-39f2-42d3-ab2c-f358cd8a2eeb"}</t>
        </is>
      </c>
      <c r="N135" t="inlineStr">
        <is>
          <t>Prada Silver-Black Gradient Lens Metal Sunglasses, lightweight and durable with a classic aviator design, offering a modern minimalist style for men and women, perfect for urban fashion travel.</t>
        </is>
      </c>
      <c r="O135" t="inlineStr">
        <is>
          <t>{"id":"chatcmpl-DaAWoEbI1hU5kdP2W77fNf2ZauNZG","object":"chat.completion","created":1777512650,"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5" t="inlineStr">
        <is>
          <t>Prada,Glasses,kakobuy,kakebuy2026,kekobuysheet,kakobuysheet2026,2026kakobuy,kakobuyspreadsheeet,kakobuylink,kakebuylist,Kakobuy MEGA Spreadsheet,kakobuysheetfind,kakobuysheetfind2026,2026kakobuysheetfind,kakobuysheet2026</t>
        </is>
      </c>
      <c r="Q135" t="inlineStr">
        <is>
          <t>Silver, Black, Lightweight, Classic, Minimalist, Unisex</t>
        </is>
      </c>
      <c r="R135" t="inlineStr">
        <is>
          <t>recvhju1CrwcKd</t>
        </is>
      </c>
      <c r="S135" t="inlineStr">
        <is>
          <t>prada-silver-black-aviator-gradient-lens-sunglasses-recvhju1crwckd</t>
        </is>
      </c>
      <c r="T135"/>
      <c r="U135"/>
      <c r="V135"/>
      <c r="W135" t="inlineStr">
        <is>
          <t>{"id":"chatcmpl-Da9riUVcGTqAeWX6fDqdWSc1Bq0KY","object":"chat.completion","created":1777510102,"model":"gpt-5-chat-2025-10-03","choices":[{"index":0,"message":{"role":"assistant","content":"Prada银黑渐变镜片金属太阳眼镜，质感轻盈耐用，搭配经典飞行员设计，彰显现代简约格调，男女皆宜，适合都市时尚出行。","refusal":null,"annotations":[]},"logprobs":null,"finish_reason":"stop"}],"usage":{"prompt_tokens":1304,"completion_tokens":50,"total_tokens":1354,"prompt_tokens_details":{"cached_tokens":0,"audio_tokens":0},"completion_tokens_details":{"reasoning_tokens":0,"audio_tokens":0,"accepted_prediction_tokens":0,"rejected_prediction_tokens":0}},"service_tier":"default","system_fingerprint":"fp_fd471178c5"}</t>
        </is>
      </c>
      <c r="X135" t="inlineStr">
        <is>
          <t>Prada银黑渐变镜片金属太阳眼镜，质感轻盈耐用，搭配经典飞行员设计，彰显现代简约格调，男女皆宜，适合都市时尚出行。</t>
        </is>
      </c>
    </row>
    <row r="136" ht="25.5" customHeight="1">
      <c r="A136">
        <v>1654975475</v>
      </c>
      <c r="B136">
        <v>7626220440</v>
      </c>
      <c r="C136" s="2" t="str">
        <f>=HYPERLINK("https://weidian.com/item.html?itemID=7626220440", "https://weidian.com/item.html?itemID=7626220440")</f>
        <v>https://weidian.com/item.html?itemID=7626220440</v>
      </c>
      <c r="D136"/>
      <c r="E136" s="2" t="str">
        <f>=HYPERLINK("https://si.geilicdn.com/pcitem2014204438-28150000019adf4d79280a210256_1074_1074.jpg?w=640&amp;h=640", "https://si.geilicdn.com/pcitem2014204438-28150000019adf4d79280a210256_1074_1074.jpg?w=640&amp;h=640")</f>
        <v>https://si.geilicdn.com/pcitem2014204438-28150000019adf4d79280a210256_1074_1074.jpg?w=640&amp;h=640</v>
      </c>
      <c r="F136" t="inlineStr">
        <is>
          <t>Glasses</t>
        </is>
      </c>
      <c r="G136" t="inlineStr">
        <is>
          <t>Prada</t>
        </is>
      </c>
      <c r="H136">
        <v>380</v>
      </c>
      <c r="I136">
        <v>55.07</v>
      </c>
      <c r="J136" t="inlineStr">
        <is>
          <t>{"id":"chatcmpl-DaAJXSgRebGiREUOJSxebmv3ymXMm","object":"chat.completion","created":1777511827,"model":"gpt-5-chat-2025-10-03","choices":[{"index":0,"message":{"role":"assistant","content":"Prada Grey Black Aviator Sunglasses Red Logo UV Protection","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136" t="inlineStr">
        <is>
          <t>Prada Grey Black Aviator Sunglasses Red Logo UV Protection</t>
        </is>
      </c>
      <c r="L136" t="inlineStr">
        <is>
          <t>{"id":"chatcmpl-DaAAKL6mtkfbnrwx46YTQTucAB4Uk","object":"chat.completion","created":1777511256,"model":"gpt-5-chat-2025-10-03","choices":[{"index":0,"message":{"role":"assistant","content":"Prada Grey-Black Metal Aviator Sunglasses with Red Logo, sleek design, UV protection lenses, Italian luxury style, perfect for men and women, fashion and function combined.","refusal":null,"annotations":[]},"logprobs":null,"finish_reason":"stop"}],"usage":{"prompt_tokens":894,"completion_tokens":37,"total_tokens":931,"prompt_tokens_details":{"cached_tokens":0,"audio_tokens":0},"completion_tokens_details":{"reasoning_tokens":0,"audio_tokens":0,"accepted_prediction_tokens":0,"rejected_prediction_tokens":0}},"service_tier":"default","system_fingerprint":"fp_fd471178c5"}</t>
        </is>
      </c>
      <c r="M136" t="inlineStr">
        <is>
          <t>{"alt-svc":"h3=\":443\"; ma=2592000","apim-request-id":"262f592e-3b25-4489-adaf-a7050e929a0b","azureml-model-session":"d20260428174121-807d9cc5","cache-control":"no-cache","connection":"close","content-length":"980","content-type":"application/json","date":"Thu, 30 Apr 2026 01:07:37 GMT","server":"Caddy","skip-error-remapping":"true","strict-transport-security":"max-age=31536000; includeSubDomains; preload","x-content-type-options":"nosniff","x-ms-client-request-id":"Not-Set","x-ms-is-spilled-over":"false","x-ms-rai-invoked":"false","x-ms-region":"East US","x-new-api-version":"0.4.35","x-oneapi-request-id":"202604300107356451885408268d9d6sew7JLYq","x-ratelimit-abusepenalty-active":"False","x-ratelimit-key":"gpt-5-chat-global","x-ratelimit-limit-requests":"1000","x-ratelimit-limit-tokens":"1000000","x-ratelimit-remaining-requests":"999","x-ratelimit-remaining-tokens":"995920","x-ratelimit-renewalperiod-requests":"60","x-ratelimit-renewalperiod-tokens":"60","x-ratelimit-reset-requests":"60","x-ratelimit-reset-tokens":"244","x-request-id":"39bc5b6a-9771-4a12-8264-8beea86678f6"}</t>
        </is>
      </c>
      <c r="N136" t="inlineStr">
        <is>
          <t>Prada Grey-Black Metal Aviator Sunglasses with Red Logo, sleek design, UV protection lenses, Italian luxury style, perfect for men and women, fashion and function combined.</t>
        </is>
      </c>
      <c r="O136" t="inlineStr">
        <is>
          <t>{"id":"chatcmpl-DaAPBO0Y1Klsp41R9wRAjuE3WHVSA","object":"chat.completion","created":1777512177,"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6" t="inlineStr">
        <is>
          <t>Prada,Glasses,kakobuy,kakebuy2026,kekobuysheet,kakobuysheet2026,2026kakobuy,kakobuyspreadsheeet,kakobuylink,kakebuylist,Kakobuy MEGA Spreadsheet,kakobuysheetfind,kakobuysheetfind2026,2026kakobuysheetfind,kakobuysheet2026</t>
        </is>
      </c>
      <c r="Q136" t="inlineStr">
        <is>
          <t>Grey, Black, Sleek, Fashion, Function</t>
        </is>
      </c>
      <c r="R136" t="inlineStr">
        <is>
          <t>recvhju1CrPoH1</t>
        </is>
      </c>
      <c r="S136" t="inlineStr">
        <is>
          <t>prada-grey-black-aviator-sunglasses-red-logo-recvhju1crpoh1</t>
        </is>
      </c>
      <c r="T136"/>
      <c r="U136"/>
      <c r="V136"/>
      <c r="W136" t="inlineStr">
        <is>
          <t>{"id":"chatcmpl-Da9oyBvImXVYdfXaf3610uQhhuvfc","object":"chat.completion","created":1777509932,"model":"gpt-5-chat-2025-10-03","choices":[{"index":0,"message":{"role":"assistant","content":"Prada：灰黑色金属飞行员太阳镜，镜腿点缀红色品牌徽标，简约流畅线条设计，展现意式奢华格调，防紫外线镜片兼具时尚与功能，男女皆宜。","refusal":null,"annotations":[]},"logprobs":null,"finish_reason":"stop"}],"usage":{"prompt_tokens":1298,"completion_tokens":61,"total_tokens":1359,"prompt_tokens_details":{"cached_tokens":1280,"audio_tokens":0},"completion_tokens_details":{"reasoning_tokens":0,"audio_tokens":0,"accepted_prediction_tokens":0,"rejected_prediction_tokens":0}},"service_tier":"default","system_fingerprint":"fp_fd471178c5"}</t>
        </is>
      </c>
      <c r="X136" t="inlineStr">
        <is>
          <t>Prada：灰黑色金属飞行员太阳镜，镜腿点缀红色品牌徽标，简约流畅线条设计，展现意式奢华格调，防紫外线镜片兼具时尚与功能，男女皆宜。</t>
        </is>
      </c>
    </row>
    <row r="137" ht="25.5" customHeight="1">
      <c r="A137">
        <v>1654975475</v>
      </c>
      <c r="B137">
        <v>7623293753</v>
      </c>
      <c r="C137" s="2" t="str">
        <f>=HYPERLINK("https://weidian.com/item.html?itemID=7623293753", "https://weidian.com/item.html?itemID=7623293753")</f>
        <v>https://weidian.com/item.html?itemID=7623293753</v>
      </c>
      <c r="D137"/>
      <c r="E137" s="2" t="str">
        <f>=HYPERLINK("https://si.geilicdn.com/pcitem2014204438-1a540000019adf4bfffc0a239846_1074_1074.jpg?w=640&amp;h=640", "https://si.geilicdn.com/pcitem2014204438-1a540000019adf4bfffc0a239846_1074_1074.jpg?w=640&amp;h=640")</f>
        <v>https://si.geilicdn.com/pcitem2014204438-1a540000019adf4bfffc0a239846_1074_1074.jpg?w=640&amp;h=640</v>
      </c>
      <c r="F137" t="inlineStr">
        <is>
          <t>Glasses</t>
        </is>
      </c>
      <c r="G137" t="inlineStr">
        <is>
          <t>Prada</t>
        </is>
      </c>
      <c r="H137">
        <v>380</v>
      </c>
      <c r="I137">
        <v>55.07</v>
      </c>
      <c r="J137" t="inlineStr">
        <is>
          <t>{"id":"chatcmpl-DaAFfEcRMkiDUO6jI17miqAuXMDkf","object":"chat.completion","created":1777511587,"model":"gpt-5-chat-2025-10-03","choices":[{"index":0,"message":{"role":"assistant","content":"Prada Linea Rossa Black Red Pilot Sunglass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fd471178c5"}</t>
        </is>
      </c>
      <c r="K137" t="inlineStr">
        <is>
          <t>Prada Linea Rossa Black Red Pilot Sunglasses</t>
        </is>
      </c>
      <c r="L137" t="inlineStr">
        <is>
          <t>{"id":"chatcmpl-DaAClzyx1GvU4Zp6XrWLaspM3MFkY","object":"chat.completion","created":1777511407,"model":"gpt-5-chat-2025-10-03","choices":[{"index":0,"message":{"role":"assistant","content":"Prada Linea Rossa black and red pilot sunglasses, lightweight metal frame with anti-glare UV lenses, sporty yet stylish design for men and women, defining modern luxury elegance.","refusal":null,"annotations":[]},"logprobs":null,"finish_reason":"stop"}],"usage":{"prompt_tokens":887,"completion_tokens":37,"total_tokens":924,"prompt_tokens_details":{"cached_tokens":0,"audio_tokens":0},"completion_tokens_details":{"reasoning_tokens":0,"audio_tokens":0,"accepted_prediction_tokens":0,"rejected_prediction_tokens":0}},"service_tier":"default","system_fingerprint":"fp_fd471178c5"}</t>
        </is>
      </c>
      <c r="M137" t="inlineStr">
        <is>
          <t>{"alt-svc":"h3=\":443\"; ma=2592000","apim-request-id":"c97c97bf-f387-427f-9219-67c1d05e0761","azureml-model-session":"d20260428174121-807d9cc5","cache-control":"no-cache","connection":"close","content-length":"986","content-type":"application/json","date":"Thu, 30 Apr 2026 01:10:08 GMT","server":"nginx","skip-error-remapping":"true","strict-transport-security":"max-age=31536000; includeSubDomains; preload","via":"1.1 Caddy","x-content-type-options":"nosniff","x-ms-client-request-id":"Not-Set","x-ms-is-spilled-over":"false","x-ms-rai-invoked":"false","x-ms-region":"Central US","x-new-api-version":"0.4.35","x-oneapi-request-id":"202604300110064769430698268d9d6IvCRqD0c","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7329d901-fbe2-4aac-ba2c-c8ced892c7d2"}</t>
        </is>
      </c>
      <c r="N137" t="inlineStr">
        <is>
          <t>Prada Linea Rossa black and red pilot sunglasses, lightweight metal frame with anti-glare UV lenses, sporty yet stylish design for men and women, defining modern luxury elegance.</t>
        </is>
      </c>
      <c r="O137" t="inlineStr">
        <is>
          <t>{"id":"chatcmpl-DaAWixSPkZGkyphV9puO3SUUwfmHn","object":"chat.completion","created":1777512644,"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7" t="inlineStr">
        <is>
          <t>Prada,Glasses,kakobuy,kakebuy2026,kekobuysheet,kakobuysheet2026,2026kakobuy,kakobuyspreadsheeet,kakobuylink,kakebuylist,Kakobuy MEGA Spreadsheet,kakobuysheetfind,kakobuysheetfind2026,2026kakobuysheetfind,kakobuysheet2026</t>
        </is>
      </c>
      <c r="Q137"/>
      <c r="R137" t="inlineStr">
        <is>
          <t>recvhju1Cr14dp</t>
        </is>
      </c>
      <c r="S137" t="inlineStr">
        <is>
          <t>prada-linea-rossa-black-red-pilot-sunglasses-recvhju1cr14dp</t>
        </is>
      </c>
      <c r="T137"/>
      <c r="U137"/>
      <c r="V137"/>
      <c r="W137" t="inlineStr">
        <is>
          <t>{"id":"chatcmpl-Da9pnLKl1DjPZYbJU3f316dt3Mgw5","object":"chat.completion","created":1777509983,"model":"gpt-5-chat-2025-10-03","choices":[{"index":0,"message":{"role":"assistant","content":"Prada：Linea Rossa系列黑红双色飞行员太阳镜，轻质金属镜框搭配防眩UV镜片，运动与时尚融合设计，男女皆宜，展现现代奢华格调。","refusal":null,"annotations":[]},"logprobs":null,"finish_reason":"stop"}],"usage":{"prompt_tokens":1302,"completion_tokens":53,"total_tokens":1355,"prompt_tokens_details":{"cached_tokens":1280,"audio_tokens":0},"completion_tokens_details":{"reasoning_tokens":0,"audio_tokens":0,"accepted_prediction_tokens":0,"rejected_prediction_tokens":0}},"service_tier":"default","system_fingerprint":"fp_ad66631dec"}</t>
        </is>
      </c>
      <c r="X137" t="inlineStr">
        <is>
          <t>Prada：Linea Rossa系列黑红双色飞行员太阳镜，轻质金属镜框搭配防眩UV镜片，运动与时尚融合设计，男女皆宜，展现现代奢华格调。</t>
        </is>
      </c>
    </row>
    <row r="138" ht="25.5" customHeight="1">
      <c r="A138">
        <v>1654975475</v>
      </c>
      <c r="B138">
        <v>7626222430</v>
      </c>
      <c r="C138" s="2" t="str">
        <f>=HYPERLINK("https://weidian.com/item.html?itemID=7626222430", "https://weidian.com/item.html?itemID=7626222430")</f>
        <v>https://weidian.com/item.html?itemID=7626222430</v>
      </c>
      <c r="D138"/>
      <c r="E138" s="2" t="str">
        <f>=HYPERLINK("https://si.geilicdn.com/pcitem2014204438-29b70000019adf3bdb3b0a23111a_1440_1920.jpg?w=640&amp;h=640", "https://si.geilicdn.com/pcitem2014204438-29b70000019adf3bdb3b0a23111a_1440_1920.jpg?w=640&amp;h=640")</f>
        <v>https://si.geilicdn.com/pcitem2014204438-29b70000019adf3bdb3b0a23111a_1440_1920.jpg?w=640&amp;h=640</v>
      </c>
      <c r="F138" t="inlineStr">
        <is>
          <t>Glasses</t>
        </is>
      </c>
      <c r="G138" t="inlineStr">
        <is>
          <t>Gucci</t>
        </is>
      </c>
      <c r="H138">
        <v>370</v>
      </c>
      <c r="I138">
        <v>53.62</v>
      </c>
      <c r="J138" t="inlineStr">
        <is>
          <t>{"id":"chatcmpl-DaAI00yAlLribbVjBlMrbx0ya3AvM","object":"chat.completion","created":1777511732,"model":"gpt-5-chat-2025-10-03","choices":[{"index":0,"message":{"role":"assistant","content":"Gucci White Square Acetate Unisex UV Protection Sunglasses","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138" t="inlineStr">
        <is>
          <t>Gucci White Square Acetate Unisex UV Protection Sunglasses</t>
        </is>
      </c>
      <c r="L138" t="inlineStr">
        <is>
          <t>{"id":"chatcmpl-DaAAr1pz4P3HWax46ZpHFA8EPb6I2","object":"chat.completion","created":1777511289,"model":"gpt-5-chat-2025-10-03","choices":[{"index":0,"message":{"role":"assistant","content":"Gucci White Square Sunglasses – crafted from premium acetate for lightweight durability, featuring UV‑protected black lenses and signature logo temples. Unisex design showcasing modern luxury and Italian minimalism.","refusal":null,"annotations":[]},"logprobs":null,"finish_reason":"stop"}],"usage":{"prompt_tokens":909,"completion_tokens":38,"total_tokens":947,"prompt_tokens_details":{"cached_tokens":0,"audio_tokens":0},"completion_tokens_details":{"reasoning_tokens":0,"audio_tokens":0,"accepted_prediction_tokens":0,"rejected_prediction_tokens":0}},"service_tier":"default","system_fingerprint":"fp_fd471178c5"}</t>
        </is>
      </c>
      <c r="M138" t="inlineStr">
        <is>
          <t>{"alt-svc":"h3=\":443\"; ma=2592000","apim-request-id":"64d0639b-3ef3-47f8-bae9-8e96f80cbc66","azureml-model-session":"d20260428174121-807d9cc5","cache-control":"no-cache","connection":"close","content-length":"1027","content-type":"application/json","date":"Thu, 30 Apr 2026 01:08:11 GMT","server":"nginx","skip-error-remapping":"true","strict-transport-security":"max-age=31536000; includeSubDomains; preload","vary":"Accept-Encoding","via":"1.1 Caddy","x-content-type-options":"nosniff","x-ms-client-request-id":"Not-Set","x-ms-is-spilled-over":"false","x-ms-rai-invoked":"false","x-ms-region":"Poland Central","x-new-api-version":"0.4.35","x-oneapi-request-id":"202604300108078039497368268d9d6tM2eZeMr","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4c4662b9-dac2-4a23-afd6-7a10c110f111"}</t>
        </is>
      </c>
      <c r="N138" t="inlineStr">
        <is>
          <t>Gucci White Square Sunglasses – crafted from premium acetate for lightweight durability, featuring UV‑protected black lenses and signature logo temples. Unisex design showcasing modern luxury and Italian minimalism.</t>
        </is>
      </c>
      <c r="O138" t="inlineStr">
        <is>
          <t>{"id":"chatcmpl-DaAWoaZWOlHxglwAG0izYZ8MwFcd5","object":"chat.completion","created":1777512650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8" t="inlineStr">
        <is>
          <t>Gucci,glasses,kakobuy,kakebuy2026,kekobuysheet,kakobuysheet2026,2026kakobuy,kakobuyspreadsheeet,kakobuylink,kakebuylist,Kakobuy MEGA Spreadsheet,kakobuysheetfind,kakobuysheetfind2026,2026kakobuysheetfind,kakobuysheet2026</t>
        </is>
      </c>
      <c r="Q138" t="inlineStr">
        <is>
          <t>Unisex, Acetate Fiber, Lightweight, Anti-Ultraviolet, Minimalist</t>
        </is>
      </c>
      <c r="R138" t="inlineStr">
        <is>
          <t>recvhju1CrDENs</t>
        </is>
      </c>
      <c r="S138" t="inlineStr">
        <is>
          <t>gucci-white-square-acetate-unisex-uv-sunglasses-recvhju1cr dens</t>
        </is>
      </c>
      <c r="T138"/>
      <c r="U138"/>
      <c r="V138"/>
      <c r="W138" t="inlineStr">
        <is>
          <t>{"id":"chatcmpl-Da9r3StJqdGVZsYTud8rYMV57H67w","object":"chat.completion","created":1777510061,"model":"gpt-5-chat-2025-10-03","choices":[{"index":0,"message":{"role":"assistant","content":"Gucci：白色时尚方框太阳眼镜，采用高品质醋酸纤维材质，轻盈耐用，镜腿饰以精致品牌标识，黑色镜片防紫外线设计，男女通用款，展现现代奢华格调与意式简约美学。","refusal":null,"annotations":[]},"logprobs":null,"finish_reason":"stop"}],"usage":{"prompt_tokens":1306,"completion_tokens":72,"total_tokens":1378,"prompt_tokens_details":{"cached_tokens":0,"audio_tokens":0},"completion_tokens_details":{"reasoning_tokens":0,"audio_tokens":0,"accepted_prediction_tokens":0,"rejected_prediction_tokens":0}},"service_tier":"default","system_fingerprint":"fp_fd471178c5"}</t>
        </is>
      </c>
      <c r="X138" t="inlineStr">
        <is>
          <t>Gucci：白色时尚方框太阳眼镜，采用高品质醋酸纤维材质，轻盈耐用，镜腿饰以精致品牌标识，黑色镜片防紫外线设计，男女通用款，展现现代奢华格调与意式简约美学。</t>
        </is>
      </c>
    </row>
    <row r="139" ht="25.5" customHeight="1">
      <c r="A139">
        <v>1654975475</v>
      </c>
      <c r="B139">
        <v>7626175230</v>
      </c>
      <c r="C139" s="2" t="str">
        <f>=HYPERLINK("https://weidian.com/item.html?itemID=7626175230", "https://weidian.com/item.html?itemID=7626175230")</f>
        <v>https://weidian.com/item.html?itemID=7626175230</v>
      </c>
      <c r="D139"/>
      <c r="E139" s="2" t="str">
        <f>=HYPERLINK("https://si.geilicdn.com/pcitem2014204438-23b50000019adf38431d0a23038e_1440_1920.jpg?w=640&amp;h=640", "https://si.geilicdn.com/pcitem2014204438-23b50000019adf38431d0a23038e_1440_1920.jpg?w=640&amp;h=640")</f>
        <v>https://si.geilicdn.com/pcitem2014204438-23b50000019adf38431d0a23038e_1440_1920.jpg?w=640&amp;h=640</v>
      </c>
      <c r="F139" t="inlineStr">
        <is>
          <t>Glasses</t>
        </is>
      </c>
      <c r="G139" t="inlineStr">
        <is>
          <t xml:space="preserve"> Louis Vuitton</t>
        </is>
      </c>
      <c r="H139">
        <v>360</v>
      </c>
      <c r="I139">
        <v>52.17</v>
      </c>
      <c r="J139" t="inlineStr">
        <is>
          <t>{"id":"chatcmpl-DaAIJ0MBCyfWRBLVuBcPGJPmZhPm8","object":"chat.completion","created":1777511751,"model":"gpt-5-chat-2025-10-03","choices":[{"index":0,"message":{"role":"assistant","content":"Louis Vuitton Burgundy Wide Frame Sunglasses","refusal":null,"annotations":[]},"logprobs":null,"finish_reason":"stop"}],"usage":{"prompt_tokens":880,"completion_tokens":8,"total_tokens":888,"prompt_tokens_details":{"cached_tokens":0,"audio_tokens":0},"completion_tokens_details":{"reasoning_tokens":0,"audio_tokens":0,"accepted_prediction_tokens":0,"rejected_prediction_tokens":0}},"service_tier":"default","system_fingerprint":"fp_fd471178c5"}</t>
        </is>
      </c>
      <c r="K139" t="inlineStr">
        <is>
          <t>Louis Vuitton Burgundy Wide Frame Sunglasses</t>
        </is>
      </c>
      <c r="L139" t="inlineStr">
        <is>
          <t>{"id":"chatcmpl-DaA93rVwhoo9kpdajZSmNvnSM2LeS","object":"chat.completion","created":1777511177,"model":"gpt-5-chat-2025-10-03","choices":[{"index":0,"message":{"role":"assistant","content":"Louis Vuitton Burgundy Wide-Frame Sunglasses feature premium acetate, metal hinges, Monogram temples, gradient UV-protection lenses, unisex vintage style—perfect for city chic and vacation elegance.","refusal":null,"annotations":[]},"logprobs":null,"finish_reason":"stop"}],"usage":{"prompt_tokens":921,"completion_tokens":39,"total_tokens":960,"prompt_tokens_details":{"cached_tokens":0,"audio_tokens":0},"completion_tokens_details":{"reasoning_tokens":0,"audio_tokens":0,"accepted_prediction_tokens":0,"rejected_prediction_tokens":0}},"service_tier":"default","system_fingerprint":"fp_ad66631dec"}</t>
        </is>
      </c>
      <c r="M139" t="inlineStr">
        <is>
          <t>{"alt-svc":"h3=\":443\"; ma=2592000","apim-request-id":"3987dc58-0448-47e9-9cb3-48a4730d37d6","azureml-model-session":"d20260402083108-57a85543","cache-control":"no-cache","connection":"close","content-length":"1008","content-type":"application/json","date":"Thu, 30 Apr 2026 01:06:18 GMT","server":"Caddy","skip-error-remapping":"true","strict-transport-security":"max-age=31536000; includeSubDomains; preload","x-content-type-options":"nosniff","x-ms-client-request-id":"Not-Set","x-ms-is-spilled-over":"false","x-ms-rai-invoked":"false","x-ms-region":"Sweden Central","x-new-api-version":"0.4.35","x-oneapi-request-id":"202604300106158164415068268d9d6WJqfyk2x","x-ratelimit-abusepenalty-active":"False","x-ratelimit-key":"gpt-5-chat-global","x-ratelimit-limit-requests":"1000","x-ratelimit-limit-tokens":"1000000","x-ratelimit-remaining-requests":"999","x-ratelimit-remaining-tokens":"998317","x-ratelimit-renewalperiod-requests":"60","x-ratelimit-renewalperiod-tokens":"60","x-ratelimit-reset-requests":"60","x-ratelimit-reset-tokens":"100","x-request-id":"6cf40dd4-aff2-40db-b9d1-a2c430d9c3a0"}</t>
        </is>
      </c>
      <c r="N139" t="inlineStr">
        <is>
          <t>Louis Vuitton Burgundy Wide-Frame Sunglasses feature premium acetate, metal hinges, Monogram temples, gradient UV-protection lenses, unisex vintage style—perfect for city chic and vacation elegance.</t>
        </is>
      </c>
      <c r="O139" t="inlineStr">
        <is>
          <t>{"id":"chatcmpl-DaAWQrwNlvaoyH94dbRYYM8bvJ7Xm","object":"chat.completion","created":1777512626,"model":"gpt-5-chat-2025-10-03","choices":[{"index":0,"message":{"role":"assistant","content":"Louis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9" t="inlineStr">
        <is>
          <t>Louis Vuitton,Glasses,kakobuy,kakebuy2026,kekobuysheet,kakobuysheet2026,2026kakobuy,kakobuyspreadsheeet,kakobuylink,kakebuylist,Kakobuy MEGA Spreadsheet,kakobuysheetfind,kakobuysheetfind2026,2026kakobuysheetfind,kakobuysheet2026</t>
        </is>
      </c>
      <c r="Q139" t="inlineStr">
        <is>
          <t>LV, Acetate Fiber, Gradient, Vintage, Unisex, Anti-Ultraviolet</t>
        </is>
      </c>
      <c r="R139" t="inlineStr">
        <is>
          <t>recvhju1Crufqo</t>
        </is>
      </c>
      <c r="S139" t="inlineStr">
        <is>
          <t>louis-vuitton-burgundy-wide-frame-sunglasses-recvhju1crufqo</t>
        </is>
      </c>
      <c r="T139"/>
      <c r="U139"/>
      <c r="V139"/>
      <c r="W139" t="inlineStr">
        <is>
          <t>{"id":"chatcmpl-Da9qdYRWPj18Lzgii4tgINrB88eWU","object":"chat.completion","created":1777510035,"model":"gpt-5-chat-2025-10-03","choices":[{"index":0,"message":{"role":"assistant","content":"Louis Vuitton：红酒色宽框太阳眼镜，采用高级醋酸纤维材质与金属铰链设计，镜腿饰以品牌经典Monogram图案，展现优雅与现代融合之美。渐变镜片有效防紫外线，男女皆宜，时尚复古风格，适合都市休闲与度假出行配戴。","refusal":null,"annotations":[]},"logprobs":null,"finish_reason":"stop"}],"usage":{"prompt_tokens":1302,"completion_tokens":86,"total_tokens":1388,"prompt_tokens_details":{"cached_tokens":0,"audio_tokens":0},"completion_tokens_details":{"reasoning_tokens":0,"audio_tokens":0,"accepted_prediction_tokens":0,"rejected_prediction_tokens":0}},"service_tier":"default","system_fingerprint":"fp_ad66631dec"}</t>
        </is>
      </c>
      <c r="X139" t="inlineStr">
        <is>
          <t>Louis Vuitton：红酒色宽框太阳眼镜，采用高级醋酸纤维材质与金属铰链设计，镜腿饰以品牌经典Monogram图案，展现优雅与现代融合之美。渐变镜片有效防紫外线，男女皆宜，时尚复古风格，适合都市休闲与度假出行配戴。</t>
        </is>
      </c>
    </row>
    <row r="140" ht="25.5" customHeight="1">
      <c r="A140">
        <v>1654975475</v>
      </c>
      <c r="B140">
        <v>7626134852</v>
      </c>
      <c r="C140" s="2" t="str">
        <f>=HYPERLINK("https://weidian.com/item.html?itemID=7626134852", "https://weidian.com/item.html?itemID=7626134852")</f>
        <v>https://weidian.com/item.html?itemID=7626134852</v>
      </c>
      <c r="D140"/>
      <c r="E140" s="2" t="str">
        <f>=HYPERLINK("https://si.geilicdn.com/pcitem2014204438-5d330000019ade8a3ef20a231177_1440_1920.jpg?w=640&amp;h=640", "https://si.geilicdn.com/pcitem2014204438-5d330000019ade8a3ef20a231177_1440_1920.jpg?w=640&amp;h=640")</f>
        <v>https://si.geilicdn.com/pcitem2014204438-5d330000019ade8a3ef20a231177_1440_1920.jpg?w=640&amp;h=640</v>
      </c>
      <c r="F140" t="inlineStr">
        <is>
          <t>Glasses</t>
        </is>
      </c>
      <c r="G140" t="inlineStr">
        <is>
          <t>Dior</t>
        </is>
      </c>
      <c r="H140">
        <v>540</v>
      </c>
      <c r="I140">
        <v>78.26</v>
      </c>
      <c r="J140" t="inlineStr">
        <is>
          <t>{"id":"chatcmpl-DaAF5DGZxBtXqXhnnM80TRK0VoHTC","object":"chat.completion","created":1777511551,"model":"gpt-5-chat-2025-10-03","choices":[{"index":0,"message":{"role":"assistant","content":"Dior Gold Geometric Futuristic Unisex UV Sunglasses","refusal":null,"annotations":[]},"logprobs":null,"finish_reason":"stop"}],"usage":{"prompt_tokens":886,"completion_tokens":13,"total_tokens":899,"prompt_tokens_details":{"cached_tokens":0,"audio_tokens":0},"completion_tokens_details":{"reasoning_tokens":0,"audio_tokens":0,"accepted_prediction_tokens":0,"rejected_prediction_tokens":0}},"service_tier":"default","system_fingerprint":"fp_ad66631dec"}</t>
        </is>
      </c>
      <c r="K140" t="inlineStr">
        <is>
          <t>Dior Gold Geometric Futuristic Unisex UV Sunglasses</t>
        </is>
      </c>
      <c r="L140" t="inlineStr">
        <is>
          <t>{"id":"chatcmpl-DaA7zA8EOADXaWA5VMi3VDV8qv4Lf","object":"chat.completion","created":1777511111,"model":"gpt-5-chat-2025-10-03","choices":[{"index":0,"message":{"role":"assistant","content":"Dior Gold Geometric Sunglasses—featuring UV-protective resin lenses and a sleek metal frame. Futuristic unisex design inspired by modern city style, combining light luxury and avant-garde elegance.","refusal":null,"annotations":[]},"logprobs":null,"finish_reason":"stop"}],"usage":{"prompt_tokens":900,"completion_tokens":42,"total_tokens":942,"prompt_tokens_details":{"cached_tokens":0,"audio_tokens":0},"completion_tokens_details":{"reasoning_tokens":0,"audio_tokens":0,"accepted_prediction_tokens":0,"rejected_prediction_tokens":0}},"service_tier":"default","system_fingerprint":"fp_ad66631dec"}</t>
        </is>
      </c>
      <c r="M140" t="inlineStr">
        <is>
          <t>{"alt-svc":"h3=\":443\"; ma=2592000","apim-request-id":"42b410e9-fe55-4a0c-8e0d-fdb18186af28","azureml-model-session":"d20260402075109-1fc5a0ec","cache-control":"no-cache","connection":"close","content-length":"1007","content-type":"application/json","date":"Thu, 30 Apr 2026 01:05:12 GMT","server":"Caddy","skip-error-remapping":"true","strict-transport-security":"max-age=31536000; includeSubDomains; preload","x-content-type-options":"nosniff","x-ms-client-request-id":"Not-Set","x-ms-is-spilled-over":"false","x-ms-rai-invoked":"false","x-ms-region":"Central US","x-new-api-version":"0.4.35","x-oneapi-request-id":"202604300105104642230558268d9d6KNcei9tL","x-ratelimit-abusepenalty-active":"False","x-ratelimit-key":"gpt-5-chat-global","x-ratelimit-limit-requests":"1000","x-ratelimit-limit-tokens":"1000000","x-ratelimit-remaining-requests":"999","x-ratelimit-remaining-tokens":"994080","x-ratelimit-renewalperiod-requests":"60","x-ratelimit-renewalperiod-tokens":"60","x-ratelimit-reset-requests":"60","x-ratelimit-reset-tokens":"355","x-request-id":"697aa5ec-8e29-4919-a563-596e0cf56989"}</t>
        </is>
      </c>
      <c r="N140" t="inlineStr">
        <is>
          <t>Dior Gold Geometric Sunglasses—featuring UV-protective resin lenses and a sleek metal frame. Futuristic unisex design inspired by modern city style, combining light luxury and avant-garde elegance.</t>
        </is>
      </c>
      <c r="O140" t="inlineStr">
        <is>
          <t>{"id":"chatcmpl-DaAPI32d8J8uX0p6yrSfxO0JrfhgM","object":"chat.completion","created":1777512184,"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40" t="inlineStr">
        <is>
          <t>Dior,Glasses,kakobuy,kakebuy2026,kekobuysheet,kakobuysheet2026,2026kakobuy,kakobuyspreadsheeet,kakobuylink,kakebuylist,Kakobuy MEGA Spreadsheet,kakobuysheetfind,kakobuysheetfind2026,2026kakobuysheetfind,kakobuysheet2026</t>
        </is>
      </c>
      <c r="Q140" t="inlineStr">
        <is>
          <t>Dior, Gold, Geometric, Unisex, Anti-Ultraviolet</t>
        </is>
      </c>
      <c r="R140" t="inlineStr">
        <is>
          <t>recvhju1Cr44JV</t>
        </is>
      </c>
      <c r="S140" t="inlineStr">
        <is>
          <t>dior-gold-geometric-futuristic-sunglasses-recvhju1cr44jv</t>
        </is>
      </c>
      <c r="T140"/>
      <c r="U140"/>
      <c r="V140"/>
      <c r="W140" t="inlineStr">
        <is>
          <t>{"id":"chatcmpl-Da9pL4KCDOyuWT1VzwfPdZnqmyVzV","object":"chat.completion","created":1777509955,"model":"gpt-5-chat-2025-10-03","choices":[{"index":0,"message":{"role":"assistant","content":"Dior：金色几何图腾太阳镜，采用高透防紫外树脂镜片与精致金属框架结合，未来感设计彰显先锋时尚，男女皆宜，灵感源自现代都市风，轻盈质感与奢华格调并存。","refusal":null,"annotations":[]},"logprobs":null,"finish_reason":"stop"}],"usage":{"prompt_tokens":1300,"completion_tokens":66,"total_tokens":1366,"prompt_tokens_details":{"cached_tokens":0,"audio_tokens":0},"completion_tokens_details":{"reasoning_tokens":0,"audio_tokens":0,"accepted_prediction_tokens":0,"rejected_prediction_tokens":0}},"service_tier":"default","system_fingerprint":"fp_fd471178c5"}</t>
        </is>
      </c>
      <c r="X140" t="inlineStr">
        <is>
          <t>Dior：金色几何图腾太阳镜，采用高透防紫外树脂镜片与精致金属框架结合，未来感设计彰显先锋时尚，男女皆宜，灵感源自现代都市风，轻盈质感与奢华格调并存。</t>
        </is>
      </c>
    </row>
    <row r="141" ht="25.5" customHeight="1">
      <c r="A141">
        <v>1654975475</v>
      </c>
      <c r="B141">
        <v>7626089202</v>
      </c>
      <c r="C141" s="2" t="str">
        <f>=HYPERLINK("https://weidian.com/item.html?itemID=7626089202", "https://weidian.com/item.html?itemID=7626089202")</f>
        <v>https://weidian.com/item.html?itemID=7626089202</v>
      </c>
      <c r="D141"/>
      <c r="E141" s="2" t="str">
        <f>=HYPERLINK("https://si.geilicdn.com/pcitem2014204438-70090000019ade83bb8f0a23057e_1074_1074.jpg?w=640&amp;h=640", "https://si.geilicdn.com/pcitem2014204438-70090000019ade83bb8f0a23057e_1074_1074.jpg?w=640&amp;h=640")</f>
        <v>https://si.geilicdn.com/pcitem2014204438-70090000019ade83bb8f0a23057e_1074_1074.jpg?w=640&amp;h=640</v>
      </c>
      <c r="F141" t="inlineStr">
        <is>
          <t>Glasses</t>
        </is>
      </c>
      <c r="G141" t="inlineStr">
        <is>
          <t>Miu Miu</t>
        </is>
      </c>
      <c r="H141">
        <v>370</v>
      </c>
      <c r="I141">
        <v>53.62</v>
      </c>
      <c r="J141" t="inlineStr">
        <is>
          <t>{"id":"chatcmpl-DaAJlnwXOGcBfyoeb8tPrxjnJVZuP","object":"chat.completion","created":1777511841,"model":"gpt-5-chat-2025-10-03","choices":[{"index":0,"message":{"role":"assistant","content":"Miu Miu Gold Cat Eye Gradient Gray Sunglasse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41" t="inlineStr">
        <is>
          <t>Miu Miu Gold Cat Eye Gradient Gray Sunglasses</t>
        </is>
      </c>
      <c r="L141" t="inlineStr">
        <is>
          <t>{"id":"chatcmpl-DaADPJ7iyHre2JVomhb4UQelKvHY9","object":"chat.completion","created":1777511447,"model":"gpt-5-chat-2025-10-03","choices":[{"index":0,"message":{"role":"assistant","content":"Miu Miu Gold Cat-Eye Sunglasses with lightweight metal frame and gradient gray lenses, showcasing vintage elegance and modern chic, perfect for daily wear or vacation style.","refusal":null,"annotations":[]},"logprobs":null,"finish_reason":"stop"}],"usage":{"prompt_tokens":919,"completion_tokens":35,"total_tokens":954,"prompt_tokens_details":{"cached_tokens":0,"audio_tokens":0},"completion_tokens_details":{"reasoning_tokens":0,"audio_tokens":0,"accepted_prediction_tokens":0,"rejected_prediction_tokens":0}},"service_tier":"default","system_fingerprint":"fp_ad66631dec"}</t>
        </is>
      </c>
      <c r="M141" t="inlineStr">
        <is>
          <t>{"alt-svc":"h3=\":443\"; ma=2592000","apim-request-id":"a90f7a71-e831-4784-9ef4-ea57c5dfae7a","azureml-model-session":"d20260402075109-1fc5a0ec","cache-control":"no-cache","connection":"close","content-length":"981","content-type":"application/json","date":"Thu, 30 Apr 2026 01:10:48 GMT","server":"Caddy","skip-error-remapping":"true","strict-transport-security":"max-age=31536000; includeSubDomains; preload","x-content-type-options":"nosniff","x-ms-client-request-id":"Not-Set","x-ms-is-spilled-over":"false","x-ms-rai-invoked":"false","x-ms-region":"Central US","x-new-api-version":"0.4.35","x-oneapi-request-id":"202604300110462704848248268d9d6NcvJHWmv","x-ratelimit-abusepenalty-active":"False","x-ratelimit-key":"gpt-5-chat-global","x-ratelimit-limit-requests":"1000","x-ratelimit-limit-tokens":"1000000","x-ratelimit-remaining-requests":"999","x-ratelimit-remaining-tokens":"998319","x-ratelimit-renewalperiod-requests":"60","x-ratelimit-renewalperiod-tokens":"60","x-ratelimit-reset-requests":"60","x-ratelimit-reset-tokens":"100","x-request-id":"cdc6448b-2e7d-47fe-bf86-215bd00d46ba"}</t>
        </is>
      </c>
      <c r="N141" t="inlineStr">
        <is>
          <t>Miu Miu Gold Cat-Eye Sunglasses with lightweight metal frame and gradient gray lenses, showcasing vintage elegance and modern chic, perfect for daily wear or vacation style.</t>
        </is>
      </c>
      <c r="O141" t="inlineStr">
        <is>
          <t>{"id":"chatcmpl-DaATTcxufshpZBkNXpUmJD5Uz0TyF","object":"chat.completion","created":1777512443,"model":"gpt-5-chat-2025-10-03","choices":[{"index":0,"message":{"role":"assistant","content":"Miu Miu,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41" t="inlineStr">
        <is>
          <t>Miu Miu, Glasses, kakobuy, kakebuy2026, kekobuysheet, kakobuysheet2026, 2026kakobuy, kakobuyspreadsheeet, kakobuylink, kakebuylist, Kakobuy MEGA Spreadsheet, kakobuysheetfind, kakobuysheetfind2026, 2026kakobuysheetfind, kakobuysheet2026</t>
        </is>
      </c>
      <c r="Q141"/>
      <c r="R141" t="inlineStr">
        <is>
          <t>recvhju1CrLO2I</t>
        </is>
      </c>
      <c r="S141" t="inlineStr">
        <is>
          <t>miu-miu-gold-cat-eye-gradient-gray-sunglasses-recvhju1crlo2i</t>
        </is>
      </c>
      <c r="T141"/>
      <c r="U141"/>
      <c r="V141"/>
      <c r="W141" t="inlineStr">
        <is>
          <t>{"id":"chatcmpl-Da9ow765WcGbgOM3Vm7rVdQepr23T","object":"chat.completion","created":1777509930,"model":"gpt-5-chat-2025-10-03","choices":[{"index":0,"message":{"role":"assistant","content":"Miu Miu：金色猫眼太阳眼镜，轻盈金属镜框搭配渐变灰镜片，展现复古优雅与现代摩登气质。镜腿饰以立体品牌标识，精致工艺凸显女性柔美格调，适合日常与度假穿搭，尽显奢华时尚魅力。","refusal":null,"annotations":[]},"logprobs":null,"finish_reason":"stop"}],"usage":{"prompt_tokens":1304,"completion_tokens":83,"total_tokens":1387,"prompt_tokens_details":{"cached_tokens":1280,"audio_tokens":0},"completion_tokens_details":{"reasoning_tokens":0,"audio_tokens":0,"accepted_prediction_tokens":0,"rejected_prediction_tokens":0}},"service_tier":"default","system_fingerprint":"fp_ad66631dec"}</t>
        </is>
      </c>
      <c r="X141" t="inlineStr">
        <is>
          <t>Miu Miu：金色猫眼太阳眼镜，轻盈金属镜框搭配渐变灰镜片，展现复古优雅与现代摩登气质。镜腿饰以立体品牌标识，精致工艺凸显女性柔美格调，适合日常与度假穿搭，尽显奢华时尚魅力。</t>
        </is>
      </c>
    </row>
    <row r="142" ht="25.5" customHeight="1">
      <c r="A142">
        <v>1654975475</v>
      </c>
      <c r="B142">
        <v>7626144682</v>
      </c>
      <c r="C142" s="2" t="str">
        <f>=HYPERLINK("https://weidian.com/item.html?itemID=7626144682", "https://weidian.com/item.html?itemID=7626144682")</f>
        <v>https://weidian.com/item.html?itemID=7626144682</v>
      </c>
      <c r="D142"/>
      <c r="E142" s="2" t="str">
        <f>=HYPERLINK("https://si.geilicdn.com/pcitem2014204438-768b0000019ade817dd90a2315ef_1074_1074.jpg?w=640&amp;h=640", "https://si.geilicdn.com/pcitem2014204438-768b0000019ade817dd90a2315ef_1074_1074.jpg?w=640&amp;h=640")</f>
        <v>https://si.geilicdn.com/pcitem2014204438-768b0000019ade817dd90a2315ef_1074_1074.jpg?w=640&amp;h=640</v>
      </c>
      <c r="F142" t="inlineStr">
        <is>
          <t>Glasses</t>
        </is>
      </c>
      <c r="G142" t="inlineStr">
        <is>
          <t>Miu Miu</t>
        </is>
      </c>
      <c r="H142">
        <v>360</v>
      </c>
      <c r="I142">
        <v>52.17</v>
      </c>
      <c r="J142" t="inlineStr">
        <is>
          <t>{"id":"chatcmpl-DaAGkU1wv5jTYg4sw4QwW2WSSTfmp","object":"chat.completion","created":1777511654,"model":"gpt-5-chat-2025-10-03","choices":[{"index":0,"message":{"role":"assistant","content":"Miu Miu Black Rectangular Sunglasses Women UV Protection","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42" t="inlineStr">
        <is>
          <t>Miu Miu Black Rectangular Sunglasses Women UV Protection</t>
        </is>
      </c>
      <c r="L142" t="inlineStr">
        <is>
          <t>{"id":"chatcmpl-DaAAU9HFARngAU8gCLshg1dcqjk0B","object":"chat.completion","created":1777511266,"model":"gpt-5-chat-2025-10-03","choices":[{"index":0,"message":{"role":"assistant","content":"Miu Miu Black Rectangular Sunglasses – glossy acetate frame with silver metal temples, signature 3D logo, retro minimalist design, UV protection lenses for chic and functional styl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fd471178c5"}</t>
        </is>
      </c>
      <c r="M142" t="inlineStr">
        <is>
          <t>{"alt-svc":"h3=\":443\"; ma=2592000","apim-request-id":"098c037b-28cd-49b8-b1b9-542cc115784d","azureml-model-session":"d20260428205641-55ca9797","cache-control":"no-cache","connection":"close","content-length":"992","content-type":"application/json","date":"Thu, 30 Apr 2026 01:07:47 GMT","server":"Caddy","skip-error-remapping":"true","strict-transport-security":"max-age=31536000; includeSubDomains; preload","x-content-type-options":"nosniff","x-ms-client-request-id":"Not-Set","x-ms-is-spilled-over":"false","x-ms-rai-invoked":"false","x-ms-region":"South Central US","x-new-api-version":"0.4.35","x-oneapi-request-id":"202604300107457072638438268d9d63Hz8GKzZ","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4657195e-0547-461b-893a-0448c195eba3"}</t>
        </is>
      </c>
      <c r="N142" t="inlineStr">
        <is>
          <t>Miu Miu Black Rectangular Sunglasses – glossy acetate frame with silver metal temples, signature 3D logo, retro minimalist design, UV protection lenses for chic and functional style.</t>
        </is>
      </c>
      <c r="O142" t="inlineStr">
        <is>
          <t>{"id":"chatcmpl-DaAPD9zyT5du0CET26L4ELcXeDDcS","object":"chat.completion","created":1777512179,"model":"gpt-5-chat-2025-10-03","choices":[{"index":0,"message":{"role":"assistant","content":"Miu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fd471178c5"}</t>
        </is>
      </c>
      <c r="P142" t="inlineStr">
        <is>
          <t>Miu Miu,Glasses,kakobuy,kakebuy2026,kekobuysheet,kakobuysheet2026,2026kakobuy,kakobuyspreadsheeet,kakobuylink,kakebuylist,Kakobuy MEGA Spreadsheet,kakobuysheetfind,kakobuysheetfind2026,2026kakobuysheetfind,kakobuysheet2026</t>
        </is>
      </c>
      <c r="Q142" t="inlineStr">
        <is>
          <t>Black, Retro, Minimalist</t>
        </is>
      </c>
      <c r="R142" t="inlineStr">
        <is>
          <t>recvhju1Crb1OS</t>
        </is>
      </c>
      <c r="S142" t="inlineStr">
        <is>
          <t>miu-miu-black-rectangular-sunglasses-uv-recvhju1crb1os</t>
        </is>
      </c>
      <c r="T142"/>
      <c r="U142"/>
      <c r="V142"/>
      <c r="W142" t="inlineStr">
        <is>
          <t>{"id":"chatcmpl-Da9sXtvyhPkxW3qpmrZUsVzPnUYy8","object":"chat.completion","created":1777510153,"model":"gpt-5-chat-2025-10-03","choices":[{"index":0,"message":{"role":"assistant","content":"Miu Miu：黑色矩形太阳眼镜，亮面醋酸纤维镜框搭配银色金属镜腿，侧边镶嵌立体品牌LOGO，极简复古设计凸显女性前卫格调，防紫外线镜片兼具时尚与实用。","refusal":null,"annotations":[]},"logprobs":null,"finish_reason":"stop"}],"usage":{"prompt_tokens":1302,"completion_tokens":73,"total_tokens":1375,"prompt_tokens_details":{"cached_tokens":0,"audio_tokens":0},"completion_tokens_details":{"reasoning_tokens":0,"audio_tokens":0,"accepted_prediction_tokens":0,"rejected_prediction_tokens":0}},"service_tier":"default","system_fingerprint":"fp_fd471178c5"}</t>
        </is>
      </c>
      <c r="X142" t="inlineStr">
        <is>
          <t>Miu Miu：黑色矩形太阳眼镜，亮面醋酸纤维镜框搭配银色金属镜腿，侧边镶嵌立体品牌LOGO，极简复古设计凸显女性前卫格调，防紫外线镜片兼具时尚与实用。</t>
        </is>
      </c>
    </row>
    <row r="143" ht="25.5" customHeight="1">
      <c r="A143">
        <v>1654975475</v>
      </c>
      <c r="B143">
        <v>7626100982</v>
      </c>
      <c r="C143" s="2" t="str">
        <f>=HYPERLINK("https://weidian.com/item.html?itemID=7626100982", "https://weidian.com/item.html?itemID=7626100982")</f>
        <v>https://weidian.com/item.html?itemID=7626100982</v>
      </c>
      <c r="D143"/>
      <c r="E143" s="2" t="str">
        <f>=HYPERLINK("https://si.geilicdn.com/pcitem2014204438-722f0000019ade7fb6640a23111a_1440_1920.jpg?w=640&amp;h=640", "https://si.geilicdn.com/pcitem2014204438-722f0000019ade7fb6640a23111a_1440_1920.jpg?w=640&amp;h=640")</f>
        <v>https://si.geilicdn.com/pcitem2014204438-722f0000019ade7fb6640a23111a_1440_1920.jpg?w=640&amp;h=640</v>
      </c>
      <c r="F143" t="inlineStr">
        <is>
          <t>Glasses</t>
        </is>
      </c>
      <c r="G143" t="inlineStr">
        <is>
          <t>Chanel</t>
        </is>
      </c>
      <c r="H143">
        <v>350</v>
      </c>
      <c r="I143">
        <v>50.72</v>
      </c>
      <c r="J143" t="inlineStr">
        <is>
          <t>{"id":"chatcmpl-DaAF8q2IWolV67I9jCGOfNdXmL8OF","object":"chat.completion","created":1777511554,"model":"gpt-5-chat-2025-10-03","choices":[{"index":0,"message":{"role":"assistant","content":"Chanel Butterfly Black Gold Gradient Gray Sunglasses","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143" t="inlineStr">
        <is>
          <t>Chanel Butterfly Black Gold Gradient Gray Sunglasses</t>
        </is>
      </c>
      <c r="L143" t="inlineStr">
        <is>
          <t>{"id":"chatcmpl-DaAABgUVtEeRkGTfqinZGZ8vqkM4T","object":"chat.completion","created":1777511247,"model":"gpt-5-chat-2025-10-03","choices":[{"index":0,"message":{"role":"assistant","content":"Chanel Black Gold Frame Gradient Gray Lens Sunglasses – Lightweight metal, butterfly shape, chic French design, a must-have fashion accessory for elegant women on the go.","refusal":null,"annotations":[]},"logprobs":null,"finish_reason":"stop"}],"usage":{"prompt_tokens":888,"completion_tokens":34,"total_tokens":922,"prompt_tokens_details":{"cached_tokens":0,"audio_tokens":0},"completion_tokens_details":{"reasoning_tokens":0,"audio_tokens":0,"accepted_prediction_tokens":0,"rejected_prediction_tokens":0}},"service_tier":"default","system_fingerprint":"fp_ad66631dec"}</t>
        </is>
      </c>
      <c r="M143" t="inlineStr">
        <is>
          <t>{"alt-svc":"h3=\":443\"; ma=2592000","apim-request-id":"d536f18e-d8b1-4049-869c-4f2eec11c93f","azureml-model-session":"d20260402075109-1fc5a0ec","cache-control":"no-cache","connection":"close","content-length":"980","content-type":"application/json","date":"Thu, 30 Apr 2026 01:07:28 GMT","server":"Caddy","skip-error-remapping":"true","strict-transport-security":"max-age=31536000; includeSubDomains; preload","x-content-type-options":"nosniff","x-ms-client-request-id":"Not-Set","x-ms-is-spilled-over":"false","x-ms-rai-invoked":"false","x-ms-region":"East US 2","x-new-api-version":"0.4.35","x-oneapi-request-id":"202604300107268544687098268d9d6GystBt7v","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4ae433be-4077-4947-8603-3e73b2653865"}</t>
        </is>
      </c>
      <c r="N143" t="inlineStr">
        <is>
          <t>Chanel Black Gold Frame Gradient Gray Lens Sunglasses – Lightweight metal, butterfly shape, chic French design, a must-have fashion accessory for elegant women on the go.</t>
        </is>
      </c>
      <c r="O143" t="inlineStr">
        <is>
          <t>{"id":"chatcmpl-DaAX7bPFHrDNdbXxlq36rKj6OFqGm","object":"chat.completion","created":1777512669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3" t="inlineStr">
        <is>
          <t>Chanel,Glasses,kakobuy,kakebuy2026,kekobuysheet,kakobuysheet2026,2026kakobuy,kakobuyspreadsheeet,kakobuylink,kakebuylist,Kakobuy MEGA Spreadsheet,kakobuysheetfind,kakobuysheetfind2026,2026kakobuysheetfind,kakobuysheet2026</t>
        </is>
      </c>
      <c r="Q143" t="inlineStr">
        <is>
          <t>Chanel, Black Gold, Lightweight, Elegant, Women</t>
        </is>
      </c>
      <c r="R143" t="inlineStr">
        <is>
          <t>recvhju1Crctfq</t>
        </is>
      </c>
      <c r="S143" t="inlineStr">
        <is>
          <t>chanel-butterfly-black-gold-gradient-gray-sunglasses-recvhju1crctfq</t>
        </is>
      </c>
      <c r="T143"/>
      <c r="U143"/>
      <c r="V143"/>
      <c r="W143" t="inlineStr">
        <is>
          <t>{"id":"chatcmpl-Da9pQSUHhpA5rUr4KVfzV658OE5tp","object":"chat.completion","created":1777509960,"model":"gpt-5-chat-2025-10-03","choices":[{"index":0,"message":{"role":"assistant","content":"Chanel：黑金边框渐变灰镜片太阳镜，采用轻盈金属材质与优雅蝴蝶形镜框设计，展现摩登法式经典格调，女士时尚出行必备单品。","refusal":null,"annotations":[]},"logprobs":null,"finish_reason":"stop"}],"usage":{"prompt_tokens":1300,"completion_tokens":54,"total_tokens":1354,"prompt_tokens_details":{"cached_tokens":0,"audio_tokens":0},"completion_tokens_details":{"reasoning_tokens":0,"audio_tokens":0,"accepted_prediction_tokens":0,"rejected_prediction_tokens":0}},"service_tier":"default","system_fingerprint":"fp_fd471178c5"}</t>
        </is>
      </c>
      <c r="X143" t="inlineStr">
        <is>
          <t>Chanel：黑金边框渐变灰镜片太阳镜，采用轻盈金属材质与优雅蝴蝶形镜框设计，展现摩登法式经典格调，女士时尚出行必备单品。</t>
        </is>
      </c>
    </row>
    <row r="144" ht="25.5" customHeight="1">
      <c r="A144">
        <v>1654975475</v>
      </c>
      <c r="B144">
        <v>7622858131</v>
      </c>
      <c r="C144" s="2" t="str">
        <f>=HYPERLINK("https://weidian.com/item.html?itemID=7622858131", "https://weidian.com/item.html?itemID=7622858131")</f>
        <v>https://weidian.com/item.html?itemID=7622858131</v>
      </c>
      <c r="D144"/>
      <c r="E144" s="2" t="str">
        <f>=HYPERLINK("https://si.geilicdn.com/pcitem2014204438-525d0000019ade23a3860a2303ee_1074_1074.jpg?w=640&amp;h=640", "https://si.geilicdn.com/pcitem2014204438-525d0000019ade23a3860a2303ee_1074_1074.jpg?w=640&amp;h=640")</f>
        <v>https://si.geilicdn.com/pcitem2014204438-525d0000019ade23a3860a2303ee_1074_1074.jpg?w=640&amp;h=640</v>
      </c>
      <c r="F144" t="inlineStr">
        <is>
          <t>Glasses</t>
        </is>
      </c>
      <c r="G144" t="inlineStr">
        <is>
          <t>Chanel</t>
        </is>
      </c>
      <c r="H144">
        <v>380</v>
      </c>
      <c r="I144">
        <v>55.07</v>
      </c>
      <c r="J144" t="inlineStr">
        <is>
          <t>{"id":"chatcmpl-DaAGDFwD1fdqOgGmmZ4ZBvkQeFTCn","object":"chat.completion","created":1777511621,"model":"gpt-5-chat-2025-10-03","choices":[{"index":0,"message":{"role":"assistant","content":"Chanel Classic Chain Arm Black Silver Sunglasse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44" t="inlineStr">
        <is>
          <t>Chanel Classic Chain Arm Black Silver Sunglasses</t>
        </is>
      </c>
      <c r="L144" t="inlineStr">
        <is>
          <t>{"id":"chatcmpl-DaADXUKGKu2SOx9TJprRNk4rTobvd","object":"chat.completion","created":1777511455,"model":"gpt-5-chat-2025-10-03","choices":[{"index":0,"message":{"role":"assistant","content":"Chanel Classic Chain Arm Sunglasses – Black Silver Frame with Gradient Gray Lenses, Lightweight Metal, Elegant Square Design, Unisex Retro Style, Showcasing French Minimalist Luxury.","refusal":null,"annotations":[]},"logprobs":null,"finish_reason":"stop"}],"usage":{"prompt_tokens":884,"completion_tokens":38,"total_tokens":922,"prompt_tokens_details":{"cached_tokens":0,"audio_tokens":0},"completion_tokens_details":{"reasoning_tokens":0,"audio_tokens":0,"accepted_prediction_tokens":0,"rejected_prediction_tokens":0}},"service_tier":"default","system_fingerprint":"fp_ad66631dec"}</t>
        </is>
      </c>
      <c r="M144" t="inlineStr">
        <is>
          <t>{"alt-svc":"h3=\":443\"; ma=2592000","apim-request-id":"d62156a9-03e8-45e5-a95f-018bb84c886f","azureml-model-session":"d20260402084046-4209e968","cache-control":"no-cache","connection":"close","content-length":"992","content-type":"application/json","date":"Thu, 30 Apr 2026 01:10:56 GMT","server":"Caddy","skip-error-remapping":"true","strict-transport-security":"max-age=31536000; includeSubDomains; preload","x-content-type-options":"nosniff","x-ms-client-request-id":"Not-Set","x-ms-is-spilled-over":"false","x-ms-rai-invoked":"false","x-ms-region":"East US","x-new-api-version":"0.4.35","x-oneapi-request-id":"202604300110543075797788268d9d6FfWDp2e2","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875a8e6f-1987-49fb-9174-edd25e255122"}</t>
        </is>
      </c>
      <c r="N144" t="inlineStr">
        <is>
          <t>Chanel Classic Chain Arm Sunglasses – Black Silver Frame with Gradient Gray Lenses, Lightweight Metal, Elegant Square Design, Unisex Retro Style, Showcasing French Minimalist Luxury.</t>
        </is>
      </c>
      <c r="O144" t="inlineStr">
        <is>
          <t>{"id":"chatcmpl-DaARTbXSU1BR4Hf0vUKhO90PFpJ0A","object":"chat.completion","created":1777512319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44" t="inlineStr">
        <is>
          <t>Chanel,Glasses,kakobuy,kakebuy2026,kekobuysheet,kakobuysheet2026,2026kakobuy,kakobuyspreadsheeet,kakobuylink,kakebuylist,Kakobuy MEGA Spreadsheet,kakobuysheetfind,kakobuysheetfind2026,2026kakobuysheetfind,kakobuysheet2026</t>
        </is>
      </c>
      <c r="Q144" t="inlineStr">
        <is>
          <t>Chanel, Black Silver, Lightweight, Elegant, Minimalist, Retro</t>
        </is>
      </c>
      <c r="R144" t="inlineStr">
        <is>
          <t>recvhju1Crp8PM</t>
        </is>
      </c>
      <c r="S144" t="inlineStr">
        <is>
          <t>chanel-classic-chain-arm-sunglasses-recvhju1crp8pm</t>
        </is>
      </c>
      <c r="T144"/>
      <c r="U144"/>
      <c r="V144"/>
      <c r="W144" t="inlineStr">
        <is>
          <t>{"id":"chatcmpl-Da9o5Y4GVkUHhhikGJ11qPET0weNB","object":"chat.completion","created":1777509877,"model":"gpt-5-chat-2025-10-03","choices":[{"index":0,"message":{"role":"assistant","content":"Chanel：经典链条臂黑银框渐变灰镜片太阳眼镜，轻盈金属材质，优雅方形设计，中性复古风格，彰显法式简奢魅力。","refusal":null,"annotations":[]},"logprobs":null,"finish_reason":"stop"}],"usage":{"prompt_tokens":1300,"completion_tokens":50,"total_tokens":1350,"prompt_tokens_details":{"cached_tokens":0,"audio_tokens":0},"completion_tokens_details":{"reasoning_tokens":0,"audio_tokens":0,"accepted_prediction_tokens":0,"rejected_prediction_tokens":0}},"service_tier":"default","system_fingerprint":"fp_ad66631dec"}</t>
        </is>
      </c>
      <c r="X144" t="inlineStr">
        <is>
          <t>Chanel：经典链条臂黑银框渐变灰镜片太阳眼镜，轻盈金属材质，优雅方形设计，中性复古风格，彰显法式简奢魅力。</t>
        </is>
      </c>
    </row>
    <row r="145" ht="25.5" customHeight="1">
      <c r="A145">
        <v>1654975475</v>
      </c>
      <c r="B145">
        <v>7623100561</v>
      </c>
      <c r="C145" s="2" t="str">
        <f>=HYPERLINK("https://weidian.com/item.html?itemID=7623100561", "https://weidian.com/item.html?itemID=7623100561")</f>
        <v>https://weidian.com/item.html?itemID=7623100561</v>
      </c>
      <c r="D145"/>
      <c r="E145" s="2" t="str">
        <f>=HYPERLINK("https://si.geilicdn.com/pcitem2014204438-4af80000019ade17600b0a23038e_1440_1920.jpg?w=640&amp;h=640", "https://si.geilicdn.com/pcitem2014204438-4af80000019ade17600b0a23038e_1440_1920.jpg?w=640&amp;h=640")</f>
        <v>https://si.geilicdn.com/pcitem2014204438-4af80000019ade17600b0a23038e_1440_1920.jpg?w=640&amp;h=640</v>
      </c>
      <c r="F145" t="inlineStr">
        <is>
          <t>Glasses</t>
        </is>
      </c>
      <c r="G145" t="inlineStr">
        <is>
          <t>Tiffany</t>
        </is>
      </c>
      <c r="H145">
        <v>390</v>
      </c>
      <c r="I145">
        <v>56.52</v>
      </c>
      <c r="J145" t="inlineStr">
        <is>
          <t>{"id":"chatcmpl-DaAM7rUpsTl1KThNNWSroYCncY3Lj","object":"chat.completion","created":1777511987,"model":"gpt-5-chat-2025-10-03","choices":[{"index":0,"message":{"role":"assistant","content":"Tiffany &amp; Co Tortoise Acetate Gradient Brown Sunglasses","refusal":null,"annotations":[]},"logprobs":null,"finish_reason":"stop"}],"usage":{"prompt_tokens":886,"completion_tokens":15,"total_tokens":901,"prompt_tokens_details":{"cached_tokens":0,"audio_tokens":0},"completion_tokens_details":{"reasoning_tokens":0,"audio_tokens":0,"accepted_prediction_tokens":0,"rejected_prediction_tokens":0}},"service_tier":"default","system_fingerprint":"fp_ad66631dec"}</t>
        </is>
      </c>
      <c r="K145" t="inlineStr">
        <is>
          <t>Tiffany &amp; Co Tortoise Acetate Gradient Brown Sunglasses</t>
        </is>
      </c>
      <c r="L145" t="inlineStr">
        <is>
          <t>{"id":"chatcmpl-DaAEDrHGaTfJ3OhLiSd5ldpuERVqR","object":"chat.completion","created":1777511497,"model":"gpt-5-chat-2025-10-03","choices":[{"index":0,"message":{"role":"assistant","content":"Tiffany &amp; Co. Classic Tortoise Wide-Frame Sunglasses with acetate frame, gradient brown lenses, silver logo detail, elegant modern retro design, UV protection, perfect for men and women fashion.","refusal":null,"annotations":[]},"logprobs":null,"finish_reason":"stop"}],"usage":{"prompt_tokens":912,"completion_tokens":42,"total_tokens":954,"prompt_tokens_details":{"cached_tokens":0,"audio_tokens":0},"completion_tokens_details":{"reasoning_tokens":0,"audio_tokens":0,"accepted_prediction_tokens":0,"rejected_prediction_tokens":0}},"service_tier":"default","system_fingerprint":"fp_fd471178c5"}</t>
        </is>
      </c>
      <c r="M145" t="inlineStr">
        <is>
          <t>{"alt-svc":"h3=\":443\"; ma=2592000","apim-request-id":"87cc6e29-4c89-49f3-a91c-72dbdc4904af","azureml-model-session":"d20260429094557-48622491","cache-control":"no-cache","connection":"close","content-length":"1002","content-type":"application/json","date":"Thu, 30 Apr 2026 01:11:38 GMT","server":"nginx","skip-error-remapping":"true","strict-transport-security":"max-age=31536000; includeSubDomains; preload","via":"1.1 Caddy","x-content-type-options":"nosniff","x-ms-client-request-id":"Not-Set","x-ms-is-spilled-over":"false","x-ms-rai-invoked":"false","x-ms-region":"East US 2","x-new-api-version":"0.4.35","x-oneapi-request-id":"20260430011137893230528268d9d61rdIhhAy","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40d2b74e-6f26-4586-bdd0-29b4e1956aec"}</t>
        </is>
      </c>
      <c r="N145" t="inlineStr">
        <is>
          <t>Tiffany &amp; Co. Classic Tortoise Wide-Frame Sunglasses with acetate frame, gradient brown lenses, silver logo detail, elegant modern retro design, UV protection, perfect for men and women fashion.</t>
        </is>
      </c>
      <c r="O145" t="inlineStr">
        <is>
          <t>{"id":"chatcmpl-DaASqm7uCRpUjQR2JYSPdXdKSXXKt","object":"chat.completion","created":1777512404,"model":"gpt-5-chat-2025-10-03","choices":[{"index":0,"message":{"role":"assistant","content":"Tiffany,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45" t="inlineStr">
        <is>
          <t>Tiffany,Glasses,kakobuy,kakebuy2026,kekobuysheet,kakobuysheet2026,2026kakobuy,kakobuyspreadsheeet,kakobuylink,kakebuylist,Kakobuy MEGA Spreadsheet,kakobuysheetfind,kakobuysheetfind2026,2026kakobuysheetfind,kakobuysheet2026</t>
        </is>
      </c>
      <c r="Q145" t="inlineStr">
        <is>
          <t>Acetate Fiber, Gradient, Elegant, Modern, Retro, Anti-Ultraviolet</t>
        </is>
      </c>
      <c r="R145" t="inlineStr">
        <is>
          <t>recvhju1CrvPsH</t>
        </is>
      </c>
      <c r="S145" t="inlineStr">
        <is>
          <t>tiffany-tortoise-acetate-gradient-brown-sunglasses-recvhju1crvpsh</t>
        </is>
      </c>
      <c r="T145"/>
      <c r="U145"/>
      <c r="V145"/>
      <c r="W145" t="inlineStr">
        <is>
          <t>{"id":"chatcmpl-Da9pIPxc1gg72yzgDJLnbQb2JnpRv","object":"chat.completion","created":1777509952,"model":"gpt-5-chat-2025-10-03","choices":[{"index":0,"message":{"role":"assistant","content":"Tiffany &amp; Co.: 经典系列玳瑁色宽框太阳镜，醋酸纤维镜架搭配渐变棕色镜片，饰以品牌银色徽标嵌片，融合优雅现代设计与复古气质，防紫外线功能卓越，适合男女日常时尚穿搭。","refusal":null,"annotations":[]},"logprobs":null,"finish_reason":"stop"}],"usage":{"prompt_tokens":1300,"completion_tokens":78,"total_tokens":1378,"prompt_tokens_details":{"cached_tokens":0,"audio_tokens":0},"completion_tokens_details":{"reasoning_tokens":0,"audio_tokens":0,"accepted_prediction_tokens":0,"rejected_prediction_tokens":0}},"service_tier":"default","system_fingerprint":"fp_ad66631dec"}</t>
        </is>
      </c>
      <c r="X145" t="inlineStr">
        <is>
          <t>Tiffany &amp; Co.: 经典系列玳瑁色宽框太阳镜，醋酸纤维镜架搭配渐变棕色镜片，饰以品牌银色徽标嵌片，融合优雅现代设计与复古气质，防紫外线功能卓越，适合男女日常时尚穿搭。</t>
        </is>
      </c>
    </row>
    <row r="146" ht="25.5" customHeight="1">
      <c r="A146">
        <v>1654975475</v>
      </c>
      <c r="B146">
        <v>7626854542</v>
      </c>
      <c r="C146" s="2" t="str">
        <f>=HYPERLINK("https://weidian.com/item.html?itemID=7626854542", "https://weidian.com/item.html?itemID=7626854542")</f>
        <v>https://weidian.com/item.html?itemID=7626854542</v>
      </c>
      <c r="D146"/>
      <c r="E146" s="2" t="str">
        <f>=HYPERLINK("https://si.geilicdn.com/pcitem2014204438-382e0000019ae45f878c0a2304aa_1080_1440.jpg?w=640&amp;h=640", "https://si.geilicdn.com/pcitem2014204438-382e0000019ae45f878c0a2304aa_1080_1440.jpg?w=640&amp;h=640")</f>
        <v>https://si.geilicdn.com/pcitem2014204438-382e0000019ae45f878c0a2304aa_1080_1440.jpg?w=640&amp;h=640</v>
      </c>
      <c r="F146" t="inlineStr">
        <is>
          <t>Accessories</t>
        </is>
      </c>
      <c r="G146" t="inlineStr">
        <is>
          <t>On Running</t>
        </is>
      </c>
      <c r="H146">
        <v>380</v>
      </c>
      <c r="I146">
        <v>55.07</v>
      </c>
      <c r="J146" t="inlineStr">
        <is>
          <t>{"id":"chatcmpl-DaAJYhMpknD1ns0S5FUIp2MyoHmj6","object":"chat.completion","created":1777511828,"model":"gpt-5-chat-2025-10-03","choices":[{"index":0,"message":{"role":"assistant","content":"On Running Orange Waterproof Nylon Travel Bag","refusal":null,"annotations":[]},"logprobs":null,"finish_reason":"stop"}],"usage":{"prompt_tokens":871,"completion_tokens":8,"total_tokens":879,"prompt_tokens_details":{"cached_tokens":0,"audio_tokens":0},"completion_tokens_details":{"reasoning_tokens":0,"audio_tokens":0,"accepted_prediction_tokens":0,"rejected_prediction_tokens":0}},"service_tier":"default","system_fingerprint":"fp_fd471178c5"}</t>
        </is>
      </c>
      <c r="K146" t="inlineStr">
        <is>
          <t>On Running Orange Waterproof Nylon Travel Bag</t>
        </is>
      </c>
      <c r="L146" t="inlineStr">
        <is>
          <t>{"id":"chatcmpl-DaA6xaDMtIA8wpHJLEDbWLwPOMVB0","object":"chat.completion","created":1777511047,"model":"gpt-5-chat-2025-10-03","choices":[{"index":0,"message":{"role":"assistant","content":"On Running orange travel sports bag made of lightweight waterproof nylon, featuring multi-compartment storage, adjustable strap, modern unisex design for urban, gym, and outdoor adventures.","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ad66631dec"}</t>
        </is>
      </c>
      <c r="M146" t="inlineStr">
        <is>
          <t>{"alt-svc":"h3=\":443\"; ma=2592000","apim-request-id":"4e9cc3a1-325f-4c11-bf33-a7eec4812ef3","azureml-model-session":"d20260402083108-57a85543","cache-control":"no-cache","connection":"close","content-length":"997","content-type":"application/json","date":"Thu, 30 Apr 2026 01:04:10 GMT","server":"Caddy","skip-error-remapping":"true","strict-transport-security":"max-age=31536000; includeSubDomains; preload","x-content-type-options":"nosniff","x-ms-client-request-id":"Not-Set","x-ms-is-spilled-over":"false","x-ms-rai-invoked":"false","x-ms-region":"Poland Central","x-new-api-version":"0.4.35","x-oneapi-request-id":"202604300104065771721668268d9d6HTQ82OrP","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7f5e1283-46ed-4dbd-a31b-537c171c8e3f"}</t>
        </is>
      </c>
      <c r="N146" t="inlineStr">
        <is>
          <t>On Running orange travel sports bag made of lightweight waterproof nylon, featuring multi-compartment storage, adjustable strap, modern unisex design for urban, gym, and outdoor adventures.</t>
        </is>
      </c>
      <c r="O146" t="inlineStr">
        <is>
          <t>{"id":"chatcmpl-DaAUUtOI8LvSTcRwXUIShOiJ8YRog","object":"chat.completion","created":1777512506,"model":"gpt-5-chat-2025-10-03","choices":[{"index":0,"message":{"role":"assistant","content":"On Running, Bags,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6" t="inlineStr">
        <is>
          <t>On Running, Bags, kakobuy, kakebuy2026, kekobuysheet, kakobuysheet2026, 2026kakobuy, kakobuyspreadsheeet, kakobuylink, kakebuylist, Kakobuy MEGA Spreadsheet, kakobuysheetfind, kakobuysheetfind2026, 2026kakobuysheetfind, kakobuysheet2026</t>
        </is>
      </c>
      <c r="Q146" t="inlineStr">
        <is>
          <t>Orange, Lightweight, Waterproof, Nylon, Unisex, Outdoor</t>
        </is>
      </c>
      <c r="R146" t="inlineStr">
        <is>
          <t>recvhju1CrT45H</t>
        </is>
      </c>
      <c r="S146" t="inlineStr">
        <is>
          <t>on-running-orange-waterproof-nylon-travel-bag-recvhju1crt45h</t>
        </is>
      </c>
      <c r="T146"/>
      <c r="U146"/>
      <c r="V146"/>
      <c r="W146" t="inlineStr">
        <is>
          <t>{"id":"chatcmpl-Da9uAb29HsS7M8joLV9ZaTfqkJ8x7","object":"chat.completion","created":1777510254,"model":"gpt-5-chat-2025-10-03","choices":[{"index":0,"message":{"role":"assistant","content":"On Running 橙色运动旅行包，轻质防水尼龙材质，配备多功能收纳隔层与可调节肩带，简约现代设计，男女通用，兼具都市休闲与户外运动风格，打造高效便携出行体验。","refusal":null,"annotations":[]},"logprobs":null,"finish_reason":"stop"}],"usage":{"prompt_tokens":1301,"completion_tokens":65,"total_tokens":1366,"prompt_tokens_details":{"cached_tokens":1280,"audio_tokens":0},"completion_tokens_details":{"reasoning_tokens":0,"audio_tokens":0,"accepted_prediction_tokens":0,"rejected_prediction_tokens":0}},"service_tier":"default","system_fingerprint":"fp_ad66631dec"}</t>
        </is>
      </c>
      <c r="X146" t="inlineStr">
        <is>
          <t>On Running 橙色运动旅行包，轻质防水尼龙材质，配备多功能收纳隔层与可调节肩带，简约现代设计，男女通用，兼具都市休闲与户外运动风格，打造高效便携出行体验。</t>
        </is>
      </c>
    </row>
    <row r="147" ht="25.5" customHeight="1">
      <c r="A147">
        <v>1654975475</v>
      </c>
      <c r="B147">
        <v>7623816987</v>
      </c>
      <c r="C147" s="2" t="str">
        <f>=HYPERLINK("https://weidian.com/item.html?itemID=7623816987", "https://weidian.com/item.html?itemID=7623816987")</f>
        <v>https://weidian.com/item.html?itemID=7623816987</v>
      </c>
      <c r="D147"/>
      <c r="E147" s="2" t="str">
        <f>=HYPERLINK("https://si.geilicdn.com/pcitem2014204438-60390000019ae455dfaa0a23057e_1440_1920.jpg?w=640&amp;h=640", "https://si.geilicdn.com/pcitem2014204438-60390000019ae455dfaa0a23057e_1440_1920.jpg?w=640&amp;h=640")</f>
        <v>https://si.geilicdn.com/pcitem2014204438-60390000019ae455dfaa0a23057e_1440_1920.jpg?w=640&amp;h=640</v>
      </c>
      <c r="F147" t="inlineStr">
        <is>
          <t>Accessories</t>
        </is>
      </c>
      <c r="G147" t="inlineStr">
        <is>
          <t>Arc teryx</t>
        </is>
      </c>
      <c r="H147">
        <v>420</v>
      </c>
      <c r="I147">
        <v>60.87</v>
      </c>
      <c r="J147" t="inlineStr">
        <is>
          <t>{"id":"chatcmpl-DaAFcFkcABiyYNVkert0wgn5fs8up","object":"chat.completion","created":1777511584,"model":"gpt-5-chat-2025-10-03","choices":[{"index":0,"message":{"role":"assistant","content":"Arc'teryx Urban Exploration Khaki Gold Nylon Backpack","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fd471178c5"}</t>
        </is>
      </c>
      <c r="K147" t="inlineStr">
        <is>
          <t>Arc'teryx Urban Exploration Khaki Gold Nylon Backpack</t>
        </is>
      </c>
      <c r="L147" t="inlineStr">
        <is>
          <t>{"id":"chatcmpl-DaA884ttEmCr0HgmHRfiWuZ5Lc30y","object":"chat.completion","created":1777511120,"model":"gpt-5-chat-2025-10-03","choices":[{"index":0,"message":{"role":"assistant","content":"Arc'teryx Urban Exploration Khaki Gold Backpack, made from ripstop nylon, lightweight and durable. Ergonomic straps, multi-compartment design, unisex style blending function with minimalist outdoor fashion.","refusal":null,"annotations":[]},"logprobs":null,"finish_reason":"stop"}],"usage":{"prompt_tokens":904,"completion_tokens":41,"total_tokens":945,"prompt_tokens_details":{"cached_tokens":0,"audio_tokens":0},"completion_tokens_details":{"reasoning_tokens":0,"audio_tokens":0,"accepted_prediction_tokens":0,"rejected_prediction_tokens":0}},"service_tier":"default","system_fingerprint":"fp_ad66631dec"}</t>
        </is>
      </c>
      <c r="M147" t="inlineStr">
        <is>
          <t>{"alt-svc":"h3=\":443\"; ma=2592000","apim-request-id":"a0acd86a-03b9-4f3d-bea2-9dfc0af84159","azureml-model-session":"d20260402084046-4209e968","cache-control":"no-cache","connection":"close","content-length":"1014","content-type":"application/json","date":"Thu, 30 Apr 2026 01:05:22 GMT","server":"nginx","skip-error-remapping":"true","strict-transport-security":"max-age=31536000; includeSubDomains; preload","via":"1.1 Caddy","x-content-type-options":"nosniff","x-ms-client-request-id":"Not-Set","x-ms-is-spilled-over":"false","x-ms-rai-invoked":"false","x-ms-region":"East US 2","x-new-api-version":"0.4.35","x-oneapi-request-id":"202604300105192265871378268d9d6G1ZvIhb2","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c5cb81a0-b72c-4eff-b1ec-7024f9952f89"}</t>
        </is>
      </c>
      <c r="N147" t="inlineStr">
        <is>
          <t>Arc'teryx Urban Exploration Khaki Gold Backpack, made from ripstop nylon, lightweight and durable. Ergonomic straps, multi-compartment design, unisex style blending function with minimalist outdoor fashion.</t>
        </is>
      </c>
      <c r="O147" t="inlineStr">
        <is>
          <t>{"id":"chatcmpl-DaASPgFEfMFTdyDnc3EGmPM95zINH","object":"chat.completion","created":1777512377,"model":"gpt-5-chat-2025-10-03","choices":[{"index":0,"message":{"role":"assistant","content":"Arc'teryx,Backpack,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90,"total_tokens":874,"prompt_tokens_details":{"cached_tokens":0,"audio_tokens":0},"completion_tokens_details":{"reasoning_tokens":0,"audio_tokens":0,"accepted_prediction_tokens":0,"rejected_prediction_tokens":0}},"service_tier":"default","system_fingerprint":"fp_fd471178c5"}</t>
        </is>
      </c>
      <c r="P147" t="inlineStr">
        <is>
          <t>Arc'teryx,Backpack,kakobuy,kakebuy2026,kekobuysheet,kakobuysheet2026,2026kakobuy,kakobuyspreadsheeet,kakobuylink,kakebuylist,Kakobuy MEGA Spreadsheet,kakobuysheetfind,kakobuysheetfind2026,2026kakobuysheetfind,kakobuysheet2026</t>
        </is>
      </c>
      <c r="Q147" t="inlineStr">
        <is>
          <t>Backpack, Nylon, Lightweight, Unisex, Minimalist, Outdoor</t>
        </is>
      </c>
      <c r="R147" t="inlineStr">
        <is>
          <t>recvhju1CrR4ex</t>
        </is>
      </c>
      <c r="S147" t="inlineStr">
        <is>
          <t>arcteryx-urban-exploration-khaki-gold-nylon-backpack-recvhju1crr4ex</t>
        </is>
      </c>
      <c r="T147"/>
      <c r="U147"/>
      <c r="V147"/>
      <c r="W147" t="inlineStr">
        <is>
          <t>{"id":"chatcmpl-Da9sUcb5LUvaSIZgSQ184rEeLMn6b","object":"chat.completion","created":1777510150,"model":"gpt-5-chat-2025-10-03","choices":[{"index":0,"message":{"role":"assistant","content":"Arc'teryx：都市探险系列卡其金配色功能背包，防撕裂尼龙面料打造，轻盈耐磨。采用人体工学肩带与多仓储物设计，兼顾实用与户外时尚，男女皆宜，彰显简约机能风格。","refusal":null,"annotations":[]},"logprobs":null,"finish_reason":"stop"}],"usage":{"prompt_tokens":1301,"completion_tokens":70,"total_tokens":1371,"prompt_tokens_details":{"cached_tokens":1280,"audio_tokens":0},"completion_tokens_details":{"reasoning_tokens":0,"audio_tokens":0,"accepted_prediction_tokens":0,"rejected_prediction_tokens":0}},"service_tier":"default","system_fingerprint":"fp_ad66631dec"}</t>
        </is>
      </c>
      <c r="X147" t="inlineStr">
        <is>
          <t>Arc'teryx：都市探险系列卡其金配色功能背包，防撕裂尼龙面料打造，轻盈耐磨。采用人体工学肩带与多仓储物设计，兼顾实用与户外时尚，男女皆宜，彰显简约机能风格。</t>
        </is>
      </c>
    </row>
    <row r="148" ht="25.5" customHeight="1">
      <c r="A148">
        <v>1654975475</v>
      </c>
      <c r="B148">
        <v>7623828681</v>
      </c>
      <c r="C148" s="2" t="str">
        <f>=HYPERLINK("https://weidian.com/item.html?itemID=7623828681", "https://weidian.com/item.html?itemID=7623828681")</f>
        <v>https://weidian.com/item.html?itemID=7623828681</v>
      </c>
      <c r="D148"/>
      <c r="E148" s="2" t="str">
        <f>=HYPERLINK("https://si.geilicdn.com/pcitem2014204438-63260000019ae45333310a23041a_1440_1920.jpg?w=640&amp;h=640", "https://si.geilicdn.com/pcitem2014204438-63260000019ae45333310a23041a_1440_1920.jpg?w=640&amp;h=640")</f>
        <v>https://si.geilicdn.com/pcitem2014204438-63260000019ae45333310a23041a_1440_1920.jpg?w=640&amp;h=640</v>
      </c>
      <c r="F148" t="inlineStr">
        <is>
          <t>Accessories</t>
        </is>
      </c>
      <c r="G148" t="inlineStr">
        <is>
          <t>Arc teryx</t>
        </is>
      </c>
      <c r="H148">
        <v>380</v>
      </c>
      <c r="I148">
        <v>55.07</v>
      </c>
      <c r="J148" t="inlineStr">
        <is>
          <t>{"id":"chatcmpl-DaAJPk0A38N44WneSVqaUohVMWFnK","object":"chat.completion","created":1777511819,"model":"gpt-5-chat-2025-10-03","choices":[{"index":0,"message":{"role":"assistant","content":"Arc'teryx Golden Nylon Waterproof Hiking Backpack","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fd471178c5"}</t>
        </is>
      </c>
      <c r="K148" t="inlineStr">
        <is>
          <t>Arc'teryx Golden Nylon Waterproof Hiking Backpack</t>
        </is>
      </c>
      <c r="L148" t="inlineStr">
        <is>
          <t>{"id":"chatcmpl-DaADCNddX5JvF2d82E9TpTZncUoAG","object":"chat.completion","created":1777511434,"model":"gpt-5-chat-2025-10-03","choices":[{"index":0,"message":{"role":"assistant","content":"Arc'teryx multifunctional golden hiking backpack made of durable water-resistant nylon with ergonomic, breathable straps and sleek design; unisex style for outdoor adventures or daily commutes.","refusal":null,"annotations":[]},"logprobs":null,"finish_reason":"stop"}],"usage":{"prompt_tokens":921,"completion_tokens":36,"total_tokens":957,"prompt_tokens_details":{"cached_tokens":0,"audio_tokens":0},"completion_tokens_details":{"reasoning_tokens":0,"audio_tokens":0,"accepted_prediction_tokens":0,"rejected_prediction_tokens":0}},"service_tier":"default","system_fingerprint":"fp_ad66631dec"}</t>
        </is>
      </c>
      <c r="M148" t="inlineStr">
        <is>
          <t>{"alt-svc":"h3=\":443\"; ma=2592000","apim-request-id":"6af18e5f-4f88-48d9-896b-5d6ffcdb9d25","azureml-model-session":"d20260402083108-57a85543","cache-control":"no-cache","connection":"close","content-length":"1001","content-type":"application/json","date":"Thu, 30 Apr 2026 01:10:35 GMT","server":"Caddy","skip-error-remapping":"true","strict-transport-security":"max-age=31536000; includeSubDomains; preload","x-content-type-options":"nosniff","x-ms-client-request-id":"Not-Set","x-ms-is-spilled-over":"false","x-ms-rai-invoked":"false","x-ms-region":"North Central US","x-new-api-version":"0.4.35","x-oneapi-request-id":"202604300110331008035888268d9d6B29h6GMg","x-ratelimit-abusepenalty-active":"False","x-ratelimit-key":"gpt-5-chat-global","x-ratelimit-limit-requests":"1000","x-ratelimit-limit-tokens":"1000000","x-ratelimit-remaining-requests":"999","x-ratelimit-remaining-tokens":"984393","x-ratelimit-renewalperiod-requests":"60","x-ratelimit-renewalperiod-tokens":"60","x-ratelimit-reset-requests":"60","x-ratelimit-reset-tokens":"936","x-request-id":"0ed14a68-f3bf-4883-b876-50f47b797e16"}</t>
        </is>
      </c>
      <c r="N148" t="inlineStr">
        <is>
          <t>Arc'teryx multifunctional golden hiking backpack made of durable water-resistant nylon with ergonomic, breathable straps and sleek design; unisex style for outdoor adventures or daily commutes.</t>
        </is>
      </c>
      <c r="O148" t="inlineStr">
        <is>
          <t>{"id":"chatcmpl-DaAQx0rCoxnbtKHGOxhdoSh6sQUzP","object":"chat.completion","created":1777512287,"model":"gpt-5-chat-2025-10-03","choices":[{"index":0,"message":{"role":"assistant","content":"Arc'teryx,Backpack,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90,"total_tokens":874,"prompt_tokens_details":{"cached_tokens":0,"audio_tokens":0},"completion_tokens_details":{"reasoning_tokens":0,"audio_tokens":0,"accepted_prediction_tokens":0,"rejected_prediction_tokens":0}},"service_tier":"default","system_fingerprint":"fp_ad66631dec"}</t>
        </is>
      </c>
      <c r="P148" t="inlineStr">
        <is>
          <t>Arc'teryx,Backpack,kakobuy,kakebuy2026,kekobuysheet,kakobuysheet2026,2026kakobuy,kakobuyspreadsheeet,kakobuylink,kakebuylist,Kakobuy MEGA Spreadsheet,kakobuysheetfind,kakobuysheetfind2026,2026kakobuysheetfind,kakobuysheet2026</t>
        </is>
      </c>
      <c r="Q148" t="inlineStr">
        <is>
          <t>Backpack, Waterproof Shoes, Nylon, Outdoor, Unisex, Golden</t>
        </is>
      </c>
      <c r="R148" t="inlineStr">
        <is>
          <t>recvhju1CrirGL</t>
        </is>
      </c>
      <c r="S148" t="inlineStr">
        <is>
          <t>arcteryx-golden-nylon-waterproof-hiking-backpack-recvhju1crirgl</t>
        </is>
      </c>
      <c r="T148"/>
      <c r="U148"/>
      <c r="V148"/>
      <c r="W148" t="inlineStr">
        <is>
          <t>{"id":"chatcmpl-Da9qhBbaZRYrN2WN8eEvdt3VZNzw0","object":"chat.completion","created":1777510039,"model":"gpt-5-chat-2025-10-03","choices":[{"index":0,"message":{"role":"assistant","content":"Arc'teryx 金黄多功能登山背包，采用高耐磨防泼水尼龙材质，搭配人体工学肩带设计，轻盈透气兼具支撑力。简约流线造型融合品牌飞鸟标志刺绣，彰显户外高端质感。适合男女通用，户外探险与城市通勤皆宜。","refusal":null,"annotations":[]},"logprobs":null,"finish_reason":"stop"}],"usage":{"prompt_tokens":1299,"completion_tokens":88,"total_tokens":1387,"prompt_tokens_details":{"cached_tokens":0,"audio_tokens":0},"completion_tokens_details":{"reasoning_tokens":0,"audio_tokens":0,"accepted_prediction_tokens":0,"rejected_prediction_tokens":0}},"service_tier":"default","system_fingerprint":"fp_fd471178c5"}</t>
        </is>
      </c>
      <c r="X148" t="inlineStr">
        <is>
          <t>Arc'teryx 金黄多功能登山背包，采用高耐磨防泼水尼龙材质，搭配人体工学肩带设计，轻盈透气兼具支撑力。简约流线造型融合品牌飞鸟标志刺绣，彰显户外高端质感。适合男女通用，户外探险与城市通勤皆宜。</t>
        </is>
      </c>
    </row>
    <row r="149" ht="25.5" customHeight="1">
      <c r="A149">
        <v>1654975475</v>
      </c>
      <c r="B149">
        <v>7623911887</v>
      </c>
      <c r="C149" s="2" t="str">
        <f>=HYPERLINK("https://weidian.com/item.html?itemID=7623911887", "https://weidian.com/item.html?itemID=7623911887")</f>
        <v>https://weidian.com/item.html?itemID=7623911887</v>
      </c>
      <c r="D149"/>
      <c r="E149" s="2" t="str">
        <f>=HYPERLINK("https://si.geilicdn.com/pcitem2014204438-64ef0000019ae44fffdb0a2315ef_1080_810.jpg?w=640&amp;h=640", "https://si.geilicdn.com/pcitem2014204438-64ef0000019ae44fffdb0a2315ef_1080_810.jpg?w=640&amp;h=640")</f>
        <v>https://si.geilicdn.com/pcitem2014204438-64ef0000019ae44fffdb0a2315ef_1080_810.jpg?w=640&amp;h=640</v>
      </c>
      <c r="F149" t="inlineStr">
        <is>
          <t>Accessories</t>
        </is>
      </c>
      <c r="G149" t="inlineStr">
        <is>
          <t>Prada</t>
        </is>
      </c>
      <c r="H149">
        <v>820</v>
      </c>
      <c r="I149">
        <v>118.84</v>
      </c>
      <c r="J149" t="inlineStr">
        <is>
          <t>{"id":"chatcmpl-DaALpo1tFfQIpE0DpPLCeilH5tiCa","object":"chat.completion","created":1777511969,"model":"gpt-5-chat-2025-10-03","choices":[{"index":0,"message":{"role":"assistant","content":"Prada Black Leather Men’s Business Briefcase","refusal":null,"annotations":[]},"logprobs":null,"finish_reason":"stop"}],"usage":{"prompt_tokens":597,"completion_tokens":10,"total_tokens":607,"prompt_tokens_details":{"cached_tokens":0,"audio_tokens":0},"completion_tokens_details":{"reasoning_tokens":0,"audio_tokens":0,"accepted_prediction_tokens":0,"rejected_prediction_tokens":0}},"service_tier":"default","system_fingerprint":"fp_fd471178c5"}</t>
        </is>
      </c>
      <c r="K149" t="inlineStr">
        <is>
          <t>Prada Black Leather Men’s Business Briefcase</t>
        </is>
      </c>
      <c r="L149" t="inlineStr">
        <is>
          <t>{"id":"chatcmpl-DaADyy3YD7DCJIbIwpxoiCrE7dVH5","object":"chat.completion","created":1777511482,"model":"gpt-5-chat-2025-10-03","choices":[{"index":0,"message":{"role":"assistant","content":"Prada Black Leather Briefcase for Men, crafted from imported grained leather with sleek lines, adjustable shoulder strap and dual handles, featuring iconic metal triangle logo for a refined business style.","refusal":null,"annotations":[]},"logprobs":null,"finish_reason":"stop"}],"usage":{"prompt_tokens":615,"completion_tokens":38,"total_tokens":653,"prompt_tokens_details":{"cached_tokens":0,"audio_tokens":0},"completion_tokens_details":{"reasoning_tokens":0,"audio_tokens":0,"accepted_prediction_tokens":0,"rejected_prediction_tokens":0}},"service_tier":"default","system_fingerprint":"fp_fd471178c5"}</t>
        </is>
      </c>
      <c r="M149" t="inlineStr">
        <is>
          <t>{"alt-svc":"h3=\":443\"; ma=2592000","apim-request-id":"46c2d663-9454-4d7e-9818-a48446433748","azureml-model-session":"d20260428174121-807d9cc5","cache-control":"no-cache","connection":"close","content-length":"1013","content-type":"application/json","date":"Thu, 30 Apr 2026 01:11:23 GMT","server":"Caddy","skip-error-remapping":"true","strict-transport-security":"max-age=31536000; includeSubDomains; preload","x-content-type-options":"nosniff","x-ms-client-request-id":"Not-Set","x-ms-is-spilled-over":"false","x-ms-rai-invoked":"false","x-ms-region":"Central US","x-new-api-version":"0.4.35","x-oneapi-request-id":"20260430011122843510048268d9d6kRfXe3qK","x-ratelimit-abusepenalty-active":"False","x-ratelimit-key":"gpt-5-chat-global","x-ratelimit-limit-requests":"1000","x-ratelimit-limit-tokens":"1000000","x-ratelimit-remaining-requests":"999","x-ratelimit-remaining-tokens":"998621","x-ratelimit-renewalperiod-requests":"60","x-ratelimit-renewalperiod-tokens":"60","x-ratelimit-reset-requests":"60","x-ratelimit-reset-tokens":"82","x-request-id":"8c6837ca-4f00-4a93-94a8-ab2e8b97f3dd"}</t>
        </is>
      </c>
      <c r="N149" t="inlineStr">
        <is>
          <t>Prada Black Leather Briefcase for Men, crafted from imported grained leather with sleek lines, adjustable shoulder strap and dual handles, featuring iconic metal triangle logo for a refined business style.</t>
        </is>
      </c>
      <c r="O149" t="inlineStr">
        <is>
          <t>{"id":"chatcmpl-DaAUCtJFkQd6y5k7va80B7AqKLBZu","object":"chat.completion","created":1777512488,"model":"gpt-5-chat-2025-10-03","choices":[{"index":0,"message":{"role":"assistant","content":"Prada,Accessories,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87,"total_tokens":589,"prompt_tokens_details":{"cached_tokens":0,"audio_tokens":0},"completion_tokens_details":{"reasoning_tokens":0,"audio_tokens":0,"accepted_prediction_tokens":0,"rejected_prediction_tokens":0}},"service_tier":"default","system_fingerprint":"fp_fd471178c5"}</t>
        </is>
      </c>
      <c r="P149" t="inlineStr">
        <is>
          <t>Prada,Accessories,kakobuy,kakebuy2026,kekobuysheet,kakobuysheet2026,2026kakobuy,kakobuyspreadsheeet,kakobuylink,kakebuylist,Kakobuy MEGA Spreadsheet,kakobuysheetfind,kakobuysheetfind2026,2026kakobuysheetfind,kakobuysheet2026</t>
        </is>
      </c>
      <c r="Q149" t="inlineStr">
        <is>
          <t>Black, Leather, Business, Men</t>
        </is>
      </c>
      <c r="R149" t="inlineStr">
        <is>
          <t>recvhju1Cr7THB</t>
        </is>
      </c>
      <c r="S149" t="inlineStr">
        <is>
          <t>prada-black-leather-business-briefcase-recvhju1cr7thb</t>
        </is>
      </c>
      <c r="T149"/>
      <c r="U149"/>
      <c r="V149"/>
      <c r="W149" t="inlineStr">
        <is>
          <t>{"id":"chatcmpl-Da9qIRa1mbu5XQsWFD5M1Pb3OHNak","object":"chat.completion","created":1777510014,"model":"gpt-5-chat-2025-10-03","choices":[{"index":0,"message":{"role":"assistant","content":"Prada：黑色进口粒面皮革公文包，简约硬朗线条设计，配可调节织带肩带与手提双用功能，男士商务休闲风格，经典徽标金属三角标诠释奢华格调。","refusal":null,"annotations":[]},"logprobs":null,"finish_reason":"stop"}],"usage":{"prompt_tokens":1017,"completion_tokens":63,"total_tokens":1080,"prompt_tokens_details":{"cached_tokens":0,"audio_tokens":0},"completion_tokens_details":{"reasoning_tokens":0,"audio_tokens":0,"accepted_prediction_tokens":0,"rejected_prediction_tokens":0}},"service_tier":"default","system_fingerprint":"fp_fd471178c5"}</t>
        </is>
      </c>
      <c r="X149" t="inlineStr">
        <is>
          <t>Prada：黑色进口粒面皮革公文包，简约硬朗线条设计，配可调节织带肩带与手提双用功能，男士商务休闲风格，经典徽标金属三角标诠释奢华格调。</t>
        </is>
      </c>
    </row>
    <row r="150" ht="25.5" customHeight="1">
      <c r="A150">
        <v>1654975475</v>
      </c>
      <c r="B150">
        <v>7623751223</v>
      </c>
      <c r="C150" s="2" t="str">
        <f>=HYPERLINK("https://weidian.com/item.html?itemID=7623751223", "https://weidian.com/item.html?itemID=7623751223")</f>
        <v>https://weidian.com/item.html?itemID=7623751223</v>
      </c>
      <c r="D150"/>
      <c r="E150" s="2" t="str">
        <f>=HYPERLINK("https://si.geilicdn.com/pcitem2014204438-30360000019ae44cd0cb0a20e2c5_1440_1440.jpg?w=640&amp;h=640", "https://si.geilicdn.com/pcitem2014204438-30360000019ae44cd0cb0a20e2c5_1440_1440.jpg?w=640&amp;h=640")</f>
        <v>https://si.geilicdn.com/pcitem2014204438-30360000019ae44cd0cb0a20e2c5_1440_1440.jpg?w=640&amp;h=640</v>
      </c>
      <c r="F150" t="inlineStr">
        <is>
          <t>Accessories</t>
        </is>
      </c>
      <c r="G150" t="inlineStr">
        <is>
          <t>Montblanc</t>
        </is>
      </c>
      <c r="H150">
        <v>780</v>
      </c>
      <c r="I150">
        <v>113.04</v>
      </c>
      <c r="J150" t="inlineStr">
        <is>
          <t>{"id":"chatcmpl-DaALiB6udH0wvRk7XEC0w32GMdwWO","object":"chat.completion","created":1777511962,"model":"gpt-5-chat-2025-10-03","choices":[{"index":0,"message":{"role":"assistant","content":"Montblanc Black Croc Embossed Leather Men’s Briefcase","refusal":null,"annotations":[]},"logprobs":null,"finish_reason":"stop"}],"usage":{"prompt_tokens":880,"completion_tokens":15,"total_tokens":895,"prompt_tokens_details":{"cached_tokens":0,"audio_tokens":0},"completion_tokens_details":{"reasoning_tokens":0,"audio_tokens":0,"accepted_prediction_tokens":0,"rejected_prediction_tokens":0}},"service_tier":"default","system_fingerprint":"fp_ad66631dec"}</t>
        </is>
      </c>
      <c r="K150" t="inlineStr">
        <is>
          <t>Montblanc Black Croc Embossed Leather Men’s Briefcase</t>
        </is>
      </c>
      <c r="L150" t="inlineStr">
        <is>
          <t>{"id":"chatcmpl-DaAAzhEkWLouw8bj1tCm3XjnNe5ge","object":"chat.completion","created":1777511297,"model":"gpt-5-chat-2025-10-03","choices":[{"index":0,"message":{"role":"assistant","content":"Montblanc Black Croc-Embossed Leather Briefcase for Men, crafted from premium leather with metal logo and adjustable strap, blending business style and luxury for timeless elegance and practicality.","refusal":null,"annotations":[]},"logprobs":null,"finish_reason":"stop"}],"usage":{"prompt_tokens":908,"completion_tokens":39,"total_tokens":947,"prompt_tokens_details":{"cached_tokens":0,"audio_tokens":0},"completion_tokens_details":{"reasoning_tokens":0,"audio_tokens":0,"accepted_prediction_tokens":0,"rejected_prediction_tokens":0}},"service_tier":"default","system_fingerprint":"fp_ad66631dec"}</t>
        </is>
      </c>
      <c r="M150" t="inlineStr">
        <is>
          <t>{"alt-svc":"h3=\":443\"; ma=2592000","apim-request-id":"87e20a77-b40d-4b9f-8a85-c740782fcf9e","azureml-model-session":"d20260402074105-51db401e","cache-control":"no-cache","connection":"close","content-length":"1006","content-type":"application/json","date":"Thu, 30 Apr 2026 01:08:19 GMT","server":"Caddy","skip-error-remapping":"true","strict-transport-security":"max-age=31536000; includeSubDomains; preload","x-content-type-options":"nosniff","x-ms-client-request-id":"Not-Set","x-ms-is-spilled-over":"false","x-ms-rai-invoked":"false","x-ms-region":"Poland Central","x-new-api-version":"0.4.35","x-oneapi-request-id":"202604300108168665359788268d9d65RRQ2wJx","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977c1d9b-ebf9-4c53-aa38-2a8ae1ac0de0"}</t>
        </is>
      </c>
      <c r="N150" t="inlineStr">
        <is>
          <t>Montblanc Black Croc-Embossed Leather Briefcase for Men, crafted from premium leather with metal logo and adjustable strap, blending business style and luxury for timeless elegance and practicality.</t>
        </is>
      </c>
      <c r="O150" t="inlineStr">
        <is>
          <t>{"id":"chatcmpl-DaAQKxd1L67DfphNQmBdxWk51pDCT","object":"chat.completion","created":1777512248,"model":"gpt-5-chat-2025-10-03","choices":[{"index":0,"message":{"role":"assistant","content":"Montblanc,bag,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0" t="inlineStr">
        <is>
          <t>Montblanc,bag,kakobuy,kakebuy2026,kekobuysheet,kakobuysheet2026,2026kakobuy,kakobuyspreadsheeet,kakobuylink,kakebuylist,Kakobuy MEGA Spreadsheet,kakobuysheetfind,kakobuysheetfind2026,2026kakobuysheetfind,kakobuysheet2026</t>
        </is>
      </c>
      <c r="Q150" t="inlineStr">
        <is>
          <t>Business, Leather, Black, Men</t>
        </is>
      </c>
      <c r="R150" t="inlineStr">
        <is>
          <t>recvhju1Crjoqa</t>
        </is>
      </c>
      <c r="S150" t="inlineStr">
        <is>
          <t>montblanc-black-croc-embossed-leather-briefcase-recvhju1crjoqa</t>
        </is>
      </c>
      <c r="T150"/>
      <c r="U150"/>
      <c r="V150"/>
      <c r="W150" t="inlineStr">
        <is>
          <t>{"id":"chatcmpl-Da9r16FNz7INlADTaFoKpQCSWTsWF","object":"chat.completion","created":1777510059,"model":"gpt-5-chat-2025-10-03","choices":[{"index":0,"message":{"role":"assistant","content":"Montblanc：黑色鳄鱼纹男士商务公文包，甄选优质皮革材质，搭配金属LOGO与可调节织带，简约奢华设计展现绅士品味，兼具实用与时尚气质，彰显品牌经典魅力。","refusal":null,"annotations":[]},"logprobs":null,"finish_reason":"stop"}],"usage":{"prompt_tokens":1305,"completion_tokens":72,"total_tokens":1377,"prompt_tokens_details":{"cached_tokens":0,"audio_tokens":0},"completion_tokens_details":{"reasoning_tokens":0,"audio_tokens":0,"accepted_prediction_tokens":0,"rejected_prediction_tokens":0}},"service_tier":"default","system_fingerprint":"fp_ad66631dec"}</t>
        </is>
      </c>
      <c r="X150" t="inlineStr">
        <is>
          <t>Montblanc：黑色鳄鱼纹男士商务公文包，甄选优质皮革材质，搭配金属LOGO与可调节织带，简约奢华设计展现绅士品味，兼具实用与时尚气质，彰显品牌经典魅力。</t>
        </is>
      </c>
    </row>
    <row r="151" ht="25.5" customHeight="1">
      <c r="A151">
        <v>1654975475</v>
      </c>
      <c r="B151">
        <v>7626169530</v>
      </c>
      <c r="C151" s="2" t="str">
        <f>=HYPERLINK("https://weidian.com/item.html?itemID=7626169530", "https://weidian.com/item.html?itemID=7626169530")</f>
        <v>https://weidian.com/item.html?itemID=7626169530</v>
      </c>
      <c r="D151"/>
      <c r="E151" s="2" t="str">
        <f>=HYPERLINK("https://si.geilicdn.com/pcitem2014204438-2e450000019adf6cea040a230115_1440_1920.jpg?w=640&amp;h=640", "https://si.geilicdn.com/pcitem2014204438-2e450000019adf6cea040a230115_1440_1920.jpg?w=640&amp;h=640")</f>
        <v>https://si.geilicdn.com/pcitem2014204438-2e450000019adf6cea040a230115_1440_1920.jpg?w=640&amp;h=640</v>
      </c>
      <c r="F151" t="inlineStr">
        <is>
          <t>Glasses</t>
        </is>
      </c>
      <c r="G151" t="inlineStr">
        <is>
          <t>Celine</t>
        </is>
      </c>
      <c r="H151">
        <v>390</v>
      </c>
      <c r="I151">
        <v>56.52</v>
      </c>
      <c r="J151" t="inlineStr">
        <is>
          <t>{"id":"chatcmpl-DaAJ0kr0LS9VyUioPBaQcz42rW5ph","object":"chat.completion","created":1777511794,"model":"gpt-5-chat-2025-10-03","choices":[{"index":0,"message":{"role":"assistant","content":"Celine Black Oval Vintage UV Protection Sunglasses","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fd471178c5"}</t>
        </is>
      </c>
      <c r="K151" t="inlineStr">
        <is>
          <t>Celine Black Oval Vintage UV Protection Sunglasses</t>
        </is>
      </c>
      <c r="L151" t="inlineStr">
        <is>
          <t>{"id":"chatcmpl-DaADn7jxkUlgqXyTFbPk5oJsOht4S","object":"chat.completion","created":1777511471,"model":"gpt-5-chat-2025-10-03","choices":[{"index":0,"message":{"role":"assistant","content":"Celine Black Oval Vintage Sunglasses – Glossy acetate frame with smooth curves, UV-protection lenses, unisex French minimalist style for modern city life, travel and daily wear.","refusal":null,"annotations":[]},"logprobs":null,"finish_reason":"stop"}],"usage":{"prompt_tokens":917,"completion_tokens":37,"total_tokens":954,"prompt_tokens_details":{"cached_tokens":0,"audio_tokens":0},"completion_tokens_details":{"reasoning_tokens":0,"audio_tokens":0,"accepted_prediction_tokens":0,"rejected_prediction_tokens":0}},"service_tier":"default","system_fingerprint":"fp_ad66631dec"}</t>
        </is>
      </c>
      <c r="M151" t="inlineStr">
        <is>
          <t>{"alt-svc":"h3=\":443\"; ma=2592000","apim-request-id":"90dd01ba-203f-49e8-8650-f615a73d9326","azureml-model-session":"d20260402084046-4209e968","cache-control":"no-cache","connection":"close","content-length":"987","content-type":"application/json","date":"Thu, 30 Apr 2026 01:11:12 GMT","server":"Caddy","skip-error-remapping":"true","strict-transport-security":"max-age=31536000; includeSubDomains; preload","x-content-type-options":"nosniff","x-ms-client-request-id":"Not-Set","x-ms-is-spilled-over":"false","x-ms-rai-invoked":"false","x-ms-region":"South Central US","x-new-api-version":"0.4.35","x-oneapi-request-id":"202604300111101605755258268d9d6bTStSEBf","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0a93cfa2-e898-451d-8d1f-4d7ce3321bde"}</t>
        </is>
      </c>
      <c r="N151" t="inlineStr">
        <is>
          <t>Celine Black Oval Vintage Sunglasses – Glossy acetate frame with smooth curves, UV-protection lenses, unisex French minimalist style for modern city life, travel and daily wear.</t>
        </is>
      </c>
      <c r="O151" t="inlineStr">
        <is>
          <t>{"id":"chatcmpl-DaAV1me6WqTJDANDaW0uYdRxUOzkK","object":"chat.completion","created":1777512539,"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1" t="inlineStr">
        <is>
          <t>Celine,Glasses,kakobuy,kakebuy2026,kekobuysheet,kakobuysheet2026,2026kakobuy,kakobuyspreadsheeet,kakobuylink,kakebuylist,Kakobuy MEGA Spreadsheet,kakobuysheetfind,kakobuysheetfind2026,2026kakobuysheetfind,kakobuysheet2026</t>
        </is>
      </c>
      <c r="Q151" t="inlineStr">
        <is>
          <t>Celine, Black, Minimalist, Unisex, Anti-Ultraviolet</t>
        </is>
      </c>
      <c r="R151" t="inlineStr">
        <is>
          <t>recvhju1CrOaMK</t>
        </is>
      </c>
      <c r="S151" t="inlineStr">
        <is>
          <t>celine-black-oval-vintage-uv-sunglasses-recvhju1crOaMK</t>
        </is>
      </c>
      <c r="T151"/>
      <c r="U151"/>
      <c r="V151"/>
      <c r="W151" t="inlineStr">
        <is>
          <t>{"id":"chatcmpl-Da9nqFGf9WREEl8Hv19J8hVsA0VlJ","object":"chat.completion","created":1777509862,"model":"gpt-5-chat-2025-10-03","choices":[{"index":0,"message":{"role":"assistant","content":"Celine：黑色椭圆复古太阳眼镜，采用高光醋酸纤维材质，镜框线条圆润优雅，展现法式极简风格；精密防UV镜片有效遮阳护眼，男女皆宜，彰显现代摩登格调，是日常出行与度假穿搭的理想之选。","refusal":null,"annotations":[]},"logprobs":null,"finish_reason":"stop"}],"usage":{"prompt_tokens":1298,"completion_tokens":84,"total_tokens":1382,"prompt_tokens_details":{"cached_tokens":0,"audio_tokens":0},"completion_tokens_details":{"reasoning_tokens":0,"audio_tokens":0,"accepted_prediction_tokens":0,"rejected_prediction_tokens":0}},"service_tier":"default","system_fingerprint":"fp_ad66631dec"}</t>
        </is>
      </c>
      <c r="X151" t="inlineStr">
        <is>
          <t>Celine：黑色椭圆复古太阳眼镜，采用高光醋酸纤维材质，镜框线条圆润优雅，展现法式极简风格；精密防UV镜片有效遮阳护眼，男女皆宜，彰显现代摩登格调，是日常出行与度假穿搭的理想之选。</t>
        </is>
      </c>
    </row>
    <row r="152" ht="25.5" customHeight="1">
      <c r="A152">
        <v>1654975475</v>
      </c>
      <c r="B152">
        <v>7626289668</v>
      </c>
      <c r="C152" s="2" t="str">
        <f>=HYPERLINK("https://weidian.com/item.html?itemID=7626289668", "https://weidian.com/item.html?itemID=7626289668")</f>
        <v>https://weidian.com/item.html?itemID=7626289668</v>
      </c>
      <c r="D152"/>
      <c r="E152" s="2" t="str">
        <f>=HYPERLINK("https://si.geilicdn.com/pcitem2014204438-35c30000019adf6ac54a0a23057e_1440_1920.jpg?w=640&amp;h=640", "https://si.geilicdn.com/pcitem2014204438-35c30000019adf6ac54a0a23057e_1440_1920.jpg?w=640&amp;h=640")</f>
        <v>https://si.geilicdn.com/pcitem2014204438-35c30000019adf6ac54a0a23057e_1440_1920.jpg?w=640&amp;h=640</v>
      </c>
      <c r="F152" t="inlineStr">
        <is>
          <t>Glasses</t>
        </is>
      </c>
      <c r="G152" t="inlineStr">
        <is>
          <t>Fendi</t>
        </is>
      </c>
      <c r="H152">
        <v>340</v>
      </c>
      <c r="I152">
        <v>49.2898550724637</v>
      </c>
      <c r="J152" t="inlineStr">
        <is>
          <t>{"id":"chatcmpl-DaAJ8YG8s4TAyAvz929fnOiktdRD7","object":"chat.completion","created":1777511802,"model":"gpt-5-chat-2025-10-03","choices":[{"index":0,"message":{"role":"assistant","content":"Fendi Gradient Purple Gold Square Sunglasses","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fd471178c5"}</t>
        </is>
      </c>
      <c r="K152" t="inlineStr">
        <is>
          <t>Fendi Gradient Purple Gold Square Sunglasses</t>
        </is>
      </c>
      <c r="L152" t="inlineStr">
        <is>
          <t>{"id":"chatcmpl-DaADiDhBhsUOfJv7yd6msp4MVH3MV","object":"chat.completion","created":1777511466,"model":"gpt-5-chat-2025-10-03","choices":[{"index":0,"message":{"role":"assistant","content":"Fendi Gradient Purple Gold Square Sunglasses feature sleek metal and acetate frame, logo temples, unisex geometric design for modern luxury, perfect for city style and vacation fashion.","refusal":null,"annotations":[]},"logprobs":null,"finish_reason":"stop"}],"usage":{"prompt_tokens":918,"completion_tokens":35,"total_tokens":953,"prompt_tokens_details":{"cached_tokens":0,"audio_tokens":0},"completion_tokens_details":{"reasoning_tokens":0,"audio_tokens":0,"accepted_prediction_tokens":0,"rejected_prediction_tokens":0}},"service_tier":"default","system_fingerprint":"fp_ad66631dec"}</t>
        </is>
      </c>
      <c r="M152" t="inlineStr">
        <is>
          <t>{"alt-svc":"h3=\":443\"; ma=2592000","apim-request-id":"c24a8a7f-e162-48c4-8020-3ade1e121719","azureml-model-session":"d20260402083108-57a85543","cache-control":"no-cache","connection":"close","content-length":"993","content-type":"application/json","date":"Thu, 30 Apr 2026 01:11:08 GMT","server":"Caddy","skip-error-remapping":"true","strict-transport-security":"max-age=31536000; includeSubDomains; preload","x-content-type-options":"nosniff","x-ms-client-request-id":"Not-Set","x-ms-is-spilled-over":"false","x-ms-rai-invoked":"false","x-ms-region":"Sweden Central","x-new-api-version":"0.4.35","x-oneapi-request-id":"202604300111055335697698268d9d6XK16ODMX","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c9223491-1e03-4010-8f9e-55ea77ea5b64"}</t>
        </is>
      </c>
      <c r="N152" t="inlineStr">
        <is>
          <t>Fendi Gradient Purple Gold Square Sunglasses feature sleek metal and acetate frame, logo temples, unisex geometric design for modern luxury, perfect for city style and vacation fashion.</t>
        </is>
      </c>
      <c r="O152" t="inlineStr">
        <is>
          <t>{"id":"chatcmpl-DaARu0OjTaRSqSQBANdH211g3zY56","object":"chat.completion","created":1777512346,"model":"gpt-5-chat-2025-10-03","choices":[{"index":0,"message":{"role":"assistant","content":"Fend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2" t="inlineStr">
        <is>
          <t>Fendi,Glasses,kakobuy,kakebuy2026,kekobuysheet,kakobuysheet2026,2026kakobuy,kakobuyspreadsheeet,kakobuylink,kakebuylist,Kakobuy MEGA Spreadsheet,kakobuysheetfind,kakobuysheetfind2026,2026kakobuysheetfind,kakobuysheet2026</t>
        </is>
      </c>
      <c r="Q152" t="inlineStr">
        <is>
          <t>Unisex, Geometric, Modern, Acetate Fiber, Purple, Gold</t>
        </is>
      </c>
      <c r="R152" t="inlineStr">
        <is>
          <t>recvhju1Cr76S7</t>
        </is>
      </c>
      <c r="S152" t="inlineStr">
        <is>
          <t>fendi-gradient-purple-gold-square-sunglasses-recvhju1cr76s7</t>
        </is>
      </c>
      <c r="T152"/>
      <c r="U152"/>
      <c r="V152"/>
      <c r="W152" t="inlineStr">
        <is>
          <t>{"id":"chatcmpl-Da9rqSuXPkD3hd2aPnya4oL8pRjeq","object":"chat.completion","created":1777510110,"model":"gpt-5-chat-2025-10-03","choices":[{"index":0,"message":{"role":"assistant","content":"Fendi：渐变紫金色方框太阳镜，采用轻盈金属与醋酸纤维材质，镜腿饰以品牌标识细节，展现摩登奢华风格。男女通用款，时尚几何线条设计，彰显优雅复古格调，适合都市休闲与度假搭配。","refusal":null,"annotations":[]},"logprobs":null,"finish_reason":"stop"}],"usage":{"prompt_tokens":1304,"completion_tokens":82,"total_tokens":1386,"prompt_tokens_details":{"cached_tokens":0,"audio_tokens":0},"completion_tokens_details":{"reasoning_tokens":0,"audio_tokens":0,"accepted_prediction_tokens":0,"rejected_prediction_tokens":0}},"service_tier":"default","system_fingerprint":"fp_fd471178c5"}</t>
        </is>
      </c>
      <c r="X152" t="inlineStr">
        <is>
          <t>Fendi：渐变紫金色方框太阳镜，采用轻盈金属与醋酸纤维材质，镜腿饰以品牌标识细节，展现摩登奢华风格。男女通用款，时尚几何线条设计，彰显优雅复古格调，适合都市休闲与度假搭配。</t>
        </is>
      </c>
    </row>
    <row r="153" ht="25.5" customHeight="1">
      <c r="A153">
        <v>1654975475</v>
      </c>
      <c r="B153">
        <v>7626275794</v>
      </c>
      <c r="C153" s="2" t="str">
        <f>=HYPERLINK("https://weidian.com/item.html?itemID=7626275794", "https://weidian.com/item.html?itemID=7626275794")</f>
        <v>https://weidian.com/item.html?itemID=7626275794</v>
      </c>
      <c r="D153"/>
      <c r="E153" s="2" t="str">
        <f>=HYPERLINK("https://si.geilicdn.com/pcitem2014204438-384d0000019adf65a7070a23041a_1080_1440.jpg?w=640&amp;h=640", "https://si.geilicdn.com/pcitem2014204438-384d0000019adf65a7070a23041a_1080_1440.jpg?w=640&amp;h=640")</f>
        <v>https://si.geilicdn.com/pcitem2014204438-384d0000019adf65a7070a23041a_1080_1440.jpg?w=640&amp;h=640</v>
      </c>
      <c r="F153" t="inlineStr">
        <is>
          <t>Glasses</t>
        </is>
      </c>
      <c r="G153" t="inlineStr">
        <is>
          <t xml:space="preserve"> Louis Vuitton</t>
        </is>
      </c>
      <c r="H153">
        <v>370</v>
      </c>
      <c r="I153">
        <v>53.62</v>
      </c>
      <c r="J153" t="inlineStr">
        <is>
          <t>{"id":"chatcmpl-DaAH9HsjEVkV80bSq6MUlvb2jTq8l","object":"chat.completion","created":1777511679,"model":"gpt-5-chat-2025-10-03","choices":[{"index":0,"message":{"role":"assistant","content":"Louis Vuitton Black Square UV Protection Sunglasses","refusal":null,"annotations":[]},"logprobs":null,"finish_reason":"stop"}],"usage":{"prompt_tokens":866,"completion_tokens":9,"total_tokens":875,"prompt_tokens_details":{"cached_tokens":0,"audio_tokens":0},"completion_tokens_details":{"reasoning_tokens":0,"audio_tokens":0,"accepted_prediction_tokens":0,"rejected_prediction_tokens":0}},"service_tier":"default","system_fingerprint":"fp_ad66631dec"}</t>
        </is>
      </c>
      <c r="K153" t="inlineStr">
        <is>
          <t>Louis Vuitton Black Square UV Protection Sunglasses</t>
        </is>
      </c>
      <c r="L153" t="inlineStr">
        <is>
          <t>{"id":"chatcmpl-DaAE8N9eR5mg2M3kwIaD3SxBLIlSx","object":"chat.completion","created":1777511492,"model":"gpt-5-chat-2025-10-03","choices":[{"index":0,"message":{"role":"assistant","content":"Louis Vuitton black square sunglasses with acetate frame and gold LV logo, offering UV protection and unisex design. Classic yet modern, perfect for luxury urban style.","refusal":null,"annotations":[]},"logprobs":null,"finish_reason":"stop"}],"usage":{"prompt_tokens":903,"completion_tokens":32,"total_tokens":935,"prompt_tokens_details":{"cached_tokens":0,"audio_tokens":0},"completion_tokens_details":{"reasoning_tokens":0,"audio_tokens":0,"accepted_prediction_tokens":0,"rejected_prediction_tokens":0}},"service_tier":"default","system_fingerprint":"fp_ad66631dec"}</t>
        </is>
      </c>
      <c r="M153" t="inlineStr">
        <is>
          <t>{"alt-svc":"h3=\":443\"; ma=2592000","apim-request-id":"210271df-c20d-4074-9e1a-202abf67e204","azureml-model-session":"d20260402084046-4209e968","cache-control":"no-cache","connection":"close","content-length":"976","content-type":"application/json","date":"Thu, 30 Apr 2026 01:11:33 GMT","server":"nginx","skip-error-remapping":"true","strict-transport-security":"max-age=31536000; includeSubDomains; preload","via":"1.1 Caddy","x-content-type-options":"nosniff","x-ms-client-request-id":"Not-Set","x-ms-is-spilled-over":"false","x-ms-rai-invoked":"false","x-ms-region":"East US 2","x-new-api-version":"0.4.35","x-oneapi-request-id":"202604300111315585379048268d9d6jeCA3tER","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ead3687b-a1d7-4a29-94ac-0ff18b27a50b"}</t>
        </is>
      </c>
      <c r="N153" t="inlineStr">
        <is>
          <t>Louis Vuitton black square sunglasses with acetate frame and gold LV logo, offering UV protection and unisex design. Classic yet modern, perfect for luxury urban style.</t>
        </is>
      </c>
      <c r="O153" t="inlineStr">
        <is>
          <t>{"id":"chatcmpl-DaAPAw1EEQvXruHCfI0DTaojMKoeV","object":"chat.completion","created":1777512176,"model":"gpt-5-chat-2025-10-03","choices":[{"index":0,"message":{"role":"assistant","content":"Louis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3" t="inlineStr">
        <is>
          <t>Louis Vuitton,Glasses,kakobuy,kakebuy2026,kekobuysheet,kakobuysheet2026,2026kakobuy,kakobuyspreadsheeet,kakobuylink,kakebuylist,Kakobuy MEGA Spreadsheet,kakobuysheetfind,kakobuysheetfind2026,2026kakobuysheetfind,kakobuysheet2026</t>
        </is>
      </c>
      <c r="Q153" t="inlineStr">
        <is>
          <t>LV, Acetate Fiber, Gold, Classic, Modern, Unisex</t>
        </is>
      </c>
      <c r="R153" t="inlineStr">
        <is>
          <t>recvhju1Crh1Yh</t>
        </is>
      </c>
      <c r="S153" t="inlineStr">
        <is>
          <t>louis-vuitton-black-square-uv-sunglasses-recvhju1crh1yh</t>
        </is>
      </c>
      <c r="T153"/>
      <c r="U153"/>
      <c r="V153"/>
      <c r="W153" t="inlineStr">
        <is>
          <t>{"id":"chatcmpl-Da9q3buKS5ygthinyI2p1yt3BNYVX","object":"chat.completion","created":1777509999,"model":"gpt-5-chat-2025-10-03","choices":[{"index":0,"message":{"role":"assistant","content":"Louis Vuitton：黑色方框太阳眼镜，醋酸纤维镜架搭配金色LV标志装饰，彰显奢华现代感，UV防护镜片设计，男女皆宜，融合经典与前卫的时尚态度，展现高端都市格调。","refusal":null,"annotations":[]},"logprobs":null,"finish_reason":"stop"}],"usage":{"prompt_tokens":1302,"completion_tokens":68,"total_tokens":1370,"prompt_tokens_details":{"cached_tokens":0,"audio_tokens":0},"completion_tokens_details":{"reasoning_tokens":0,"audio_tokens":0,"accepted_prediction_tokens":0,"rejected_prediction_tokens":0}},"service_tier":"default","system_fingerprint":"fp_ad66631dec"}</t>
        </is>
      </c>
      <c r="X153" t="inlineStr">
        <is>
          <t>Louis Vuitton：黑色方框太阳眼镜，醋酸纤维镜架搭配金色LV标志装饰，彰显奢华现代感，UV防护镜片设计，男女皆宜，融合经典与前卫的时尚态度，展现高端都市格调。</t>
        </is>
      </c>
    </row>
    <row r="154" ht="25.5" customHeight="1">
      <c r="A154">
        <v>1654975475</v>
      </c>
      <c r="B154">
        <v>7623279879</v>
      </c>
      <c r="C154" s="2" t="str">
        <f>=HYPERLINK("https://weidian.com/item.html?itemID=7623279879", "https://weidian.com/item.html?itemID=7623279879")</f>
        <v>https://weidian.com/item.html?itemID=7623279879</v>
      </c>
      <c r="D154"/>
      <c r="E154" s="2" t="str">
        <f>=HYPERLINK("https://si.geilicdn.com/pcitem2014204438-2cb40000019adf5b3e0d0a210256_1440_1920.jpg?w=640&amp;h=640", "https://si.geilicdn.com/pcitem2014204438-2cb40000019adf5b3e0d0a210256_1440_1920.jpg?w=640&amp;h=640")</f>
        <v>https://si.geilicdn.com/pcitem2014204438-2cb40000019adf5b3e0d0a210256_1440_1920.jpg?w=640&amp;h=640</v>
      </c>
      <c r="F154" t="inlineStr">
        <is>
          <t>Glasses</t>
        </is>
      </c>
      <c r="G154" t="inlineStr">
        <is>
          <t>Celine</t>
        </is>
      </c>
      <c r="H154">
        <v>390</v>
      </c>
      <c r="I154">
        <v>56.5217391304347</v>
      </c>
      <c r="J154" t="inlineStr">
        <is>
          <t>{"id":"chatcmpl-DaAIJXZ8NVYTddC0T9Bwvr1U33LT7","object":"chat.completion","created":1777511751,"model":"gpt-5-chat-2025-10-03","choices":[{"index":0,"message":{"role":"assistant","content":"Celine Black Retro Oval Polarized Sunglasses","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fd471178c5"}</t>
        </is>
      </c>
      <c r="K154" t="inlineStr">
        <is>
          <t>Celine Black Retro Oval Polarized Sunglasses</t>
        </is>
      </c>
      <c r="L154" t="inlineStr">
        <is>
          <t>{"id":"chatcmpl-DaA9YVuGgDBzo6z8vvZI41rHoFwtS","object":"chat.completion","created":1777511208,"model":"gpt-5-chat-2025-10-03","choices":[{"index":0,"message":{"role":"assistant","content":"Celine Black Retro Oval Sunglasses feature high-gloss acetate frames and UV-protection polarized lenses. Unisex Parisian minimalist style blending fashion and function for modern elegance.","refusal":null,"annotations":[]},"logprobs":null,"finish_reason":"stop"}],"usage":{"prompt_tokens":901,"completion_tokens":35,"total_tokens":936,"prompt_tokens_details":{"cached_tokens":0,"audio_tokens":0},"completion_tokens_details":{"reasoning_tokens":0,"audio_tokens":0,"accepted_prediction_tokens":0,"rejected_prediction_tokens":0}},"service_tier":"default","system_fingerprint":"fp_ad66631dec"}</t>
        </is>
      </c>
      <c r="M154" t="inlineStr">
        <is>
          <t>{"alt-svc":"h3=\":443\"; ma=2592000","apim-request-id":"e49a61c2-19c2-4105-b784-120d44096807","azureml-model-session":"d20260402084046-4209e968","cache-control":"no-cache","connection":"close","content-length":"996","content-type":"application/json","date":"Thu, 30 Apr 2026 01:06:49 GMT","server":"Caddy","skip-error-remapping":"true","strict-transport-security":"max-age=31536000; includeSubDomains; preload","x-content-type-options":"nosniff","x-ms-client-request-id":"Not-Set","x-ms-is-spilled-over":"false","x-ms-rai-invoked":"false","x-ms-region":"Central US","x-new-api-version":"0.4.35","x-oneapi-request-id":"202604300106471596409008268d9d6v987zkXA","x-ratelimit-abusepenalty-active":"False","x-ratelimit-key":"gpt-5-chat-global","x-ratelimit-limit-requests":"1000","x-ratelimit-limit-tokens":"1000000","x-ratelimit-remaining-requests":"998","x-ratelimit-remaining-tokens":"996357","x-ratelimit-renewalperiod-requests":"60","x-ratelimit-renewalperiod-tokens":"60","x-ratelimit-reset-requests":"104","x-ratelimit-reset-tokens":"218","x-request-id":"4170de38-532d-4a39-ae29-5ea04556b830"}</t>
        </is>
      </c>
      <c r="N154" t="inlineStr">
        <is>
          <t>Celine Black Retro Oval Sunglasses feature high-gloss acetate frames and UV-protection polarized lenses. Unisex Parisian minimalist style blending fashion and function for modern elegance.</t>
        </is>
      </c>
      <c r="O154" t="inlineStr">
        <is>
          <t>{"id":"chatcmpl-DaATf4ziPoEt5MK7ke25ZGx043RVg","object":"chat.completion","created":1777512455,"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4" t="inlineStr">
        <is>
          <t>Celine,Glasses,kakobuy,kakebuy2026,kekobuysheet,kakobuysheet2026,2026kakobuy,kakobuyspreadsheeet,kakobuylink,kakebuylist,Kakobuy MEGA Spreadsheet,kakobuysheetfind,kakobuysheetfind2026,2026kakobuysheetfind,kakobuysheet2026</t>
        </is>
      </c>
      <c r="Q154" t="inlineStr">
        <is>
          <t>Celine, Black, Retro, Minimalist, Unisex, Fashion</t>
        </is>
      </c>
      <c r="R154" t="inlineStr">
        <is>
          <t>recvhju1Crb5tr</t>
        </is>
      </c>
      <c r="S154" t="inlineStr">
        <is>
          <t>celine-black-retro-oval-polarized-sunglasses-recvhju1crb5tr</t>
        </is>
      </c>
      <c r="T154"/>
      <c r="U154"/>
      <c r="V154"/>
      <c r="W154" t="inlineStr">
        <is>
          <t>{"id":"chatcmpl-Da9nl3YAKimumApX6OGlwOPRGdlMN","object":"chat.completion","created":1777509857,"model":"gpt-5-chat-2025-10-03","choices":[{"index":0,"message":{"role":"assistant","content":"Celine：黑色复古椭圆太阳眼镜，采用高亮醋酸板材镜框与防紫外偏光镜片，简约巴黎风格设计，彰显现代优雅气质，适合男女通用，兼具时尚与防护功能。","refusal":null,"annotations":[]},"logprobs":null,"finish_reason":"stop"}],"usage":{"prompt_tokens":1306,"completion_tokens":64,"total_tokens":1370,"prompt_tokens_details":{"cached_tokens":0,"audio_tokens":0},"completion_tokens_details":{"reasoning_tokens":0,"audio_tokens":0,"accepted_prediction_tokens":0,"rejected_prediction_tokens":0}},"service_tier":"default","system_fingerprint":"fp_fd471178c5"}</t>
        </is>
      </c>
      <c r="X154" t="inlineStr">
        <is>
          <t>Celine：黑色复古椭圆太阳眼镜，采用高亮醋酸板材镜框与防紫外偏光镜片，简约巴黎风格设计，彰显现代优雅气质，适合男女通用，兼具时尚与防护功能。</t>
        </is>
      </c>
    </row>
    <row r="155" ht="25.5" customHeight="1">
      <c r="A155">
        <v>1654975475</v>
      </c>
      <c r="B155">
        <v>7626092560</v>
      </c>
      <c r="C155" s="2" t="str">
        <f>=HYPERLINK("https://weidian.com/item.html?itemID=7626092560", "https://weidian.com/item.html?itemID=7626092560")</f>
        <v>https://weidian.com/item.html?itemID=7626092560</v>
      </c>
      <c r="D155"/>
      <c r="E155" s="2" t="str">
        <f>=HYPERLINK("https://si.geilicdn.com/pcitem2014204438-71750000019adf512a470a811411_1074_1074.jpg?w=640&amp;h=640", "https://si.geilicdn.com/pcitem2014204438-71750000019adf512a470a811411_1074_1074.jpg?w=640&amp;h=640")</f>
        <v>https://si.geilicdn.com/pcitem2014204438-71750000019adf512a470a811411_1074_1074.jpg?w=640&amp;h=640</v>
      </c>
      <c r="F155" t="inlineStr">
        <is>
          <t>Glasses</t>
        </is>
      </c>
      <c r="G155" t="inlineStr">
        <is>
          <t>Hermes</t>
        </is>
      </c>
      <c r="H155">
        <v>360</v>
      </c>
      <c r="I155">
        <v>52.17</v>
      </c>
      <c r="J155" t="inlineStr">
        <is>
          <t>{"id":"chatcmpl-DaAM3Odb0BzKXjz2Ti8NqibICy9oB","object":"chat.completion","created":1777511983,"model":"gpt-5-chat-2025-10-03","choices":[{"index":0,"message":{"role":"assistant","content":"Hermes Black Cat Eye Unisex Luxury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55" t="inlineStr">
        <is>
          <t>Hermes Black Cat Eye Unisex Luxury Sunglasses</t>
        </is>
      </c>
      <c r="L155" t="inlineStr">
        <is>
          <t>{"id":"chatcmpl-DaA9vk53e7Krel50XSWRjdyUTgq1N","object":"chat.completion","created":1777511231,"model":"gpt-5-chat-2025-10-03","choices":[{"index":0,"message":{"role":"assistant","content":"Hermès Black Geometric Cat-Eye Sunglasses, crafted from high-density acetate with signature metal “H” temples, unisex minimalist luxury style for urban chic and travel elegance.","refusal":null,"annotations":[]},"logprobs":null,"finish_reason":"stop"}],"usage":{"prompt_tokens":906,"completion_tokens":37,"total_tokens":943,"prompt_tokens_details":{"cached_tokens":0,"audio_tokens":0},"completion_tokens_details":{"reasoning_tokens":0,"audio_tokens":0,"accepted_prediction_tokens":0,"rejected_prediction_tokens":0}},"service_tier":"default","system_fingerprint":"fp_ad66631dec"}</t>
        </is>
      </c>
      <c r="M155" t="inlineStr">
        <is>
          <t>{"alt-svc":"h3=\":443\"; ma=2592000","apim-request-id":"5cc8ef55-0269-42eb-86bb-02ade54a7a48","azureml-model-session":"d20260402083108-57a85543","cache-control":"no-cache","connection":"close","content-length":"990","content-type":"application/json","date":"Thu, 30 Apr 2026 01:07:12 GMT","server":"Caddy","skip-error-remapping":"true","strict-transport-security":"max-age=31536000; includeSubDomains; preload","x-content-type-options":"nosniff","x-ms-client-request-id":"Not-Set","x-ms-is-spilled-over":"false","x-ms-rai-invoked":"false","x-ms-region":"East US","x-new-api-version":"0.4.35","x-oneapi-request-id":"202604300107102385038368268d9d6HFBLHaL8","x-ratelimit-abusepenalty-active":"False","x-ratelimit-key":"gpt-5-chat-global","x-ratelimit-limit-requests":"1000","x-ratelimit-limit-tokens":"1000000","x-ratelimit-remaining-requests":"999","x-ratelimit-remaining-tokens":"982930","x-ratelimit-renewalperiod-requests":"60","x-ratelimit-renewalperiod-tokens":"60","x-ratelimit-reset-requests":"60","x-ratelimit-reset-tokens":"1024","x-request-id":"d8bdbfee-2079-4565-8ed5-860da809c72d"}</t>
        </is>
      </c>
      <c r="N155" t="inlineStr">
        <is>
          <t>Hermès Black Geometric Cat-Eye Sunglasses, crafted from high-density acetate with signature metal “H” temples, unisex minimalist luxury style for urban chic and travel elegance.</t>
        </is>
      </c>
      <c r="O155" t="inlineStr">
        <is>
          <t>{"id":"chatcmpl-DaAPvDd3Fm6MoDTg3Ajri7Do6rjg5","object":"chat.completion","created":1777512223,"model":"gpt-5-chat-2025-10-03","choices":[{"index":0,"message":{"role":"assistant","content":"Hermes,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5" t="inlineStr">
        <is>
          <t>Hermes,Glasses,kakobuy,kakebuy2026,kekobuysheet,kakobuysheet2026,2026kakobuy,kakobuyspreadsheeet,kakobuylink,kakebuylist,Kakobuy MEGA Spreadsheet,kakobuysheetfind,kakobuysheetfind2026,2026kakobuysheetfind,kakobuysheet2026</t>
        </is>
      </c>
      <c r="Q155"/>
      <c r="R155" t="inlineStr">
        <is>
          <t>recvhju1CrE988</t>
        </is>
      </c>
      <c r="S155" t="inlineStr">
        <is>
          <t>hermes-black-cat-eye-sunglasses-recvhju1cr</t>
        </is>
      </c>
      <c r="T155"/>
      <c r="U155"/>
      <c r="V155"/>
      <c r="W155" t="inlineStr">
        <is>
          <t>{"id":"chatcmpl-Da9mwkBncdXCPTGRiLxGi1xV4F9Jk","object":"chat.completion","created":1777509806,"model":"gpt-5-chat-2025-10-03","choices":[{"index":0,"message":{"role":"assistant","content":"Hermès：黑色几何猫眼太阳镜，采用高密度醋酸纤维材质，镜腿饰以标志性金属“H”装饰，呈现极简奢华设计感。男女皆宜，彰显现代法式优雅格调，适合都市休闲与旅行佩戴。","refusal":null,"annotations":[]},"logprobs":null,"finish_reason":"stop"}],"usage":{"prompt_tokens":1296,"completion_tokens":74,"total_tokens":1370,"prompt_tokens_details":{"cached_tokens":0,"audio_tokens":0},"completion_tokens_details":{"reasoning_tokens":0,"audio_tokens":0,"accepted_prediction_tokens":0,"rejected_prediction_tokens":0}},"service_tier":"default","system_fingerprint":"fp_fd471178c5"}</t>
        </is>
      </c>
      <c r="X155" t="inlineStr">
        <is>
          <t>Hermès：黑色几何猫眼太阳镜，采用高密度醋酸纤维材质，镜腿饰以标志性金属“H”装饰，呈现极简奢华设计感。男女皆宜，彰显现代法式优雅格调，适合都市休闲与旅行佩戴。</t>
        </is>
      </c>
    </row>
    <row r="156" ht="25.5" customHeight="1">
      <c r="A156">
        <v>1654975475</v>
      </c>
      <c r="B156">
        <v>7623090523</v>
      </c>
      <c r="C156" s="2" t="str">
        <f>=HYPERLINK("https://weidian.com/item.html?itemID=7623090523", "https://weidian.com/item.html?itemID=7623090523")</f>
        <v>https://weidian.com/item.html?itemID=7623090523</v>
      </c>
      <c r="D156"/>
      <c r="E156" s="2" t="str">
        <f>=HYPERLINK("https://si.geilicdn.com/pcitem2014204438-24d00000019adf4cbe9d0a23047e_1074_1074.jpg?w=640&amp;h=640", "https://si.geilicdn.com/pcitem2014204438-24d00000019adf4cbe9d0a23047e_1074_1074.jpg?w=640&amp;h=640")</f>
        <v>https://si.geilicdn.com/pcitem2014204438-24d00000019adf4cbe9d0a23047e_1074_1074.jpg?w=640&amp;h=640</v>
      </c>
      <c r="F156" t="inlineStr">
        <is>
          <t>Glasses</t>
        </is>
      </c>
      <c r="G156" t="inlineStr">
        <is>
          <t>Prada</t>
        </is>
      </c>
      <c r="H156">
        <v>380</v>
      </c>
      <c r="I156">
        <v>55.07</v>
      </c>
      <c r="J156" t="inlineStr">
        <is>
          <t>{"id":"chatcmpl-DaAM4Eh8qNL4lL4U2RNTCfu4VHB5x","object":"chat.completion","created":1777511984,"model":"gpt-5-chat-2025-10-03","choices":[{"index":0,"message":{"role":"assistant","content":"Prada Luna Rossa Black Rimless Sport Sunglasses","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fd471178c5"}</t>
        </is>
      </c>
      <c r="K156" t="inlineStr">
        <is>
          <t>Prada Luna Rossa Black Rimless Sport Sunglasses</t>
        </is>
      </c>
      <c r="L156" t="inlineStr">
        <is>
          <t>{"id":"chatcmpl-DaADuFxF9FuemLOjzeYSegTLDGAL0","object":"chat.completion","created":1777511478,"model":"gpt-5-chat-2025-10-03","choices":[{"index":0,"message":{"role":"assistant","content":"Prada Luna Rossa black rimless sunglasses with lightweight metal frame and grey lenses, sleek square design, red logo arms, UV protection, unisex luxury sport style for modern urban look.","refusal":null,"annotations":[]},"logprobs":null,"finish_reason":"stop"}],"usage":{"prompt_tokens":923,"completion_tokens":39,"total_tokens":962,"prompt_tokens_details":{"cached_tokens":0,"audio_tokens":0},"completion_tokens_details":{"reasoning_tokens":0,"audio_tokens":0,"accepted_prediction_tokens":0,"rejected_prediction_tokens":0}},"service_tier":"default","system_fingerprint":"fp_fd471178c5"}</t>
        </is>
      </c>
      <c r="M156" t="inlineStr">
        <is>
          <t>{"alt-svc":"h3=\":443\"; ma=2592000","apim-request-id":"8241df67-9ea3-43b0-998c-9f996181152b","azureml-model-session":"d20260428205641-55ca9797","cache-control":"no-cache","connection":"close","content-length":"995","content-type":"application/json","date":"Thu, 30 Apr 2026 01:11:19 GMT","server":"Caddy","skip-error-remapping":"true","strict-transport-security":"max-age=31536000; includeSubDomains; preload","x-content-type-options":"nosniff","x-ms-client-request-id":"Not-Set","x-ms-is-spilled-over":"false","x-ms-rai-invoked":"false","x-ms-region":"East US","x-new-api-version":"0.4.35","x-oneapi-request-id":"202604300111174999180278268d9d69FCFakUn","x-ratelimit-abusepenalty-active":"False","x-ratelimit-key":"gpt-5-chat-global","x-ratelimit-limit-requests":"1000","x-ratelimit-limit-tokens":"1000000","x-ratelimit-remaining-requests":"999","x-ratelimit-remaining-tokens":"998315","x-ratelimit-renewalperiod-requests":"60","x-ratelimit-renewalperiod-tokens":"60","x-ratelimit-reset-requests":"60","x-ratelimit-reset-tokens":"101","x-request-id":"05afc5d4-ce15-43d7-97c8-063436480469"}</t>
        </is>
      </c>
      <c r="N156" t="inlineStr">
        <is>
          <t>Prada Luna Rossa black rimless sunglasses with lightweight metal frame and grey lenses, sleek square design, red logo arms, UV protection, unisex luxury sport style for modern urban look.</t>
        </is>
      </c>
      <c r="O156" t="inlineStr">
        <is>
          <t>{"id":"chatcmpl-DaAVwEFZF6t82BvATKHF6FZZR1gIB","object":"chat.completion","created":1777512596,"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6" t="inlineStr">
        <is>
          <t>Prada,Glasses,kakobuy,kakebuy2026,kekobuysheet,kakobuysheet2026,2026kakobuy,kakobuyspreadsheeet,kakobuylink,kakebuylist,Kakobuy MEGA Spreadsheet,kakobuysheetfind,kakobuysheetfind2026,2026kakobuysheetfind,kakobuysheet2026</t>
        </is>
      </c>
      <c r="Q156"/>
      <c r="R156" t="inlineStr">
        <is>
          <t>recvhju1Crt9H4</t>
        </is>
      </c>
      <c r="S156" t="inlineStr">
        <is>
          <t>prada-luna-rossa-black-rimless-sport-sunglasses-recvhju1crt9h4</t>
        </is>
      </c>
      <c r="T156"/>
      <c r="U156"/>
      <c r="V156"/>
      <c r="W156" t="inlineStr">
        <is>
          <t>{"id":"chatcmpl-Da9rNXpqwc04NsRahKkrP0FQ5Tuxt","object":"chat.completion","created":1777510081,"model":"gpt-5-chat-2025-10-03","choices":[{"index":0,"message":{"role":"assistant","content":"Prada：Luna Rossa系列黑色无框太阳眼镜，轻质金属镜架搭配灰色镜片，简约方形设计彰显未来感。镜腿镶红色品牌标识，展现运动奢华风格，适合男女佩戴，兼具防紫外线与时尚属性，完美诠释现代都市格调。","refusal":null,"annotations":[]},"logprobs":null,"finish_reason":"stop"}],"usage":{"prompt_tokens":1306,"completion_tokens":86,"total_tokens":1392,"prompt_tokens_details":{"cached_tokens":0,"audio_tokens":0},"completion_tokens_details":{"reasoning_tokens":0,"audio_tokens":0,"accepted_prediction_tokens":0,"rejected_prediction_tokens":0}},"service_tier":"default","system_fingerprint":"fp_ad66631dec"}</t>
        </is>
      </c>
      <c r="X156" t="inlineStr">
        <is>
          <t>Prada：Luna Rossa系列黑色无框太阳眼镜，轻质金属镜架搭配灰色镜片，简约方形设计彰显未来感。镜腿镶红色品牌标识，展现运动奢华风格，适合男女佩戴，兼具防紫外线与时尚属性，完美诠释现代都市格调。</t>
        </is>
      </c>
    </row>
    <row r="157" ht="25.5" customHeight="1">
      <c r="A157">
        <v>1654975475</v>
      </c>
      <c r="B157">
        <v>7626226212</v>
      </c>
      <c r="C157" s="2" t="str">
        <f>=HYPERLINK("https://weidian.com/item.html?itemID=7626226212", "https://weidian.com/item.html?itemID=7626226212")</f>
        <v>https://weidian.com/item.html?itemID=7626226212</v>
      </c>
      <c r="D157"/>
      <c r="E157" s="2" t="str">
        <f>=HYPERLINK("https://si.geilicdn.com/pcitem2014204438-0c2e0000019adf2b14480a231177_1440_1920.jpg?w=640&amp;h=640", "https://si.geilicdn.com/pcitem2014204438-0c2e0000019adf2b14480a231177_1440_1920.jpg?w=640&amp;h=640")</f>
        <v>https://si.geilicdn.com/pcitem2014204438-0c2e0000019adf2b14480a231177_1440_1920.jpg?w=640&amp;h=640</v>
      </c>
      <c r="F157" t="inlineStr">
        <is>
          <t>Glasses</t>
        </is>
      </c>
      <c r="G157" t="inlineStr">
        <is>
          <t>Celine</t>
        </is>
      </c>
      <c r="H157">
        <v>390</v>
      </c>
      <c r="I157">
        <v>56.52</v>
      </c>
      <c r="J157" t="inlineStr">
        <is>
          <t>{"id":"chatcmpl-DaAH8fCXXpPhpom4o0BOLUSCYM7UU","object":"chat.completion","created":1777511678,"model":"gpt-5-chat-2025-10-03","choices":[{"index":0,"message":{"role":"assistant","content":"Celine Triomphe Black Retro Square Sun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fd471178c5"}</t>
        </is>
      </c>
      <c r="K157" t="inlineStr">
        <is>
          <t>Celine Triomphe Black Retro Square Sunglasses</t>
        </is>
      </c>
      <c r="L157" t="inlineStr">
        <is>
          <t>{"id":"chatcmpl-DaAAI4KvhbnpolZjUuzdFdq7Kqimg","object":"chat.completion","created":1777511254,"model":"gpt-5-chat-2025-10-03","choices":[{"index":0,"message":{"role":"assistant","content":"Celine Triomphe Black Acetate Sunglasses featuring gold Double-C logo, square lenses, unisex retro chic design, versatile fashion accessory reflecting timeless Parisian elegance.","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157" t="inlineStr">
        <is>
          <t>{"alt-svc":"h3=\":443\"; ma=2592000","apim-request-id":"9226fd92-9186-4005-9a0b-70ceb59a7097","azureml-model-session":"d20260402075109-1fc5a0ec","cache-control":"no-cache","connection":"close","content-length":"986","content-type":"application/json","date":"Thu, 30 Apr 2026 01:07:35 GMT","server":"nginx","skip-error-remapping":"true","strict-transport-security":"max-age=31536000; includeSubDomains; preload","via":"1.1 Caddy","x-content-type-options":"nosniff","x-ms-client-request-id":"Not-Set","x-ms-is-spilled-over":"false","x-ms-rai-invoked":"false","x-ms-region":"East US 2","x-new-api-version":"0.4.35","x-oneapi-request-id":"202604300107339562821658268d9d6BYkqHxJf","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25f34a51-c837-49ce-b98f-651d215982ab"}</t>
        </is>
      </c>
      <c r="N157" t="inlineStr">
        <is>
          <t>Celine Triomphe Black Acetate Sunglasses featuring gold Double-C logo, square lenses, unisex retro chic design, versatile fashion accessory reflecting timeless Parisian elegance.</t>
        </is>
      </c>
      <c r="O157" t="inlineStr">
        <is>
          <t>{"id":"chatcmpl-DaAUSqTh4uetK31CwzNx29XidX0L1","object":"chat.completion","created":1777512504,"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7" t="inlineStr">
        <is>
          <t>Celine,Glasses,kakobuy,kakebuy2026,kekobuysheet,kakobuysheet2026,2026kakobuy,kakobuyspreadsheeet,kakobuylink,kakebuylist,Kakobuy MEGA Spreadsheet,kakobuysheetfind,kakobuysheetfind2026,2026kakobuysheetfind,kakobuysheet2026</t>
        </is>
      </c>
      <c r="Q157" t="inlineStr">
        <is>
          <t>Celine, Black, Gold, Retro, Unisex, Acetate Fiber</t>
        </is>
      </c>
      <c r="R157" t="inlineStr">
        <is>
          <t>recvhju1CrxK1I</t>
        </is>
      </c>
      <c r="S157" t="inlineStr">
        <is>
          <t>celine-triomphe-black-retro-square-sunglasses-recvhju1crxk1i</t>
        </is>
      </c>
      <c r="T157"/>
      <c r="U157"/>
      <c r="V157"/>
      <c r="W157" t="inlineStr">
        <is>
          <t>{"id":"chatcmpl-Da9rEeqetNHMYRrR3x0Jsz5vDNsIN","object":"chat.completion","created":1777510072,"model":"gpt-5-chat-2025-10-03","choices":[{"index":0,"message":{"role":"assistant","content":"Celine：黑色Triomphe系列太阳眼镜，醋酸纤维镜框搭配金色双C标志装饰，方形镜片设计彰显复古摩登气质，男女皆宜，潮流百搭，展现巴黎高级时尚风范。","refusal":null,"annotations":[]},"logprobs":null,"finish_reason":"stop"}],"usage":{"prompt_tokens":1304,"completion_tokens":65,"total_tokens":1369,"prompt_tokens_details":{"cached_tokens":0,"audio_tokens":0},"completion_tokens_details":{"reasoning_tokens":0,"audio_tokens":0,"accepted_prediction_tokens":0,"rejected_prediction_tokens":0}},"service_tier":"default","system_fingerprint":"fp_ad66631dec"}</t>
        </is>
      </c>
      <c r="X157" t="inlineStr">
        <is>
          <t>Celine：黑色Triomphe系列太阳眼镜，醋酸纤维镜框搭配金色双C标志装饰，方形镜片设计彰显复古摩登气质，男女皆宜，潮流百搭，展现巴黎高级时尚风范。</t>
        </is>
      </c>
    </row>
    <row r="158" ht="25.5" customHeight="1">
      <c r="A158">
        <v>1654975475</v>
      </c>
      <c r="B158">
        <v>7623144379</v>
      </c>
      <c r="C158" s="2" t="str">
        <f>=HYPERLINK("https://weidian.com/item.html?itemID=7623144379", "https://weidian.com/item.html?itemID=7623144379")</f>
        <v>https://weidian.com/item.html?itemID=7623144379</v>
      </c>
      <c r="D158"/>
      <c r="E158" s="2" t="str">
        <f>=HYPERLINK("https://si.geilicdn.com/pcitem2014204438-13d00000019adf2aa50f0a2396f4_1440_1920.jpg?w=640&amp;h=640", "https://si.geilicdn.com/pcitem2014204438-13d00000019adf2aa50f0a2396f4_1440_1920.jpg?w=640&amp;h=640")</f>
        <v>https://si.geilicdn.com/pcitem2014204438-13d00000019adf2aa50f0a2396f4_1440_1920.jpg?w=640&amp;h=640</v>
      </c>
      <c r="F158" t="inlineStr">
        <is>
          <t>Glasses</t>
        </is>
      </c>
      <c r="G158" t="inlineStr">
        <is>
          <t>Maison Margiela</t>
        </is>
      </c>
      <c r="H158">
        <v>340</v>
      </c>
      <c r="I158">
        <v>49.2898550724637</v>
      </c>
      <c r="J158" t="inlineStr">
        <is>
          <t>{"id":"chatcmpl-DaAH3ENzfEWunBoKhTIFfFTP3lI0i","object":"chat.completion","created":1777511673,"model":"gpt-5-chat-2025-10-03","choices":[{"index":0,"message":{"role":"assistant","content":"Maison Margiela Black Geometric Acetate Sunglasses","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fd471178c5"}</t>
        </is>
      </c>
      <c r="K158" t="inlineStr">
        <is>
          <t>Maison Margiela Black Geometric Acetate Sunglasses</t>
        </is>
      </c>
      <c r="L158" t="inlineStr">
        <is>
          <t>{"id":"chatcmpl-DaA9Zud8i7ScREwBxdiDttYPc0ich","object":"chat.completion","created":1777511209,"model":"gpt-5-chat-2025-10-03","choices":[{"index":0,"message":{"role":"assistant","content":"Maison Margiela Black Geometric Wide-Frame Sunglasses feature high-transparency resin lenses and lightweight acetate frame. Minimalist lines meet avant-garde style for a unisex urban look.","refusal":null,"annotations":[]},"logprobs":null,"finish_reason":"stop"}],"usage":{"prompt_tokens":917,"completion_tokens":37,"total_tokens":954,"prompt_tokens_details":{"cached_tokens":0,"audio_tokens":0},"completion_tokens_details":{"reasoning_tokens":0,"audio_tokens":0,"accepted_prediction_tokens":0,"rejected_prediction_tokens":0}},"service_tier":"default","system_fingerprint":"fp_ad66631dec"}</t>
        </is>
      </c>
      <c r="M158" t="inlineStr">
        <is>
          <t>{"alt-svc":"h3=\":443\"; ma=2592000","apim-request-id":"7d23145f-5fab-4ccc-85bf-4cf4a6f8c7aa","azureml-model-session":"d20260402083108-57a85543","cache-control":"no-cache","connection":"close","content-length":"996","content-type":"application/json","date":"Thu, 30 Apr 2026 01:06:50 GMT","server":"nginx","skip-error-remapping":"true","strict-transport-security":"max-age=31536000; includeSubDomains; preload","via":"1.1 Caddy","x-content-type-options":"nosniff","x-ms-client-request-id":"Not-Set","x-ms-is-spilled-over":"false","x-ms-rai-invoked":"false","x-ms-region":"Poland Central","x-new-api-version":"0.4.35","x-oneapi-request-id":"202604300106468153662528268d9d6hxToYzoC","x-ratelimit-abusepenalty-active":"False","x-ratelimit-key":"gpt-5-chat-global","x-ratelimit-limit-requests":"1000","x-ratelimit-limit-tokens":"1000000","x-ratelimit-remaining-requests":"999","x-ratelimit-remaining-tokens":"998009","x-ratelimit-renewalperiod-requests":"60","x-ratelimit-renewalperiod-tokens":"60","x-ratelimit-reset-requests":"60","x-ratelimit-reset-tokens":"119","x-request-id":"5142549a-7ff0-4647-b786-828f320c2d2e"}</t>
        </is>
      </c>
      <c r="N158" t="inlineStr">
        <is>
          <t>Maison Margiela Black Geometric Wide-Frame Sunglasses feature high-transparency resin lenses and lightweight acetate frame. Minimalist lines meet avant-garde style for a unisex urban look.</t>
        </is>
      </c>
      <c r="O158" t="inlineStr">
        <is>
          <t>{"id":"chatcmpl-DaAVZNNI4dV17XZ09hwi5Oc7OBRPx","object":"chat.completion","created":1777512573,"model":"gpt-5-chat-2025-10-03","choices":[{"index":0,"message":{"role":"assistant","content":"Maison Margiela,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58" t="inlineStr">
        <is>
          <t>Maison Margiela, Glasses, kakobuy, kakebuy2026, kekobuysheet, kakobuysheet2026, 2026kakobuy, kakobuyspreadsheeet, kakobuylink, kakebuylist, Kakobuy MEGA Spreadsheet, kakobuysheetfind, kakobuysheetfind2026, 2026kakobuysheetfind, kakobuysheet2026</t>
        </is>
      </c>
      <c r="Q158" t="inlineStr">
        <is>
          <t>Black, Geometric, Minimalist, Unisex, Acetate Fiber</t>
        </is>
      </c>
      <c r="R158" t="inlineStr">
        <is>
          <t>recvhju1CrpjjF</t>
        </is>
      </c>
      <c r="S158" t="inlineStr">
        <is>
          <t>maison-margiela-black-geometric-acetate-sunglasses-recvhju1crpjjf</t>
        </is>
      </c>
      <c r="T158"/>
      <c r="U158"/>
      <c r="V158"/>
      <c r="W158" t="inlineStr">
        <is>
          <t>{"id":"chatcmpl-Da9thgx8qdj91qr09FsR8GlzXHKxE","object":"chat.completion","created":1777510225,"model":"gpt-5-chat-2025-10-03","choices":[{"index":0,"message":{"role":"assistant","content":"Maison Margiela：黑色几何宽框太阳眼镜，采用高透光树脂镜片与轻盈醋酸纤维镜架，极简线条融合先锋解构设计，展现法式前卫美学。中性款式，适合都市男女日常佩戴，彰显冷峻高级时尚态度。","refusal":null,"annotations":[]},"logprobs":null,"finish_reason":"stop"}],"usage":{"prompt_tokens":1308,"completion_tokens":79,"total_tokens":1387,"prompt_tokens_details":{"cached_tokens":0,"audio_tokens":0},"completion_tokens_details":{"reasoning_tokens":0,"audio_tokens":0,"accepted_prediction_tokens":0,"rejected_prediction_tokens":0}},"service_tier":"default","system_fingerprint":"fp_ad66631dec"}</t>
        </is>
      </c>
      <c r="X158" t="inlineStr">
        <is>
          <t>Maison Margiela：黑色几何宽框太阳眼镜，采用高透光树脂镜片与轻盈醋酸纤维镜架，极简线条融合先锋解构设计，展现法式前卫美学。中性款式，适合都市男女日常佩戴，彰显冷峻高级时尚态度。</t>
        </is>
      </c>
    </row>
    <row r="159" ht="25.5" customHeight="1">
      <c r="A159">
        <v>1654975475</v>
      </c>
      <c r="B159">
        <v>7626182914</v>
      </c>
      <c r="C159" s="2" t="str">
        <f>=HYPERLINK("https://weidian.com/item.html?itemID=7626182914", "https://weidian.com/item.html?itemID=7626182914")</f>
        <v>https://weidian.com/item.html?itemID=7626182914</v>
      </c>
      <c r="D159"/>
      <c r="E159" s="2" t="str">
        <f>=HYPERLINK("https://si.geilicdn.com/pcitem2014204438-14360000019adf26d6c20a8134f0_1440_1920.jpg?w=640&amp;h=640", "https://si.geilicdn.com/pcitem2014204438-14360000019adf26d6c20a8134f0_1440_1920.jpg?w=640&amp;h=640")</f>
        <v>https://si.geilicdn.com/pcitem2014204438-14360000019adf26d6c20a8134f0_1440_1920.jpg?w=640&amp;h=640</v>
      </c>
      <c r="F159" t="inlineStr">
        <is>
          <t>Glasses</t>
        </is>
      </c>
      <c r="G159" t="inlineStr">
        <is>
          <t>Gucci</t>
        </is>
      </c>
      <c r="H159">
        <v>370</v>
      </c>
      <c r="I159">
        <v>53.62</v>
      </c>
      <c r="J159" t="inlineStr">
        <is>
          <t>{"id":"chatcmpl-DaALW4WkZjH5Zkaw4xnuaGQa8lIAC","object":"chat.completion","created":1777511950,"model":"gpt-5-chat-2025-10-03","choices":[{"index":0,"message":{"role":"assistant","content":"Gucci Classic Black Square UV Protection Sunglasses","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159" t="inlineStr">
        <is>
          <t>Gucci Classic Black Square UV Protection Sunglasses</t>
        </is>
      </c>
      <c r="L159" t="inlineStr">
        <is>
          <t>{"id":"chatcmpl-DaABIJlcitn0wAa3pYJ5b7MehAzVo","object":"chat.completion","created":1777511316,"model":"gpt-5-chat-2025-10-03","choices":[{"index":0,"message":{"role":"assistant","content":"Gucci Classic Black Square Sunglasses – crafted from premium metal-resin blend, UV-protective lenses, minimalist luxury design for men and women, the perfect modern fashion accessory.","refusal":null,"annotations":[]},"logprobs":null,"finish_reason":"stop"}],"usage":{"prompt_tokens":891,"completion_tokens":37,"total_tokens":928,"prompt_tokens_details":{"cached_tokens":0,"audio_tokens":0},"completion_tokens_details":{"reasoning_tokens":0,"audio_tokens":0,"accepted_prediction_tokens":0,"rejected_prediction_tokens":0}},"service_tier":"default","system_fingerprint":"fp_fd471178c5"}</t>
        </is>
      </c>
      <c r="M159" t="inlineStr">
        <is>
          <t>{"alt-svc":"h3=\":443\"; ma=2592000","apim-request-id":"40e3202e-7767-4fc2-8681-a9a02ff7d4b5","azureml-model-session":"d20260428205641-55ca9797","cache-control":"no-cache","connection":"close","content-length":"993","content-type":"application/json","date":"Thu, 30 Apr 2026 01:08:37 GMT","server":"Caddy","skip-error-remapping":"true","strict-transport-security":"max-age=31536000; includeSubDomains; preload","x-content-type-options":"nosniff","x-ms-client-request-id":"Not-Set","x-ms-is-spilled-over":"false","x-ms-rai-invoked":"false","x-ms-region":"Central US","x-new-api-version":"0.4.35","x-oneapi-request-id":"202604300108355715048158268d9d6cfuUuaQS","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271952a4-32ea-4188-8a0f-355f776ed2bc"}</t>
        </is>
      </c>
      <c r="N159" t="inlineStr">
        <is>
          <t>Gucci Classic Black Square Sunglasses – crafted from premium metal-resin blend, UV-protective lenses, minimalist luxury design for men and women, the perfect modern fashion accessory.</t>
        </is>
      </c>
      <c r="O159" t="inlineStr">
        <is>
          <t>{"id":"chatcmpl-DaAWQN2zksHT5vdf0qerJC7DZuvFF","object":"chat.completion","created":1777512626,"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9" t="inlineStr">
        <is>
          <t>Gucci,Glasses,kakobuy,kakebuy2026,kekobuysheet,kakobuysheet2026,2026kakobuy,kakobuyspreadsheeet,kakobuylink,kakebuylist,Kakobuy MEGA Spreadsheet,kakobuysheetfind,kakobuysheetfind2026,2026kakobuysheetfind,kakobuysheet2026</t>
        </is>
      </c>
      <c r="Q159" t="inlineStr">
        <is>
          <t>Black, Minimalist, High End, Unisex, Anti-Ultraviolet</t>
        </is>
      </c>
      <c r="R159" t="inlineStr">
        <is>
          <t>recvhju1Crsl8Q</t>
        </is>
      </c>
      <c r="S159" t="inlineStr">
        <is>
          <t>gucci-classic-black-square-sunglasses-recvhju1crsl8q</t>
        </is>
      </c>
      <c r="T159"/>
      <c r="U159"/>
      <c r="V159"/>
      <c r="W159" t="inlineStr">
        <is>
          <t>{"id":"chatcmpl-Da9shx8EIqs9DIU3VGYREeZmRC022","object":"chat.completion","created":1777510163,"model":"gpt-5-chat-2025-10-03","choices":[{"index":0,"message":{"role":"assistant","content":"Gucci：经典系列黑色方框太阳眼镜，采用精密金属与树脂混合材质，镜面防紫外线设计，展现极简奢华美学，男女皆宜的现代时尚配饰。","refusal":null,"annotations":[]},"logprobs":null,"finish_reason":"stop"}],"usage":{"prompt_tokens":1304,"completion_tokens":55,"total_tokens":1359,"prompt_tokens_details":{"cached_tokens":1280,"audio_tokens":0},"completion_tokens_details":{"reasoning_tokens":0,"audio_tokens":0,"accepted_prediction_tokens":0,"rejected_prediction_tokens":0}},"service_tier":"default","system_fingerprint":"fp_fd471178c5"}</t>
        </is>
      </c>
      <c r="X159" t="inlineStr">
        <is>
          <t>Gucci：经典系列黑色方框太阳眼镜，采用精密金属与树脂混合材质，镜面防紫外线设计，展现极简奢华美学，男女皆宜的现代时尚配饰。</t>
        </is>
      </c>
    </row>
    <row r="160" ht="25.5" customHeight="1">
      <c r="A160">
        <v>1654975475</v>
      </c>
      <c r="B160">
        <v>7623172715</v>
      </c>
      <c r="C160" s="2" t="str">
        <f>=HYPERLINK("https://weidian.com/item.html?itemID=7623172715", "https://weidian.com/item.html?itemID=7623172715")</f>
        <v>https://weidian.com/item.html?itemID=7623172715</v>
      </c>
      <c r="D160"/>
      <c r="E160" s="2" t="str">
        <f>=HYPERLINK("https://si.geilicdn.com/pcitem2014204438-5ea20000019ade8c36fb0a20e273_1440_1920.jpg?w=640&amp;h=640", "https://si.geilicdn.com/pcitem2014204438-5ea20000019ade8c36fb0a20e273_1440_1920.jpg?w=640&amp;h=640")</f>
        <v>https://si.geilicdn.com/pcitem2014204438-5ea20000019ade8c36fb0a20e273_1440_1920.jpg?w=640&amp;h=640</v>
      </c>
      <c r="F160" t="inlineStr">
        <is>
          <t>Glasses</t>
        </is>
      </c>
      <c r="G160" t="inlineStr">
        <is>
          <t>Dior</t>
        </is>
      </c>
      <c r="H160">
        <v>370</v>
      </c>
      <c r="I160">
        <v>53.62</v>
      </c>
      <c r="J160" t="inlineStr">
        <is>
          <t>{"id":"chatcmpl-DaAGPzA8534wi0V1G7Dg2focsW1JB","object":"chat.completion","created":1777511633,"model":"gpt-5-chat-2025-10-03","choices":[{"index":0,"message":{"role":"assistant","content":"Dior Black Square UV Protection Unisex Acetate Sunglasses","refusal":null,"annotations":[]},"logprobs":null,"finish_reason":"stop"}],"usage":{"prompt_tokens":868,"completion_tokens":14,"total_tokens":882,"prompt_tokens_details":{"cached_tokens":0,"audio_tokens":0},"completion_tokens_details":{"reasoning_tokens":0,"audio_tokens":0,"accepted_prediction_tokens":0,"rejected_prediction_tokens":0}},"service_tier":"default","system_fingerprint":"fp_ad66631dec"}</t>
        </is>
      </c>
      <c r="K160" t="inlineStr">
        <is>
          <t>Dior Black Square UV Protection Unisex Acetate Sunglasses</t>
        </is>
      </c>
      <c r="L160" t="inlineStr">
        <is>
          <t>{"id":"chatcmpl-DaAAePythqFl4UzyYojDNhmVA3t7q","object":"chat.completion","created":1777511276,"model":"gpt-5-chat-2025-10-03","choices":[{"index":0,"message":{"role":"assistant","content":"Dior Black Square Sunglasses feature UV-protected lenses, lightweight acetate frame with metal details. Unisex minimalist design blends Parisian elegance with modern urban luxury.","refusal":null,"annotations":[]},"logprobs":null,"finish_reason":"stop"}],"usage":{"prompt_tokens":901,"completion_tokens":33,"total_tokens":934,"prompt_tokens_details":{"cached_tokens":0,"audio_tokens":0},"completion_tokens_details":{"reasoning_tokens":0,"audio_tokens":0,"accepted_prediction_tokens":0,"rejected_prediction_tokens":0}},"service_tier":"default","system_fingerprint":"fp_ad66631dec"}</t>
        </is>
      </c>
      <c r="M160" t="inlineStr">
        <is>
          <t>{"alt-svc":"h3=\":443\"; ma=2592000","apim-request-id":"b537a3f9-f6b7-4ed9-bb8d-d91708e367a0","azureml-model-session":"d20260402075109-1fc5a0ec","cache-control":"no-cache","connection":"close","content-length":"987","content-type":"application/json","date":"Thu, 30 Apr 2026 01:07:57 GMT","server":"Caddy","skip-error-remapping":"true","strict-transport-security":"max-age=31536000; includeSubDomains; preload","x-content-type-options":"nosniff","x-ms-client-request-id":"Not-Set","x-ms-is-spilled-over":"false","x-ms-rai-invoked":"false","x-ms-region":"East US","x-new-api-version":"0.4.35","x-oneapi-request-id":"202604300107552826919108268d9d6j6dP3Ru1","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51c76740-3314-4c43-b547-21e2ca58dcf1"}</t>
        </is>
      </c>
      <c r="N160" t="inlineStr">
        <is>
          <t>Dior Black Square Sunglasses feature UV-protected lenses, lightweight acetate frame with metal details. Unisex minimalist design blends Parisian elegance with modern urban luxury.</t>
        </is>
      </c>
      <c r="O160" t="inlineStr">
        <is>
          <t>{"id":"chatcmpl-DaAX62wKMFNpCHoDO5WsaWF342ssd","object":"chat.completion","created":1777512668,"model":"gpt-5-chat-2025-10-03","choices":[{"index":0,"message":{"role":"assistant","content":"Dior,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60" t="inlineStr">
        <is>
          <t>Dior, sunglasses, kakobuy, kakebuy2026, kekobuysheet, kakobuysheet2026, 2026kakobuy, kakobuyspreadsheeet, kakobuylink, kakebuylist, Kakobuy MEGA Spreadsheet, kakobuysheetfind, kakobuysheetfind2026, 2026kakobuysheetfind, kakobuysheet2026</t>
        </is>
      </c>
      <c r="Q160" t="inlineStr">
        <is>
          <t>Dior, Black, Unisex, Minimalist, Anti-Ultraviolet, Elegant</t>
        </is>
      </c>
      <c r="R160" t="inlineStr">
        <is>
          <t>recvhju1CrChjI</t>
        </is>
      </c>
      <c r="S160" t="inlineStr">
        <is>
          <t>dior-black-square-uv-protection-sunglasses-recvhju1crchji</t>
        </is>
      </c>
      <c r="T160"/>
      <c r="U160"/>
      <c r="V160"/>
      <c r="W160" t="inlineStr">
        <is>
          <t>{"id":"chatcmpl-Da9sAbcDvzscifNtXrbMWl3k02M4c","object":"chat.completion","created":1777510130,"model":"gpt-5-chat-2025-10-03","choices":[{"index":0,"message":{"role":"assistant","content":"Dior：黑色方框太阳眼镜，镜片采用高防护UV材质，轻盈醋酸纤维镜架搭配金属细节。极简现代设计融合巴黎时尚气息，男女皆宜，展现优雅都市风格与高级格调。","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fd471178c5"}</t>
        </is>
      </c>
      <c r="X160" t="inlineStr">
        <is>
          <t>Dior：黑色方框太阳眼镜，镜片采用高防护UV材质，轻盈醋酸纤维镜架搭配金属细节。极简现代设计融合巴黎时尚气息，男女皆宜，展现优雅都市风格与高级格调。</t>
        </is>
      </c>
    </row>
    <row r="161" ht="25.5" customHeight="1">
      <c r="A161">
        <v>1654975475</v>
      </c>
      <c r="B161">
        <v>7623152109</v>
      </c>
      <c r="C161" s="2" t="str">
        <f>=HYPERLINK("https://weidian.com/item.html?itemID=7623152109", "https://weidian.com/item.html?itemID=7623152109")</f>
        <v>https://weidian.com/item.html?itemID=7623152109</v>
      </c>
      <c r="D161"/>
      <c r="E161" s="2" t="str">
        <f>=HYPERLINK("https://si.geilicdn.com/pcitem2014204438-5a370000019ade7e19310a239646_1440_1920.jpg?w=640&amp;h=640", "https://si.geilicdn.com/pcitem2014204438-5a370000019ade7e19310a239646_1440_1920.jpg?w=640&amp;h=640")</f>
        <v>https://si.geilicdn.com/pcitem2014204438-5a370000019ade7e19310a239646_1440_1920.jpg?w=640&amp;h=640</v>
      </c>
      <c r="F161" t="inlineStr">
        <is>
          <t>Glasses</t>
        </is>
      </c>
      <c r="G161" t="inlineStr">
        <is>
          <t>Dior</t>
        </is>
      </c>
      <c r="H161">
        <v>350</v>
      </c>
      <c r="I161">
        <v>50.72</v>
      </c>
      <c r="J161" t="inlineStr">
        <is>
          <t>{"id":"chatcmpl-DaAK22PlDaGTi1yttaVEZ3Sv6TgGN","object":"chat.completion","created":1777511858,"model":"gpt-5-chat-2025-10-03","choices":[{"index":0,"message":{"role":"assistant","content":"Dior Gold Square Gradient Purple Lens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fd471178c5"}</t>
        </is>
      </c>
      <c r="K161" t="inlineStr">
        <is>
          <t>Dior Gold Square Gradient Purple Lens Sunglasses</t>
        </is>
      </c>
      <c r="L161" t="inlineStr">
        <is>
          <t>{"id":"chatcmpl-DaACRDyPsY1p2cjmPvUCxw0aCstX0","object":"chat.completion","created":1777511387,"model":"gpt-5-chat-2025-10-03","choices":[{"index":0,"message":{"role":"assistant","content":"Dior Gold Frame Gradient Purple Lens Sunglasses – lightweight metal with geometric square design, elegant logo detail, retro chic style for men and women, elevating modern luxury fashion.","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61" t="inlineStr">
        <is>
          <t>{"alt-svc":"h3=\":443\"; ma=2592000","apim-request-id":"16d3af77-304d-4ecc-a0c4-06d37349c4d3","azureml-model-session":"d20260402084046-4209e968","cache-control":"no-cache","connection":"close","content-length":"997","content-type":"application/json","date":"Thu, 30 Apr 2026 01:09:49 GMT","server":"Caddy","skip-error-remapping":"true","strict-transport-security":"max-age=31536000; includeSubDomains; preload","x-content-type-options":"nosniff","x-ms-client-request-id":"Not-Set","x-ms-is-spilled-over":"false","x-ms-rai-invoked":"false","x-ms-region":"Sweden Central","x-new-api-version":"0.4.35","x-oneapi-request-id":"202604300109457184436688268d9d69Kspw4Af","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d9ba155f-ac30-4e7e-9112-ed11412fd412"}</t>
        </is>
      </c>
      <c r="N161" t="inlineStr">
        <is>
          <t>Dior Gold Frame Gradient Purple Lens Sunglasses – lightweight metal with geometric square design, elegant logo detail, retro chic style for men and women, elevating modern luxury fashion.</t>
        </is>
      </c>
      <c r="O161" t="inlineStr">
        <is>
          <t>{"id":"chatcmpl-DaAPp37Rl0QSLTPReh9MDHzloVfkK","object":"chat.completion","created":1777512217,"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61" t="inlineStr">
        <is>
          <t>Dior,Glasses,kakobuy,kakebuy2026,kekobuysheet,kakobuysheet2026,2026kakobuy,kakobuyspreadsheeet,kakobuylink,kakebuylist,Kakobuy MEGA Spreadsheet,kakobuysheetfind,kakobuysheetfind2026,2026kakobuysheetfind,kakobuysheet2026</t>
        </is>
      </c>
      <c r="Q161" t="inlineStr">
        <is>
          <t>Dior, Geometric, Retro, Elegant, Lightweight, Men's And Women's</t>
        </is>
      </c>
      <c r="R161" t="inlineStr">
        <is>
          <t>recvhju1CrMOao</t>
        </is>
      </c>
      <c r="S161" t="inlineStr">
        <is>
          <t>dior-gold-square-gradient-purple-lens-sunglasses-recvhju1crmoao</t>
        </is>
      </c>
      <c r="T161"/>
      <c r="U161"/>
      <c r="V161"/>
      <c r="W161" t="inlineStr">
        <is>
          <t>{"id":"chatcmpl-Da9qoMifjxzC5u1dSZ98YFKiflYys","object":"chat.completion","created":1777510046,"model":"gpt-5-chat-2025-10-03","choices":[{"index":0,"message":{"role":"assistant","content":"Dior：金框渐变紫镜片太阳眼镜，轻盈金属材质搭配几何方形设计，镶嵌精致Logo装饰，复古摩登风格，男女通用款，彰显优雅与高端时尚气质。","refusal":null,"annotations":[]},"logprobs":null,"finish_reason":"stop"}],"usage":{"prompt_tokens":1298,"completion_tokens":64,"total_tokens":1362,"prompt_tokens_details":{"cached_tokens":0,"audio_tokens":0},"completion_tokens_details":{"reasoning_tokens":0,"audio_tokens":0,"accepted_prediction_tokens":0,"rejected_prediction_tokens":0}},"service_tier":"default","system_fingerprint":"fp_fd471178c5"}</t>
        </is>
      </c>
      <c r="X161" t="inlineStr">
        <is>
          <t>Dior：金框渐变紫镜片太阳眼镜，轻盈金属材质搭配几何方形设计，镶嵌精致Logo装饰，复古摩登风格，男女通用款，彰显优雅与高端时尚气质。</t>
        </is>
      </c>
    </row>
    <row r="162" ht="25.5" customHeight="1">
      <c r="A162">
        <v>1654975475</v>
      </c>
      <c r="B162">
        <v>7623779355</v>
      </c>
      <c r="C162" s="2" t="str">
        <f>=HYPERLINK("https://weidian.com/item.html?itemID=7623779355", "https://weidian.com/item.html?itemID=7623779355")</f>
        <v>https://weidian.com/item.html?itemID=7623779355</v>
      </c>
      <c r="D162"/>
      <c r="E162" s="2" t="str">
        <f>=HYPERLINK("https://si.geilicdn.com/pcitem2014204438-59e70000019ae454bb610a2301b4_1920_1440.jpg?w=640&amp;h=640", "https://si.geilicdn.com/pcitem2014204438-59e70000019ae454bb610a2301b4_1920_1440.jpg?w=640&amp;h=640")</f>
        <v>https://si.geilicdn.com/pcitem2014204438-59e70000019ae454bb610a2301b4_1920_1440.jpg?w=640&amp;h=640</v>
      </c>
      <c r="F162" t="inlineStr">
        <is>
          <t>Glasses</t>
        </is>
      </c>
      <c r="G162" t="inlineStr">
        <is>
          <t>Gucci</t>
        </is>
      </c>
      <c r="H162">
        <v>470</v>
      </c>
      <c r="I162">
        <v>68.12</v>
      </c>
      <c r="J162" t="inlineStr">
        <is>
          <t>{"id":"chatcmpl-DaAL5z3L6eu07UaSX2aFbz3p6zQqc","object":"chat.completion","created":1777511923,"model":"gpt-5-chat-2025-10-03","choices":[{"index":0,"message":{"role":"assistant","content":"Gucci Black GG Leather Embossed Clutch Bag","refusal":null,"annotations":[]},"logprobs":null,"finish_reason":"stop"}],"usage":{"prompt_tokens":600,"completion_tokens":12,"total_tokens":612,"prompt_tokens_details":{"cached_tokens":0,"audio_tokens":0},"completion_tokens_details":{"reasoning_tokens":0,"audio_tokens":0,"accepted_prediction_tokens":0,"rejected_prediction_tokens":0}},"service_tier":"default","system_fingerprint":"fp_fd471178c5"}</t>
        </is>
      </c>
      <c r="K162" t="inlineStr">
        <is>
          <t>Gucci Black GG Leather Embossed Clutch Bag</t>
        </is>
      </c>
      <c r="L162" t="inlineStr">
        <is>
          <t>{"id":"chatcmpl-DaA8pXwziW3FmxJKAD5pktAhnZLsG","object":"chat.completion","created":1777511163,"model":"gpt-5-chat-2025-10-03","choices":[{"index":0,"message":{"role":"assistant","content":"Gucci Black GG Embossed Leather Clutch, crafted from premium genuine leather with sleek zipper closure and detachable wrist strap, showcases iconic double G motif and timeless Italian luxury for all genders.","refusal":null,"annotations":[]},"logprobs":null,"finish_reason":"stop"}],"usage":{"prompt_tokens":626,"completion_tokens":39,"total_tokens":665,"prompt_tokens_details":{"cached_tokens":0,"audio_tokens":0},"completion_tokens_details":{"reasoning_tokens":0,"audio_tokens":0,"accepted_prediction_tokens":0,"rejected_prediction_tokens":0}},"service_tier":"default","system_fingerprint":"fp_ad66631dec"}</t>
        </is>
      </c>
      <c r="M162" t="inlineStr">
        <is>
          <t>{"alt-svc":"h3=\":443\"; ma=2592000","apim-request-id":"4361be6e-58d2-4ee5-9ea7-1a0517e92d1a","azureml-model-session":"d20260402075109-1fc5a0ec","cache-control":"no-cache","connection":"close","content-length":"1015","content-type":"application/json","date":"Thu, 30 Apr 2026 01:06:04 GMT","server":"nginx","skip-error-remapping":"true","strict-transport-security":"max-age=31536000; includeSubDomains; preload","via":"1.1 Caddy","x-content-type-options":"nosniff","x-ms-client-request-id":"Not-Set","x-ms-is-spilled-over":"false","x-ms-rai-invoked":"false","x-ms-region":"North Central US","x-new-api-version":"0.4.35","x-oneapi-request-id":"202604300106027143481398268d9d6WvjnoJy7","x-ratelimit-abusepenalty-active":"False","x-ratelimit-key":"gpt-5-chat-global","x-ratelimit-limit-requests":"1000","x-ratelimit-limit-tokens":"1000000","x-ratelimit-remaining-requests":"999","x-ratelimit-remaining-tokens":"998610","x-ratelimit-renewalperiod-requests":"60","x-ratelimit-renewalperiod-tokens":"60","x-ratelimit-reset-requests":"60","x-ratelimit-reset-tokens":"83","x-request-id":"7cd97e0d-3fe2-4818-bc36-8601a25b33c9"}</t>
        </is>
      </c>
      <c r="N162" t="inlineStr">
        <is>
          <t>Gucci Black GG Embossed Leather Clutch, crafted from premium genuine leather with sleek zipper closure and detachable wrist strap, showcases iconic double G motif and timeless Italian luxury for all genders.</t>
        </is>
      </c>
      <c r="O162" t="inlineStr">
        <is>
          <t>{"id":"chatcmpl-DaAWflDVs0TZ4deGArK6ic91wPBIW","object":"chat.completion","created":1777512641,"model":"gpt-5-chat-2025-10-03","choices":[{"index":0,"message":{"role":"assistant","content":"Gucci,Wallet,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is>
      </c>
      <c r="P162" t="inlineStr">
        <is>
          <t>Gucci,Wallet,kakobuy,kakebuy2026,kekobuysheet,kakobuysheet2026,2026kakobuy,kakobuyspreadsheeet,kakobuylink,kakebuylist,Kakobuy MEGA Spreadsheet,kakobuysheetfind,kakobuysheetfind2026,2026kakobuysheetfind,kakobuysheet2026</t>
        </is>
      </c>
      <c r="Q162" t="inlineStr">
        <is>
          <t>Gucci Superstar, Genuine Leather, Black, Unisex, All Seasons, High End</t>
        </is>
      </c>
      <c r="R162" t="inlineStr">
        <is>
          <t>recvhju1CrfbAc</t>
        </is>
      </c>
      <c r="S162" t="inlineStr">
        <is>
          <t>gucci-gg-leather-embossed-clutch-recvhju1crfbac</t>
        </is>
      </c>
      <c r="T162"/>
      <c r="U162"/>
      <c r="V162"/>
      <c r="W162" t="inlineStr">
        <is>
          <t>{"id":"chatcmpl-Da9oaGkeBY57N1xiDMIn1qIvcVqfT","object":"chat.completion","created":1777509908,"model":"gpt-5-chat-2025-10-03","choices":[{"index":0,"message":{"role":"assistant","content":"Gucci：黑色GG压纹皮革手拿包，甄选高级真皮材质，拉链设计简约利落，搭配可拆卸腕带与立体双G图腾，展现品牌经典意式奢华风格，男女皆宜，实用与时尚完美融合。","refusal":null,"annotations":[]},"logprobs":null,"finish_reason":"stop"}],"usage":{"prompt_tokens":1020,"completion_tokens":72,"total_tokens":1092,"prompt_tokens_details":{"cached_tokens":0,"audio_tokens":0},"completion_tokens_details":{"reasoning_tokens":0,"audio_tokens":0,"accepted_prediction_tokens":0,"rejected_prediction_tokens":0}},"service_tier":"default","system_fingerprint":"fp_ad66631dec"}</t>
        </is>
      </c>
      <c r="X162" t="inlineStr">
        <is>
          <t>Gucci：黑色GG压纹皮革手拿包，甄选高级真皮材质，拉链设计简约利落，搭配可拆卸腕带与立体双G图腾，展现品牌经典意式奢华风格，男女皆宜，实用与时尚完美融合。</t>
        </is>
      </c>
    </row>
    <row r="163" ht="25.5" customHeight="1">
      <c r="A163">
        <v>1654975475</v>
      </c>
      <c r="B163">
        <v>7626785066</v>
      </c>
      <c r="C163" s="2" t="str">
        <f>=HYPERLINK("https://weidian.com/item.html?itemID=7626785066", "https://weidian.com/item.html?itemID=7626785066")</f>
        <v>https://weidian.com/item.html?itemID=7626785066</v>
      </c>
      <c r="D163"/>
      <c r="E163" s="2" t="str">
        <f>=HYPERLINK("https://si.geilicdn.com/pcitem2014204438-48b80000019ae45076b20a231177_1080_1080.jpg?w=640&amp;h=640", "https://si.geilicdn.com/pcitem2014204438-48b80000019ae45076b20a231177_1080_1080.jpg?w=640&amp;h=640")</f>
        <v>https://si.geilicdn.com/pcitem2014204438-48b80000019ae45076b20a231177_1080_1080.jpg?w=640&amp;h=640</v>
      </c>
      <c r="F163" t="inlineStr">
        <is>
          <t>Accessories</t>
        </is>
      </c>
      <c r="G163" t="inlineStr">
        <is>
          <t>lululemon</t>
        </is>
      </c>
      <c r="H163">
        <v>370</v>
      </c>
      <c r="I163">
        <v>53.62</v>
      </c>
      <c r="J163" t="inlineStr">
        <is>
          <t>{"id":"chatcmpl-DaAHJMhTOmynnUfpsjCZk4UKacuPW","object":"chat.completion","created":1777511689,"model":"gpt-5-chat-2025-10-03","choices":[{"index":0,"message":{"role":"assistant","content":"Lululemon White Canvas Tote Bag for Gym Travel","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fd471178c5"}</t>
        </is>
      </c>
      <c r="K163" t="inlineStr">
        <is>
          <t>Lululemon White Canvas Tote Bag for Gym Travel</t>
        </is>
      </c>
      <c r="L163" t="inlineStr">
        <is>
          <t>{"id":"chatcmpl-DaABMbAQKr3ekcy5P4XWaPAKmL1sf","object":"chat.completion","created":1777511320,"model":"gpt-5-chat-2025-10-03","choices":[{"index":0,"message":{"role":"assistant","content":"Lululemon White Canvas Tote Bag – Durable fabric with black edge design, structured shape for easy storage, flexible handles, zipper pocket, unisex minimalist style perfect for gym, travel, and city life.","refusal":null,"annotations":[]},"logprobs":null,"finish_reason":"stop"}],"usage":{"prompt_tokens":932,"completion_tokens":43,"total_tokens":975,"prompt_tokens_details":{"cached_tokens":0,"audio_tokens":0},"completion_tokens_details":{"reasoning_tokens":0,"audio_tokens":0,"accepted_prediction_tokens":0,"rejected_prediction_tokens":0}},"service_tier":"default","system_fingerprint":"fp_fd471178c5"}</t>
        </is>
      </c>
      <c r="M163" t="inlineStr">
        <is>
          <t>{"alt-svc":"h3=\":443\"; ma=2592000","apim-request-id":"cab5068a-9988-45ee-ac05-fd0c7cd8b945","azureml-model-session":"d20260428205641-55ca9797","cache-control":"no-cache","connection":"close","content-length":"1014","content-type":"application/json","date":"Thu, 30 Apr 2026 01:08:41 GMT","server":"nginx","skip-error-remapping":"true","strict-transport-security":"max-age=31536000; includeSubDomains; preload","via":"1.1 Caddy","x-content-type-options":"nosniff","x-ms-client-request-id":"Not-Set","x-ms-is-spilled-over":"false","x-ms-rai-invoked":"false","x-ms-region":"East US 2","x-new-api-version":"0.4.35","x-oneapi-request-id":"202604300108395763613658268d9d6DBhA0B4w","x-ratelimit-abusepenalty-active":"False","x-ratelimit-key":"gpt-5-chat-global","x-ratelimit-limit-requests":"1000","x-ratelimit-limit-tokens":"1000000","x-ratelimit-remaining-requests":"999","x-ratelimit-remaining-tokens":"998306","x-ratelimit-renewalperiod-requests":"60","x-ratelimit-renewalperiod-tokens":"60","x-ratelimit-reset-requests":"60","x-ratelimit-reset-tokens":"101","x-request-id":"3e5c79c6-ba2f-4af5-bd96-f899c2286cf1"}</t>
        </is>
      </c>
      <c r="N163" t="inlineStr">
        <is>
          <t>Lululemon White Canvas Tote Bag – Durable fabric with black edge design, structured shape for easy storage, flexible handles, zipper pocket, unisex minimalist style perfect for gym, travel, and city life.</t>
        </is>
      </c>
      <c r="O163" t="inlineStr">
        <is>
          <t>{"id":"chatcmpl-DaAWVxdBcRyqQUwQfxWPFCHK7TK24","object":"chat.completion","created":1777512631,"model":"gpt-5-chat-2025-10-03","choices":[{"index":0,"message":{"role":"assistant","content":"lululemon,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fd471178c5"}</t>
        </is>
      </c>
      <c r="P163" t="inlineStr">
        <is>
          <t>lululemon,accessories,kakobuy,kakebuy2026,kekobuysheet,kakobuysheet2026,2026kakobuy,kakobuyspreadsheeet,kakobuylink,kakebuylist,Kakobuy MEGA Spreadsheet,kakobuysheetfind,kakobuysheetfind2026,2026kakobuysheetfind,kakobuysheet2026</t>
        </is>
      </c>
      <c r="Q163" t="inlineStr">
        <is>
          <t>White, Canvas, Unisex, Minimalist</t>
        </is>
      </c>
      <c r="R163" t="inlineStr">
        <is>
          <t>recvhju1CrhN1H</t>
        </is>
      </c>
      <c r="S163" t="inlineStr">
        <is>
          <t>lululemon-white-canvas-tote-gym-travel-recvhju1crhn1h</t>
        </is>
      </c>
      <c r="T163"/>
      <c r="U163"/>
      <c r="V163"/>
      <c r="W163" t="inlineStr">
        <is>
          <t>{"id":"chatcmpl-Da9rls1azfN3LLDJA1ViPlbGOVJb2","object":"chat.completion","created":1777510105,"model":"gpt-5-chat-2025-10-03","choices":[{"index":0,"message":{"role":"assistant","content":"Lululemon：白色休闲托特包，选用耐磨帆布材质，简约黑色线条勾边设计，风格干净利落。立体结构便于日常收纳，柔韧提手结合实用拉链口袋设计，兼具功能与时尚感。男女皆宜，彰显现代极简运动美学，适合都市休闲与健身出行使用。","refusal":null,"annotations":[]},"logprobs":null,"finish_reason":"stop"}],"usage":{"prompt_tokens":1299,"completion_tokens":99,"total_tokens":1398,"prompt_tokens_details":{"cached_tokens":1280,"audio_tokens":0},"completion_tokens_details":{"reasoning_tokens":0,"audio_tokens":0,"accepted_prediction_tokens":0,"rejected_prediction_tokens":0}},"service_tier":"default","system_fingerprint":"fp_ad66631dec"}</t>
        </is>
      </c>
      <c r="X163" t="inlineStr">
        <is>
          <t>Lululemon：白色休闲托特包，选用耐磨帆布材质，简约黑色线条勾边设计，风格干净利落。立体结构便于日常收纳，柔韧提手结合实用拉链口袋设计，兼具功能与时尚感。男女皆宜，彰显现代极简运动美学，适合都市休闲与健身出行使用。</t>
        </is>
      </c>
    </row>
    <row r="164" ht="25.5" customHeight="1">
      <c r="A164">
        <v>1654975475</v>
      </c>
      <c r="B164">
        <v>7623837857</v>
      </c>
      <c r="C164" s="2" t="str">
        <f>=HYPERLINK("https://weidian.com/item.html?itemID=7623837857", "https://weidian.com/item.html?itemID=7623837857")</f>
        <v>https://weidian.com/item.html?itemID=7623837857</v>
      </c>
      <c r="D164"/>
      <c r="E164" s="2" t="str">
        <f>=HYPERLINK("https://si.geilicdn.com/pcitem2014204438-4cc50000019ae44e57c30a20e7c7_1440_1440.jpg?w=640&amp;h=640", "https://si.geilicdn.com/pcitem2014204438-4cc50000019ae44e57c30a20e7c7_1440_1440.jpg?w=640&amp;h=640")</f>
        <v>https://si.geilicdn.com/pcitem2014204438-4cc50000019ae44e57c30a20e7c7_1440_1440.jpg?w=640&amp;h=640</v>
      </c>
      <c r="F164" t="inlineStr">
        <is>
          <t>Accessories</t>
        </is>
      </c>
      <c r="G164" t="inlineStr">
        <is>
          <t>Hermes</t>
        </is>
      </c>
      <c r="H164">
        <v>620</v>
      </c>
      <c r="I164">
        <v>89.86</v>
      </c>
      <c r="J164" t="inlineStr">
        <is>
          <t>{"id":"chatcmpl-DaAGppup2HRGQGri8AhvnMReRjnsO","object":"chat.completion","created":1777511659,"model":"gpt-5-chat-2025-10-03","choices":[{"index":0,"message":{"role":"assistant","content":"Hermes Lago Black Leather Crossbody Bag","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fd471178c5"}</t>
        </is>
      </c>
      <c r="K164" t="inlineStr">
        <is>
          <t>Hermes Lago Black Leather Crossbody Bag</t>
        </is>
      </c>
      <c r="L164" t="inlineStr">
        <is>
          <t>{"id":"chatcmpl-DaADoKpp96P6h9gohBRvrgww50663","object":"chat.completion","created":1777511472,"model":"gpt-5-chat-2025-10-03","choices":[{"index":0,"message":{"role":"assistant","content":"Hermès Lago Black Crossbody Bag in premium grained leather, featuring sleek silver hardware, modern structured design, and adjustable woven strap—unisex luxury with timeless French elegance.","refusal":null,"annotations":[]},"logprobs":null,"finish_reason":"stop"}],"usage":{"prompt_tokens":912,"completion_tokens":36,"total_tokens":948,"prompt_tokens_details":{"cached_tokens":0,"audio_tokens":0},"completion_tokens_details":{"reasoning_tokens":0,"audio_tokens":0,"accepted_prediction_tokens":0,"rejected_prediction_tokens":0}},"service_tier":"default","system_fingerprint":"fp_fd471178c5"}</t>
        </is>
      </c>
      <c r="M164" t="inlineStr">
        <is>
          <t>{"alt-svc":"h3=\":443\"; ma=2592000","apim-request-id":"2747b8c1-99ef-4ce9-be81-e709dd00ba62","azureml-model-session":"d20260428205641-55ca9797","cache-control":"no-cache","connection":"close","content-length":"1001","content-type":"application/json","date":"Thu, 30 Apr 2026 01:11:15 GMT","server":"nginx","skip-error-remapping":"true","strict-transport-security":"max-age=31536000; includeSubDomains; preload","via":"1.1 Caddy","x-content-type-options":"nosniff","x-ms-client-request-id":"Not-Set","x-ms-is-spilled-over":"false","x-ms-rai-invoked":"false","x-ms-region":"Poland Central","x-new-api-version":"0.4.35","x-oneapi-request-id":"202604300111122745340468268d9d66CzGz2gy","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7fb92403-dc6e-418c-8d98-9b7026ada358"}</t>
        </is>
      </c>
      <c r="N164" t="inlineStr">
        <is>
          <t>Hermès Lago Black Crossbody Bag in premium grained leather, featuring sleek silver hardware, modern structured design, and adjustable woven strap—unisex luxury with timeless French elegance.</t>
        </is>
      </c>
      <c r="O164" t="inlineStr">
        <is>
          <t>{"id":"chatcmpl-DaAUqGjAL42uAABEaANlafRwa3ybD","object":"chat.completion","created":1777512528,"model":"gpt-5-chat-2025-10-03","choices":[{"index":0,"message":{"role":"assistant","content":"Hermes,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4" t="inlineStr">
        <is>
          <t>Hermes,bag,kakobuy,kakebuy2026,kekobuysheet,kakobuysheet2026,2026kakobuy,kakobuyspreadsheeet,kakobuylink,kakebuylist,Kakobuy MEGA Spreadsheet,kakobuysheetfind,kakobuysheetfind2026,2026kakobuysheetfind,kakobuysheet2026</t>
        </is>
      </c>
      <c r="Q164"/>
      <c r="R164" t="inlineStr">
        <is>
          <t>recvhju1Crd0Bq</t>
        </is>
      </c>
      <c r="S164" t="inlineStr">
        <is>
          <t>hermes-lago-black-leather-crossbody-recvhju1crd0bq</t>
        </is>
      </c>
      <c r="T164"/>
      <c r="U164"/>
      <c r="V164"/>
      <c r="W164" t="inlineStr">
        <is>
          <t>{"id":"chatcmpl-Da9tpsWejCpWAUUEAJeGnxhlQDM3O","object":"chat.completion","created":1777510233,"model":"gpt-5-chat-2025-10-03","choices":[{"index":0,"message":{"role":"assistant","content":"Hermès：黑色Lago系列斜挎包，甄选顶级粒面皮革材质，银色金属扣饰简约优雅，立体剪裁呈现现代都市风格，配可调节织带肩带，男女皆宜实用百搭，彰显法式奢华格调。","refusal":null,"annotations":[]},"logprobs":null,"finish_reason":"stop"}],"usage":{"prompt_tokens":1305,"completion_tokens":76,"total_tokens":1381,"prompt_tokens_details":{"cached_tokens":1280,"audio_tokens":0},"completion_tokens_details":{"reasoning_tokens":0,"audio_tokens":0,"accepted_prediction_tokens":0,"rejected_prediction_tokens":0}},"service_tier":"default","system_fingerprint":"fp_fd471178c5"}</t>
        </is>
      </c>
      <c r="X164" t="inlineStr">
        <is>
          <t>Hermès：黑色Lago系列斜挎包，甄选顶级粒面皮革材质，银色金属扣饰简约优雅，立体剪裁呈现现代都市风格，配可调节织带肩带，男女皆宜实用百搭，彰显法式奢华格调。</t>
        </is>
      </c>
    </row>
    <row r="165" ht="25.5" customHeight="1">
      <c r="A165">
        <v>1654975475</v>
      </c>
      <c r="B165">
        <v>7623291913</v>
      </c>
      <c r="C165" s="2" t="str">
        <f>=HYPERLINK("https://weidian.com/item.html?itemID=7623291913", "https://weidian.com/item.html?itemID=7623291913")</f>
        <v>https://weidian.com/item.html?itemID=7623291913</v>
      </c>
      <c r="D165"/>
      <c r="E165" s="2" t="str">
        <f>=HYPERLINK("https://si.geilicdn.com/pcitem2014204438-3aac0000019adf6e7e3c0a23111a_1440_1920.jpg?w=640&amp;h=640", "https://si.geilicdn.com/pcitem2014204438-3aac0000019adf6e7e3c0a23111a_1440_1920.jpg?w=640&amp;h=640")</f>
        <v>https://si.geilicdn.com/pcitem2014204438-3aac0000019adf6e7e3c0a23111a_1440_1920.jpg?w=640&amp;h=640</v>
      </c>
      <c r="F165" t="inlineStr">
        <is>
          <t>Glasses</t>
        </is>
      </c>
      <c r="G165" t="inlineStr">
        <is>
          <t>Dior</t>
        </is>
      </c>
      <c r="H165">
        <v>460</v>
      </c>
      <c r="I165">
        <v>66.67</v>
      </c>
      <c r="J165" t="inlineStr">
        <is>
          <t>{"id":"chatcmpl-DaAHOxxffJFG2XJOIhxINULQoa5tI","object":"chat.completion","created":1777511694,"model":"gpt-5-chat-2025-10-03","choices":[{"index":0,"message":{"role":"assistant","content":"Dior Black Retro Square Acetate Unisex Sunglasses","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165" t="inlineStr">
        <is>
          <t>Dior Black Retro Square Acetate Unisex Sunglasses</t>
        </is>
      </c>
      <c r="L165" t="inlineStr">
        <is>
          <t>{"id":"chatcmpl-DaAB1hIuhhYEurI7RfTWGAYthN0Cc","object":"chat.completion","created":1777511299,"model":"gpt-5-chat-2025-10-03","choices":[{"index":0,"message":{"role":"assistant","content":"Dior Black Retro Square Sunglasses: crafted from premium acetate for durability and light comfort, featuring engraved Dior logo temples and grey-black lenses for sleek unisex urban elegance.","refusal":null,"annotations":[]},"logprobs":null,"finish_reason":"stop"}],"usage":{"prompt_tokens":926,"completion_tokens":35,"total_tokens":961,"prompt_tokens_details":{"cached_tokens":0,"audio_tokens":0},"completion_tokens_details":{"reasoning_tokens":0,"audio_tokens":0,"accepted_prediction_tokens":0,"rejected_prediction_tokens":0}},"service_tier":"default","system_fingerprint":"fp_fd471178c5"}</t>
        </is>
      </c>
      <c r="M165" t="inlineStr">
        <is>
          <t>{"alt-svc":"h3=\":443\"; ma=2592000","apim-request-id":"8eccda02-650c-4eb9-9e8d-ccef6bd4696b","azureml-model-session":"d20260428205641-55ca9797","cache-control":"no-cache","connection":"close","content-length":"998","content-type":"application/json","date":"Thu, 30 Apr 2026 01:08:19 GMT","server":"Caddy","skip-error-remapping":"true","strict-transport-security":"max-age=31536000; includeSubDomains; preload","x-content-type-options":"nosniff","x-ms-client-request-id":"Not-Set","x-ms-is-spilled-over":"false","x-ms-rai-invoked":"false","x-ms-region":"North Central US","x-new-api-version":"0.4.35","x-oneapi-request-id":"202604300108179345562038268d9d6EikNzgAp","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6ef7a8c9-e34e-44d3-a004-91fb1df7ae97"}</t>
        </is>
      </c>
      <c r="N165" t="inlineStr">
        <is>
          <t>Dior Black Retro Square Sunglasses: crafted from premium acetate for durability and light comfort, featuring engraved Dior logo temples and grey-black lenses for sleek unisex urban elegance.</t>
        </is>
      </c>
      <c r="O165" t="inlineStr">
        <is>
          <t>{"id":"chatcmpl-DaAXDETACfhNEMyVGH4yLfRKkOSoF","object":"chat.completion","created":1777512675,"model":"gpt-5-chat-2025-10-03","choices":[{"index":0,"message":{"role":"assistant","content":"Dior,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65" t="inlineStr">
        <is>
          <t>Dior, sunglasses, kakobuy, kakebuy2026, kekobuysheet, kakobuysheet2026, 2026kakobuy, kakobuyspreadsheeet, kakobuylink, kakebuylist, Kakobuy MEGA Spreadsheet, kakobuysheetfind, kakobuysheetfind2026, 2026kakobuysheetfind, kakobuysheet2026</t>
        </is>
      </c>
      <c r="Q165" t="inlineStr">
        <is>
          <t>Dior, Black, Retro, Unisex, Acetate Fiber, Elegant</t>
        </is>
      </c>
      <c r="R165" t="inlineStr">
        <is>
          <t>recvhju1Cr9hcl</t>
        </is>
      </c>
      <c r="S165" t="inlineStr">
        <is>
          <t>dior-black-retro-square-acetate-sunglasses-recvhju1cr9hcl</t>
        </is>
      </c>
      <c r="T165"/>
      <c r="U165"/>
      <c r="V165"/>
      <c r="W165" t="inlineStr">
        <is>
          <t>{"id":"chatcmpl-Da9qYW7UYmNds6Mkl6zxji153QA4V","object":"chat.completion","created":1777510030,"model":"gpt-5-chat-2025-10-03","choices":[{"index":0,"message":{"role":"assistant","content":"Dior：黑色复古方框太阳镜，镜框采用高品质醋酸纤维材质，质感轻盈坚韧。镜腿刻有精致品牌标识，搭配灰黑色镜片呈现摩登都市风格。男女皆宜，彰显优雅与力量兼具的现代品味，舒适防护兼容时尚出行。","refusal":null,"annotations":[]},"logprobs":null,"finish_reason":"stop"}],"usage":{"prompt_tokens":1308,"completion_tokens":88,"total_tokens":1396,"prompt_tokens_details":{"cached_tokens":0,"audio_tokens":0},"completion_tokens_details":{"reasoning_tokens":0,"audio_tokens":0,"accepted_prediction_tokens":0,"rejected_prediction_tokens":0}},"service_tier":"default","system_fingerprint":"fp_fd471178c5"}</t>
        </is>
      </c>
      <c r="X165" t="inlineStr">
        <is>
          <t>Dior：黑色复古方框太阳镜，镜框采用高品质醋酸纤维材质，质感轻盈坚韧。镜腿刻有精致品牌标识，搭配灰黑色镜片呈现摩登都市风格。男女皆宜，彰显优雅与力量兼具的现代品味，舒适防护兼容时尚出行。</t>
        </is>
      </c>
    </row>
    <row r="166" ht="25.5" customHeight="1">
      <c r="A166">
        <v>1654975475</v>
      </c>
      <c r="B166">
        <v>7626214680</v>
      </c>
      <c r="C166" s="2" t="str">
        <f>=HYPERLINK("https://weidian.com/item.html?itemID=7626214680", "https://weidian.com/item.html?itemID=7626214680")</f>
        <v>https://weidian.com/item.html?itemID=7626214680</v>
      </c>
      <c r="D166"/>
      <c r="E166" s="2" t="str">
        <f>=HYPERLINK("https://si.geilicdn.com/pcitem2014204438-360d0000019adf6c0f8f0a8133cc_1440_1920.jpg?w=640&amp;h=640", "https://si.geilicdn.com/pcitem2014204438-360d0000019adf6c0f8f0a8133cc_1440_1920.jpg?w=640&amp;h=640")</f>
        <v>https://si.geilicdn.com/pcitem2014204438-360d0000019adf6c0f8f0a8133cc_1440_1920.jpg?w=640&amp;h=640</v>
      </c>
      <c r="F166" t="inlineStr">
        <is>
          <t>Glasses</t>
        </is>
      </c>
      <c r="G166" t="inlineStr">
        <is>
          <t>Miu Miu</t>
        </is>
      </c>
      <c r="H166">
        <v>340</v>
      </c>
      <c r="I166">
        <v>49.2898550724637</v>
      </c>
      <c r="J166" t="inlineStr">
        <is>
          <t>{"id":"chatcmpl-DaAIHeg62UePz8I8lGw2IzbQ4iEDP","object":"chat.completion","created":1777511749,"model":"gpt-5-chat-2025-10-03","choices":[{"index":0,"message":{"role":"assistant","content":"Miu Miu Square Brown Gradient Fashion Sun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fd471178c5"}</t>
        </is>
      </c>
      <c r="K166" t="inlineStr">
        <is>
          <t>Miu Miu Square Brown Gradient Fashion Sunglasses</t>
        </is>
      </c>
      <c r="L166" t="inlineStr">
        <is>
          <t>{"id":"chatcmpl-DaAAkleKVuUoO6zXEug3xDpNBoVQl","object":"chat.completion","created":1777511282,"model":"gpt-5-chat-2025-10-03","choices":[{"index":0,"message":{"role":"assistant","content":"Miu Miu Square Brown Gradient Sunglasses – lightweight acetate frame with metal stud accents, vintage minimalist style for modern elegance, perfect for chic urban fashion and unique charm.","refusal":null,"annotations":[]},"logprobs":null,"finish_reason":"stop"}],"usage":{"prompt_tokens":907,"completion_tokens":35,"total_tokens":942,"prompt_tokens_details":{"cached_tokens":0,"audio_tokens":0},"completion_tokens_details":{"reasoning_tokens":0,"audio_tokens":0,"accepted_prediction_tokens":0,"rejected_prediction_tokens":0}},"service_tier":"default","system_fingerprint":"fp_ad66631dec"}</t>
        </is>
      </c>
      <c r="M166" t="inlineStr">
        <is>
          <t>{"alt-svc":"h3=\":443\"; ma=2592000","apim-request-id":"2c8a769a-8c7d-4e7b-a7cb-812cd2245a15","azureml-model-session":"d20260402084046-4209e968","cache-control":"no-cache","connection":"close","content-length":"998","content-type":"application/json","date":"Thu, 30 Apr 2026 01:08:03 GMT","server":"nginx","skip-error-remapping":"true","strict-transport-security":"max-age=31536000; includeSubDomains; preload","via":"1.1 Caddy","x-content-type-options":"nosniff","x-ms-client-request-id":"Not-Set","x-ms-is-spilled-over":"false","x-ms-rai-invoked":"false","x-ms-region":"West US","x-new-api-version":"0.4.35","x-oneapi-request-id":"202604300108007918271488268d9d6YAf98NoF","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ff8b93f5-6cfd-45dd-ab3d-7e90943318de"}</t>
        </is>
      </c>
      <c r="N166" t="inlineStr">
        <is>
          <t>Miu Miu Square Brown Gradient Sunglasses – lightweight acetate frame with metal stud accents, vintage minimalist style for modern elegance, perfect for chic urban fashion and unique charm.</t>
        </is>
      </c>
      <c r="O166" t="inlineStr">
        <is>
          <t>{"id":"chatcmpl-DaASFFjFkt3zndUxg33vAeDCKogvw","object":"chat.completion","created":1777512367,"model":"gpt-5-chat-2025-10-03","choices":[{"index":0,"message":{"role":"assistant","content":"Miu Miu,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66" t="inlineStr">
        <is>
          <t>Miu Miu, Glasses, kakobuy, kakebuy2026, kekobuysheet, kakobuysheet2026, 2026kakobuy, kakobuyspreadsheeet, kakobuylink, kakebuylist, Kakobuy MEGA Spreadsheet, kakobuysheetfind, kakobuysheetfind2026, 2026kakobuysheetfind, kakobuysheet2026</t>
        </is>
      </c>
      <c r="Q166" t="inlineStr">
        <is>
          <t>Acetate Fiber, Vintage, Minimalist, Lightweight, Brown, Gradient</t>
        </is>
      </c>
      <c r="R166" t="inlineStr">
        <is>
          <t>recvhju1CrvD7y</t>
        </is>
      </c>
      <c r="S166" t="inlineStr">
        <is>
          <t>miu-miu-square-brown-gradient-sunglasses-recvhju1crvd7y</t>
        </is>
      </c>
      <c r="T166"/>
      <c r="U166"/>
      <c r="V166"/>
      <c r="W166" t="inlineStr">
        <is>
          <t>{"id":"chatcmpl-Da9t5RJpYqJhCBISdox8DNfSFWbsg","object":"chat.completion","created":1777510187,"model":"gpt-5-chat-2025-10-03","choices":[{"index":0,"message":{"role":"assistant","content":"Miu Miu：Square系列棕色渐变太阳镜，轻盈醋酸纤维材质，金属铆钉装饰边框，简约复古设计展现现代女性优雅格调，适合时尚都市风格，彰显个性魅力。","refusal":null,"annotations":[]},"logprobs":null,"finish_reason":"stop"}],"usage":{"prompt_tokens":1312,"completion_tokens":67,"total_tokens":1379,"prompt_tokens_details":{"cached_tokens":1280,"audio_tokens":0},"completion_tokens_details":{"reasoning_tokens":0,"audio_tokens":0,"accepted_prediction_tokens":0,"rejected_prediction_tokens":0}},"service_tier":"default","system_fingerprint":"fp_fd471178c5"}</t>
        </is>
      </c>
      <c r="X166" t="inlineStr">
        <is>
          <t>Miu Miu：Square系列棕色渐变太阳镜，轻盈醋酸纤维材质，金属铆钉装饰边框，简约复古设计展现现代女性优雅格调，适合时尚都市风格，彰显个性魅力。</t>
        </is>
      </c>
    </row>
    <row r="167" ht="25.5" customHeight="1">
      <c r="A167">
        <v>1654975475</v>
      </c>
      <c r="B167">
        <v>7626177380</v>
      </c>
      <c r="C167" s="2" t="str">
        <f>=HYPERLINK("https://weidian.com/item.html?itemID=7626177380", "https://weidian.com/item.html?itemID=7626177380")</f>
        <v>https://weidian.com/item.html?itemID=7626177380</v>
      </c>
      <c r="D167"/>
      <c r="E167" s="2" t="str">
        <f>=HYPERLINK("https://si.geilicdn.com/pcitem2014204438-2d710000019adf662f860a23047e_1080_1440.jpg?w=640&amp;h=640", "https://si.geilicdn.com/pcitem2014204438-2d710000019adf662f860a23047e_1080_1440.jpg?w=640&amp;h=640")</f>
        <v>https://si.geilicdn.com/pcitem2014204438-2d710000019adf662f860a23047e_1080_1440.jpg?w=640&amp;h=640</v>
      </c>
      <c r="F167" t="inlineStr">
        <is>
          <t>Accessories</t>
        </is>
      </c>
      <c r="G167" t="inlineStr">
        <is>
          <t>Hermes</t>
        </is>
      </c>
      <c r="H167">
        <v>370</v>
      </c>
      <c r="I167">
        <v>53.62</v>
      </c>
      <c r="J167" t="inlineStr">
        <is>
          <t>{"id":"chatcmpl-DaAKbHoOdMLFNGuSgXSOf12mcZspM","object":"chat.completion","created":1777511893,"model":"gpt-5-chat-2025-10-03","choices":[{"index":0,"message":{"role":"assistant","content":"Burberry Square White Frame Gradient Lens Sunglasse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67" t="inlineStr">
        <is>
          <t>Burberry Square White Frame Gradient Lens Sunglasses</t>
        </is>
      </c>
      <c r="L167" t="inlineStr">
        <is>
          <t>{"id":"chatcmpl-DaABhCDC0RWyfec6A84VYhhEjrpvh","object":"chat.completion","created":1777511341,"model":"gpt-5-chat-2025-10-03","choices":[{"index":0,"message":{"role":"assistant","content":"Burberry Square White Frame Gradient Lens Sunglasses, premium resin material with metal logo detail, blend of vintage and modern British style, unisex design for elegant, chic everyday wear.","refusal":null,"annotations":[]},"logprobs":null,"finish_reason":"stop"}],"usage":{"prompt_tokens":898,"completion_tokens":37,"total_tokens":935,"prompt_tokens_details":{"cached_tokens":0,"audio_tokens":0},"completion_tokens_details":{"reasoning_tokens":0,"audio_tokens":0,"accepted_prediction_tokens":0,"rejected_prediction_tokens":0}},"service_tier":"default","system_fingerprint":"fp_ad66631dec"}</t>
        </is>
      </c>
      <c r="M167" t="inlineStr">
        <is>
          <t>{"alt-svc":"h3=\":443\"; ma=2592000","apim-request-id":"e2223dcb-7db2-45c3-bffc-a1f379563f3e","azureml-model-session":"d20260402075109-1fc5a0ec","cache-control":"no-cache","connection":"close","content-length":"998","content-type":"application/json","date":"Thu, 30 Apr 2026 01:09:01 GMT","server":"nginx","skip-error-remapping":"true","strict-transport-security":"max-age=31536000; includeSubDomains; preload","via":"1.1 Caddy","x-content-type-options":"nosniff","x-ms-client-request-id":"Not-Set","x-ms-is-spilled-over":"false","x-ms-rai-invoked":"false","x-ms-region":"East US 2","x-new-api-version":"0.4.35","x-oneapi-request-id":"202604300108599251008878268d9d6rpuZVyVn","x-ratelimit-abusepenalty-active":"False","x-ratelimit-key":"gpt-5-chat-global","x-ratelimit-limit-requests":"1000","x-ratelimit-limit-tokens":"1000000","x-ratelimit-remaining-requests":"999","x-ratelimit-remaining-tokens":"997653","x-ratelimit-renewalperiod-requests":"60","x-ratelimit-renewalperiod-tokens":"60","x-ratelimit-reset-requests":"60","x-ratelimit-reset-tokens":"140","x-request-id":"064779a1-1c66-4a81-a548-46acaae2f254"}</t>
        </is>
      </c>
      <c r="N167" t="inlineStr">
        <is>
          <t>Burberry Square White Frame Gradient Lens Sunglasses, premium resin material with metal logo detail, blend of vintage and modern British style, unisex design for elegant, chic everyday wear.</t>
        </is>
      </c>
      <c r="O167" t="inlineStr">
        <is>
          <t>{"id":"chatcmpl-DaAPM1bCkrYDQCkgJZQdZ1rUjVZff","object":"chat.completion","created":1777512188,"model":"gpt-5-chat-2025-10-03","choices":[{"index":0,"message":{"role":"assistant","content":"Burberry,accessories,kakobuy,kakebuy2026,kekobuysheet,kakobuysheet2026,2026kakobuy,kakobuyspreadsh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fd471178c5"}</t>
        </is>
      </c>
      <c r="P167" t="inlineStr">
        <is>
          <t>Burberry,accessories,kakobuy,kakebuy2026,kekobuysheet,kakobuysheet2026,2026kakobuy,kakobuyspreadsheet,kakobuylink,kakebuylist,Kakobuy MEGA Spreadsheet,kakobuysheetfind,kakobuysheetfind2026,2026kakobuysheetfind,kakobuysheet2026</t>
        </is>
      </c>
      <c r="Q167"/>
      <c r="R167" t="inlineStr">
        <is>
          <t>recvhju1Crikow</t>
        </is>
      </c>
      <c r="S167" t="inlineStr">
        <is>
          <t>burberry-square-white-gradient-sunglasses-recvhju1crikow</t>
        </is>
      </c>
      <c r="T167"/>
      <c r="U167"/>
      <c r="V167"/>
      <c r="W167" t="inlineStr">
        <is>
          <t>{"id":"chatcmpl-Da9ngr3yIBwCVJkifAWr9h7t5Zu3S","object":"chat.completion","created":1777509852,"model":"gpt-5-chat-2025-10-03","choices":[{"index":0,"message":{"role":"assistant","content":"Burberry：方形白框渐变镜片太阳眼镜，采用高品质树脂材质，金属字母标识细节彰显英伦格调，经典复古与现代时尚融合设计，适合男女佩戴，展现优雅与个性魅力。","refusal":null,"annotations":[]},"logprobs":null,"finish_reason":"stop"}],"usage":{"prompt_tokens":1299,"completion_tokens":65,"total_tokens":1364,"prompt_tokens_details":{"cached_tokens":0,"audio_tokens":0},"completion_tokens_details":{"reasoning_tokens":0,"audio_tokens":0,"accepted_prediction_tokens":0,"rejected_prediction_tokens":0}},"service_tier":"default","system_fingerprint":"fp_fd471178c5"}</t>
        </is>
      </c>
      <c r="X167" t="inlineStr">
        <is>
          <t>Burberry：方形白框渐变镜片太阳眼镜，采用高品质树脂材质，金属字母标识细节彰显英伦格调，经典复古与现代时尚融合设计，适合男女佩戴，展现优雅与个性魅力。</t>
        </is>
      </c>
    </row>
    <row r="168" ht="25.5" customHeight="1">
      <c r="A168">
        <v>1654975475</v>
      </c>
      <c r="B168">
        <v>7623248519</v>
      </c>
      <c r="C168" s="2" t="str">
        <f>=HYPERLINK("https://weidian.com/item.html?itemID=7623248519", "https://weidian.com/item.html?itemID=7623248519")</f>
        <v>https://weidian.com/item.html?itemID=7623248519</v>
      </c>
      <c r="D168"/>
      <c r="E168" s="2" t="str">
        <f>=HYPERLINK("https://si.geilicdn.com/pcitem2014204438-2dad0000019adf6002fe0a81347d_1442_1922.jpg?w=640&amp;h=640", "https://si.geilicdn.com/pcitem2014204438-2dad0000019adf6002fe0a81347d_1442_1922.jpg?w=640&amp;h=640")</f>
        <v>https://si.geilicdn.com/pcitem2014204438-2dad0000019adf6002fe0a81347d_1442_1922.jpg?w=640&amp;h=640</v>
      </c>
      <c r="F168" t="inlineStr">
        <is>
          <t>Glasses</t>
        </is>
      </c>
      <c r="G168" t="inlineStr">
        <is>
          <t>Chloe</t>
        </is>
      </c>
      <c r="H168">
        <v>900</v>
      </c>
      <c r="I168">
        <v>130.43</v>
      </c>
      <c r="J168" t="inlineStr">
        <is>
          <t>{"id":"chatcmpl-DaAFhNEgzwHmmgZPa81UMDDyNeQ1x","object":"chat.completion","created":1777511589,"model":"gpt-5-chat-2025-10-03","choices":[{"index":0,"message":{"role":"assistant","content":"Chloé Snow Pink White ZEISS Ski Goggles","refusal":null,"annotations":[]},"logprobs":null,"finish_reason":"stop"}],"usage":{"prompt_tokens":884,"completion_tokens":12,"total_tokens":896,"prompt_tokens_details":{"cached_tokens":0,"audio_tokens":0},"completion_tokens_details":{"reasoning_tokens":0,"audio_tokens":0,"accepted_prediction_tokens":0,"rejected_prediction_tokens":0}},"service_tier":"default","system_fingerprint":"fp_fd471178c5"}</t>
        </is>
      </c>
      <c r="K168" t="inlineStr">
        <is>
          <t>Chloé Snow Pink White ZEISS Ski Goggles</t>
        </is>
      </c>
      <c r="L168" t="inlineStr">
        <is>
          <t>{"id":"chatcmpl-DaA6UBAT9GMb1dWDDkI8tKYgHvmQS","object":"chat.completion","created":1777511018,"model":"gpt-5-chat-2025-10-03","choices":[{"index":0,"message":{"role":"assistant","content":"Chloé Snow Series Pink White Ski Goggles with ZEISS anti-fog HD lenses, eco-friendly soft frame, windproof UV protection, sleek unisex design for elegant French winter ski style.","refusal":null,"annotations":[]},"logprobs":null,"finish_reason":"stop"}],"usage":{"prompt_tokens":904,"completion_tokens":41,"total_tokens":945,"prompt_tokens_details":{"cached_tokens":0,"audio_tokens":0},"completion_tokens_details":{"reasoning_tokens":0,"audio_tokens":0,"accepted_prediction_tokens":0,"rejected_prediction_tokens":0}},"service_tier":"default","system_fingerprint":"fp_ad66631dec"}</t>
        </is>
      </c>
      <c r="M168" t="inlineStr">
        <is>
          <t>{"alt-svc":"h3=\":443\"; ma=2592000","apim-request-id":"9245a56e-c7cf-40ea-a057-f8c70c3a0370","azureml-model-session":"d20260402083108-57a85543","cache-control":"no-cache","connection":"close","content-length":"987","content-type":"application/json","date":"Thu, 30 Apr 2026 01:03:39 GMT","server":"Caddy","skip-error-remapping":"true","strict-transport-security":"max-age=31536000; includeSubDomains; preload","x-content-type-options":"nosniff","x-ms-client-request-id":"Not-Set","x-ms-is-spilled-over":"false","x-ms-rai-invoked":"false","x-ms-region":"Central US","x-new-api-version":"0.4.35","x-oneapi-request-id":"202604300103372602175878268d9d6LxYY1OCC","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511895a1-ef41-496c-8a72-3c8c8d34cec1"}</t>
        </is>
      </c>
      <c r="N168" t="inlineStr">
        <is>
          <t>Chloé Snow Series Pink White Ski Goggles with ZEISS anti-fog HD lenses, eco-friendly soft frame, windproof UV protection, sleek unisex design for elegant French winter ski style.</t>
        </is>
      </c>
      <c r="O168" t="inlineStr">
        <is>
          <t>{"id":"chatcmpl-DaAThPIkBLQROxMxU5VmkWmJNYU5Z","object":"chat.completion","created":1777512457,"model":"gpt-5-chat-2025-10-03","choices":[{"index":0,"message":{"role":"assistant","content":"Chloé, Ski Goggles,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94,"total_tokens":877,"prompt_tokens_details":{"cached_tokens":0,"audio_tokens":0},"completion_tokens_details":{"reasoning_tokens":0,"audio_tokens":0,"accepted_prediction_tokens":0,"rejected_prediction_tokens":0}},"service_tier":"default","system_fingerprint":"fp_fd471178c5"}</t>
        </is>
      </c>
      <c r="P168" t="inlineStr">
        <is>
          <t>Chloé, Ski Goggles, kakobuy, kakebuy2026, kekobuysheet, kakobuysheet2026, 2026kakobuy, kakobuyspreadsheeet, kakobuylink, kakebuylist, Kakobuy MEGA Spreadsheet, kakobuysheetfind, kakobuysheetfind2026, 2026kakobuysheetfind, kakobuysheet2026</t>
        </is>
      </c>
      <c r="Q168" t="inlineStr">
        <is>
          <t>Pink, White, Windproof, Winter, Unisex</t>
        </is>
      </c>
      <c r="R168" t="inlineStr">
        <is>
          <t>recvhju1Cr15ZS</t>
        </is>
      </c>
      <c r="S168" t="inlineStr">
        <is>
          <t>chloe-snow-pink-white-zeiss-ski-goggles-recvhju1cr15zs</t>
        </is>
      </c>
      <c r="T168"/>
      <c r="U168"/>
      <c r="V168"/>
      <c r="W168" t="inlineStr">
        <is>
          <t>{"id":"chatcmpl-Da9prKzNrwClOaxgxrq9ui2Gtearg","object":"chat.completion","created":1777509987,"model":"gpt-5-chat-2025-10-03","choices":[{"index":0,"message":{"role":"assistant","content":"Chloé：雪系列粉白色滑雪护目镜，搭载ZEISS高清防雾镜片，柔软环保材质框架，流线设计展现法式优雅，男女皆宜，兼具防风抗紫外线功能，打造冬季时尚滑雪造型。","refusal":null,"annotations":[]},"logprobs":null,"finish_reason":"stop"}],"usage":{"prompt_tokens":1302,"completion_tokens":69,"total_tokens":1371,"prompt_tokens_details":{"cached_tokens":0,"audio_tokens":0},"completion_tokens_details":{"reasoning_tokens":0,"audio_tokens":0,"accepted_prediction_tokens":0,"rejected_prediction_tokens":0}},"service_tier":"default","system_fingerprint":"fp_ad66631dec"}</t>
        </is>
      </c>
      <c r="X168" t="inlineStr">
        <is>
          <t>Chloé：雪系列粉白色滑雪护目镜，搭载ZEISS高清防雾镜片，柔软环保材质框架，流线设计展现法式优雅，男女皆宜，兼具防风抗紫外线功能，打造冬季时尚滑雪造型。</t>
        </is>
      </c>
    </row>
    <row r="169" ht="25.5" customHeight="1">
      <c r="A169">
        <v>1654975475</v>
      </c>
      <c r="B169">
        <v>7626184124</v>
      </c>
      <c r="C169" s="2" t="str">
        <f>=HYPERLINK("https://weidian.com/item.html?itemID=7626184124", "https://weidian.com/item.html?itemID=7626184124")</f>
        <v>https://weidian.com/item.html?itemID=7626184124</v>
      </c>
      <c r="D169"/>
      <c r="E169" s="2" t="str">
        <f>=HYPERLINK("https://si.geilicdn.com/pcitem2014204438-1f240000019adf57fdbb0a20e7c7_1440_1917.jpg?w=640&amp;h=640", "https://si.geilicdn.com/pcitem2014204438-1f240000019adf57fdbb0a20e7c7_1440_1917.jpg?w=640&amp;h=640")</f>
        <v>https://si.geilicdn.com/pcitem2014204438-1f240000019adf57fdbb0a20e7c7_1440_1917.jpg?w=640&amp;h=640</v>
      </c>
      <c r="F169" t="inlineStr">
        <is>
          <t>Glasses</t>
        </is>
      </c>
      <c r="G169" t="inlineStr">
        <is>
          <t>Gentle Monster</t>
        </is>
      </c>
      <c r="H169">
        <v>360</v>
      </c>
      <c r="I169">
        <v>52.17</v>
      </c>
      <c r="J169" t="inlineStr">
        <is>
          <t>{"id":"chatcmpl-DaAItxLxejeMi0uxm7KgYJhDLZQOe","object":"chat.completion","created":1777511787,"model":"gpt-5-chat-2025-10-03","choices":[{"index":0,"message":{"role":"assistant","content":"Gentle Monster Frida Black UV Sunglasses","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fd471178c5"}</t>
        </is>
      </c>
      <c r="K169" t="inlineStr">
        <is>
          <t>Gentle Monster Frida Black UV Sunglasses</t>
        </is>
      </c>
      <c r="L169" t="inlineStr">
        <is>
          <t>{"id":"chatcmpl-DaA9mCvaPa5ynMXEX05Su7UHleaup","object":"chat.completion","created":1777511222,"model":"gpt-5-chat-2025-10-03","choices":[{"index":0,"message":{"role":"assistant","content":"Gentle Monster Frida Black Sunglasses feature glossy acetate frame, UV-protection lenses, and a minimalist vintage style for modern urban fashion, perfect for men and women.","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fd471178c5"}</t>
        </is>
      </c>
      <c r="M169" t="inlineStr">
        <is>
          <t>{"alt-svc":"h3=\":443\"; ma=2592000","apim-request-id":"e053d690-5983-4476-b58d-0db856c22a77","azureml-model-session":"d20260428174121-807d9cc5","cache-control":"no-cache","connection":"close","content-length":"981","content-type":"application/json","date":"Thu, 30 Apr 2026 01:07:04 GMT","server":"nginx","skip-error-remapping":"true","strict-transport-security":"max-age=31536000; includeSubDomains; preload","via":"1.1 Caddy","x-content-type-options":"nosniff","x-ms-client-request-id":"Not-Set","x-ms-is-spilled-over":"false","x-ms-rai-invoked":"false","x-ms-region":"Sweden Central","x-new-api-version":"0.4.35","x-oneapi-request-id":"202604300107008216684998268d9d6vscqK0j1","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e2804cf0-88b3-4995-a3db-3529d14f2c1a"}</t>
        </is>
      </c>
      <c r="N169" t="inlineStr">
        <is>
          <t>Gentle Monster Frida Black Sunglasses feature glossy acetate frame, UV-protection lenses, and a minimalist vintage style for modern urban fashion, perfect for men and women.</t>
        </is>
      </c>
      <c r="O169" t="inlineStr">
        <is>
          <t>{"id":"chatcmpl-DaARVdiSVXwXJ7l29DCfgV8b4c2xj","object":"chat.completion","created":1777512321,"model":"gpt-5-chat-2025-10-03","choices":[{"index":0,"message":{"role":"assistant","content":"Gentle Monster,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69" t="inlineStr">
        <is>
          <t>Gentle Monster, Glasses, kakobuy, kakebuy2026, kekobuysheet, kakobuysheet2026, 2026kakobuy, kakobuyspreadsheeet, kakobuylink, kakebuylist, Kakobuy MEGA Spreadsheet, kakobuysheetfind, kakobuysheetfind2026, 2026kakobuysheetfind, kakobuysheet2026</t>
        </is>
      </c>
      <c r="Q169" t="inlineStr">
        <is>
          <t>Acetate Fiber, Anti-Ultraviolet, Minimalist, Vintage, Unisex</t>
        </is>
      </c>
      <c r="R169" t="inlineStr">
        <is>
          <t>recvhju1CrBapg</t>
        </is>
      </c>
      <c r="S169" t="inlineStr">
        <is>
          <t>gentle-monster-frida-black-uv-sunglasses-recvhju1crbapg</t>
        </is>
      </c>
      <c r="T169"/>
      <c r="U169"/>
      <c r="V169"/>
      <c r="W169" t="inlineStr">
        <is>
          <t>{"id":"chatcmpl-Da9pmfNh2EjFi4S9Jokn4CbzmUiYS","object":"chat.completion","created":1777509982,"model":"gpt-5-chat-2025-10-03","choices":[{"index":0,"message":{"role":"assistant","content":"Gentle Monster：Frida黑色太阳镜，采用高亮醋酸纤维镜框与防紫外线镜片，极简复古设计，男女通用款，展现现代都市时尚魅力。","refusal":null,"annotations":[]},"logprobs":null,"finish_reason":"stop"}],"usage":{"prompt_tokens":1310,"completion_tokens":51,"total_tokens":1361,"prompt_tokens_details":{"cached_tokens":0,"audio_tokens":0},"completion_tokens_details":{"reasoning_tokens":0,"audio_tokens":0,"accepted_prediction_tokens":0,"rejected_prediction_tokens":0}},"service_tier":"default","system_fingerprint":"fp_fd471178c5"}</t>
        </is>
      </c>
      <c r="X169" t="inlineStr">
        <is>
          <t>Gentle Monster：Frida黑色太阳镜，采用高亮醋酸纤维镜框与防紫外线镜片，极简复古设计，男女通用款，展现现代都市时尚魅力。</t>
        </is>
      </c>
    </row>
    <row r="170" ht="25.5" customHeight="1">
      <c r="A170">
        <v>1654975475</v>
      </c>
      <c r="B170">
        <v>7626171500</v>
      </c>
      <c r="C170" s="2" t="str">
        <f>=HYPERLINK("https://weidian.com/item.html?itemID=7626171500", "https://weidian.com/item.html?itemID=7626171500")</f>
        <v>https://weidian.com/item.html?itemID=7626171500</v>
      </c>
      <c r="D170"/>
      <c r="E170" s="2" t="str">
        <f>=HYPERLINK("https://si.geilicdn.com/pcitem2014204438-23e10000019adf4e8c850a230115_1074_1074.jpg?w=640&amp;h=640", "https://si.geilicdn.com/pcitem2014204438-23e10000019adf4e8c850a230115_1074_1074.jpg?w=640&amp;h=640")</f>
        <v>https://si.geilicdn.com/pcitem2014204438-23e10000019adf4e8c850a230115_1074_1074.jpg?w=640&amp;h=640</v>
      </c>
      <c r="F170" t="inlineStr">
        <is>
          <t>Glasses</t>
        </is>
      </c>
      <c r="G170" t="inlineStr">
        <is>
          <t>Prada</t>
        </is>
      </c>
      <c r="H170">
        <v>360</v>
      </c>
      <c r="I170">
        <v>52.17</v>
      </c>
      <c r="J170" t="inlineStr">
        <is>
          <t>{"id":"chatcmpl-DaAKkD8LHD88GnmQZ6OxMoeedcax5","object":"chat.completion","created":1777511902,"model":"gpt-5-chat-2025-10-03","choices":[{"index":0,"message":{"role":"assistant","content":"Prada Black Rectangular Unisex Sunglasses UV Protection","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70" t="inlineStr">
        <is>
          <t>Prada Black Rectangular Unisex Sunglasses UV Protection</t>
        </is>
      </c>
      <c r="L170" t="inlineStr">
        <is>
          <t>{"id":"chatcmpl-DaAB5Ruc2jb9q8XnJ0AMzxy5w4Od9","object":"chat.completion","created":1777511303,"model":"gpt-5-chat-2025-10-03","choices":[{"index":0,"message":{"role":"assistant","content":"Prada Black Rectangular Sunglasses – Glossy Acetate Frame, UV-Protection Lenses, Minimalist Italian Modern Design, Unisex Luxury Style for Timeless Fashion Elegance.","refusal":null,"annotations":[]},"logprobs":null,"finish_reason":"stop"}],"usage":{"prompt_tokens":898,"completion_tokens":39,"total_tokens":937,"prompt_tokens_details":{"cached_tokens":0,"audio_tokens":0},"completion_tokens_details":{"reasoning_tokens":0,"audio_tokens":0,"accepted_prediction_tokens":0,"rejected_prediction_tokens":0}},"service_tier":"default","system_fingerprint":"fp_fd471178c5"}</t>
        </is>
      </c>
      <c r="M170" t="inlineStr">
        <is>
          <t>{"alt-svc":"h3=\":443\"; ma=2592000","apim-request-id":"7139d3f2-b99b-4fbd-95d5-1a9bf7f00ba0","azureml-model-session":"d20260428205641-55ca9797","cache-control":"no-cache","connection":"close","content-length":"975","content-type":"application/json","date":"Thu, 30 Apr 2026 01:08:25 GMT","server":"Caddy","skip-error-remapping":"true","strict-transport-security":"max-age=31536000; includeSubDomains; preload","x-content-type-options":"nosniff","x-ms-client-request-id":"Not-Set","x-ms-is-spilled-over":"false","x-ms-rai-invoked":"false","x-ms-region":"Poland Central","x-new-api-version":"0.4.35","x-oneapi-request-id":"202604300108228398686178268d9d6qDVJYqzE","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0a9c2894-078d-425d-ba03-b78fae7fbd7b"}</t>
        </is>
      </c>
      <c r="N170" t="inlineStr">
        <is>
          <t>Prada Black Rectangular Sunglasses – Glossy Acetate Frame, UV-Protection Lenses, Minimalist Italian Modern Design, Unisex Luxury Style for Timeless Fashion Elegance.</t>
        </is>
      </c>
      <c r="O170" t="inlineStr">
        <is>
          <t>{"id":"chatcmpl-DaAThNmtWptBy4a8Nmviboa0YLtL2","object":"chat.completion","created":1777512457,"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0" t="inlineStr">
        <is>
          <t>Prada,Glasses,kakobuy,kakebuy2026,kekobuysheet,kakobuysheet2026,2026kakobuy,kakobuyspreadsheeet,kakobuylink,kakebuylist,Kakobuy MEGA Spreadsheet,kakobuysheetfind,kakobuysheetfind2026,2026kakobuysheetfind,kakobuysheet2026</t>
        </is>
      </c>
      <c r="Q170" t="inlineStr">
        <is>
          <t>Black, Acetate Fiber, Minimalist, Modern, Unisex, Anti-Ultraviolet</t>
        </is>
      </c>
      <c r="R170" t="inlineStr">
        <is>
          <t>recvhju1Crk1B2</t>
        </is>
      </c>
      <c r="S170" t="inlineStr">
        <is>
          <t>prada-black-rectangular-unisex-sunglasses-uv-recvhju1crk1b2</t>
        </is>
      </c>
      <c r="T170"/>
      <c r="U170"/>
      <c r="V170"/>
      <c r="W170" t="inlineStr">
        <is>
          <t>{"id":"chatcmpl-Da9nMuxGdRCStbQylALNpGAe0MCVu","object":"chat.completion","created":1777509832,"model":"gpt-5-chat-2025-10-03","choices":[{"index":0,"message":{"role":"assistant","content":"Prada：黑色矩形太阳镜，采用高光醋酸纤维镜框，简约流线设计，搭配防UV镜片，展现极简奢华格调，男女通用款，意式现代风格彰显时尚态度。","refusal":null,"annotations":[]},"logprobs":null,"finish_reason":"stop"}],"usage":{"prompt_tokens":1302,"completion_tokens":63,"total_tokens":1365,"prompt_tokens_details":{"cached_tokens":0,"audio_tokens":0},"completion_tokens_details":{"reasoning_tokens":0,"audio_tokens":0,"accepted_prediction_tokens":0,"rejected_prediction_tokens":0}},"service_tier":"default","system_fingerprint":"fp_fd471178c5"}</t>
        </is>
      </c>
      <c r="X170" t="inlineStr">
        <is>
          <t>Prada：黑色矩形太阳镜，采用高光醋酸纤维镜框，简约流线设计，搭配防UV镜片，展现极简奢华格调，男女通用款，意式现代风格彰显时尚态度。</t>
        </is>
      </c>
    </row>
    <row r="171" ht="25.5" customHeight="1">
      <c r="A171">
        <v>1654975475</v>
      </c>
      <c r="B171">
        <v>7623295747</v>
      </c>
      <c r="C171" s="2" t="str">
        <f>=HYPERLINK("https://weidian.com/item.html?itemID=7623295747", "https://weidian.com/item.html?itemID=7623295747")</f>
        <v>https://weidian.com/item.html?itemID=7623295747</v>
      </c>
      <c r="D171"/>
      <c r="E171" s="2" t="str">
        <f>=HYPERLINK("https://si.geilicdn.com/pcitem2014204438-2cfd0000019adf4c616a0a2303ee_1074_1074.jpg?w=640&amp;h=640", "https://si.geilicdn.com/pcitem2014204438-2cfd0000019adf4c616a0a2303ee_1074_1074.jpg?w=640&amp;h=640")</f>
        <v>https://si.geilicdn.com/pcitem2014204438-2cfd0000019adf4c616a0a2303ee_1074_1074.jpg?w=640&amp;h=640</v>
      </c>
      <c r="F171" t="inlineStr">
        <is>
          <t>Glasses</t>
        </is>
      </c>
      <c r="G171" t="inlineStr">
        <is>
          <t>Prada</t>
        </is>
      </c>
      <c r="H171">
        <v>380</v>
      </c>
      <c r="I171">
        <v>55.07</v>
      </c>
      <c r="J171" t="inlineStr">
        <is>
          <t>{"id":"chatcmpl-DaAJG5dJaLHbpJFY3GAxgHz3io2Sw","object":"chat.completion","created":1777511810,"model":"gpt-5-chat-2025-10-03","choices":[{"index":0,"message":{"role":"assistant","content":"Prada Red Gold Metal Wide Frame Sunglasses","refusal":null,"annotations":[]},"logprobs":null,"finish_reason":"stop"}],"usage":{"prompt_tokens":886,"completion_tokens":10,"total_tokens":896,"prompt_tokens_details":{"cached_tokens":0,"audio_tokens":0},"completion_tokens_details":{"reasoning_tokens":0,"audio_tokens":0,"accepted_prediction_tokens":0,"rejected_prediction_tokens":0}},"service_tier":"default","system_fingerprint":"fp_fd471178c5"}</t>
        </is>
      </c>
      <c r="K171" t="inlineStr">
        <is>
          <t>Prada Red Gold Metal Wide Frame Sunglasses</t>
        </is>
      </c>
      <c r="L171" t="inlineStr">
        <is>
          <t>{"id":"chatcmpl-DaACcOAtoIuIxuvoTlJALEfY0Pnuy","object":"chat.completion","created":1777511398,"model":"gpt-5-chat-2025-10-03","choices":[{"index":0,"message":{"role":"assistant","content":"Prada Red-Gold Metal Sunglasses feature a bold wide-frame design blending sporty elegance and luxury style, with logo-engraved temples. Unisex fashion eyewear for a modern, avant-garde look.","refusal":null,"annotations":[]},"logprobs":null,"finish_reason":"stop"}],"usage":{"prompt_tokens":887,"completion_tokens":42,"total_tokens":929,"prompt_tokens_details":{"cached_tokens":0,"audio_tokens":0},"completion_tokens_details":{"reasoning_tokens":0,"audio_tokens":0,"accepted_prediction_tokens":0,"rejected_prediction_tokens":0}},"service_tier":"default","system_fingerprint":"fp_fd471178c5"}</t>
        </is>
      </c>
      <c r="M171" t="inlineStr">
        <is>
          <t>{"alt-svc":"h3=\":443\"; ma=2592000","apim-request-id":"9a080fb4-ec1c-4352-a16d-17d286598eea","azureml-model-session":"d20260428174121-807d9cc5","cache-control":"no-cache","connection":"close","content-length":"998","content-type":"application/json","date":"Thu, 30 Apr 2026 01:09:59 GMT","server":"nginx","skip-error-remapping":"true","strict-transport-security":"max-age=31536000; includeSubDomains; preload","via":"1.1 Caddy","x-content-type-options":"nosniff","x-ms-client-request-id":"Not-Set","x-ms-is-spilled-over":"false","x-ms-rai-invoked":"false","x-ms-region":"Central US","x-new-api-version":"0.4.35","x-oneapi-request-id":"202604300109576604931288268d9d6FhdRYBpC","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ae208550-babe-498b-9350-00070f05dab8"}</t>
        </is>
      </c>
      <c r="N171" t="inlineStr">
        <is>
          <t>Prada Red-Gold Metal Sunglasses feature a bold wide-frame design blending sporty elegance and luxury style, with logo-engraved temples. Unisex fashion eyewear for a modern, avant-garde look.</t>
        </is>
      </c>
      <c r="O171" t="inlineStr">
        <is>
          <t>{"id":"chatcmpl-DaAWiGxKD5iKrX6jaxZgH1C0HNuLK","object":"chat.completion","created":1777512644,"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1" t="inlineStr">
        <is>
          <t>Prada,Glasses,kakobuy,kakebuy2026,kekobuysheet,kakobuysheet2026,2026kakobuy,kakobuyspreadsheeet,kakobuylink,kakebuylist,Kakobuy MEGA Spreadsheet,kakobuysheetfind,kakobuysheetfind2026,2026kakobuysheetfind,kakobuysheet2026</t>
        </is>
      </c>
      <c r="Q171"/>
      <c r="R171" t="inlineStr">
        <is>
          <t>recvhju1CrY4xg</t>
        </is>
      </c>
      <c r="S171" t="inlineStr">
        <is>
          <t>prada-red-gold-metal-wide-frame-sunglasses-recvhju1cry4xg</t>
        </is>
      </c>
      <c r="T171"/>
      <c r="U171"/>
      <c r="V171"/>
      <c r="W171" t="inlineStr">
        <is>
          <t>{"id":"chatcmpl-Da9tqBmwq7wxWouyaWJvt1yy5cOoj","object":"chat.completion","created":1777510234,"model":"gpt-5-chat-2025-10-03","choices":[{"index":0,"message":{"role":"assistant","content":"Prada：红金撞色金属太阳镜，宽框设计融合现代运动与奢华格调，镜腿饰以品牌标识，适合男女通用佩戴，彰显先锋时尚气质。","refusal":null,"annotations":[]},"logprobs":null,"finish_reason":"stop"}],"usage":{"prompt_tokens":1306,"completion_tokens":50,"total_tokens":1356,"prompt_tokens_details":{"cached_tokens":0,"audio_tokens":0},"completion_tokens_details":{"reasoning_tokens":0,"audio_tokens":0,"accepted_prediction_tokens":0,"rejected_prediction_tokens":0}},"service_tier":"default","system_fingerprint":"fp_fd471178c5"}</t>
        </is>
      </c>
      <c r="X171" t="inlineStr">
        <is>
          <t>Prada：红金撞色金属太阳镜，宽框设计融合现代运动与奢华格调，镜腿饰以品牌标识，适合男女通用佩戴，彰显先锋时尚气质。</t>
        </is>
      </c>
    </row>
    <row r="172" ht="25.5" customHeight="1">
      <c r="A172">
        <v>1654975475</v>
      </c>
      <c r="B172">
        <v>7626167278</v>
      </c>
      <c r="C172" s="2" t="str">
        <f>=HYPERLINK("https://weidian.com/item.html?itemID=7626167278", "https://weidian.com/item.html?itemID=7626167278")</f>
        <v>https://weidian.com/item.html?itemID=7626167278</v>
      </c>
      <c r="D172"/>
      <c r="E172" s="2" t="str">
        <f>=HYPERLINK("https://si.geilicdn.com/pcitem2014204438-21230000019adf3a21980a207569_1440_1920.jpg?w=640&amp;h=640", "https://si.geilicdn.com/pcitem2014204438-21230000019adf3a21980a207569_1440_1920.jpg?w=640&amp;h=640")</f>
        <v>https://si.geilicdn.com/pcitem2014204438-21230000019adf3a21980a207569_1440_1920.jpg?w=640&amp;h=640</v>
      </c>
      <c r="F172" t="inlineStr">
        <is>
          <t>Glasses</t>
        </is>
      </c>
      <c r="G172" t="inlineStr">
        <is>
          <t>Dior</t>
        </is>
      </c>
      <c r="H172">
        <v>360</v>
      </c>
      <c r="I172">
        <v>52.17</v>
      </c>
      <c r="J172" t="inlineStr">
        <is>
          <t>{"id":"chatcmpl-DaALOO4yEJHpOq1Q1VBc59lt9MdUN","object":"chat.completion","created":1777511942,"model":"gpt-5-chat-2025-10-03","choices":[{"index":0,"message":{"role":"assistant","content":"Dior Black Geometric Square Unisex Luxury Sunglasses","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ad66631dec"}</t>
        </is>
      </c>
      <c r="K172" t="inlineStr">
        <is>
          <t>Dior Black Geometric Square Unisex Luxury Sunglasses</t>
        </is>
      </c>
      <c r="L172" t="inlineStr">
        <is>
          <t>{"id":"chatcmpl-DaACnafNu3VzLYZqGOSDCGwxoSJx3","object":"chat.completion","created":1777511409,"model":"gpt-5-chat-2025-10-03","choices":[{"index":0,"message":{"role":"assistant","content":"Dior Black Geometric Square Sunglasses, lightweight resin frame with metal logo detail, hollow temples featuring iconic motif, unisex design blending modern elegance and luxury style.","refusal":null,"annotations":[]},"logprobs":null,"finish_reason":"stop"}],"usage":{"prompt_tokens":900,"completion_tokens":34,"total_tokens":934,"prompt_tokens_details":{"cached_tokens":0,"audio_tokens":0},"completion_tokens_details":{"reasoning_tokens":0,"audio_tokens":0,"accepted_prediction_tokens":0,"rejected_prediction_tokens":0}},"service_tier":"default","system_fingerprint":"fp_fd471178c5"}</t>
        </is>
      </c>
      <c r="M172" t="inlineStr">
        <is>
          <t>{"alt-svc":"h3=\":443\"; ma=2592000","apim-request-id":"99509b6b-b480-4b9f-a24e-13c7f9fbefec","azureml-model-session":"d20260428174121-807d9cc5","cache-control":"no-cache","connection":"close","content-length":"991","content-type":"application/json","date":"Thu, 30 Apr 2026 01:10:10 GMT","server":"nginx","skip-error-remapping":"true","strict-transport-security":"max-age=31536000; includeSubDomains; preload","via":"1.1 Caddy","x-content-type-options":"nosniff","x-ms-client-request-id":"Not-Set","x-ms-is-spilled-over":"false","x-ms-rai-invoked":"false","x-ms-region":"Central US","x-new-api-version":"0.4.35","x-oneapi-request-id":"202604300110087644588768268d9d6pSewXomL","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9c49c21b-1dee-4240-a17b-7a4b51d5dfa8"}</t>
        </is>
      </c>
      <c r="N172" t="inlineStr">
        <is>
          <t>Dior Black Geometric Square Sunglasses, lightweight resin frame with metal logo detail, hollow temples featuring iconic motif, unisex design blending modern elegance and luxury style.</t>
        </is>
      </c>
      <c r="O172" t="inlineStr">
        <is>
          <t>{"id":"chatcmpl-DaATta0QCBfsRc3xCFeGgwfqDP975","object":"chat.completion","created":1777512469,"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72" t="inlineStr">
        <is>
          <t>Dior,Glasses,kakobuy,kakebuy2026,kekobuysheet,kakobuysheet2026,2026kakobuy,kakobuyspreadsheeet,kakobuylink,kakebuylist,Kakobuy MEGA Spreadsheet,kakobuysheetfind,kakobuysheetfind2026,2026kakobuysheetfind,kakobuysheet2026</t>
        </is>
      </c>
      <c r="Q172" t="inlineStr">
        <is>
          <t>Dior, Black, Geometric, Unisex, Modern, Elegant</t>
        </is>
      </c>
      <c r="R172" t="inlineStr">
        <is>
          <t>recvhju1CrfdjT</t>
        </is>
      </c>
      <c r="S172" t="inlineStr">
        <is>
          <t>dior-black-geometric-square-sunglasses-recvhju1crfdjt</t>
        </is>
      </c>
      <c r="T172"/>
      <c r="U172"/>
      <c r="V172"/>
      <c r="W172" t="inlineStr">
        <is>
          <t>{"id":"chatcmpl-Da9o9cCsQobd3tVslQXz31eY6Rwoo","object":"chat.completion","created":1777509881,"model":"gpt-5-chat-2025-10-03","choices":[{"index":0,"message":{"role":"assistant","content":"Dior：黑色几何方框太阳镜，轻盈树脂材质搭配金属Logo装饰，镂空镜腿融入品牌经典图腾，展现现代优雅与摩登设计感，男女皆宜，完美诠释时尚奢华格调。","refusal":null,"annotations":[]},"logprobs":null,"finish_reason":"stop"}],"usage":{"prompt_tokens":1298,"completion_tokens":67,"total_tokens":1365,"prompt_tokens_details":{"cached_tokens":0,"audio_tokens":0},"completion_tokens_details":{"reasoning_tokens":0,"audio_tokens":0,"accepted_prediction_tokens":0,"rejected_prediction_tokens":0}},"service_tier":"default","system_fingerprint":"fp_ad66631dec"}</t>
        </is>
      </c>
      <c r="X172" t="inlineStr">
        <is>
          <t>Dior：黑色几何方框太阳镜，轻盈树脂材质搭配金属Logo装饰，镂空镜腿融入品牌经典图腾，展现现代优雅与摩登设计感，男女皆宜，完美诠释时尚奢华格调。</t>
        </is>
      </c>
    </row>
    <row r="173" ht="25.5" customHeight="1">
      <c r="A173">
        <v>1654975475</v>
      </c>
      <c r="B173">
        <v>7626163314</v>
      </c>
      <c r="C173" s="2" t="str">
        <f>=HYPERLINK("https://weidian.com/item.html?itemID=7626163314", "https://weidian.com/item.html?itemID=7626163314")</f>
        <v>https://weidian.com/item.html?itemID=7626163314</v>
      </c>
      <c r="D173"/>
      <c r="E173" s="2" t="str">
        <f>=HYPERLINK("https://si.geilicdn.com/pcitem2014204438-29900000019adf397fd40a23041a_1440_1920.jpg?w=640&amp;h=640", "https://si.geilicdn.com/pcitem2014204438-29900000019adf397fd40a23041a_1440_1920.jpg?w=640&amp;h=640")</f>
        <v>https://si.geilicdn.com/pcitem2014204438-29900000019adf397fd40a23041a_1440_1920.jpg?w=640&amp;h=640</v>
      </c>
      <c r="F173" t="inlineStr">
        <is>
          <t>Glasses</t>
        </is>
      </c>
      <c r="G173" t="inlineStr">
        <is>
          <t xml:space="preserve"> Louis Vuitton</t>
        </is>
      </c>
      <c r="H173">
        <v>350</v>
      </c>
      <c r="I173">
        <v>50.72</v>
      </c>
      <c r="J173" t="inlineStr">
        <is>
          <t>{"id":"chatcmpl-DaAKlhOdGgmL3Csup4srB4BdbXaSO","object":"chat.completion","created":1777511903,"model":"gpt-5-chat-2025-10-03","choices":[{"index":0,"message":{"role":"assistant","content":"Louis Vuitton Monogram Brown Square UV Sunglasses","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fd471178c5"}</t>
        </is>
      </c>
      <c r="K173" t="inlineStr">
        <is>
          <t>Louis Vuitton Monogram Brown Square UV Sunglasses</t>
        </is>
      </c>
      <c r="L173" t="inlineStr">
        <is>
          <t>{"id":"chatcmpl-DaADtNaZfYHskhheYJI2ejhb8fXKD","object":"chat.completion","created":1777511477,"model":"gpt-5-chat-2025-10-03","choices":[{"index":0,"message":{"role":"assistant","content":"Louis Vuitton Monogram Brown Square Sunglasses, crafted from glossy acetate with UV protection lenses, feature geometric cuts for a chic retro look, perfect for men and women with urban elegance.","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fd471178c5"}</t>
        </is>
      </c>
      <c r="M173" t="inlineStr">
        <is>
          <t>{"alt-svc":"h3=\":443\"; ma=2592000","apim-request-id":"849b012d-7f5c-41f0-97bc-61012426b30e","azureml-model-session":"d20260428174121-807d9cc5","cache-control":"no-cache","connection":"close","content-length":"1003","content-type":"application/json","date":"Thu, 30 Apr 2026 01:11:18 GMT","server":"nginx","skip-error-remapping":"true","strict-transport-security":"max-age=31536000; includeSubDomains; preload","via":"1.1 Caddy","x-content-type-options":"nosniff","x-ms-client-request-id":"Not-Set","x-ms-is-spilled-over":"false","x-ms-rai-invoked":"false","x-ms-region":"East US","x-new-api-version":"0.4.35","x-oneapi-request-id":"202604300111162294360898268d9d6FtPIm4Is","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5d2bc9a9-202f-490e-bfcf-c98b0de34b57"}</t>
        </is>
      </c>
      <c r="N173" t="inlineStr">
        <is>
          <t>Louis Vuitton Monogram Brown Square Sunglasses, crafted from glossy acetate with UV protection lenses, feature geometric cuts for a chic retro look, perfect for men and women with urban elegance.</t>
        </is>
      </c>
      <c r="O173" t="inlineStr">
        <is>
          <t>{"id":"chatcmpl-DaAS88jsJ9hE7zngBWBlWA4PDYtf6","object":"chat.completion","created":1777512360,"model":"gpt-5-chat-2025-10-03","choices":[{"index":0,"message":{"role":"assistant","content":"Louis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73" t="inlineStr">
        <is>
          <t>Louis Vuitton,Glasses,kakobuy,kakebuy2026,kekobuysheet,kakobuysheet2026,2026kakobuy,kakobuyspreadsheeet,kakobuylink,kakebuylist,Kakobuy MEGA Spreadsheet,kakobuysheetfind,kakobuysheetfind2026,2026kakobuysheetfind,kakobuysheet2026</t>
        </is>
      </c>
      <c r="Q173" t="inlineStr">
        <is>
          <t>LV, Acetate Fiber, Geometric, Retro, Unisex, Anti-Ultraviolet</t>
        </is>
      </c>
      <c r="R173" t="inlineStr">
        <is>
          <t>recvhju1Cr1mj6</t>
        </is>
      </c>
      <c r="S173" t="inlineStr">
        <is>
          <t>louis-vuitton-monogram-brown-square-uv-sunglasses-recvhju1cr1mj6</t>
        </is>
      </c>
      <c r="T173"/>
      <c r="U173"/>
      <c r="V173"/>
      <c r="W173" t="inlineStr">
        <is>
          <t>{"id":"chatcmpl-Da9tNvP6IzMfRScxhX2cmsvBfJoVi","object":"chat.completion","created":1777510205,"model":"gpt-5-chat-2025-10-03","choices":[{"index":0,"message":{"role":"assistant","content":"Louis Vuitton：Monogram经典系列棕色方框太阳眼镜，采用高亮醋酸纤维材质与UV防护镜片，几何切割设计彰显时尚复古风格，男女皆宜，展现现代都市优雅格调。","refusal":null,"annotations":[]},"logprobs":null,"finish_reason":"stop"}],"usage":{"prompt_tokens":1298,"completion_tokens":62,"total_tokens":1360,"prompt_tokens_details":{"cached_tokens":0,"audio_tokens":0},"completion_tokens_details":{"reasoning_tokens":0,"audio_tokens":0,"accepted_prediction_tokens":0,"rejected_prediction_tokens":0}},"service_tier":"default","system_fingerprint":"fp_ad66631dec"}</t>
        </is>
      </c>
      <c r="X173" t="inlineStr">
        <is>
          <t>Louis Vuitton：Monogram经典系列棕色方框太阳眼镜，采用高亮醋酸纤维材质与UV防护镜片，几何切割设计彰显时尚复古风格，男女皆宜，展现现代都市优雅格调。</t>
        </is>
      </c>
    </row>
    <row r="174" ht="25.5" customHeight="1">
      <c r="A174">
        <v>1654975475</v>
      </c>
      <c r="B174">
        <v>7626251604</v>
      </c>
      <c r="C174" s="2" t="str">
        <f>=HYPERLINK("https://weidian.com/item.html?itemID=7626251604", "https://weidian.com/item.html?itemID=7626251604")</f>
        <v>https://weidian.com/item.html?itemID=7626251604</v>
      </c>
      <c r="D174"/>
      <c r="E174" s="2" t="str">
        <f>=HYPERLINK("https://si.geilicdn.com/pcitem2014204438-248e0000019adf206b480a2315ef_1440_1920.jpg?w=640&amp;h=640", "https://si.geilicdn.com/pcitem2014204438-248e0000019adf206b480a2315ef_1440_1920.jpg?w=640&amp;h=640")</f>
        <v>https://si.geilicdn.com/pcitem2014204438-248e0000019adf206b480a2315ef_1440_1920.jpg?w=640&amp;h=640</v>
      </c>
      <c r="F174" t="inlineStr">
        <is>
          <t>Glasses</t>
        </is>
      </c>
      <c r="G174" t="inlineStr">
        <is>
          <t>Gucci</t>
        </is>
      </c>
      <c r="H174">
        <v>370</v>
      </c>
      <c r="I174">
        <v>53.62</v>
      </c>
      <c r="J174" t="inlineStr">
        <is>
          <t>{"id":"chatcmpl-DaAKLq5IPwov9lko2IjoW432m8uDH","object":"chat.completion","created":1777511877,"model":"gpt-5-chat-2025-10-03","choices":[{"index":0,"message":{"role":"assistant","content":"Gucci Black Metal Square Gray Lens Unisex Sunglasses","refusal":null,"annotations":[]},"logprobs":null,"finish_reason":"stop"}],"usage":{"prompt_tokens":866,"completion_tokens":12,"total_tokens":878,"prompt_tokens_details":{"cached_tokens":0,"audio_tokens":0},"completion_tokens_details":{"reasoning_tokens":0,"audio_tokens":0,"accepted_prediction_tokens":0,"rejected_prediction_tokens":0}},"service_tier":"default","system_fingerprint":"fp_ad66631dec"}</t>
        </is>
      </c>
      <c r="K174" t="inlineStr">
        <is>
          <t>Gucci Black Metal Square Gray Lens Unisex Sunglasses</t>
        </is>
      </c>
      <c r="L174" t="inlineStr">
        <is>
          <t>{"id":"chatcmpl-DaA5WeuF7NCJMPurxK1WuVhmKzaoQ","object":"chat.completion","created":1777510958,"model":"gpt-5-chat-2025-10-03","choices":[{"index":0,"message":{"role":"assistant","content":"Gucci Black Metal Frame Sunglasses with Gray Lenses, sleek square design for modern elegance, lightweight and durable, unisex style showcasing Italian minimalist luxury.","refusal":null,"annotations":[]},"logprobs":null,"finish_reason":"stop"}],"usage":{"prompt_tokens":890,"completion_tokens":32,"total_tokens":922,"prompt_tokens_details":{"cached_tokens":0,"audio_tokens":0},"completion_tokens_details":{"reasoning_tokens":0,"audio_tokens":0,"accepted_prediction_tokens":0,"rejected_prediction_tokens":0}},"service_tier":"default","system_fingerprint":"fp_fd471178c5"}</t>
        </is>
      </c>
      <c r="M174" t="inlineStr">
        <is>
          <t>{"alt-svc":"h3=\":443\"; ma=2592000","apim-request-id":"5fb98c29-2421-4c18-9767-ddfa72ea92df","azureml-model-session":"d20260428205641-55ca9797","cache-control":"no-cache","connection":"close","content-length":"977","content-type":"application/json","date":"Thu, 30 Apr 2026 01:02:38 GMT","server":"Caddy","skip-error-remapping":"true","strict-transport-security":"max-age=31536000; includeSubDomains; preload","x-content-type-options":"nosniff","x-ms-client-request-id":"Not-Set","x-ms-is-spilled-over":"false","x-ms-rai-invoked":"false","x-ms-region":"South Central US","x-new-api-version":"0.4.35","x-oneapi-request-id":"202604300102371842846008268d9d6SihNwqfF","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583e9421-9710-479d-8a2a-53f217dfb508"}</t>
        </is>
      </c>
      <c r="N174" t="inlineStr">
        <is>
          <t>Gucci Black Metal Frame Sunglasses with Gray Lenses, sleek square design for modern elegance, lightweight and durable, unisex style showcasing Italian minimalist luxury.</t>
        </is>
      </c>
      <c r="O174" t="inlineStr">
        <is>
          <t>{"id":"chatcmpl-DaATc8x0EHQAgzNO7xr9T41p4Cdi8","object":"chat.completion","created":1777512452,"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4" t="inlineStr">
        <is>
          <t>Gucci,Glasses,kakobuy,kakebuy2026,kekobuysheet,kakobuysheet2026,2026kakobuy,kakobuyspreadsheeet,kakobuylink,kakebuylist,Kakobuy MEGA Spreadsheet,kakobuysheetfind,kakobuysheetfind2026,2026kakobuysheetfind,kakobuysheet2026</t>
        </is>
      </c>
      <c r="Q174"/>
      <c r="R174" t="inlineStr">
        <is>
          <t>recvhju1CruTR4</t>
        </is>
      </c>
      <c r="S174" t="inlineStr">
        <is>
          <t>gucci-black-metal-square-gray-lens-sunglasses-recvhju1cruTR4</t>
        </is>
      </c>
      <c r="T174"/>
      <c r="U174"/>
      <c r="V174"/>
      <c r="W174" t="inlineStr">
        <is>
          <t>{"id":"chatcmpl-Da9oz9uYYuH8MzczxMxnBcvqAvJvw","object":"chat.completion","created":1777509933,"model":"gpt-5-chat-2025-10-03","choices":[{"index":0,"message":{"role":"assistant","content":"Gucci：黑色金属框太阳眼镜，配灰色镜片，简约方形设计展现现代优雅质感，轻盈耐用材质，男女通用款，彰显意式极简奢华格调。","refusal":null,"annotations":[]},"logprobs":null,"finish_reason":"stop"}],"usage":{"prompt_tokens":1300,"completion_tokens":56,"total_tokens":1356,"prompt_tokens_details":{"cached_tokens":0,"audio_tokens":0},"completion_tokens_details":{"reasoning_tokens":0,"audio_tokens":0,"accepted_prediction_tokens":0,"rejected_prediction_tokens":0}},"service_tier":"default","system_fingerprint":"fp_fd471178c5"}</t>
        </is>
      </c>
      <c r="X174" t="inlineStr">
        <is>
          <t>Gucci：黑色金属框太阳眼镜，配灰色镜片，简约方形设计展现现代优雅质感，轻盈耐用材质，男女通用款，彰显意式极简奢华格调。</t>
        </is>
      </c>
    </row>
    <row r="175" ht="25.5" customHeight="1">
      <c r="A175">
        <v>1654975475</v>
      </c>
      <c r="B175">
        <v>7622902479</v>
      </c>
      <c r="C175" s="2" t="str">
        <f>=HYPERLINK("https://weidian.com/item.html?itemID=7622902479", "https://weidian.com/item.html?itemID=7622902479")</f>
        <v>https://weidian.com/item.html?itemID=7622902479</v>
      </c>
      <c r="D175"/>
      <c r="E175" s="2" t="str">
        <f>=HYPERLINK("https://si.geilicdn.com/pcitem2014204438-40800000019ade8cd77e0a210139_1440_1920.jpg?w=640&amp;h=640", "https://si.geilicdn.com/pcitem2014204438-40800000019ade8cd77e0a210139_1440_1920.jpg?w=640&amp;h=640")</f>
        <v>https://si.geilicdn.com/pcitem2014204438-40800000019ade8cd77e0a210139_1440_1920.jpg?w=640&amp;h=640</v>
      </c>
      <c r="F175" t="inlineStr">
        <is>
          <t>Glasses</t>
        </is>
      </c>
      <c r="G175" t="inlineStr">
        <is>
          <t>Chanel</t>
        </is>
      </c>
      <c r="H175">
        <v>370</v>
      </c>
      <c r="I175">
        <v>53.62</v>
      </c>
      <c r="J175" t="inlineStr">
        <is>
          <t>{"id":"chatcmpl-DaAHTjSQuPrq8KikCsI6DkubI1pQP","object":"chat.completion","created":1777511699,"model":"gpt-5-chat-2025-10-03","choices":[{"index":0,"message":{"role":"assistant","content":"Chanel Black Wide Frame UV Protection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fd471178c5"}</t>
        </is>
      </c>
      <c r="K175" t="inlineStr">
        <is>
          <t>Chanel Black Wide Frame UV Protection Sunglasses</t>
        </is>
      </c>
      <c r="L175" t="inlineStr">
        <is>
          <t>{"id":"chatcmpl-DaA62c8R4FcjKDc24n13Csp1A1lFk","object":"chat.completion","created":1777510990,"model":"gpt-5-chat-2025-10-03","choices":[{"index":0,"message":{"role":"assistant","content":"Chanel Black Wide-Frame Sunglasses made from premium acetate with UV-protection lenses, featuring minimalist square design, iconic logo temples, unisex style and timeless French elegance.","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fd471178c5"}</t>
        </is>
      </c>
      <c r="M175" t="inlineStr">
        <is>
          <t>{"alt-svc":"h3=\":443\"; ma=2592000","apim-request-id":"8adc1c05-0468-4584-ab00-83242cb1c3ae","azureml-model-session":"d20260428174121-807d9cc5","cache-control":"no-cache","connection":"close","content-length":"995","content-type":"application/json","date":"Thu, 30 Apr 2026 01:03:12 GMT","server":"nginx","skip-error-remapping":"true","strict-transport-security":"max-age=31536000; includeSubDomains; preload","via":"1.1 Caddy","x-content-type-options":"nosniff","x-ms-client-request-id":"Not-Set","x-ms-is-spilled-over":"false","x-ms-rai-invoked":"false","x-ms-region":"Sweden Central","x-new-api-version":"0.4.35","x-oneapi-request-id":"202604300103097612921888268d9d6iOzqCAEZ","x-ratelimit-abusepenalty-active":"False","x-ratelimit-key":"gpt-5-chat-global","x-ratelimit-limit-requests":"1000","x-ratelimit-limit-tokens":"1000000","x-ratelimit-remaining-requests":"999","x-ratelimit-remaining-tokens":"991730","x-ratelimit-renewalperiod-requests":"60","x-ratelimit-renewalperiod-tokens":"60","x-ratelimit-reset-requests":"60","x-ratelimit-reset-tokens":"496","x-request-id":"236d923f-29fa-4910-8bba-d691759681f4"}</t>
        </is>
      </c>
      <c r="N175" t="inlineStr">
        <is>
          <t>Chanel Black Wide-Frame Sunglasses made from premium acetate with UV-protection lenses, featuring minimalist square design, iconic logo temples, unisex style and timeless French elegance.</t>
        </is>
      </c>
      <c r="O175" t="inlineStr">
        <is>
          <t>{"id":"chatcmpl-DaAVzMnUbUehsIJjtpbEbnY4DkKOG","object":"chat.completion","created":1777512599,"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75" t="inlineStr">
        <is>
          <t>Chanel,Glasses,kakobuy,kakebuy2026,kekobuysheet,kakobuysheet2026,2026kakobuy,kakobuyspreadsheeet,kakobuylink,kakebuylist,Kakobuy MEGA Spreadsheet,kakobuysheetfind,kakobuysheetfind2026,2026kakobuysheetfind,kakobuysheet2026</t>
        </is>
      </c>
      <c r="Q175" t="inlineStr">
        <is>
          <t>Chanel, Acetate Fiber, Minimalist, Unisex, Anti-Ultraviolet, Elegant</t>
        </is>
      </c>
      <c r="R175" t="inlineStr">
        <is>
          <t>recvhju1CrrJaG</t>
        </is>
      </c>
      <c r="S175" t="inlineStr">
        <is>
          <t>chanel-black-wide-frame-uv-sunglasses-recvhju1crrjaag</t>
        </is>
      </c>
      <c r="T175"/>
      <c r="U175"/>
      <c r="V175"/>
      <c r="W175" t="inlineStr">
        <is>
          <t>{"id":"chatcmpl-Da9pKcH2PwPgMFirh4UHubxY0FPbl","object":"chat.completion","created":1777509954,"model":"gpt-5-chat-2025-10-03","choices":[{"index":0,"message":{"role":"assistant","content":"Chanel：黑色宽框太阳眼镜，采用高级醋酸纤维材质与防UV镜片，极简方形设计展现现代摩登格调，镜腿点缀品牌标识，适合男女通用，彰显经典法式优雅。","refusal":null,"annotations":[]},"logprobs":null,"finish_reason":"stop"}],"usage":{"prompt_tokens":1298,"completion_tokens":64,"total_tokens":1362,"prompt_tokens_details":{"cached_tokens":0,"audio_tokens":0},"completion_tokens_details":{"reasoning_tokens":0,"audio_tokens":0,"accepted_prediction_tokens":0,"rejected_prediction_tokens":0}},"service_tier":"default","system_fingerprint":"fp_fd471178c5"}</t>
        </is>
      </c>
      <c r="X175" t="inlineStr">
        <is>
          <t>Chanel：黑色宽框太阳眼镜，采用高级醋酸纤维材质与防UV镜片，极简方形设计展现现代摩登格调，镜腿点缀品牌标识，适合男女通用，彰显经典法式优雅。</t>
        </is>
      </c>
    </row>
    <row r="176" ht="25.5" customHeight="1">
      <c r="A176">
        <v>1654975475</v>
      </c>
      <c r="B176">
        <v>7626122184</v>
      </c>
      <c r="C176" s="2" t="str">
        <f>=HYPERLINK("https://weidian.com/item.html?itemID=7626122184", "https://weidian.com/item.html?itemID=7626122184")</f>
        <v>https://weidian.com/item.html?itemID=7626122184</v>
      </c>
      <c r="D176"/>
      <c r="E176" s="2" t="str">
        <f>=HYPERLINK("https://si.geilicdn.com/pcitem2014204438-5bda0000019ade85724f0a231177_1074_1074.jpg?w=640&amp;h=640", "https://si.geilicdn.com/pcitem2014204438-5bda0000019ade85724f0a231177_1074_1074.jpg?w=640&amp;h=640")</f>
        <v>https://si.geilicdn.com/pcitem2014204438-5bda0000019ade85724f0a231177_1074_1074.jpg?w=640&amp;h=640</v>
      </c>
      <c r="F176" t="inlineStr">
        <is>
          <t>Glasses</t>
        </is>
      </c>
      <c r="G176" t="inlineStr">
        <is>
          <t xml:space="preserve"> Louis Vuitton</t>
        </is>
      </c>
      <c r="H176">
        <v>370</v>
      </c>
      <c r="I176">
        <v>53.62</v>
      </c>
      <c r="J176" t="inlineStr">
        <is>
          <t>{"id":"chatcmpl-DaALLtUr6VGvdsyHLprdWD8GuQ2E5","object":"chat.completion","created":1777511939,"model":"gpt-5-chat-2025-10-03","choices":[{"index":0,"message":{"role":"assistant","content":"Louis Vuitton Black Gold Gradient Square Sunglasses","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176" t="inlineStr">
        <is>
          <t>Louis Vuitton Black Gold Gradient Square Sunglasses</t>
        </is>
      </c>
      <c r="L176" t="inlineStr">
        <is>
          <t>{"id":"chatcmpl-DaABorohRN0bp4eYGBc8HpGrWWFl4","object":"chat.completion","created":1777511348,"model":"gpt-5-chat-2025-10-03","choices":[{"index":0,"message":{"role":"assistant","content":"Louis Vuitton Black Gold Series Square Sunglasses with gradient gray lenses, gold-plated metal frame, LV logo medallions, luxury minimalist design, unisex modern urban fashion style.","refusal":null,"annotations":[]},"logprobs":null,"finish_reason":"stop"}],"usage":{"prompt_tokens":903,"completion_tokens":37,"total_tokens":940,"prompt_tokens_details":{"cached_tokens":0,"audio_tokens":0},"completion_tokens_details":{"reasoning_tokens":0,"audio_tokens":0,"accepted_prediction_tokens":0,"rejected_prediction_tokens":0}},"service_tier":"default","system_fingerprint":"fp_ad66631dec"}</t>
        </is>
      </c>
      <c r="M176" t="inlineStr">
        <is>
          <t>{"alt-svc":"h3=\":443\"; ma=2592000","apim-request-id":"c22b34ee-95e7-40c7-9c9b-ce3453ee3fab","azureml-model-session":"d20260402084046-4209e968","cache-control":"no-cache","connection":"close","content-length":"990","content-type":"application/json","date":"Thu, 30 Apr 2026 01:09:10 GMT","server":"Caddy","skip-error-remapping":"true","strict-transport-security":"max-age=31536000; includeSubDomains; preload","x-content-type-options":"nosniff","x-ms-client-request-id":"Not-Set","x-ms-is-spilled-over":"false","x-ms-rai-invoked":"false","x-ms-region":"Sweden Central","x-new-api-version":"0.4.35","x-oneapi-request-id":"202604300109082570958958268d9d6TxZeD27C","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f2456108-ba29-4b23-8a5a-7bd1be1687b8"}</t>
        </is>
      </c>
      <c r="N176" t="inlineStr">
        <is>
          <t>Louis Vuitton Black Gold Series Square Sunglasses with gradient gray lenses, gold-plated metal frame, LV logo medallions, luxury minimalist design, unisex modern urban fashion style.</t>
        </is>
      </c>
      <c r="O176" t="inlineStr">
        <is>
          <t>{"id":"chatcmpl-DaAW2xWHuO8QwbfCONmM88MBbO9qz","object":"chat.completion","created":1777512602,"model":"gpt-5-chat-2025-10-03","choices":[{"index":0,"message":{"role":"assistant","content":"Louis Vuitton,Glasses,kakobuy,kakebuy2026,kekobuysheet,kakobuysheet2026,2026kakobuy,kakobuyspreadsheeet,kakobuylink,kakebuylist,Kakobuy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6" t="inlineStr">
        <is>
          <t>Louis Vuitton,Glasses,kakobuy,kakebuy2026,kekobuysheet,kakobuysheet2026,2026kakobuy,kakobuyspreadsheeet,kakobuylink,kakebuylist,Kakobuy MEGA Spreadsheet,kakobuysheetfind,kakobuysheetfind2026,2026kakobuysheetfind,kakobuysheet2026</t>
        </is>
      </c>
      <c r="Q176" t="inlineStr">
        <is>
          <t>LV, Black Gold, Minimalist, Modern, Streetwear, Unisex</t>
        </is>
      </c>
      <c r="R176" t="inlineStr">
        <is>
          <t>recvhju1CrwDTR</t>
        </is>
      </c>
      <c r="S176" t="inlineStr">
        <is>
          <t>louis-vuitton-black-gold-gradient-square-sunglasses-recvhju1crwdtr</t>
        </is>
      </c>
      <c r="T176"/>
      <c r="U176"/>
      <c r="V176"/>
      <c r="W176" t="inlineStr">
        <is>
          <t>{"id":"chatcmpl-Da9ueCus2Eku6L3IH9EyIQac13jvn","object":"chat.completion","created":1777510284,"model":"gpt-5-chat-2025-10-03","choices":[{"index":0,"message":{"role":"assistant","content":"Louis Vuitton：黑金系列方框太阳镜，镀金金属镜架点缀品牌标志圆徽，搭配渐变灰镜片，轻奢材质与极简几何设计融合，彰显现代都市风格，男女皆宜，尽显高端时尚格调。","refusal":null,"annotations":[]},"logprobs":null,"finish_reason":"stop"}],"usage":{"prompt_tokens":1300,"completion_tokens":69,"total_tokens":1369,"prompt_tokens_details":{"cached_tokens":1280,"audio_tokens":0},"completion_tokens_details":{"reasoning_tokens":0,"audio_tokens":0,"accepted_prediction_tokens":0,"rejected_prediction_tokens":0}},"service_tier":"default","system_fingerprint":"fp_fd471178c5"}</t>
        </is>
      </c>
      <c r="X176" t="inlineStr">
        <is>
          <t>Louis Vuitton：黑金系列方框太阳镜，镀金金属镜架点缀品牌标志圆徽，搭配渐变灰镜片，轻奢材质与极简几何设计融合，彰显现代都市风格，男女皆宜，尽显高端时尚格调。</t>
        </is>
      </c>
    </row>
    <row r="177" ht="25.5" customHeight="1">
      <c r="A177">
        <v>1654975475</v>
      </c>
      <c r="B177">
        <v>7623172673</v>
      </c>
      <c r="C177" s="2" t="str">
        <f>=HYPERLINK("https://weidian.com/item.html?itemID=7623172673", "https://weidian.com/item.html?itemID=7623172673")</f>
        <v>https://weidian.com/item.html?itemID=7623172673</v>
      </c>
      <c r="D177"/>
      <c r="E177" s="2" t="str">
        <f>=HYPERLINK("https://si.geilicdn.com/pcitem2014204438-6e450000019ade84f1f40a23037f_1074_1074.jpg?w=640&amp;h=640", "https://si.geilicdn.com/pcitem2014204438-6e450000019ade84f1f40a23037f_1074_1074.jpg?w=640&amp;h=640")</f>
        <v>https://si.geilicdn.com/pcitem2014204438-6e450000019ade84f1f40a23037f_1074_1074.jpg?w=640&amp;h=640</v>
      </c>
      <c r="F177" t="inlineStr">
        <is>
          <t>Glasses</t>
        </is>
      </c>
      <c r="G177" t="inlineStr">
        <is>
          <t>Chanel</t>
        </is>
      </c>
      <c r="H177">
        <v>370</v>
      </c>
      <c r="I177">
        <v>53.62</v>
      </c>
      <c r="J177" t="inlineStr">
        <is>
          <t>{"id":"chatcmpl-DaAIle1rdamKJIT1Nx92ikYj1MtWY","object":"chat.completion","created":1777511779,"model":"gpt-5-chat-2025-10-03","choices":[{"index":0,"message":{"role":"assistant","content":"Chanel Classic Black Retro Women’s Square Sunglasses","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77" t="inlineStr">
        <is>
          <t>Chanel Classic Black Retro Women’s Square Sunglasses</t>
        </is>
      </c>
      <c r="L177" t="inlineStr">
        <is>
          <t>{"id":"chatcmpl-DaAAdSrGTmnDZf7PXq9fjLkMjkvjU","object":"chat.completion","created":1777511275,"model":"gpt-5-chat-2025-10-03","choices":[{"index":0,"message":{"role":"assistant","content":"Chanel Classic Black Women’s Sunglasses – Glossy Acetate Frame with Gold Metal Logo, Elegant Retro Square Design, French Luxury Meets Modern Chic, Perfect UV Protection and Timeless Style.","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fd471178c5"}</t>
        </is>
      </c>
      <c r="M177" t="inlineStr">
        <is>
          <t>{"alt-svc":"h3=\":443\"; ma=2592000","apim-request-id":"1a035433-5d5e-4c4d-aa83-e6d3d53e99e0","azureml-model-session":"d20260428205641-55ca9797","cache-control":"no-cache","connection":"close","content-length":"1000","content-type":"application/json","date":"Thu, 30 Apr 2026 01:07:55 GMT","server":"Caddy","skip-error-remapping":"true","strict-transport-security":"max-age=31536000; includeSubDomains; preload","x-content-type-options":"nosniff","x-ms-client-request-id":"Not-Set","x-ms-is-spilled-over":"false","x-ms-rai-invoked":"false","x-ms-region":"West US","x-new-api-version":"0.4.35","x-oneapi-request-id":"2026043001075440693778268d9d6gplklQPN","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7de4a110-0831-4811-9998-bce4935ea96e"}</t>
        </is>
      </c>
      <c r="N177" t="inlineStr">
        <is>
          <t>Chanel Classic Black Women’s Sunglasses – Glossy Acetate Frame with Gold Metal Logo, Elegant Retro Square Design, French Luxury Meets Modern Chic, Perfect UV Protection and Timeless Style.</t>
        </is>
      </c>
      <c r="O177" t="inlineStr">
        <is>
          <t>{"id":"chatcmpl-DaASJ9AT4VtdwejuofrzxTnLlhmnF","object":"chat.completion","created":1777512371,"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7" t="inlineStr">
        <is>
          <t>Chanel,Glasses,kakobuy,kakebuy2026,kekobuysheet,kakobuysheet2026,2026kakobuy,kakobuyspreadsheeet,kakobuylink,kakebuylist,Kakobuy MEGA Spreadsheet,kakobuysheetfind,kakobuysheetfind2026,2026kakobuysheetfind,kakobuysheet2026</t>
        </is>
      </c>
      <c r="Q177" t="inlineStr">
        <is>
          <t>Chanel, Black, Gold, Elegant, Retro, Women</t>
        </is>
      </c>
      <c r="R177" t="inlineStr">
        <is>
          <t>recvhju1Cr6D9h</t>
        </is>
      </c>
      <c r="S177" t="inlineStr">
        <is>
          <t>chanel-classic-black-retro-square-sunglasses-recvhju1cr6d9h</t>
        </is>
      </c>
      <c r="T177"/>
      <c r="U177"/>
      <c r="V177"/>
      <c r="W177" t="inlineStr">
        <is>
          <t>{"id":"chatcmpl-Da9sGffGBDiv0TEKpyDATAdJQnp6S","object":"chat.completion","created":1777510136,"model":"gpt-5-chat-2025-10-03","choices":[{"index":0,"message":{"role":"assistant","content":"Chanel：经典黑色女士太阳眼镜，亮面醋酸纤维镜框搭配金色金属Logo装饰，融合优雅复古方框设计，彰显法式奢华与现代摩登气质，遮阳防护兼具时尚格调。","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ad66631dec"}</t>
        </is>
      </c>
      <c r="X177" t="inlineStr">
        <is>
          <t>Chanel：经典黑色女士太阳眼镜，亮面醋酸纤维镜框搭配金色金属Logo装饰，融合优雅复古方框设计，彰显法式奢华与现代摩登气质，遮阳防护兼具时尚格调。</t>
        </is>
      </c>
    </row>
    <row r="178" ht="25.5" customHeight="1">
      <c r="A178">
        <v>1654975475</v>
      </c>
      <c r="B178">
        <v>7623023377</v>
      </c>
      <c r="C178" s="2" t="str">
        <f>=HYPERLINK("https://weidian.com/item.html?itemID=7623023377", "https://weidian.com/item.html?itemID=7623023377")</f>
        <v>https://weidian.com/item.html?itemID=7623023377</v>
      </c>
      <c r="D178"/>
      <c r="E178" s="2" t="str">
        <f>=HYPERLINK("https://si.geilicdn.com/pcitem2014204438-4d340000019ade244da30a2301b4_1440_1920.jpg?w=640&amp;h=640", "https://si.geilicdn.com/pcitem2014204438-4d340000019ade244da30a2301b4_1440_1920.jpg?w=640&amp;h=640")</f>
        <v>https://si.geilicdn.com/pcitem2014204438-4d340000019ade244da30a2301b4_1440_1920.jpg?w=640&amp;h=640</v>
      </c>
      <c r="F178" t="inlineStr">
        <is>
          <t>Glasses</t>
        </is>
      </c>
      <c r="G178" t="inlineStr">
        <is>
          <t xml:space="preserve"> Louis Vuitton</t>
        </is>
      </c>
      <c r="H178">
        <v>350</v>
      </c>
      <c r="I178">
        <v>50.72</v>
      </c>
      <c r="J178" t="inlineStr">
        <is>
          <t>{"id":"chatcmpl-DaAGIrmCNhkYZmvPBNV51nr5bnrnF","object":"chat.completion","created":1777511626,"model":"gpt-5-chat-2025-10-03","choices":[{"index":0,"message":{"role":"assistant","content":"Louis Vuitton Retro Brown Cat Eye UV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78" t="inlineStr">
        <is>
          <t>Louis Vuitton Retro Brown Cat Eye UV Sunglasses</t>
        </is>
      </c>
      <c r="L178" t="inlineStr">
        <is>
          <t>{"id":"chatcmpl-DaA9cwEgbmx52zcHqdSZhMn37RuHu","object":"chat.completion","created":1777511212,"model":"gpt-5-chat-2025-10-03","choices":[{"index":0,"message":{"role":"assistant","content":"Louis Vuitton Retro Brown Cat Eye Sunglasses feature premium acetate frames, gradient UV-protection lenses, and a sleek unisex design exuding timeless French elegance and modern luxury style.","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78" t="inlineStr">
        <is>
          <t>{"alt-svc":"h3=\":443\"; ma=2592000","apim-request-id":"224875af-8052-4991-9ca1-fc9ae46d12d3","azureml-model-session":"d20260402075109-1fc5a0ec","cache-control":"no-cache","connection":"close","content-length":"999","content-type":"application/json","date":"Thu, 30 Apr 2026 01:06:53 GMT","server":"nginx","skip-error-remapping":"true","strict-transport-security":"max-age=31536000; includeSubDomains; preload","via":"1.1 Caddy","x-content-type-options":"nosniff","x-ms-client-request-id":"Not-Set","x-ms-is-spilled-over":"false","x-ms-rai-invoked":"false","x-ms-region":"East US 2","x-new-api-version":"0.4.35","x-oneapi-request-id":"202604300106515035900848268d9d6e3f7OEGq","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a310caad-27c4-4276-9eb4-add979d86d27"}</t>
        </is>
      </c>
      <c r="N178" t="inlineStr">
        <is>
          <t>Louis Vuitton Retro Brown Cat Eye Sunglasses feature premium acetate frames, gradient UV-protection lenses, and a sleek unisex design exuding timeless French elegance and modern luxury style.</t>
        </is>
      </c>
      <c r="O178" t="inlineStr">
        <is>
          <t>{"id":"chatcmpl-DaARiEJl2ZBQ8HNQfYnwLWWkmsF1c","object":"chat.completion","created":1777512334,"model":"gpt-5-chat-2025-10-03","choices":[{"index":0,"message":{"role":"assistant","content":"Louis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fd471178c5"}</t>
        </is>
      </c>
      <c r="P178" t="inlineStr">
        <is>
          <t>Louis Vuitton, Glasses, kakobuy, kakebuy2026, kekobuysheet, kakobuysheet2026, 2026kakobuy, kakobuyspreadsheeet, kakobuylink, kakebuylist, Kakobuy MEGA Spreadsheet, kakobuysheetfind, kakobuysheetfind2026, 2026kakobuysheetfind, kakobuysheet2026</t>
        </is>
      </c>
      <c r="Q178" t="inlineStr">
        <is>
          <t>LV, Retro, Brown, Acetate Fiber, Anti-Ultraviolet, Unisex</t>
        </is>
      </c>
      <c r="R178" t="inlineStr">
        <is>
          <t>recvhju1CrBRee</t>
        </is>
      </c>
      <c r="S178" t="inlineStr">
        <is>
          <t>louis-vuitton-retro-brown-cat-eye-uv-sunglasses-recvhju1crbree</t>
        </is>
      </c>
      <c r="T178"/>
      <c r="U178"/>
      <c r="V178"/>
      <c r="W178" t="inlineStr">
        <is>
          <t>{"id":"chatcmpl-Da9sEmDavmsy4oXDEy1yv73UW3pnb","object":"chat.completion","created":1777510134,"model":"gpt-5-chat-2025-10-03","choices":[{"index":0,"message":{"role":"assistant","content":"Louis Vuitton：复古棕色猫眼太阳眼镜，采用高品质醋酸纤维镜框与渐变防紫外线镜片，流线型设计彰显优雅格调，男女皆宜，尽显法式轻奢时尚魅力。","refusal":null,"annotations":[]},"logprobs":null,"finish_reason":"stop"}],"usage":{"prompt_tokens":1300,"completion_tokens":63,"total_tokens":1363,"prompt_tokens_details":{"cached_tokens":1280,"audio_tokens":0},"completion_tokens_details":{"reasoning_tokens":0,"audio_tokens":0,"accepted_prediction_tokens":0,"rejected_prediction_tokens":0}},"service_tier":"default","system_fingerprint":"fp_fd471178c5"}</t>
        </is>
      </c>
      <c r="X178" t="inlineStr">
        <is>
          <t>Louis Vuitton：复古棕色猫眼太阳眼镜，采用高品质醋酸纤维镜框与渐变防紫外线镜片，流线型设计彰显优雅格调，男女皆宜，尽显法式轻奢时尚魅力。</t>
        </is>
      </c>
    </row>
    <row r="179" ht="25.5" customHeight="1">
      <c r="A179">
        <v>1654975475</v>
      </c>
      <c r="B179">
        <v>7694309233</v>
      </c>
      <c r="C179" s="2" t="str">
        <f>=HYPERLINK("https://weidian.com/item.html?itemID=7694309233", "https://weidian.com/item.html?itemID=7694309233")</f>
        <v>https://weidian.com/item.html?itemID=7694309233</v>
      </c>
      <c r="D179"/>
      <c r="E179" s="2" t="str">
        <f>=HYPERLINK("https://si.geilicdn.com/open1654975475-252808396-44120000019c7a7330140a8115c2_790_1000.jpg?w=640&amp;h=640", "https://si.geilicdn.com/open1654975475-252808396-44120000019c7a7330140a8115c2_790_1000.jpg?w=640&amp;h=640")</f>
        <v>https://si.geilicdn.com/open1654975475-252808396-44120000019c7a7330140a8115c2_790_1000.jpg?w=640&amp;h=640</v>
      </c>
      <c r="F179" t="inlineStr">
        <is>
          <t>Toys</t>
        </is>
      </c>
      <c r="G179" t="inlineStr">
        <is>
          <t>Other</t>
        </is>
      </c>
      <c r="H179">
        <v>132</v>
      </c>
      <c r="I179">
        <v>19.13</v>
      </c>
      <c r="J179" t="inlineStr">
        <is>
          <t>{"id":"chatcmpl-DaAJMziXavBZN0k6NIVDr36IUvKwz","object":"chat.completion","created":1777511816,"model":"gpt-5-chat-2025-10-03","choices":[{"index":0,"message":{"role":"assistant","content":"ToysOther RC Water Cannon Tank All-Terrain Battle Toy","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79" t="inlineStr">
        <is>
          <t>ToysOther RC Water Cannon Tank All-Terrain Battle Toy</t>
        </is>
      </c>
      <c r="L179" t="inlineStr">
        <is>
          <t>{"id":"chatcmpl-DaA6fap8QLHsDtbSO9639LkNb9YPy","object":"chat.completion","created":1777511029,"model":"gpt-5-chat-2025-10-03","choices":[{"index":0,"message":{"role":"assistant","content":"ToysOther Sand RC Water Cannon Tank—Realistic military design, all-terrain tracks, colorful lights, durable ABS body, fun for kids and model fans seeking exciting battle play.","refusal":null,"annotations":[]},"logprobs":null,"finish_reason":"stop"}],"usage":{"prompt_tokens":900,"completion_tokens":38,"total_tokens":938,"prompt_tokens_details":{"cached_tokens":0,"audio_tokens":0},"completion_tokens_details":{"reasoning_tokens":0,"audio_tokens":0,"accepted_prediction_tokens":0,"rejected_prediction_tokens":0}},"service_tier":"default","system_fingerprint":"fp_ad66631dec"}</t>
        </is>
      </c>
      <c r="M179" t="inlineStr">
        <is>
          <t>{"alt-svc":"h3=\":443\"; ma=2592000","apim-request-id":"f763194d-aeeb-4f13-8fb3-34e4e8b928f4","azureml-model-session":"d20260402084046-4209e968","cache-control":"no-cache","connection":"close","content-length":"985","content-type":"application/json","date":"Thu, 30 Apr 2026 01:03:50 GMT","server":"Caddy","skip-error-remapping":"true","strict-transport-security":"max-age=31536000; includeSubDomains; preload","x-content-type-options":"nosniff","x-ms-client-request-id":"Not-Set","x-ms-is-spilled-over":"false","x-ms-rai-invoked":"false","x-ms-region":"South Central US","x-new-api-version":"0.4.35","x-oneapi-request-id":"202604300103481314372868268d9d6KWARuXlP","x-ratelimit-abusepenalty-active":"False","x-ratelimit-key":"gpt-5-chat-global","x-ratelimit-limit-requests":"1000","x-ratelimit-limit-tokens":"1000000","x-ratelimit-remaining-requests":"998","x-ratelimit-remaining-tokens":"996910","x-ratelimit-renewalperiod-requests":"60","x-ratelimit-renewalperiod-tokens":"60","x-ratelimit-reset-requests":"105","x-ratelimit-reset-tokens":"185","x-request-id":"6f4a4eb4-0b81-4060-b187-0dec07a591ae"}</t>
        </is>
      </c>
      <c r="N179" t="inlineStr">
        <is>
          <t>ToysOther Sand RC Water Cannon Tank—Realistic military design, all-terrain tracks, colorful lights, durable ABS body, fun for kids and model fans seeking exciting battle play.</t>
        </is>
      </c>
      <c r="O179" t="inlineStr">
        <is>
          <t>{"id":"chatcmpl-DaARJWLlzT9GtpHr7cLPOWgQtFSE2","object":"chat.completion","created":1777512309,"model":"gpt-5-chat-2025-10-03","choices":[{"index":0,"message":{"role":"assistant","content":"Super, Water Cannonball Tank,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179" t="inlineStr">
        <is>
          <t>Super, Water Cannonball Tank, kakobuy, kakebuy2026, kekobuysheet, kakobuysheet2026, 2026kakobuy, kakobuyspreadsheeet, kakobuylink, kakebuylist, Kakobuy MEGA Spreadsheet, kakobuysheetfind, kakobuysheetfind2026, 2026kakobuysheetfind, kakobuysheet2026</t>
        </is>
      </c>
      <c r="Q179"/>
      <c r="R179" t="inlineStr">
        <is>
          <t>recvhju1CrUWv7</t>
        </is>
      </c>
      <c r="S179" t="inlineStr">
        <is>
          <t>toysother-rc-water-cannon-tank-all-terrain-battle-toy-recvhju1cruwv7</t>
        </is>
      </c>
      <c r="T179"/>
      <c r="U179"/>
      <c r="V179"/>
      <c r="W179" t="inlineStr">
        <is>
          <t>{"id":"chatcmpl-Da9rMwaMcksL15PFqbEUU32aBCAC1","object":"chat.completion","created":1777510080,"model":"gpt-5-chat-2025-10-03","choices":[{"index":0,"message":{"role":"assistant","content":"沙色履带式遥控喷水坦克，仿真军武造型设计，具备多地形驱动与炫彩灯效，ABS坚固材质打造，兼具娱乐与竞技功能，适合儿童与军事模型爱好者体验真实作战乐趣。","refusal":null,"annotations":[]},"logprobs":null,"finish_reason":"stop"}],"usage":{"prompt_tokens":1302,"completion_tokens":65,"total_tokens":1367,"prompt_tokens_details":{"cached_tokens":0,"audio_tokens":0},"completion_tokens_details":{"reasoning_tokens":0,"audio_tokens":0,"accepted_prediction_tokens":0,"rejected_prediction_tokens":0}},"service_tier":"default","system_fingerprint":"fp_ad66631dec"}</t>
        </is>
      </c>
      <c r="X179" t="inlineStr">
        <is>
          <t>沙色履带式遥控喷水坦克，仿真军武造型设计，具备多地形驱动与炫彩灯效，ABS坚固材质打造，兼具娱乐与竞技功能，适合儿童与军事模型爱好者体验真实作战乐趣。</t>
        </is>
      </c>
    </row>
    <row r="180" ht="25.5" customHeight="1">
      <c r="A180">
        <v>1654975475</v>
      </c>
      <c r="B180">
        <v>7624593699</v>
      </c>
      <c r="C180" s="2" t="str">
        <f>=HYPERLINK("https://weidian.com/item.html?itemID=7624593699", "https://weidian.com/item.html?itemID=7624593699")</f>
        <v>https://weidian.com/item.html?itemID=7624593699</v>
      </c>
      <c r="D180"/>
      <c r="E180" s="2" t="str">
        <f>=HYPERLINK("https://si.geilicdn.com/pcitem2014204438-1a280000019ae7d9485a0a2301b4_1080_1080.jpg?w=640&amp;h=640", "https://si.geilicdn.com/pcitem2014204438-1a280000019ae7d9485a0a2301b4_1080_1080.jpg?w=640&amp;h=640")</f>
        <v>https://si.geilicdn.com/pcitem2014204438-1a280000019ae7d9485a0a2301b4_1080_1080.jpg?w=640&amp;h=640</v>
      </c>
      <c r="F180" t="inlineStr">
        <is>
          <t>Socks &amp; Hosiery</t>
        </is>
      </c>
      <c r="G180" t="inlineStr">
        <is>
          <t>Chanel</t>
        </is>
      </c>
      <c r="H180">
        <v>120</v>
      </c>
      <c r="I180">
        <v>17.391304347826</v>
      </c>
      <c r="J180" t="inlineStr">
        <is>
          <t>{"id":"chatcmpl-DaAKUsUuRcdGiMGUczVe1fMuTBSKP","object":"chat.completion","created":1777511886,"model":"gpt-5-chat-2025-10-03","choices":[{"index":0,"message":{"role":"assistant","content":"Chanel Brown Cotton Blend Invisible Socks Unisex","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fd471178c5"}</t>
        </is>
      </c>
      <c r="K180" t="inlineStr">
        <is>
          <t>Chanel Brown Cotton Blend Invisible Socks Unisex</t>
        </is>
      </c>
      <c r="L180" t="inlineStr">
        <is>
          <t>{"id":"chatcmpl-DaA9oIIto5gXrMaf64KzUgoESvrQx","object":"chat.completion","created":1777511224,"model":"gpt-5-chat-2025-10-03","choices":[{"index":0,"message":{"role":"assistant","content":"Chanel Brown Invisible Socks crafted from soft cotton-blend fabric, breathable and non-slip, featuring signature Double C logo and Chanel lettering. Unisex design for casual or office wear.","refusal":null,"annotations":[]},"logprobs":null,"finish_reason":"stop"}],"usage":{"prompt_tokens":924,"completion_tokens":37,"total_tokens":961,"prompt_tokens_details":{"cached_tokens":0,"audio_tokens":0},"completion_tokens_details":{"reasoning_tokens":0,"audio_tokens":0,"accepted_prediction_tokens":0,"rejected_prediction_tokens":0}},"service_tier":"default","system_fingerprint":"fp_fd471178c5"}</t>
        </is>
      </c>
      <c r="M180" t="inlineStr">
        <is>
          <t>{"alt-svc":"h3=\":443\"; ma=2592000","apim-request-id":"7d44ccbc-4937-4a1b-9b81-39eb59df4183","azureml-model-session":"d20260428205641-55ca9797","cache-control":"no-cache","connection":"close","content-length":"997","content-type":"application/json","date":"Thu, 30 Apr 2026 01:07:05 GMT","server":"Caddy","skip-error-remapping":"true","strict-transport-security":"max-age=31536000; includeSubDomains; preload","x-content-type-options":"nosniff","x-ms-client-request-id":"Not-Set","x-ms-is-spilled-over":"false","x-ms-rai-invoked":"false","x-ms-region":"South Central US","x-new-api-version":"0.4.35","x-oneapi-request-id":"202604300107038911587008268d9d6Gnuz6G5K","x-ratelimit-abusepenalty-active":"False","x-ratelimit-key":"gpt-5-chat-global","x-ratelimit-limit-requests":"1000","x-ratelimit-limit-tokens":"1000000","x-ratelimit-remaining-requests":"999","x-ratelimit-remaining-tokens":"998314","x-ratelimit-renewalperiod-requests":"60","x-ratelimit-renewalperiod-tokens":"60","x-ratelimit-reset-requests":"60","x-ratelimit-reset-tokens":"101","x-request-id":"fbd71d15-13ab-4d0f-a501-f01929d1da72"}</t>
        </is>
      </c>
      <c r="N180" t="inlineStr">
        <is>
          <t>Chanel Brown Invisible Socks crafted from soft cotton-blend fabric, breathable and non-slip, featuring signature Double C logo and Chanel lettering. Unisex design for casual or office wear.</t>
        </is>
      </c>
      <c r="O180" t="inlineStr">
        <is>
          <t>{"id":"chatcmpl-DaAWncuiS7L1N8XVC5FxbkpXxdjuX","object":"chat.completion","created":1777512649,"model":"gpt-5-chat-2025-10-03","choices":[{"index":0,"message":{"role":"assistant","content":"Chanel,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180" t="inlineStr">
        <is>
          <t>Chanel, Socks &amp; Hosiery, kakobuy, kakebuy2026, kekobuysheet, kakobuysheet2026, 2026kakobuy, kakobuyspreadsheeet, kakobuylink, kakebuylist, Kakobuy MEGA Spreadsheet, kakobuysheetfind, kakobuysheetfind2026, 2026kakobuysheetfind, kakobuysheet2026</t>
        </is>
      </c>
      <c r="Q180" t="inlineStr">
        <is>
          <t>Chanel, Brown, Unisex, Breathable, Anti-Slip</t>
        </is>
      </c>
      <c r="R180" t="inlineStr">
        <is>
          <t>recvhju1CrwMYN</t>
        </is>
      </c>
      <c r="S180" t="inlineStr">
        <is>
          <t>chanel-brown-cotton-blend-invisible-socks-recvhju1crwmyn</t>
        </is>
      </c>
      <c r="T180"/>
      <c r="U180"/>
      <c r="V180"/>
      <c r="W180" t="inlineStr">
        <is>
          <t>{"id":"chatcmpl-Da9uRho016IBU9LlxyL06h3Rk9utx","object":"chat.completion","created":1777510271,"model":"gpt-5-chat-2025-10-03","choices":[{"index":0,"message":{"role":"assistant","content":"Chanel棕色简约隐形袜，甄选柔软棉质混纺面料，舒适透气不易滑脱。织入品牌标志性双C徽标与英文Logo，展现优雅法式格调。男女皆宜，适合休闲与通勤场景，低调奢华尽显高端品味。","refusal":null,"annotations":[]},"logprobs":null,"finish_reason":"stop"}],"usage":{"prompt_tokens":1309,"completion_tokens":84,"total_tokens":1393,"prompt_tokens_details":{"cached_tokens":0,"audio_tokens":0},"completion_tokens_details":{"reasoning_tokens":0,"audio_tokens":0,"accepted_prediction_tokens":0,"rejected_prediction_tokens":0}},"service_tier":"default","system_fingerprint":"fp_fd471178c5"}</t>
        </is>
      </c>
      <c r="X180" t="inlineStr">
        <is>
          <t>Chanel棕色简约隐形袜，甄选柔软棉质混纺面料，舒适透气不易滑脱。织入品牌标志性双C徽标与英文Logo，展现优雅法式格调。男女皆宜，适合休闲与通勤场景，低调奢华尽显高端品味。</t>
        </is>
      </c>
    </row>
    <row r="181" ht="25.5" customHeight="1">
      <c r="A181">
        <v>1654975475</v>
      </c>
      <c r="B181">
        <v>7627529758</v>
      </c>
      <c r="C181" s="2" t="str">
        <f>=HYPERLINK("https://weidian.com/item.html?itemID=7627529758", "https://weidian.com/item.html?itemID=7627529758")</f>
        <v>https://weidian.com/item.html?itemID=7627529758</v>
      </c>
      <c r="D181"/>
      <c r="E181" s="2" t="str">
        <f>=HYPERLINK("https://si.geilicdn.com/pcitem2014204438-5ee20000019ae7cbe0b30a811411_1086_916.jpg?w=640&amp;h=640", "https://si.geilicdn.com/pcitem2014204438-5ee20000019ae7cbe0b30a811411_1086_916.jpg?w=640&amp;h=640")</f>
        <v>https://si.geilicdn.com/pcitem2014204438-5ee20000019ae7cbe0b30a811411_1086_916.jpg?w=640&amp;h=640</v>
      </c>
      <c r="F181" t="inlineStr">
        <is>
          <t>Socks &amp; Hosiery</t>
        </is>
      </c>
      <c r="G181" t="inlineStr">
        <is>
          <t>Hermes</t>
        </is>
      </c>
      <c r="H181">
        <v>120</v>
      </c>
      <c r="I181">
        <v>17.39</v>
      </c>
      <c r="J181" t="inlineStr">
        <is>
          <t>{"id":"chatcmpl-DaAIFnFK4clsbcbwCjeGdLMxpozXV","object":"chat.completion","created":1777511747,"model":"gpt-5-chat-2025-10-03","choices":[{"index":0,"message":{"role":"assistant","content":"Hermes Carriage Logo Cotton Mid-Calf Socks Unisex","refusal":null,"annotations":[]},"logprobs":null,"finish_reason":"stop"}],"usage":{"prompt_tokens":889,"completion_tokens":13,"total_tokens":902,"prompt_tokens_details":{"cached_tokens":0,"audio_tokens":0},"completion_tokens_details":{"reasoning_tokens":0,"audio_tokens":0,"accepted_prediction_tokens":0,"rejected_prediction_tokens":0}},"service_tier":"default","system_fingerprint":"fp_fd471178c5"}</t>
        </is>
      </c>
      <c r="K181" t="inlineStr">
        <is>
          <t>Hermes Carriage Logo Cotton Mid-Calf Socks Unisex</t>
        </is>
      </c>
      <c r="L181" t="inlineStr">
        <is>
          <t>{"id":"chatcmpl-DaA8i9nuoumPsfIbiaabvEjL8gFWr","object":"chat.completion","created":1777511156,"model":"gpt-5-chat-2025-10-03","choices":[{"index":0,"message":{"role":"assistant","content":"Hermes Classic Carriage Logo Mid-Calf Socks, crafted from premium cotton blend, soft, breathable, and moisture-wicking; minimalist French elegance for men and women, perfect for casual or business wear.","refusal":null,"annotations":[]},"logprobs":null,"finish_reason":"stop"}],"usage":{"prompt_tokens":912,"completion_tokens":42,"total_tokens":954,"prompt_tokens_details":{"cached_tokens":0,"audio_tokens":0},"completion_tokens_details":{"reasoning_tokens":0,"audio_tokens":0,"accepted_prediction_tokens":0,"rejected_prediction_tokens":0}},"service_tier":"default","system_fingerprint":"fp_fd471178c5"}</t>
        </is>
      </c>
      <c r="M181" t="inlineStr">
        <is>
          <t>{"alt-svc":"h3=\":443\"; ma=2592000","apim-request-id":"33e3ec59-ee8e-4a75-95db-e3224932e1a7","azureml-model-session":"d20260428174121-807d9cc5","cache-control":"no-cache","connection":"close","content-length":"1010","content-type":"application/json","date":"Thu, 30 Apr 2026 01:05:57 GMT","server":"nginx","skip-error-remapping":"true","strict-transport-security":"max-age=31536000; includeSubDomains; preload","via":"1.1 Caddy","x-content-type-options":"nosniff","x-ms-client-request-id":"Not-Set","x-ms-is-spilled-over":"false","x-ms-rai-invoked":"false","x-ms-region":"South Central US","x-new-api-version":"0.4.35","x-oneapi-request-id":"20260430010556203140648268d9d6ZLZ1vyFW","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fda2ee5e-3b34-4ab4-9ce9-ab6999e04a54"}</t>
        </is>
      </c>
      <c r="N181" t="inlineStr">
        <is>
          <t>Hermes Classic Carriage Logo Mid-Calf Socks, crafted from premium cotton blend, soft, breathable, and moisture-wicking; minimalist French elegance for men and women, perfect for casual or business wear.</t>
        </is>
      </c>
      <c r="O181" t="inlineStr">
        <is>
          <t>{"id":"chatcmpl-DaAQxKSRPf1Fu33LYoX9Powx2lsIP","object":"chat.completion","created":1777512287,"model":"gpt-5-chat-2025-10-03","choices":[{"index":0,"message":{"role":"assistant","content":"Hermes,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181" t="inlineStr">
        <is>
          <t>Hermes, Socks &amp; Hosiery, kakobuy, kakebuy2026, kekobuysheet, kakobuysheet2026, 2026kakobuy, kakobuyspreadsheeet, kakobuylink, kakebuylist, Kakobuy MEGA Spreadsheet, kakobuysheetfind, kakobuysheetfind2026, 2026kakobuysheetfind, kakobuysheet2026</t>
        </is>
      </c>
      <c r="Q181" t="inlineStr">
        <is>
          <t>Minimalist, Men's And Women's, Business, Breathable</t>
        </is>
      </c>
      <c r="R181" t="inlineStr">
        <is>
          <t>recvhju1CrZRDi</t>
        </is>
      </c>
      <c r="S181" t="inlineStr">
        <is>
          <t>hermes-carriage-logo-cotton-mid-calf-socks-recvhju1crzrdi</t>
        </is>
      </c>
      <c r="T181"/>
      <c r="U181"/>
      <c r="V181"/>
      <c r="W181" t="inlineStr">
        <is>
          <t>{"id":"chatcmpl-Da9nIBiy0udSN8inAvaYbYutjGAsh","object":"chat.completion","created":1777509828,"model":"gpt-5-chat-2025-10-03","choices":[{"index":0,"message":{"role":"assistant","content":"Hermes：经典马车徽标刺绣黑色中筒袜，精选高棉混纺材质，柔软透气吸汗。极简设计融合法式优雅风格，男女皆宜，日常休闲与商务穿搭皆可，彰显奢华品味与精致格调。","refusal":null,"annotations":[]},"logprobs":null,"finish_reason":"stop"}],"usage":{"prompt_tokens":1303,"completion_tokens":75,"total_tokens":1378,"prompt_tokens_details":{"cached_tokens":0,"audio_tokens":0},"completion_tokens_details":{"reasoning_tokens":0,"audio_tokens":0,"accepted_prediction_tokens":0,"rejected_prediction_tokens":0}},"service_tier":"default","system_fingerprint":"fp_ad66631dec"}</t>
        </is>
      </c>
      <c r="X181" t="inlineStr">
        <is>
          <t>Hermes：经典马车徽标刺绣黑色中筒袜，精选高棉混纺材质，柔软透气吸汗。极简设计融合法式优雅风格，男女皆宜，日常休闲与商务穿搭皆可，彰显奢华品味与精致格调。</t>
        </is>
      </c>
    </row>
    <row r="182" ht="25.5" customHeight="1">
      <c r="A182">
        <v>1654975475</v>
      </c>
      <c r="B182">
        <v>7623826813</v>
      </c>
      <c r="C182" s="2" t="str">
        <f>=HYPERLINK("https://weidian.com/item.html?itemID=7623826813", "https://weidian.com/item.html?itemID=7623826813")</f>
        <v>https://weidian.com/item.html?itemID=7623826813</v>
      </c>
      <c r="D182"/>
      <c r="E182" s="2" t="str">
        <f>=HYPERLINK("https://si.geilicdn.com/pcitem902014207253-6fb50000019ae74a101b0a2301b4_1080_1350.jpg?w=640&amp;h=640", "https://si.geilicdn.com/pcitem902014207253-6fb50000019ae74a101b0a2301b4_1080_1350.jpg?w=640&amp;h=640")</f>
        <v>https://si.geilicdn.com/pcitem902014207253-6fb50000019ae74a101b0a2301b4_1080_1350.jpg?w=640&amp;h=640</v>
      </c>
      <c r="F182" t="inlineStr">
        <is>
          <t>Accessories</t>
        </is>
      </c>
      <c r="G182" t="inlineStr">
        <is>
          <t>The North Face</t>
        </is>
      </c>
      <c r="H182">
        <v>470</v>
      </c>
      <c r="I182">
        <v>68.12</v>
      </c>
      <c r="J182" t="inlineStr">
        <is>
          <t>{"id":"chatcmpl-DaAKf6Ggo5ruSdskH20Ox9UsEx6LX","object":"chat.completion","created":1777511897,"model":"gpt-5-chat-2025-10-03","choices":[{"index":0,"message":{"role":"assistant","content":"The North Face Black Waterproof Hiking Backpack","refusal":null,"annotations":[]},"logprobs":null,"finish_reason":"stop"}],"usage":{"prompt_tokens":874,"completion_tokens":8,"total_tokens":882,"prompt_tokens_details":{"cached_tokens":0,"audio_tokens":0},"completion_tokens_details":{"reasoning_tokens":0,"audio_tokens":0,"accepted_prediction_tokens":0,"rejected_prediction_tokens":0}},"service_tier":"default","system_fingerprint":"fp_ad66631dec"}</t>
        </is>
      </c>
      <c r="K182" t="inlineStr">
        <is>
          <t>The North Face Black Waterproof Hiking Backpack</t>
        </is>
      </c>
      <c r="L182" t="inlineStr">
        <is>
          <t>{"id":"chatcmpl-DaAAj7w64He9r2mxPW2izcGZuUin4","object":"chat.completion","created":1777511281,"model":"gpt-5-chat-2025-10-03","choices":[{"index":0,"message":{"role":"assistant","content":"The North Face black outdoor backpack, made of durable nylon, lightweight and waterproof. Multi-layer storage, elastic cord, breathable back system. Unisex hiking style for urban explorers.","refusal":null,"annotations":[]},"logprobs":null,"finish_reason":"stop"}],"usage":{"prompt_tokens":915,"completion_tokens":36,"total_tokens":951,"prompt_tokens_details":{"cached_tokens":0,"audio_tokens":0},"completion_tokens_details":{"reasoning_tokens":0,"audio_tokens":0,"accepted_prediction_tokens":0,"rejected_prediction_tokens":0}},"service_tier":"default","system_fingerprint":"fp_fd471178c5"}</t>
        </is>
      </c>
      <c r="M182" t="inlineStr">
        <is>
          <t>{"alt-svc":"h3=\":443\"; ma=2592000","apim-request-id":"fe395006-056d-49a9-9822-f07e9dfc8532","azureml-model-session":"d20260428205641-55ca9797","cache-control":"no-cache","connection":"close","content-length":"997","content-type":"application/json","date":"Thu, 30 Apr 2026 01:08:03 GMT","server":"Caddy","skip-error-remapping":"true","strict-transport-security":"max-age=31536000; includeSubDomains; preload","x-content-type-options":"nosniff","x-ms-client-request-id":"Not-Set","x-ms-is-spilled-over":"false","x-ms-rai-invoked":"false","x-ms-region":"Sweden Central","x-new-api-version":"0.4.35","x-oneapi-request-id":"202604300108008688704318268d9d6IExK3TcX","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bcc143a5-6e2a-409e-88cd-bfb8da06aaf2"}</t>
        </is>
      </c>
      <c r="N182" t="inlineStr">
        <is>
          <t>The North Face black outdoor backpack, made of durable nylon, lightweight and waterproof. Multi-layer storage, elastic cord, breathable back system. Unisex hiking style for urban explorers.</t>
        </is>
      </c>
      <c r="O182" t="inlineStr">
        <is>
          <t>{"id":"chatcmpl-DaAUsK0KSL6uVdIdpsGzo6SU49fgz","object":"chat.completion","created":1777512530,"model":"gpt-5-chat-2025-10-03","choices":[{"index":0,"message":{"role":"assistant","content":"The North Face, Backpacks,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93,"total_tokens":876,"prompt_tokens_details":{"cached_tokens":0,"audio_tokens":0},"completion_tokens_details":{"reasoning_tokens":0,"audio_tokens":0,"accepted_prediction_tokens":0,"rejected_prediction_tokens":0}},"service_tier":"default","system_fingerprint":"fp_ad66631dec"}</t>
        </is>
      </c>
      <c r="P182" t="inlineStr">
        <is>
          <t>The North Face, Backpacks, kakobuy, kakebuy2026, kekobuysheet, kakobuysheet2026, 2026kakobuy, kakobuyspreadsheeet, kakobuylink, kakebuylist, Kakobuy MEGA Spreadsheet, kakobuysheetfind, kakobuysheetfind2026, 2026kakobuysheetfind, kakobuysheet2026</t>
        </is>
      </c>
      <c r="Q182" t="inlineStr">
        <is>
          <t>Backpack, Nylon, Waterproof, Unisex, Outdoor, Lightweight</t>
        </is>
      </c>
      <c r="R182" t="inlineStr">
        <is>
          <t>recvhju1CrHgfk</t>
        </is>
      </c>
      <c r="S182" t="inlineStr">
        <is>
          <t>the-north-face-black-waterproof-hiking-backpack-recvhju1crhgfk</t>
        </is>
      </c>
      <c r="T182"/>
      <c r="U182"/>
      <c r="V182"/>
      <c r="W182" t="inlineStr">
        <is>
          <t>{"id":"chatcmpl-Da9q4bbz6mLakJa5Xmr8K2UBG1bGL","object":"chat.completion","created":1777510000,"model":"gpt-5-chat-2025-10-03","choices":[{"index":0,"message":{"role":"assistant","content":"The North Face黑色户外双肩背包，采用高耐磨尼龙材质，轻盈防水，立体背负系统舒适透气。多层收纳设计搭配弹力织绳与侧袋功能，适合男女通用。经典登山风格融合实用与时尚，展现都市探险精神。","refusal":null,"annotations":[]},"logprobs":null,"finish_reason":"stop"}],"usage":{"prompt_tokens":1305,"completion_tokens":79,"total_tokens":1384,"prompt_tokens_details":{"cached_tokens":1280,"audio_tokens":0},"completion_tokens_details":{"reasoning_tokens":0,"audio_tokens":0,"accepted_prediction_tokens":0,"rejected_prediction_tokens":0}},"service_tier":"default","system_fingerprint":"fp_fd471178c5"}</t>
        </is>
      </c>
      <c r="X182" t="inlineStr">
        <is>
          <t>The North Face黑色户外双肩背包，采用高耐磨尼龙材质，轻盈防水，立体背负系统舒适透气。多层收纳设计搭配弹力织绳与侧袋功能，适合男女通用。经典登山风格融合实用与时尚，展现都市探险精神。</t>
        </is>
      </c>
    </row>
    <row r="183" ht="25.5" customHeight="1">
      <c r="A183">
        <v>1654975475</v>
      </c>
      <c r="B183">
        <v>7623893889</v>
      </c>
      <c r="C183" s="2" t="str">
        <f>=HYPERLINK("https://weidian.com/item.html?itemID=7623893889", "https://weidian.com/item.html?itemID=7623893889")</f>
        <v>https://weidian.com/item.html?itemID=7623893889</v>
      </c>
      <c r="D183"/>
      <c r="E183" s="2" t="str">
        <f>=HYPERLINK("https://si.geilicdn.com/pcitem2014204438-66540000019ae4a19f9d0a239646_1620_1080.jpg?w=640&amp;h=640", "https://si.geilicdn.com/pcitem2014204438-66540000019ae4a19f9d0a239646_1620_1080.jpg?w=640&amp;h=640")</f>
        <v>https://si.geilicdn.com/pcitem2014204438-66540000019ae4a19f9d0a239646_1620_1080.jpg?w=640&amp;h=640</v>
      </c>
      <c r="F183" t="inlineStr">
        <is>
          <t>Accessories</t>
        </is>
      </c>
      <c r="G183" t="inlineStr">
        <is>
          <t>lululemon</t>
        </is>
      </c>
      <c r="H183">
        <v>430</v>
      </c>
      <c r="I183">
        <v>62.32</v>
      </c>
      <c r="J183" t="inlineStr">
        <is>
          <t>{"id":"chatcmpl-DaAHgOF2csQ0fqiOjUR8FNenR3Lh6","object":"chat.completion","created":1777511712,"model":"gpt-5-chat-2025-10-03","choices":[{"index":0,"message":{"role":"assistant","content":"Lululemon Beige Waterproof Nylon Multi Pocket Backpack","refusal":null,"annotations":[]},"logprobs":null,"finish_reason":"stop"}],"usage":{"prompt_tokens":590,"completion_tokens":11,"total_tokens":601,"prompt_tokens_details":{"cached_tokens":0,"audio_tokens":0},"completion_tokens_details":{"reasoning_tokens":0,"audio_tokens":0,"accepted_prediction_tokens":0,"rejected_prediction_tokens":0}},"service_tier":"default","system_fingerprint":"fp_ad66631dec"}</t>
        </is>
      </c>
      <c r="K183" t="inlineStr">
        <is>
          <t>Lululemon Beige Waterproof Nylon Multi Pocket Backpack</t>
        </is>
      </c>
      <c r="L183" t="inlineStr">
        <is>
          <t>{"id":"chatcmpl-DaA9xPWlZNVn2OP4K3VcnJ8FC2zbM","object":"chat.completion","created":1777511233,"model":"gpt-5-chat-2025-10-03","choices":[{"index":0,"message":{"role":"assistant","content":"Lululemon beige functional backpack made of durable waterproof nylon with dark adjustable straps and multi-pocket design, perfect for daily commute, travel, and sporty urban style.","refusal":null,"annotations":[]},"logprobs":null,"finish_reason":"stop"}],"usage":{"prompt_tokens":627,"completion_tokens":34,"total_tokens":661,"prompt_tokens_details":{"cached_tokens":0,"audio_tokens":0},"completion_tokens_details":{"reasoning_tokens":0,"audio_tokens":0,"accepted_prediction_tokens":0,"rejected_prediction_tokens":0}},"service_tier":"default","system_fingerprint":"fp_ad66631dec"}</t>
        </is>
      </c>
      <c r="M183" t="inlineStr">
        <is>
          <t>{"alt-svc":"h3=\":443\"; ma=2592000","apim-request-id":"e1cd6af0-f331-4a9b-b57c-11a0eaa46274","azureml-model-session":"d20260402075109-1fc5a0ec","cache-control":"no-cache","connection":"close","content-length":"988","content-type":"application/json","date":"Thu, 30 Apr 2026 01:07:15 GMT","server":"nginx","skip-error-remapping":"true","strict-transport-security":"max-age=31536000; includeSubDomains; preload","via":"1.1 Caddy","x-content-type-options":"nosniff","x-ms-client-request-id":"Not-Set","x-ms-is-spilled-over":"false","x-ms-rai-invoked":"false","x-ms-region":"West US","x-new-api-version":"0.4.35","x-oneapi-request-id":"202604300107126835889738268d9d6EGPhSPqF","x-ratelimit-abusepenalty-active":"False","x-ratelimit-key":"gpt-5-chat-global","x-ratelimit-limit-requests":"1000","x-ratelimit-limit-tokens":"1000000","x-ratelimit-remaining-requests":"999","x-ratelimit-remaining-tokens":"998609","x-ratelimit-renewalperiod-requests":"60","x-ratelimit-renewalperiod-tokens":"60","x-ratelimit-reset-requests":"60","x-ratelimit-reset-tokens":"83","x-request-id":"c90b59fc-e279-49ba-9502-dcd246cede01"}</t>
        </is>
      </c>
      <c r="N183" t="inlineStr">
        <is>
          <t>Lululemon beige functional backpack made of durable waterproof nylon with dark adjustable straps and multi-pocket design, perfect for daily commute, travel, and sporty urban style.</t>
        </is>
      </c>
      <c r="O183" t="inlineStr">
        <is>
          <t>{"id":"chatcmpl-DaASedrxuvn0Uu2AQ9ARXBhvWOU9j","object":"chat.completion","created":1777512392,"model":"gpt-5-chat-2025-10-03","choices":[{"index":0,"message":{"role":"assistant","content":"Lululemon,Accessori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89,"total_tokens":592,"prompt_tokens_details":{"cached_tokens":0,"audio_tokens":0},"completion_tokens_details":{"reasoning_tokens":0,"audio_tokens":0,"accepted_prediction_tokens":0,"rejected_prediction_tokens":0}},"service_tier":"default","system_fingerprint":"fp_fd471178c5"}</t>
        </is>
      </c>
      <c r="P183" t="inlineStr">
        <is>
          <t>Lululemon,Accessories,kakobuy,kakebuy2026,kekobuysheet,kakobuysheet2026,2026kakobuy,kakobuyspreadsheeet,kakobuylink,kakebuylist,Kakobuy MEGA Spreadsheet,kakobuysheetfind,kakobuysheetfind2026,2026kakobuysheetfind,kakobuysheet2026</t>
        </is>
      </c>
      <c r="Q183" t="inlineStr">
        <is>
          <t>Backpack, Beige, Waterproof, Nylon, Unisex, All Seasons</t>
        </is>
      </c>
      <c r="R183" t="inlineStr">
        <is>
          <t>recvhju1CrgoHN</t>
        </is>
      </c>
      <c r="S183" t="inlineStr">
        <is>
          <t>lululemon-beige-waterproof-nylon-multi-pocket-backpack-recvhju1crgohn</t>
        </is>
      </c>
      <c r="T183"/>
      <c r="U183"/>
      <c r="V183"/>
      <c r="W183" t="inlineStr">
        <is>
          <t>{"id":"chatcmpl-Da9sTCceLJQmK1FDEzn6pRJPahYeq","object":"chat.completion","created":1777510149,"model":"gpt-5-chat-2025-10-03","choices":[{"index":0,"message":{"role":"assistant","content":"Lululemon 浅驼色功能背包，采用高耐磨防水尼龙材质，配深色可调肩带与多口袋设计，兼具都市运动与休闲风格，男女皆宜，适合日常通勤与户外旅行，展现简约实用美学。","refusal":null,"annotations":[]},"logprobs":null,"finish_reason":"stop"}],"usage":{"prompt_tokens":1023,"completion_tokens":72,"total_tokens":1095,"prompt_tokens_details":{"cached_tokens":0,"audio_tokens":0},"completion_tokens_details":{"reasoning_tokens":0,"audio_tokens":0,"accepted_prediction_tokens":0,"rejected_prediction_tokens":0}},"service_tier":"default","system_fingerprint":"fp_fd471178c5"}</t>
        </is>
      </c>
      <c r="X183" t="inlineStr">
        <is>
          <t>Lululemon 浅驼色功能背包，采用高耐磨防水尼龙材质，配深色可调肩带与多口袋设计，兼具都市运动与休闲风格，男女皆宜，适合日常通勤与户外旅行，展现简约实用美学。</t>
        </is>
      </c>
    </row>
    <row r="184" ht="25.5" customHeight="1">
      <c r="A184">
        <v>1654975475</v>
      </c>
      <c r="B184">
        <v>7626876776</v>
      </c>
      <c r="C184" s="2" t="str">
        <f>=HYPERLINK("https://weidian.com/item.html?itemID=7626876776", "https://weidian.com/item.html?itemID=7626876776")</f>
        <v>https://weidian.com/item.html?itemID=7626876776</v>
      </c>
      <c r="D184"/>
      <c r="E184" s="2" t="str">
        <f>=HYPERLINK("https://si.geilicdn.com/pcitem2014204438-2a900000019ae49bad770a21146b_1440_1920.jpg?w=640&amp;h=640", "https://si.geilicdn.com/pcitem2014204438-2a900000019ae49bad770a21146b_1440_1920.jpg?w=640&amp;h=640")</f>
        <v>https://si.geilicdn.com/pcitem2014204438-2a900000019ae49bad770a21146b_1440_1920.jpg?w=640&amp;h=640</v>
      </c>
      <c r="F184" t="inlineStr">
        <is>
          <t>Accessories</t>
        </is>
      </c>
      <c r="G184" t="inlineStr">
        <is>
          <t>lululemon</t>
        </is>
      </c>
      <c r="H184">
        <v>296</v>
      </c>
      <c r="I184">
        <v>42.9</v>
      </c>
      <c r="J184" t="inlineStr">
        <is>
          <t>{"id":"chatcmpl-DaAFUhMxpFLMW9miEJuSX1tINNGm3","object":"chat.completion","created":1777511576,"model":"gpt-5-chat-2025-10-03","choices":[{"index":0,"message":{"role":"assistant","content":"Lululemon Black Water-Resistant Nylon Crossbody Bag","refusal":null,"annotations":[]},"logprobs":null,"finish_reason":"stop"}],"usage":{"prompt_tokens":886,"completion_tokens":14,"total_tokens":900,"prompt_tokens_details":{"cached_tokens":0,"audio_tokens":0},"completion_tokens_details":{"reasoning_tokens":0,"audio_tokens":0,"accepted_prediction_tokens":0,"rejected_prediction_tokens":0}},"service_tier":"default","system_fingerprint":"fp_fd471178c5"}</t>
        </is>
      </c>
      <c r="K184" t="inlineStr">
        <is>
          <t>Lululemon Black Water-Resistant Nylon Crossbody Bag</t>
        </is>
      </c>
      <c r="L184" t="inlineStr">
        <is>
          <t>{"id":"chatcmpl-DaA7dCwWcqpJm7ptHNISeqkwHIoNM","object":"chat.completion","created":1777511089,"model":"gpt-5-chat-2025-10-03","choices":[{"index":0,"message":{"role":"assistant","content":"Lululemon Black Water-Repellent Nylon Crossbody Bag, lightweight and durable, sleek minimalist design with practical compartments, unisex style for gym or urban use, signature logo for modern active look.","refusal":null,"annotations":[]},"logprobs":null,"finish_reason":"stop"}],"usage":{"prompt_tokens":911,"completion_tokens":42,"total_tokens":953,"prompt_tokens_details":{"cached_tokens":0,"audio_tokens":0},"completion_tokens_details":{"reasoning_tokens":0,"audio_tokens":0,"accepted_prediction_tokens":0,"rejected_prediction_tokens":0}},"service_tier":"default","system_fingerprint":"fp_fd471178c5"}</t>
        </is>
      </c>
      <c r="M184" t="inlineStr">
        <is>
          <t>{"alt-svc":"h3=\":443\"; ma=2592000","apim-request-id":"bcb0890d-7a65-427f-a850-a52a0cd03114","azureml-model-session":"d20260428174121-807d9cc5","cache-control":"no-cache","connection":"close","content-length":"1012","content-type":"application/json","date":"Thu, 30 Apr 2026 01:04:50 GMT","server":"Caddy","skip-error-remapping":"true","strict-transport-security":"max-age=31536000; includeSubDomains; preload","x-content-type-options":"nosniff","x-ms-client-request-id":"Not-Set","x-ms-is-spilled-over":"false","x-ms-rai-invoked":"false","x-ms-region":"North Central US","x-new-api-version":"0.4.35","x-oneapi-request-id":"202604300104482318069608268d9d6RkwjHhUw","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b9a2079c-c646-4fa2-b824-ac44d47f8099"}</t>
        </is>
      </c>
      <c r="N184" t="inlineStr">
        <is>
          <t>Lululemon Black Water-Repellent Nylon Crossbody Bag, lightweight and durable, sleek minimalist design with practical compartments, unisex style for gym or urban use, signature logo for modern active look.</t>
        </is>
      </c>
      <c r="O184" t="inlineStr">
        <is>
          <t>{"id":"chatcmpl-DaARYwjv9Wy67uQZEFfmdvvQUrOeQ","object":"chat.completion","created":1777512324,"model":"gpt-5-chat-2025-10-03","choices":[{"index":0,"message":{"role":"assistant","content":"Lululemon,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84" t="inlineStr">
        <is>
          <t>Lululemon,Accessories,kakobuy,kakebuy2026,kekobuysheet,kakobuysheet2026,2026kakobuy,kakobuyspreadsheeet,kakobuylink,kakebuylist,Kakobuy MEGA Spreadsheet,kakobuysheetfind,kakobuysheetfind2026,2026kakobuysheetfind,kakobuysheet2026</t>
        </is>
      </c>
      <c r="Q184" t="inlineStr">
        <is>
          <t>Black, Nylon, Waterproof, Minimalist, Unisex, Lightweight</t>
        </is>
      </c>
      <c r="R184" t="inlineStr">
        <is>
          <t>recvhju1CrKML3</t>
        </is>
      </c>
      <c r="S184" t="inlineStr">
        <is>
          <t>lululemon-black-water-resistant-nylon-crossbody-recvhju1crkml3</t>
        </is>
      </c>
      <c r="T184"/>
      <c r="U184"/>
      <c r="V184"/>
      <c r="W184" t="inlineStr">
        <is>
          <t>{"id":"chatcmpl-Da9oVlzXXtOddoMmRTIJB9dncBuhL","object":"chat.completion","created":1777509903,"model":"gpt-5-chat-2025-10-03","choices":[{"index":0,"message":{"role":"assistant","content":"Lululemon：黑色多功能运动斜挎包，防泼水尼龙材质，轻盈耐磨。简约流线设计结合实用收纳结构，官方Logo彰显品牌辨识度。适合男女通用，都市休闲与健身出行必备，展现现代极简运动风格。","refusal":null,"annotations":[]},"logprobs":null,"finish_reason":"stop"}],"usage":{"prompt_tokens":1299,"completion_tokens":78,"total_tokens":1377,"prompt_tokens_details":{"cached_tokens":0,"audio_tokens":0},"completion_tokens_details":{"reasoning_tokens":0,"audio_tokens":0,"accepted_prediction_tokens":0,"rejected_prediction_tokens":0}},"service_tier":"default","system_fingerprint":"fp_ad66631dec"}</t>
        </is>
      </c>
      <c r="X184" t="inlineStr">
        <is>
          <t>Lululemon：黑色多功能运动斜挎包，防泼水尼龙材质，轻盈耐磨。简约流线设计结合实用收纳结构，官方Logo彰显品牌辨识度。适合男女通用，都市休闲与健身出行必备，展现现代极简运动风格。</t>
        </is>
      </c>
    </row>
    <row r="185" ht="25.5" customHeight="1">
      <c r="A185">
        <v>1654975475</v>
      </c>
      <c r="B185">
        <v>7623928061</v>
      </c>
      <c r="C185" s="2" t="str">
        <f>=HYPERLINK("https://weidian.com/item.html?itemID=7623928061", "https://weidian.com/item.html?itemID=7623928061")</f>
        <v>https://weidian.com/item.html?itemID=7623928061</v>
      </c>
      <c r="D185"/>
      <c r="E185" s="2" t="str">
        <f>=HYPERLINK("https://si.geilicdn.com/pcitem2014204438-6ef80000019ae4936a320a81347d_1280_1280.jpg?w=640&amp;h=640", "https://si.geilicdn.com/pcitem2014204438-6ef80000019ae4936a320a81347d_1280_1280.jpg?w=640&amp;h=640")</f>
        <v>https://si.geilicdn.com/pcitem2014204438-6ef80000019ae4936a320a81347d_1280_1280.jpg?w=640&amp;h=640</v>
      </c>
      <c r="F185" t="inlineStr">
        <is>
          <t>Accessories</t>
        </is>
      </c>
      <c r="G185" t="inlineStr">
        <is>
          <t>lululemon</t>
        </is>
      </c>
      <c r="H185">
        <v>310</v>
      </c>
      <c r="I185">
        <v>44.93</v>
      </c>
      <c r="J185" t="inlineStr">
        <is>
          <t>{"id":"chatcmpl-DaALXrizhSRAyCv0W3aMUcZ5PIJj4","object":"chat.completion","created":1777511951,"model":"gpt-5-chat-2025-10-03","choices":[{"index":0,"message":{"role":"assistant","content":"Lululemon Cream Blue Nylon Mini Backpack","refusal":null,"annotations":[]},"logprobs":null,"finish_reason":"stop"}],"usage":{"prompt_tokens":888,"completion_tokens":10,"total_tokens":898,"prompt_tokens_details":{"cached_tokens":0,"audio_tokens":0},"completion_tokens_details":{"reasoning_tokens":0,"audio_tokens":0,"accepted_prediction_tokens":0,"rejected_prediction_tokens":0}},"service_tier":"default","system_fingerprint":"fp_fd471178c5"}</t>
        </is>
      </c>
      <c r="K185" t="inlineStr">
        <is>
          <t>Lululemon Cream Blue Nylon Mini Backpack</t>
        </is>
      </c>
      <c r="L185" t="inlineStr">
        <is>
          <t>{"id":"chatcmpl-DaADEMcRy4d0abtYMDaMGWwLqLmIb","object":"chat.completion","created":1777511436,"model":"gpt-5-chat-2025-10-03","choices":[{"index":0,"message":{"role":"assistant","content":"Lululemon cream and light blue nylon mini backpack with water‑repellent fabric, soft texture, metal buckles, drawstring closure, and adjustable straps; ideal for daily commute and urban casual style.","refusal":null,"annotations":[]},"logprobs":null,"finish_reason":"stop"}],"usage":{"prompt_tokens":918,"completion_tokens":43,"total_tokens":961,"prompt_tokens_details":{"cached_tokens":0,"audio_tokens":0},"completion_tokens_details":{"reasoning_tokens":0,"audio_tokens":0,"accepted_prediction_tokens":0,"rejected_prediction_tokens":0}},"service_tier":"default","system_fingerprint":"fp_ad66631dec"}</t>
        </is>
      </c>
      <c r="M185" t="inlineStr">
        <is>
          <t>{"alt-svc":"h3=\":443\"; ma=2592000","apim-request-id":"770238fa-a9af-444e-a81c-d42bfc80a565","azureml-model-session":"d20260402084046-4209e968","cache-control":"no-cache","connection":"close","content-length":"1009","content-type":"application/json","date":"Thu, 30 Apr 2026 01:10:37 GMT","server":"nginx","skip-error-remapping":"true","strict-transport-security":"max-age=31536000; includeSubDomains; preload","via":"1.1 Caddy","x-content-type-options":"nosniff","x-ms-client-request-id":"Not-Set","x-ms-is-spilled-over":"false","x-ms-rai-invoked":"false","x-ms-region":"West US","x-new-api-version":"0.4.35","x-oneapi-request-id":"202604300110351208470798268d9d6LWWLVY2Q","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c5536444-780c-4ede-847c-c3f9e3dfc981"}</t>
        </is>
      </c>
      <c r="N185" t="inlineStr">
        <is>
          <t>Lululemon cream and light blue nylon mini backpack with water‑repellent fabric, soft texture, metal buckles, drawstring closure, and adjustable straps; ideal for daily commute and urban casual style.</t>
        </is>
      </c>
      <c r="O185" t="inlineStr">
        <is>
          <t>{"id":"chatcmpl-DaAVhFErmPbrui4Lw8KdE869AbxXu","object":"chat.completion","created":1777512581,"model":"gpt-5-chat-2025-10-03","choices":[{"index":0,"message":{"role":"assistant","content":"Lululemon,Backpack,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90,"total_tokens":873,"prompt_tokens_details":{"cached_tokens":0,"audio_tokens":0},"completion_tokens_details":{"reasoning_tokens":0,"audio_tokens":0,"accepted_prediction_tokens":0,"rejected_prediction_tokens":0}},"service_tier":"default","system_fingerprint":"fp_fd471178c5"}</t>
        </is>
      </c>
      <c r="P185" t="inlineStr">
        <is>
          <t>Lululemon,Backpack,kakobuy,kakebuy2026,kekobuysheet,kakobuysheet2026,2026kakobuy,kakobuyspreadsheeet,kakobuylink,kakebuylist,Kakobuy MEGA Spreadsheet,kakobuysheetfind,kakobuysheetfind2026,2026kakobuysheetfind,kakobuysheet2026</t>
        </is>
      </c>
      <c r="Q185" t="inlineStr">
        <is>
          <t>Mini Backpack, Nylon, Cream, Blue, Waterproof</t>
        </is>
      </c>
      <c r="R185" t="inlineStr">
        <is>
          <t>recvhju1CrjDxe</t>
        </is>
      </c>
      <c r="S185" t="inlineStr">
        <is>
          <t>lululemon-cream-blue-nylon-mini-backpack-recvhju1crjdxe</t>
        </is>
      </c>
      <c r="T185"/>
      <c r="U185"/>
      <c r="V185"/>
      <c r="W185" t="inlineStr">
        <is>
          <t>{"id":"chatcmpl-Da9rtfBdrpexthHnIWd6T5ntkits6","object":"chat.completion","created":1777510113,"model":"gpt-5-chat-2025-10-03","choices":[{"index":0,"message":{"role":"assistant","content":"Lululemon 奶白与浅蓝拼色轻盈尼龙小背包，柔软防泼水面料搭配金属扣环，展露简约运动美学。束绳开合与可调肩带兼具功能与时尚，适合男女通勤与休闲出行，现代都市风格尽现轻奢格调。","refusal":null,"annotations":[]},"logprobs":null,"finish_reason":"stop"}],"usage":{"prompt_tokens":1301,"completion_tokens":84,"total_tokens":1385,"prompt_tokens_details":{"cached_tokens":1280,"audio_tokens":0},"completion_tokens_details":{"reasoning_tokens":0,"audio_tokens":0,"accepted_prediction_tokens":0,"rejected_prediction_tokens":0}},"service_tier":"default","system_fingerprint":"fp_fd471178c5"}</t>
        </is>
      </c>
      <c r="X185" t="inlineStr">
        <is>
          <t>Lululemon 奶白与浅蓝拼色轻盈尼龙小背包，柔软防泼水面料搭配金属扣环，展露简约运动美学。束绳开合与可调肩带兼具功能与时尚，适合男女通勤与休闲出行，现代都市风格尽现轻奢格调。</t>
        </is>
      </c>
    </row>
    <row r="186" ht="25.5" customHeight="1">
      <c r="A186">
        <v>1654975475</v>
      </c>
      <c r="B186">
        <v>7626686204</v>
      </c>
      <c r="C186" s="2" t="str">
        <f>=HYPERLINK("https://weidian.com/item.html?itemID=7626686204", "https://weidian.com/item.html?itemID=7626686204")</f>
        <v>https://weidian.com/item.html?itemID=7626686204</v>
      </c>
      <c r="D186"/>
      <c r="E186" s="2" t="str">
        <f>=HYPERLINK("https://si.geilicdn.com/pcitem2014204438-37d10000019ae48f2b150a811411_1074_1074.jpg?w=640&amp;h=640", "https://si.geilicdn.com/pcitem2014204438-37d10000019ae48f2b150a811411_1074_1074.jpg?w=640&amp;h=640")</f>
        <v>https://si.geilicdn.com/pcitem2014204438-37d10000019ae48f2b150a811411_1074_1074.jpg?w=640&amp;h=640</v>
      </c>
      <c r="F186" t="inlineStr">
        <is>
          <t>Accessories</t>
        </is>
      </c>
      <c r="G186" t="inlineStr">
        <is>
          <t>lululemon</t>
        </is>
      </c>
      <c r="H186">
        <v>290</v>
      </c>
      <c r="I186">
        <v>42.03</v>
      </c>
      <c r="J186" t="inlineStr">
        <is>
          <t>{"id":"chatcmpl-DaAGiavlwcNUKS4QJgax2nLe7jbbg","object":"chat.completion","created":1777511652,"model":"gpt-5-chat-2025-10-03","choices":[{"index":0,"message":{"role":"assistant","content":"Lululemon Khaki Unisex Waterproof Nylon Crossbody Bag","refusal":null,"annotations":[]},"logprobs":null,"finish_reason":"stop"}],"usage":{"prompt_tokens":870,"completion_tokens":14,"total_tokens":884,"prompt_tokens_details":{"cached_tokens":0,"audio_tokens":0},"completion_tokens_details":{"reasoning_tokens":0,"audio_tokens":0,"accepted_prediction_tokens":0,"rejected_prediction_tokens":0}},"service_tier":"default","system_fingerprint":"fp_ad66631dec"}</t>
        </is>
      </c>
      <c r="K186" t="inlineStr">
        <is>
          <t>Lululemon Khaki Unisex Waterproof Nylon Crossbody Bag</t>
        </is>
      </c>
      <c r="L186" t="inlineStr">
        <is>
          <t>{"id":"chatcmpl-DaAEBv9GZLFimq4NbbRv7kGxgdBM4","object":"chat.completion","created":1777511495,"model":"gpt-5-chat-2025-10-03","choices":[{"index":0,"message":{"role":"assistant","content":"Lululemon Unisex Nylon Crossbody Bag in Khaki, lightweight waterproof design with minimalist stitching, perfect for urban style, daily travel, and sporty lifestyle.","refusal":null,"annotations":[]},"logprobs":null,"finish_reason":"stop"}],"usage":{"prompt_tokens":892,"completion_tokens":34,"total_tokens":926,"prompt_tokens_details":{"cached_tokens":0,"audio_tokens":0},"completion_tokens_details":{"reasoning_tokens":0,"audio_tokens":0,"accepted_prediction_tokens":0,"rejected_prediction_tokens":0}},"service_tier":"default","system_fingerprint":"fp_fd471178c5"}</t>
        </is>
      </c>
      <c r="M186" t="inlineStr">
        <is>
          <t>{"alt-svc":"h3=\":443\"; ma=2592000","apim-request-id":"6d31a3e5-4bec-416a-8f67-4fd926bc649d","azureml-model-session":"d20260428174121-807d9cc5","cache-control":"no-cache","connection":"close","content-length":"972","content-type":"application/json","date":"Thu, 30 Apr 2026 01:11:36 GMT","server":"Caddy","skip-error-remapping":"true","strict-transport-security":"max-age=31536000; includeSubDomains; preload","x-content-type-options":"nosniff","x-ms-client-request-id":"Not-Set","x-ms-is-spilled-over":"false","x-ms-rai-invoked":"false","x-ms-region":"East US 2","x-new-api-version":"0.4.35","x-oneapi-request-id":"20260430011135345085658268d9d6RSqwolfs","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92e27a34-fe42-4b52-af94-83d3d36399c9"}</t>
        </is>
      </c>
      <c r="N186" t="inlineStr">
        <is>
          <t>Lululemon Unisex Nylon Crossbody Bag in Khaki, lightweight waterproof design with minimalist stitching, perfect for urban style, daily travel, and sporty lifestyle.</t>
        </is>
      </c>
      <c r="O186" t="inlineStr">
        <is>
          <t>{"id":"chatcmpl-DaAWFD0EBaaqaDezattLKAagxGeO8","object":"chat.completion","created":1777512615,"model":"gpt-5-chat-2025-10-03","choices":[{"index":0,"message":{"role":"assistant","content":"Lululemon,Accessories,kakobuy,kakebuy2026,kekobuysheet,kakobuysheet2026,2026kakobuy,kakobuyspreadsh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186" t="inlineStr">
        <is>
          <t>Lululemon,Accessories,kakobuy,kakebuy2026,kekobuysheet,kakobuysheet2026,2026kakobuy,kakobuyspreadsheet,kakobuylink,kakebuylist,Kakobuy MEGA Spreadsheet,kakobuysheetfind,kakobuysheetfind2026,2026kakobuysheetfind,kakobuysheet2026</t>
        </is>
      </c>
      <c r="Q186" t="inlineStr">
        <is>
          <t>Unisex, Nylon, Lightweight, Waterproof, Minimalist</t>
        </is>
      </c>
      <c r="R186" t="inlineStr">
        <is>
          <t>recvhju1Crw2xX</t>
        </is>
      </c>
      <c r="S186" t="inlineStr">
        <is>
          <t>lululemon-khaki-unisex-waterproof-nylon-crossbody-recvhju1crw2xx</t>
        </is>
      </c>
      <c r="T186"/>
      <c r="U186"/>
      <c r="V186"/>
      <c r="W186" t="inlineStr">
        <is>
          <t>{"id":"chatcmpl-Da9ph0XnGFsyXpKYv0rKzoPe0ewem","object":"chat.completion","created":1777509977,"model":"gpt-5-chat-2025-10-03","choices":[{"index":0,"message":{"role":"assistant","content":"Lululemon：中性简约风卡其色多功能尼龙斜挎包，轻盈防水面料，极简缝线设计，都市休闲风格，男女皆宜，日常出行与运动完美融合。","refusal":null,"annotations":[]},"logprobs":null,"finish_reason":"stop"}],"usage":{"prompt_tokens":1301,"completion_tokens":58,"total_tokens":1359,"prompt_tokens_details":{"cached_tokens":0,"audio_tokens":0},"completion_tokens_details":{"reasoning_tokens":0,"audio_tokens":0,"accepted_prediction_tokens":0,"rejected_prediction_tokens":0}},"service_tier":"default","system_fingerprint":"fp_ad66631dec"}</t>
        </is>
      </c>
      <c r="X186" t="inlineStr">
        <is>
          <t>Lululemon：中性简约风卡其色多功能尼龙斜挎包，轻盈防水面料，极简缝线设计，都市休闲风格，男女皆宜，日常出行与运动完美融合。</t>
        </is>
      </c>
    </row>
    <row r="187" ht="25.5" customHeight="1">
      <c r="A187">
        <v>1654975475</v>
      </c>
      <c r="B187">
        <v>7623817515</v>
      </c>
      <c r="C187" s="2" t="str">
        <f>=HYPERLINK("https://weidian.com/item.html?itemID=7623817515", "https://weidian.com/item.html?itemID=7623817515")</f>
        <v>https://weidian.com/item.html?itemID=7623817515</v>
      </c>
      <c r="D187"/>
      <c r="E187" s="2" t="str">
        <f>=HYPERLINK("https://si.geilicdn.com/pcitem2014204438-61910000019ae484955d0a2396f4_886_1920.jpg?w=640&amp;h=640", "https://si.geilicdn.com/pcitem2014204438-61910000019ae484955d0a2396f4_886_1920.jpg?w=640&amp;h=640")</f>
        <v>https://si.geilicdn.com/pcitem2014204438-61910000019ae484955d0a2396f4_886_1920.jpg?w=640&amp;h=640</v>
      </c>
      <c r="F187" t="inlineStr">
        <is>
          <t>Accessories</t>
        </is>
      </c>
      <c r="G187" t="inlineStr">
        <is>
          <t>lululemon</t>
        </is>
      </c>
      <c r="H187">
        <v>340</v>
      </c>
      <c r="I187">
        <v>49.2898550724637</v>
      </c>
      <c r="J187" t="inlineStr">
        <is>
          <t>{"id":"chatcmpl-DaAIoGlHkJIBRfjbGnmShKU5SlEXn","object":"chat.completion","created":1777511782,"model":"gpt-5-chat-2025-10-03","choices":[{"index":0,"message":{"role":"assistant","content":"Lululemon On My Level Beige Gym Duffel Bag","refusal":null,"annotations":[]},"logprobs":null,"finish_reason":"stop"}],"usage":{"prompt_tokens":1160,"completion_tokens":13,"total_tokens":1173,"prompt_tokens_details":{"cached_tokens":1152,"audio_tokens":0},"completion_tokens_details":{"reasoning_tokens":0,"audio_tokens":0,"accepted_prediction_tokens":0,"rejected_prediction_tokens":0}},"service_tier":"default","system_fingerprint":"fp_ad66631dec"}</t>
        </is>
      </c>
      <c r="K187" t="inlineStr">
        <is>
          <t>Lululemon On My Level Beige Gym Duffel Bag</t>
        </is>
      </c>
      <c r="L187" t="inlineStr">
        <is>
          <t>{"id":"chatcmpl-DaACoJTmp2DU5tPd8qQOYCdZESIKs","object":"chat.completion","created":1777511410,"model":"gpt-5-chat-2025-10-03","choices":[{"index":0,"message":{"role":"assistant","content":"Lululemon On My Level Beige Duffel Bag for Women, made of lightweight waterproof nylon, features minimalist design, spacious main compartment, multi pockets, ideal for gym and travel essentials.","refusal":null,"annotations":[]},"logprobs":null,"finish_reason":"stop"}],"usage":{"prompt_tokens":1180,"completion_tokens":39,"total_tokens":1219,"prompt_tokens_details":{"cached_tokens":0,"audio_tokens":0},"completion_tokens_details":{"reasoning_tokens":0,"audio_tokens":0,"accepted_prediction_tokens":0,"rejected_prediction_tokens":0}},"service_tier":"default","system_fingerprint":"fp_ad66631dec"}</t>
        </is>
      </c>
      <c r="M187" t="inlineStr">
        <is>
          <t>{"alt-svc":"h3=\":443\"; ma=2592000","apim-request-id":"3d5f9138-fcc8-4025-9d91-3e08cfcf9a5d","azureml-model-session":"d20260402084046-4209e968","cache-control":"no-cache","connection":"close","content-length":"1004","content-type":"application/json","date":"Thu, 30 Apr 2026 01:10:13 GMT","server":"nginx","skip-error-remapping":"true","strict-transport-security":"max-age=31536000; includeSubDomains; preload","via":"1.1 Caddy","x-content-type-options":"nosniff","x-ms-client-request-id":"Not-Set","x-ms-is-spilled-over":"false","x-ms-rai-invoked":"false","x-ms-region":"Sweden Central","x-new-api-version":"0.4.35","x-oneapi-request-id":"202604300110089657902008268d9d6Z6f4faYq","x-ratelimit-abusepenalty-active":"False","x-ratelimit-key":"gpt-5-chat-global","x-ratelimit-limit-requests":"1000","x-ratelimit-limit-tokens":"1000000","x-ratelimit-remaining-requests":"999","x-ratelimit-remaining-tokens":"998057","x-ratelimit-renewalperiod-requests":"60","x-ratelimit-renewalperiod-tokens":"60","x-ratelimit-reset-requests":"60","x-ratelimit-reset-tokens":"116","x-request-id":"c5169d0e-58d3-427d-a4c4-b5c79f63607e"}</t>
        </is>
      </c>
      <c r="N187" t="inlineStr">
        <is>
          <t>Lululemon On My Level Beige Duffel Bag for Women, made of lightweight waterproof nylon, features minimalist design, spacious main compartment, multi pockets, ideal for gym and travel essentials.</t>
        </is>
      </c>
      <c r="O187" t="inlineStr">
        <is>
          <t>{"id":"chatcmpl-DaAUL95iwfeSXyEPSX1wjHNAR2Jy2","object":"chat.completion","created":1777512497,"model":"gpt-5-chat-2025-10-03","choices":[{"index":0,"message":{"role":"assistant","content":"lululemon, bag, kakobuy, kakebuy2026, kekobuysheet, kakobuysheet2026, 2026kakobuy, kakobuyspreadsheeet, kakobuylink, kakebuylist, Kakobuy MEGA Spreadsheet, kakobuysheetfind, kakobuysheetfind2026, 2026kakobuysheetfind, kakobuysheet2026","refusal":null,"annotations":[]},"logprobs":null,"finish_reason":"stop"}],"usage":{"prompt_tokens":1063,"completion_tokens":92,"total_tokens":1155,"prompt_tokens_details":{"cached_tokens":1024,"audio_tokens":0},"completion_tokens_details":{"reasoning_tokens":0,"audio_tokens":0,"accepted_prediction_tokens":0,"rejected_prediction_tokens":0}},"service_tier":"default","system_fingerprint":"fp_ad66631dec"}</t>
        </is>
      </c>
      <c r="P187" t="inlineStr">
        <is>
          <t>lululemon, bag, kakobuy, kakebuy2026, kekobuysheet, kakobuysheet2026, 2026kakobuy, kakobuyspreadsheeet, kakobuylink, kakebuylist, Kakobuy MEGA Spreadsheet, kakobuysheetfind, kakobuysheetfind2026, 2026kakobuysheetfind, kakobuysheet2026</t>
        </is>
      </c>
      <c r="Q187"/>
      <c r="R187" t="inlineStr">
        <is>
          <t>recvhju1CruWmY</t>
        </is>
      </c>
      <c r="S187" t="inlineStr">
        <is>
          <t>lululemon-on-my-level-beige-gym-duffel-bag-recvhju1cruwmy</t>
        </is>
      </c>
      <c r="T187"/>
      <c r="U187"/>
      <c r="V187"/>
      <c r="W187" t="inlineStr">
        <is>
          <t>{"id":"chatcmpl-Da9mzaFBK8bS0aBvHl1W6DrQPwb7j","object":"chat.completion","created":1777509809,"model":"gpt-5-chat-2025-10-03","choices":[{"index":0,"message":{"role":"assistant","content":"Lululemon：On My Level米色女士筒型旅行包，轻质防水尼龙材质，极简设计融合运动与质感美学，大容量主仓与多口袋布局，便捷收纳日常与健身物品，现代都市女性出行首选。","refusal":null,"annotations":[]},"logprobs":null,"finish_reason":"stop"}],"usage":{"prompt_tokens":1579,"completion_tokens":67,"total_tokens":1646,"prompt_tokens_details":{"cached_tokens":0,"audio_tokens":0},"completion_tokens_details":{"reasoning_tokens":0,"audio_tokens":0,"accepted_prediction_tokens":0,"rejected_prediction_tokens":0}},"service_tier":"default","system_fingerprint":"fp_ad66631dec"}</t>
        </is>
      </c>
      <c r="X187" t="inlineStr">
        <is>
          <t>Lululemon：On My Level米色女士筒型旅行包，轻质防水尼龙材质，极简设计融合运动与质感美学，大容量主仓与多口袋布局，便捷收纳日常与健身物品，现代都市女性出行首选。</t>
        </is>
      </c>
    </row>
    <row r="188" ht="25.5" customHeight="1">
      <c r="A188">
        <v>1654975475</v>
      </c>
      <c r="B188">
        <v>7626813128</v>
      </c>
      <c r="C188" s="2" t="str">
        <f>=HYPERLINK("https://weidian.com/item.html?itemID=7626813128", "https://weidian.com/item.html?itemID=7626813128")</f>
        <v>https://weidian.com/item.html?itemID=7626813128</v>
      </c>
      <c r="D188"/>
      <c r="E188" s="2" t="str">
        <f>=HYPERLINK("https://si.geilicdn.com/pcitem2014204438-3b180000019ae4814d950a210139_1080_1440.jpg?w=640&amp;h=640", "https://si.geilicdn.com/pcitem2014204438-3b180000019ae4814d950a210139_1080_1440.jpg?w=640&amp;h=640")</f>
        <v>https://si.geilicdn.com/pcitem2014204438-3b180000019ae4814d950a210139_1080_1440.jpg?w=640&amp;h=640</v>
      </c>
      <c r="F188" t="inlineStr">
        <is>
          <t>Accessories</t>
        </is>
      </c>
      <c r="G188" t="inlineStr">
        <is>
          <t xml:space="preserve"> Lee</t>
        </is>
      </c>
      <c r="H188">
        <v>300</v>
      </c>
      <c r="I188">
        <v>43.48</v>
      </c>
      <c r="J188" t="inlineStr">
        <is>
          <t>{"id":"chatcmpl-DaAGN5EZnV0BHstiXkpoGjCpUbTay","object":"chat.completion","created":1777511631,"model":"gpt-5-chat-2025-10-03","choices":[{"index":0,"message":{"role":"assistant","content":"LeeLee Classic PU Leather Black Travel Duffel Bag","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fd471178c5"}</t>
        </is>
      </c>
      <c r="K188" t="inlineStr">
        <is>
          <t>LeeLee Classic PU Leather Black Travel Duffel Bag</t>
        </is>
      </c>
      <c r="L188" t="inlineStr">
        <is>
          <t>{"id":"chatcmpl-DaA7kOX6kqQrZUhUDIETmHdK81H0w","object":"chat.completion","created":1777511096,"model":"gpt-5-chat-2025-10-03","choices":[{"index":0,"message":{"role":"assistant","content":"LeeLee Classic Black Travel Duffel Bag made of premium PU leather, scratch-resistant and durable. Cylindrical design with reinforced handles, spacious main compartment for gym or short trips, for men and women.","refusal":null,"annotations":[]},"logprobs":null,"finish_reason":"stop"}],"usage":{"prompt_tokens":921,"completion_tokens":42,"total_tokens":963,"prompt_tokens_details":{"cached_tokens":0,"audio_tokens":0},"completion_tokens_details":{"reasoning_tokens":0,"audio_tokens":0,"accepted_prediction_tokens":0,"rejected_prediction_tokens":0}},"service_tier":"default","system_fingerprint":"fp_ad66631dec"}</t>
        </is>
      </c>
      <c r="M188" t="inlineStr">
        <is>
          <t>{"alt-svc":"h3=\":443\"; ma=2592000","apim-request-id":"f50a5335-5bf6-40d5-aed0-092819edcdb6","azureml-model-session":"d20260402083108-57a85543","cache-control":"no-cache","connection":"close","content-length":"1018","content-type":"application/json","date":"Thu, 30 Apr 2026 01:04:58 GMT","server":"Caddy","skip-error-remapping":"true","strict-transport-security":"max-age=31536000; includeSubDomains; preload","x-content-type-options":"nosniff","x-ms-client-request-id":"Not-Set","x-ms-is-spilled-over":"false","x-ms-rai-invoked":"false","x-ms-region":"West US","x-new-api-version":"0.4.35","x-oneapi-request-id":"202604300104557761209578268d9d6mh6p8oPM","x-ratelimit-abusepenalty-active":"False","x-ratelimit-key":"gpt-5-chat-global","x-ratelimit-limit-requests":"1000","x-ratelimit-limit-tokens":"1000000","x-ratelimit-remaining-requests":"999","x-ratelimit-remaining-tokens":"998317","x-ratelimit-renewalperiod-requests":"60","x-ratelimit-renewalperiod-tokens":"60","x-ratelimit-reset-requests":"60","x-ratelimit-reset-tokens":"100","x-request-id":"ad85f357-d93a-4d40-b27f-3ba4cdaadf38"}</t>
        </is>
      </c>
      <c r="N188" t="inlineStr">
        <is>
          <t>LeeLee Classic Black Travel Duffel Bag made of premium PU leather, scratch-resistant and durable. Cylindrical design with reinforced handles, spacious main compartment for gym or short trips, for men and women.</t>
        </is>
      </c>
      <c r="O188" t="inlineStr">
        <is>
          <t>{"id":"chatcmpl-DaAPdoxw6W1FEUx5sxOwZ4IZORuam","object":"chat.completion","created":1777512205,"model":"gpt-5-chat-2025-10-03","choices":[{"index":0,"message":{"role":"assistant","content":"Lee,bag,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88" t="inlineStr">
        <is>
          <t>Lee,bag,kakobuy,kakebuy2026,kekobuysheet,kakobuysheet2026,2026kakobuy,kakobuyspreadsheeet,kakobuylink,kakebuylist,Kakobuy MEGA Spreadsheet,kakobuysheetfind,kakobuysheetfind2026,2026kakobuysheetfind,kakobuysheet2026</t>
        </is>
      </c>
      <c r="Q188"/>
      <c r="R188" t="inlineStr">
        <is>
          <t>recvhju1CrWJFq</t>
        </is>
      </c>
      <c r="S188" t="inlineStr">
        <is>
          <t>leelee-classic-pu-leather-black-travel-duffel-bag-recvhju1crwjfq</t>
        </is>
      </c>
      <c r="T188"/>
      <c r="U188"/>
      <c r="V188"/>
      <c r="W188" t="inlineStr">
        <is>
          <t>{"id":"chatcmpl-Da9pnEFsDLyVhDZVietwJhS1kr64R","object":"chat.completion","created":1777509983,"model":"gpt-5-chat-2025-10-03","choices":[{"index":0,"message":{"role":"assistant","content":"Lee：经典黑色旅行手提包，甄选优质PU皮革，触感细腻防刮耐磨。简约圆筒设计搭配加固提手，彰显都市休闲风格，男女皆宜。大容量主仓实用便捷，适合短途出行与健身使用，尽显时尚与功能兼备的现代设计美学。","refusal":null,"annotations":[]},"logprobs":null,"finish_reason":"stop"}],"usage":{"prompt_tokens":1295,"completion_tokens":90,"total_tokens":1385,"prompt_tokens_details":{"cached_tokens":0,"audio_tokens":0},"completion_tokens_details":{"reasoning_tokens":0,"audio_tokens":0,"accepted_prediction_tokens":0,"rejected_prediction_tokens":0}},"service_tier":"default","system_fingerprint":"fp_ad66631dec"}</t>
        </is>
      </c>
      <c r="X188" t="inlineStr">
        <is>
          <t>Lee：经典黑色旅行手提包，甄选优质PU皮革，触感细腻防刮耐磨。简约圆筒设计搭配加固提手，彰显都市休闲风格，男女皆宜。大容量主仓实用便捷，适合短途出行与健身使用，尽显时尚与功能兼备的现代设计美学。</t>
        </is>
      </c>
    </row>
    <row r="189" ht="25.5" customHeight="1">
      <c r="A189">
        <v>1654975475</v>
      </c>
      <c r="B189">
        <v>7626860816</v>
      </c>
      <c r="C189" s="2" t="str">
        <f>=HYPERLINK("https://weidian.com/item.html?itemID=7626860816", "https://weidian.com/item.html?itemID=7626860816")</f>
        <v>https://weidian.com/item.html?itemID=7626860816</v>
      </c>
      <c r="D189"/>
      <c r="E189" s="2" t="str">
        <f>=HYPERLINK("https://si.geilicdn.com/pcitem2014204438-71500000019ae480babf0a23111a_1440_1920.jpg?w=640&amp;h=640", "https://si.geilicdn.com/pcitem2014204438-71500000019ae480babf0a23111a_1440_1920.jpg?w=640&amp;h=640")</f>
        <v>https://si.geilicdn.com/pcitem2014204438-71500000019ae480babf0a23111a_1440_1920.jpg?w=640&amp;h=640</v>
      </c>
      <c r="F189" t="inlineStr">
        <is>
          <t>Accessories</t>
        </is>
      </c>
      <c r="G189" t="inlineStr">
        <is>
          <t>Topologie</t>
        </is>
      </c>
      <c r="H189">
        <v>250</v>
      </c>
      <c r="I189">
        <v>36.23</v>
      </c>
      <c r="J189" t="inlineStr">
        <is>
          <t>{"id":"chatcmpl-DaAHbMR0LPsnSRnHW7Z95reynIZ7e","object":"chat.completion","created":1777511707,"model":"gpt-5-chat-2025-10-03","choices":[{"index":0,"message":{"role":"assistant","content":"Topologie Black Waterproof Nylon Crossbody Bag","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fd471178c5"}</t>
        </is>
      </c>
      <c r="K189" t="inlineStr">
        <is>
          <t>Topologie Black Waterproof Nylon Crossbody Bag</t>
        </is>
      </c>
      <c r="L189" t="inlineStr">
        <is>
          <t>{"id":"chatcmpl-DaA9ZjYeapSUtpfM8ctb6l1ETzhRb","object":"chat.completion","created":1777511209,"model":"gpt-5-chat-2025-10-03","choices":[{"index":0,"message":{"role":"assistant","content":"Topologie Black Nylon Crossbody Bag – minimalist waterproof design with light durable fabric, ideal for urban commuting or travel, unisex style merging function and modern simplicity.","refusal":null,"annotations":[]},"logprobs":null,"finish_reason":"stop"}],"usage":{"prompt_tokens":893,"completion_tokens":33,"total_tokens":926,"prompt_tokens_details":{"cached_tokens":0,"audio_tokens":0},"completion_tokens_details":{"reasoning_tokens":0,"audio_tokens":0,"accepted_prediction_tokens":0,"rejected_prediction_tokens":0}},"service_tier":"default","system_fingerprint":"fp_fd471178c5"}</t>
        </is>
      </c>
      <c r="M189" t="inlineStr">
        <is>
          <t>{"alt-svc":"h3=\":443\"; ma=2592000","apim-request-id":"04a0216e-fc0b-4223-8873-5014c4220fe8","azureml-model-session":"d20260428205641-55ca9797","cache-control":"no-cache","connection":"close","content-length":"993","content-type":"application/json","date":"Thu, 30 Apr 2026 01:06:50 GMT","server":"Caddy","skip-error-remapping":"true","strict-transport-security":"max-age=31536000; includeSubDomains; preload","x-content-type-options":"nosniff","x-ms-client-request-id":"Not-Set","x-ms-is-spilled-over":"false","x-ms-rai-invoked":"false","x-ms-region":"Central US","x-new-api-version":"0.4.35","x-oneapi-request-id":"202604300106487083606928268d9d6bm3PLK2a","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e4ebfbfe-1916-443a-a38b-8f6083629210"}</t>
        </is>
      </c>
      <c r="N189" t="inlineStr">
        <is>
          <t>Topologie Black Nylon Crossbody Bag – minimalist waterproof design with light durable fabric, ideal for urban commuting or travel, unisex style merging function and modern simplicity.</t>
        </is>
      </c>
      <c r="O189" t="inlineStr">
        <is>
          <t>{"id":"chatcmpl-DaAPFI4vvypqhxuDZ8I0yfFhbzIQU","object":"chat.completion","created":1777512181,"model":"gpt-5-chat-2025-10-03","choices":[{"index":0,"message":{"role":"assistant","content":"Topologie,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9" t="inlineStr">
        <is>
          <t>Topologie,Bag,kakobuy,kakebuy2026,kekobuysheet,kakobuysheet2026,2026kakobuy,kakobuyspreadsheeet,kakobuylink,kakebuylist,Kakobuy MEGA Spreadsheet,kakobuysheetfind,kakobuysheetfind2026,2026kakobuysheetfind,kakobuysheet2026</t>
        </is>
      </c>
      <c r="Q189" t="inlineStr">
        <is>
          <t>Minimalist, Waterproof, Unisex, Nylon, Function, Modern</t>
        </is>
      </c>
      <c r="R189" t="inlineStr">
        <is>
          <t>recvhju1CrNecx</t>
        </is>
      </c>
      <c r="S189" t="inlineStr">
        <is>
          <t>topologie-black-waterproof-nylon-crossbody-recvhju1crnec</t>
        </is>
      </c>
      <c r="T189"/>
      <c r="U189"/>
      <c r="V189"/>
      <c r="W189" t="inlineStr">
        <is>
          <t>{"id":"chatcmpl-Da9roAnVrUE5cr6FRZaMlyFHARgj8","object":"chat.completion","created":1777510108,"model":"gpt-5-chat-2025-10-03","choices":[{"index":0,"message":{"role":"assistant","content":"Topologie 黑色尼龙休闲斜挎包，简约设计搭配品牌极简标识，防水轻盈材质适合都市通勤与户外旅行，中性款风格兼具功能与时尚，展现现代极简美学。","refusal":null,"annotations":[]},"logprobs":null,"finish_reason":"stop"}],"usage":{"prompt_tokens":1297,"completion_tokens":62,"total_tokens":1359,"prompt_tokens_details":{"cached_tokens":1280,"audio_tokens":0},"completion_tokens_details":{"reasoning_tokens":0,"audio_tokens":0,"accepted_prediction_tokens":0,"rejected_prediction_tokens":0}},"service_tier":"default","system_fingerprint":"fp_fd471178c5"}</t>
        </is>
      </c>
      <c r="X189" t="inlineStr">
        <is>
          <t>Topologie 黑色尼龙休闲斜挎包，简约设计搭配品牌极简标识，防水轻盈材质适合都市通勤与户外旅行，中性款风格兼具功能与时尚，展现现代极简美学。</t>
        </is>
      </c>
    </row>
    <row r="190" ht="25.5" customHeight="1">
      <c r="A190">
        <v>1654975475</v>
      </c>
      <c r="B190">
        <v>7623088551</v>
      </c>
      <c r="C190" s="2" t="str">
        <f>=HYPERLINK("https://weidian.com/item.html?itemID=7623088551", "https://weidian.com/item.html?itemID=7623088551")</f>
        <v>https://weidian.com/item.html?itemID=7623088551</v>
      </c>
      <c r="D190"/>
      <c r="E190" s="2" t="str">
        <f>=HYPERLINK("https://si.geilicdn.com/pcitem2014204438-47c90000019ade1529460a210256_1440_1920.jpg?w=640&amp;h=640", "https://si.geilicdn.com/pcitem2014204438-47c90000019ade1529460a210256_1440_1920.jpg?w=640&amp;h=640")</f>
        <v>https://si.geilicdn.com/pcitem2014204438-47c90000019ade1529460a210256_1440_1920.jpg?w=640&amp;h=640</v>
      </c>
      <c r="F190" t="inlineStr">
        <is>
          <t>Glasses</t>
        </is>
      </c>
      <c r="G190" t="inlineStr">
        <is>
          <t>Versace</t>
        </is>
      </c>
      <c r="H190">
        <v>340</v>
      </c>
      <c r="I190">
        <v>49.2898550724637</v>
      </c>
      <c r="J190" t="inlineStr">
        <is>
          <t>{"id":"chatcmpl-DaAFwR6i7XaaXQKtMF1QsZdq4Gdfw","object":"chat.completion","created":1777511604,"model":"gpt-5-chat-2025-10-03","choices":[{"index":0,"message":{"role":"assistant","content":"Versace Black Baroque Gold Buckle Unisex Sunglasses","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190" t="inlineStr">
        <is>
          <t>Versace Black Baroque Gold Buckle Unisex Sunglasses</t>
        </is>
      </c>
      <c r="L190" t="inlineStr">
        <is>
          <t>{"id":"chatcmpl-DaA9lLoIzTpPi24V7UM4SPxVhS1rc","object":"chat.completion","created":1777511221,"model":"gpt-5-chat-2025-10-03","choices":[{"index":0,"message":{"role":"assistant","content":"Versace Black Baroque Gold Buckle Sunglasses, crafted from lightweight acetate with retro-curved frames and iconic Medusa emblem, unisex design exudes luxury and modern urban chic.","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190" t="inlineStr">
        <is>
          <t>{"alt-svc":"h3=\":443\"; ma=2592000","apim-request-id":"e49b9c48-2ed0-4f29-8991-3a1d962c943c","azureml-model-session":"d20260402075109-1fc5a0ec","cache-control":"no-cache","connection":"close","content-length":"988","content-type":"application/json","date":"Thu, 30 Apr 2026 01:07:04 GMT","server":"nginx","skip-error-remapping":"true","strict-transport-security":"max-age=31536000; includeSubDomains; preload","via":"1.1 Caddy","x-content-type-options":"nosniff","x-ms-client-request-id":"Not-Set","x-ms-is-spilled-over":"false","x-ms-rai-invoked":"false","x-ms-region":"Sweden Central","x-new-api-version":"0.4.35","x-oneapi-request-id":"202604300107004677700128268d9d6TgMieWM9","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e7cd950d-b4a8-476b-a6d6-718864ff19da"}</t>
        </is>
      </c>
      <c r="N190" t="inlineStr">
        <is>
          <t>Versace Black Baroque Gold Buckle Sunglasses, crafted from lightweight acetate with retro-curved frames and iconic Medusa emblem, unisex design exudes luxury and modern urban chic.</t>
        </is>
      </c>
      <c r="O190" t="inlineStr">
        <is>
          <t>{"id":"chatcmpl-DaATtb77D9sgdUgyCL4c2sPEe8oAS","object":"chat.completion","created":1777512469,"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0" t="inlineStr">
        <is>
          <t>Versace,Glasses,kakobuy,kakebuy2026,kekobuysheet,kakobuysheet2026,2026kakobuy,kakobuyspreadsheeet,kakobuylink,kakebuylist,Kakobuy MEGA Spreadsheet,kakobuysheetfind,kakobuysheetfind2026,2026kakobuysheetfind,kakobuysheet2026</t>
        </is>
      </c>
      <c r="Q190" t="inlineStr">
        <is>
          <t>Black, Retro, Unisex, Acetate Fiber, Lightweight</t>
        </is>
      </c>
      <c r="R190" t="inlineStr">
        <is>
          <t>recvhju1CrA4vn</t>
        </is>
      </c>
      <c r="S190" t="inlineStr">
        <is>
          <t>versace-black-baroque-gold-buckle-sunglasses-recvhju1cra4vn</t>
        </is>
      </c>
      <c r="T190"/>
      <c r="U190"/>
      <c r="V190"/>
      <c r="W190" t="inlineStr">
        <is>
          <t>{"id":"chatcmpl-Da9uGFNcfl6NvshTqEI0mWfr59HLP","object":"chat.completion","created":1777510260,"model":"gpt-5-chat-2025-10-03","choices":[{"index":0,"message":{"role":"assistant","content":"Versace：黑色巴洛克金饰矩扣设计太阳镜，轻盈醋酸纤维材质，复古弧形镜框线条优雅流畅，金色美杜莎图腾彰显奢华格调，男女皆宜，都市摩登风格尽显时尚魅力。","refusal":null,"annotations":[]},"logprobs":null,"finish_reason":"stop"}],"usage":{"prompt_tokens":1296,"completion_tokens":73,"total_tokens":1369,"prompt_tokens_details":{"cached_tokens":0,"audio_tokens":0},"completion_tokens_details":{"reasoning_tokens":0,"audio_tokens":0,"accepted_prediction_tokens":0,"rejected_prediction_tokens":0}},"service_tier":"default","system_fingerprint":"fp_ad66631dec"}</t>
        </is>
      </c>
      <c r="X190" t="inlineStr">
        <is>
          <t>Versace：黑色巴洛克金饰矩扣设计太阳镜，轻盈醋酸纤维材质，复古弧形镜框线条优雅流畅，金色美杜莎图腾彰显奢华格调，男女皆宜，都市摩登风格尽显时尚魅力。</t>
        </is>
      </c>
    </row>
    <row r="191" ht="25.5" customHeight="1">
      <c r="A191">
        <v>1654975475</v>
      </c>
      <c r="B191">
        <v>7623796647</v>
      </c>
      <c r="C191" s="2" t="str">
        <f>=HYPERLINK("https://weidian.com/item.html?itemID=7623796647", "https://weidian.com/item.html?itemID=7623796647")</f>
        <v>https://weidian.com/item.html?itemID=7623796647</v>
      </c>
      <c r="D191"/>
      <c r="E191" s="2" t="str">
        <f>=HYPERLINK("https://si.geilicdn.com/pcitem2014204438-55ed0000019ae45c9af40a20e672_1536_2048.jpg?w=640&amp;h=640", "https://si.geilicdn.com/pcitem2014204438-55ed0000019ae45c9af40a20e672_1536_2048.jpg?w=640&amp;h=640")</f>
        <v>https://si.geilicdn.com/pcitem2014204438-55ed0000019ae45c9af40a20e672_1536_2048.jpg?w=640&amp;h=640</v>
      </c>
      <c r="F191" t="inlineStr">
        <is>
          <t>Accessories</t>
        </is>
      </c>
      <c r="G191" t="inlineStr">
        <is>
          <t>Longchamp</t>
        </is>
      </c>
      <c r="H191">
        <v>320</v>
      </c>
      <c r="I191">
        <v>46.38</v>
      </c>
      <c r="J191" t="inlineStr">
        <is>
          <t>{"id":"chatcmpl-DaAF2i3lmAUd6c7o2AzzJ6M1h5V4F","object":"chat.completion","created":1777511548,"model":"gpt-5-chat-2025-10-03","choices":[{"index":0,"message":{"role":"assistant","content":"Longchamp Le Pliage Navy Nylon Tote Bag","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fd471178c5"}</t>
        </is>
      </c>
      <c r="K191" t="inlineStr">
        <is>
          <t>Longchamp Le Pliage Navy Nylon Tote Bag</t>
        </is>
      </c>
      <c r="L191" t="inlineStr">
        <is>
          <t>{"id":"chatcmpl-DaA4qKNch302j9xMJ9X6TliKHyG9L","object":"chat.completion","created":1777510916,"model":"gpt-5-chat-2025-10-03","choices":[{"index":0,"message":{"role":"assistant","content":"Longchamp Le Pliage Navy Foldable Tote Bag – nylon body with brown leather flap and handles, lightweight, waterproof, unisex design perfect for travel or daily commute, classic French elegance.","refusal":null,"annotations":[]},"logprobs":null,"finish_reason":"stop"}],"usage":{"prompt_tokens":909,"completion_tokens":40,"total_tokens":949,"prompt_tokens_details":{"cached_tokens":0,"audio_tokens":0},"completion_tokens_details":{"reasoning_tokens":0,"audio_tokens":0,"accepted_prediction_tokens":0,"rejected_prediction_tokens":0}},"service_tier":"default","system_fingerprint":"fp_ad66631dec"}</t>
        </is>
      </c>
      <c r="M191" t="inlineStr">
        <is>
          <t>{"alt-svc":"h3=\":443\"; ma=2592000","apim-request-id":"37e5dbda-6b89-42a8-9c54-9b0567a384d3","azureml-model-session":"d20260402084046-4209e968","cache-control":"no-cache","connection":"close","content-length":"1003","content-type":"application/json","date":"Thu, 30 Apr 2026 01:01:57 GMT","server":"Caddy","skip-error-remapping":"true","strict-transport-security":"max-age=31536000; includeSubDomains; preload","x-content-type-options":"nosniff","x-ms-client-request-id":"Not-Set","x-ms-is-spilled-over":"false","x-ms-rai-invoked":"false","x-ms-region":"Sweden Central","x-new-api-version":"0.4.35","x-oneapi-request-id":"2026043001015524169888268d9d6Tsh91cuD","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b1a246ee-ff01-48b7-aa98-a1333141b285"}</t>
        </is>
      </c>
      <c r="N191" t="inlineStr">
        <is>
          <t>Longchamp Le Pliage Navy Foldable Tote Bag – nylon body with brown leather flap and handles, lightweight, waterproof, unisex design perfect for travel or daily commute, classic French elegance.</t>
        </is>
      </c>
      <c r="O191" t="inlineStr">
        <is>
          <t>{"id":"chatcmpl-DaASJe4XadzUA8ZcRs2El082JqmDK","object":"chat.completion","created":1777512371,"model":"gpt-5-chat-2025-10-03","choices":[{"index":0,"message":{"role":"assistant","content":"Longchamp,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1" t="inlineStr">
        <is>
          <t>Longchamp,Accessories,kakobuy,kakebuy2026,kekobuysheet,kakobuysheet2026,2026kakobuy,kakobuyspreadsheeet,kakobuylink,kakebuylist,Kakobuy MEGA Spreadsheet,kakobuysheetfind,kakobuysheetfind2026,2026kakobuysheetfind,kakobuysheet2026</t>
        </is>
      </c>
      <c r="Q191" t="inlineStr">
        <is>
          <t>Nylon, Foldable, Waterproof, Unisex, Classic, Lightweight</t>
        </is>
      </c>
      <c r="R191" t="inlineStr">
        <is>
          <t>recvhju1CrlHU7</t>
        </is>
      </c>
      <c r="S191" t="inlineStr">
        <is>
          <t>longchamp-le-pliage-navy-nylon-tote-recvhju1crlhu7</t>
        </is>
      </c>
      <c r="T191"/>
      <c r="U191"/>
      <c r="V191"/>
      <c r="W191" t="inlineStr">
        <is>
          <t>{"id":"chatcmpl-Da9u9pnEuevmHzOu3TwuSXlvajlwc","object":"chat.completion","created":1777510253,"model":"gpt-5-chat-2025-10-03","choices":[{"index":0,"message":{"role":"assistant","content":"Longchamp：经典Le Pliage海军蓝折叠手提包，尼龙主体搭配棕色头层皮革翻盖与手柄，简约轻盈设计彰显法式优雅。日常通勤与旅行皆宜，防水耐用，男女皆可使用，现代都市风格典范。","refusal":null,"annotations":[]},"logprobs":null,"finish_reason":"stop"}],"usage":{"prompt_tokens":1301,"completion_tokens":75,"total_tokens":1376,"prompt_tokens_details":{"cached_tokens":1280,"audio_tokens":0},"completion_tokens_details":{"reasoning_tokens":0,"audio_tokens":0,"accepted_prediction_tokens":0,"rejected_prediction_tokens":0}},"service_tier":"default","system_fingerprint":"fp_fd471178c5"}</t>
        </is>
      </c>
      <c r="X191" t="inlineStr">
        <is>
          <t>Longchamp：经典Le Pliage海军蓝折叠手提包，尼龙主体搭配棕色头层皮革翻盖与手柄，简约轻盈设计彰显法式优雅。日常通勤与旅行皆宜，防水耐用，男女皆可使用，现代都市风格典范。</t>
        </is>
      </c>
    </row>
    <row r="192" ht="25.5" customHeight="1">
      <c r="A192">
        <v>1654975475</v>
      </c>
      <c r="B192">
        <v>7626881988</v>
      </c>
      <c r="C192" s="2" t="str">
        <f>=HYPERLINK("https://weidian.com/item.html?itemID=7626881988", "https://weidian.com/item.html?itemID=7626881988")</f>
        <v>https://weidian.com/item.html?itemID=7626881988</v>
      </c>
      <c r="D192"/>
      <c r="E192" s="2" t="str">
        <f>=HYPERLINK("https://si.geilicdn.com/pcitem2014204438-30660000019ae44d57250a20e2c5_1440_1440.jpg?w=640&amp;h=640", "https://si.geilicdn.com/pcitem2014204438-30660000019ae44d57250a20e2c5_1440_1440.jpg?w=640&amp;h=640")</f>
        <v>https://si.geilicdn.com/pcitem2014204438-30660000019ae44d57250a20e2c5_1440_1440.jpg?w=640&amp;h=640</v>
      </c>
      <c r="F192" t="inlineStr">
        <is>
          <t>Accessories</t>
        </is>
      </c>
      <c r="G192" t="inlineStr">
        <is>
          <t>Hermes</t>
        </is>
      </c>
      <c r="H192">
        <v>620</v>
      </c>
      <c r="I192">
        <v>89.86</v>
      </c>
      <c r="J192" t="inlineStr">
        <is>
          <t>{"id":"chatcmpl-DaALt5tb6pfEVy3EM6UM6PbNGaUL9","object":"chat.completion","created":1777511973,"model":"gpt-5-chat-2025-10-03","choices":[{"index":0,"message":{"role":"assistant","content":"Hermes Lago Black Calfskin Men’s Crossbody Bag","refusal":null,"annotations":[]},"logprobs":null,"finish_reason":"stop"}],"usage":{"prompt_tokens":873,"completion_tokens":13,"total_tokens":886,"prompt_tokens_details":{"cached_tokens":0,"audio_tokens":0},"completion_tokens_details":{"reasoning_tokens":0,"audio_tokens":0,"accepted_prediction_tokens":0,"rejected_prediction_tokens":0}},"service_tier":"default","system_fingerprint":"fp_ad66631dec"}</t>
        </is>
      </c>
      <c r="K192" t="inlineStr">
        <is>
          <t>Hermes Lago Black Calfskin Men’s Crossbody Bag</t>
        </is>
      </c>
      <c r="L192" t="inlineStr">
        <is>
          <t>{"id":"chatcmpl-DaA9Hp6MaEMcmwmKD3ff3Ay4pqKTJ","object":"chat.completion","created":1777511191,"model":"gpt-5-chat-2025-10-03","choices":[{"index":0,"message":{"role":"assistant","content":"Hermès Lago Black Men’s Crossbody Bag crafted from fine calfskin, with sleek stitching and silver zip front pocket, blending business style and casual elegance with timeless French sophistication.","refusal":null,"annotations":[]},"logprobs":null,"finish_reason":"stop"}],"usage":{"prompt_tokens":896,"completion_tokens":36,"total_tokens":932,"prompt_tokens_details":{"cached_tokens":0,"audio_tokens":0},"completion_tokens_details":{"reasoning_tokens":0,"audio_tokens":0,"accepted_prediction_tokens":0,"rejected_prediction_tokens":0}},"service_tier":"default","system_fingerprint":"fp_ad66631dec"}</t>
        </is>
      </c>
      <c r="M192" t="inlineStr">
        <is>
          <t>{"alt-svc":"h3=\":443\"; ma=2592000","apim-request-id":"cb093164-78d8-46aa-b662-e0335081e056","azureml-model-session":"d20260402074105-51db401e","cache-control":"no-cache","connection":"close","content-length":"1007","content-type":"application/json","date":"Thu, 30 Apr 2026 01:06:32 GMT","server":"nginx","skip-error-remapping":"true","strict-transport-security":"max-age=31536000; includeSubDomains; preload","via":"1.1 Caddy","x-content-type-options":"nosniff","x-ms-client-request-id":"Not-Set","x-ms-is-spilled-over":"false","x-ms-rai-invoked":"false","x-ms-region":"South Central US","x-new-api-version":"0.4.35","x-oneapi-request-id":"202604300106308861466358268d9d6bO857tmp","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ba408772-75ac-46df-8da6-439bfc505762"}</t>
        </is>
      </c>
      <c r="N192" t="inlineStr">
        <is>
          <t>Hermès Lago Black Men’s Crossbody Bag crafted from fine calfskin, with sleek stitching and silver zip front pocket, blending business style and casual elegance with timeless French sophistication.</t>
        </is>
      </c>
      <c r="O192" t="inlineStr">
        <is>
          <t>{"id":"chatcmpl-DaAUxE7GSIh5Ke44nTR4IPNWBvGAS","object":"chat.completion","created":1777512535,"model":"gpt-5-chat-2025-10-03","choices":[{"index":0,"message":{"role":"assistant","content":"Hermes,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fd471178c5"}</t>
        </is>
      </c>
      <c r="P192" t="inlineStr">
        <is>
          <t>Hermes,bag,kakobuy,kakebuy2026,kekobuysheet,kakobuysheet2026,2026kakobuy,kakobuyspreadsheeet,kakobuylink,kakebuylist,Kakobuy MEGA Spreadsheet,kakobuysheetfind,kakobuysheetfind2026,2026kakobuysheetfind,kakobuysheet2026</t>
        </is>
      </c>
      <c r="Q192"/>
      <c r="R192" t="inlineStr">
        <is>
          <t>recvhju1CrJAoG</t>
        </is>
      </c>
      <c r="S192" t="inlineStr">
        <is>
          <t>hermes-lago-black-calfskin-crossbody-recvhju1crjaog</t>
        </is>
      </c>
      <c r="T192"/>
      <c r="U192"/>
      <c r="V192"/>
      <c r="W192" t="inlineStr">
        <is>
          <t>{"id":"chatcmpl-Da9tqa8rJ7mG5kMwko4QwWuoHbluw","object":"chat.completion","created":1777510234,"model":"gpt-5-chat-2025-10-03","choices":[{"index":0,"message":{"role":"assistant","content":"Hermès：黑色Lago系列男士斜挎包，精选细腻小牛皮材质，简约直线缝制设计，配银色拉链前袋，兼具商务与休闲气质，彰显法式优雅格调。","refusal":null,"annotations":[]},"logprobs":null,"finish_reason":"stop"}],"usage":{"prompt_tokens":1301,"completion_tokens":62,"total_tokens":1363,"prompt_tokens_details":{"cached_tokens":0,"audio_tokens":0},"completion_tokens_details":{"reasoning_tokens":0,"audio_tokens":0,"accepted_prediction_tokens":0,"rejected_prediction_tokens":0}},"service_tier":"default","system_fingerprint":"fp_fd471178c5"}</t>
        </is>
      </c>
      <c r="X192" t="inlineStr">
        <is>
          <t>Hermès：黑色Lago系列男士斜挎包，精选细腻小牛皮材质，简约直线缝制设计，配银色拉链前袋，兼具商务与休闲气质，彰显法式优雅格调。</t>
        </is>
      </c>
    </row>
    <row r="193" ht="25.5" customHeight="1">
      <c r="A193">
        <v>1654975475</v>
      </c>
      <c r="B193">
        <v>7626277814</v>
      </c>
      <c r="C193" s="2" t="str">
        <f>=HYPERLINK("https://weidian.com/item.html?itemID=7626277814", "https://weidian.com/item.html?itemID=7626277814")</f>
        <v>https://weidian.com/item.html?itemID=7626277814</v>
      </c>
      <c r="D193"/>
      <c r="E193" s="2" t="str">
        <f>=HYPERLINK("https://si.geilicdn.com/pcitem2014204438-22950000019adf6c79830a239646_1442_1922.jpg?w=640&amp;h=640", "https://si.geilicdn.com/pcitem2014204438-22950000019adf6c79830a239646_1442_1922.jpg?w=640&amp;h=640")</f>
        <v>https://si.geilicdn.com/pcitem2014204438-22950000019adf6c79830a239646_1442_1922.jpg?w=640&amp;h=640</v>
      </c>
      <c r="F193" t="inlineStr">
        <is>
          <t>Hats</t>
        </is>
      </c>
      <c r="G193" t="inlineStr">
        <is>
          <t>Prada</t>
        </is>
      </c>
      <c r="H193">
        <v>230</v>
      </c>
      <c r="I193">
        <v>33.33</v>
      </c>
      <c r="J193" t="inlineStr">
        <is>
          <t>{"id":"chatcmpl-DaAKICG0rScHCwl94QKs8uIIKYSwi","object":"chat.completion","created":1777511874,"model":"gpt-5-chat-2025-10-03","choices":[{"index":0,"message":{"role":"assistant","content":"Prada Denim Blue Bucket Hat Unisex Retro Streetwear","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93" t="inlineStr">
        <is>
          <t>Prada Denim Blue Bucket Hat Unisex Retro Streetwear</t>
        </is>
      </c>
      <c r="L193" t="inlineStr">
        <is>
          <t>{"id":"chatcmpl-DaACCX17CTX9ijH2izMxkwXzgJ3hz","object":"chat.completion","created":1777511372,"model":"gpt-5-chat-2025-10-03","choices":[{"index":0,"message":{"role":"assistant","content":"Prada Denim Blue Bucket Hat, crafted from premium washed denim with the iconic triangular metal logo. Unisex retro design for effortless Italian style, ideal for casual outings and streetwear.","refusal":null,"annotations":[]},"logprobs":null,"finish_reason":"stop"}],"usage":{"prompt_tokens":908,"completion_tokens":37,"total_tokens":945,"prompt_tokens_details":{"cached_tokens":0,"audio_tokens":0},"completion_tokens_details":{"reasoning_tokens":0,"audio_tokens":0,"accepted_prediction_tokens":0,"rejected_prediction_tokens":0}},"service_tier":"default","system_fingerprint":"fp_ad66631dec"}</t>
        </is>
      </c>
      <c r="M193" t="inlineStr">
        <is>
          <t>{"alt-svc":"h3=\":443\"; ma=2592000","apim-request-id":"0c298415-8c1d-4ffd-b312-9acea139464e","azureml-model-session":"d20260402075109-1fc5a0ec","cache-control":"no-cache","connection":"close","content-length":"1000","content-type":"application/json","date":"Thu, 30 Apr 2026 01:09:33 GMT","server":"Caddy","skip-error-remapping":"true","strict-transport-security":"max-age=31536000; includeSubDomains; preload","x-content-type-options":"nosniff","x-ms-client-request-id":"Not-Set","x-ms-is-spilled-over":"false","x-ms-rai-invoked":"false","x-ms-region":"South Central US","x-new-api-version":"0.4.35","x-oneapi-request-id":"202604300109309474822098268d9d65rLyxmp3","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e3edd514-47fe-47ce-8c03-e2096e07c15d"}</t>
        </is>
      </c>
      <c r="N193" t="inlineStr">
        <is>
          <t>Prada Denim Blue Bucket Hat, crafted from premium washed denim with the iconic triangular metal logo. Unisex retro design for effortless Italian style, ideal for casual outings and streetwear.</t>
        </is>
      </c>
      <c r="O193" t="inlineStr">
        <is>
          <t>{"id":"chatcmpl-DaAUFQUNZXlcz1kpQS9DQgGPzmdlb","object":"chat.completion","created":1777512491,"model":"gpt-5-chat-2025-10-03","choices":[{"index":0,"message":{"role":"assistant","content":"Prada,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193" t="inlineStr">
        <is>
          <t>Prada,Hat,kakobuy,kakebuy2026,kekobuysheet,kakobuysheet2026,2026kakobuy,kakobuyspreadsheeet,kakobuylink,kakebuylist,Kakobuy MEGA Spreadsheet,kakobuysheetfind,kakobuysheetfind2026,2026kakobuysheetfind,kakobuysheet2026</t>
        </is>
      </c>
      <c r="Q193" t="inlineStr">
        <is>
          <t>Denim, Blue, Retro, Streetwear, Unisex</t>
        </is>
      </c>
      <c r="R193" t="inlineStr">
        <is>
          <t>recvhju1CrUVdO</t>
        </is>
      </c>
      <c r="S193" t="inlineStr">
        <is>
          <t>prada-denim-blue-bucket-hat-recvhju1cruvdo</t>
        </is>
      </c>
      <c r="T193"/>
      <c r="U193"/>
      <c r="V193"/>
      <c r="W193" t="inlineStr">
        <is>
          <t>{"id":"chatcmpl-Da9uYIafP7lUNGoirYS9zgr3NNEwQ","object":"chat.completion","created":1777510278,"model":"gpt-5-chat-2025-10-03","choices":[{"index":0,"message":{"role":"assistant","content":"Prada：牛仔蓝休闲系列渔夫帽，甄选高级水洗丹宁材质，搭配品牌经典三角金属徽标，复古中性风格设计，男女皆宜，展现现代意式时尚与轻奢格调，适合休闲出行与街头穿搭。","refusal":null,"annotations":[]},"logprobs":null,"finish_reason":"stop"}],"usage":{"prompt_tokens":1298,"completion_tokens":75,"total_tokens":1373,"prompt_tokens_details":{"cached_tokens":0,"audio_tokens":0},"completion_tokens_details":{"reasoning_tokens":0,"audio_tokens":0,"accepted_prediction_tokens":0,"rejected_prediction_tokens":0}},"service_tier":"default","system_fingerprint":"fp_fd471178c5"}</t>
        </is>
      </c>
      <c r="X193" t="inlineStr">
        <is>
          <t>Prada：牛仔蓝休闲系列渔夫帽，甄选高级水洗丹宁材质，搭配品牌经典三角金属徽标，复古中性风格设计，男女皆宜，展现现代意式时尚与轻奢格调，适合休闲出行与街头穿搭。</t>
        </is>
      </c>
    </row>
    <row r="194" ht="25.5" customHeight="1">
      <c r="A194">
        <v>1654975475</v>
      </c>
      <c r="B194">
        <v>7623193571</v>
      </c>
      <c r="C194" s="2" t="str">
        <f>=HYPERLINK("https://weidian.com/item.html?itemID=7623193571", "https://weidian.com/item.html?itemID=7623193571")</f>
        <v>https://weidian.com/item.html?itemID=7623193571</v>
      </c>
      <c r="D194"/>
      <c r="E194" s="2" t="str">
        <f>=HYPERLINK("https://si.geilicdn.com/pcitem2014204438-317e0000019adf64819f0a23037f_1074_1074.jpg?w=640&amp;h=640", "https://si.geilicdn.com/pcitem2014204438-317e0000019adf64819f0a23037f_1074_1074.jpg?w=640&amp;h=640")</f>
        <v>https://si.geilicdn.com/pcitem2014204438-317e0000019adf64819f0a23037f_1074_1074.jpg?w=640&amp;h=640</v>
      </c>
      <c r="F194" t="inlineStr">
        <is>
          <t>Glasses</t>
        </is>
      </c>
      <c r="G194" t="inlineStr">
        <is>
          <t>Loewe</t>
        </is>
      </c>
      <c r="H194">
        <v>360</v>
      </c>
      <c r="I194">
        <v>52.17</v>
      </c>
      <c r="J194" t="inlineStr">
        <is>
          <t>{"id":"chatcmpl-DaAHJ89BwU1K3lbLpdoV8R7Oyt7gk","object":"chat.completion","created":1777511689,"model":"gpt-5-chat-2025-10-03","choices":[{"index":0,"message":{"role":"assistant","content":"Loewe Lemon Yellow Leather Sunglasses Case Unisex Luxury","refusal":null,"annotations":[]},"logprobs":null,"finish_reason":"stop"}],"usage":{"prompt_tokens":873,"completion_tokens":13,"total_tokens":886,"prompt_tokens_details":{"cached_tokens":0,"audio_tokens":0},"completion_tokens_details":{"reasoning_tokens":0,"audio_tokens":0,"accepted_prediction_tokens":0,"rejected_prediction_tokens":0}},"service_tier":"default","system_fingerprint":"fp_ad66631dec"}</t>
        </is>
      </c>
      <c r="K194" t="inlineStr">
        <is>
          <t>Loewe Lemon Yellow Leather Sunglasses Case Unisex Luxury</t>
        </is>
      </c>
      <c r="L194" t="inlineStr">
        <is>
          <t>{"id":"chatcmpl-DaACdU4HNHzA4o0ch2VA7DCWQ9ASK","object":"chat.completion","created":1777511399,"model":"gpt-5-chat-2025-10-03","choices":[{"index":0,"message":{"role":"assistant","content":"Loewe Lemon Yellow Grained Leather Sunglasses Case – sleek envelope design, soft durable texture, modern luxury style, unisex, perfect for city outings and travel.","refusal":null,"annotations":[]},"logprobs":null,"finish_reason":"stop"}],"usage":{"prompt_tokens":896,"completion_tokens":35,"total_tokens":931,"prompt_tokens_details":{"cached_tokens":0,"audio_tokens":0},"completion_tokens_details":{"reasoning_tokens":0,"audio_tokens":0,"accepted_prediction_tokens":0,"rejected_prediction_tokens":0}},"service_tier":"default","system_fingerprint":"fp_fd471178c5"}</t>
        </is>
      </c>
      <c r="M194" t="inlineStr">
        <is>
          <t>{"alt-svc":"h3=\":443\"; ma=2592000","apim-request-id":"3b8a24f6-e5da-40ee-af97-e44cd5713d68","azureml-model-session":"d20260428174121-807d9cc5","cache-control":"no-cache","connection":"close","content-length":"973","content-type":"application/json","date":"Thu, 30 Apr 2026 01:10:00 GMT","server":"nginx","skip-error-remapping":"true","strict-transport-security":"max-age=31536000; includeSubDomains; preload","via":"1.1 Caddy","x-content-type-options":"nosniff","x-ms-client-request-id":"Not-Set","x-ms-is-spilled-over":"false","x-ms-rai-invoked":"false","x-ms-region":"North Central US","x-new-api-version":"0.4.35","x-oneapi-request-id":"202604300109573658125738268d9d6CEZcORLd","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0cfe2856-dd3a-4f70-9b6c-f8f9a02ba052"}</t>
        </is>
      </c>
      <c r="N194" t="inlineStr">
        <is>
          <t>Loewe Lemon Yellow Grained Leather Sunglasses Case – sleek envelope design, soft durable texture, modern luxury style, unisex, perfect for city outings and travel.</t>
        </is>
      </c>
      <c r="O194" t="inlineStr">
        <is>
          <t>{"id":"chatcmpl-DaAWpNeD40icc7lxtiztZzfuIYy6H","object":"chat.completion","created":1777512651,"model":"gpt-5-chat-2025-10-03","choices":[{"index":0,"message":{"role":"assistant","content":"Loewe,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194" t="inlineStr">
        <is>
          <t>Loewe,Glasses,kakobuy,kakebuy2026,kekobuysheet,kakobuysheet2026,2026kakobuy,kakobuyspreadsheeet,kakobuylink,kakebuylist,Kakobuy MEGA Spreadsheet,kakobuysheetfind,kakobuysheetfind2026,2026kakobuysheetfind,kakobuysheet2026</t>
        </is>
      </c>
      <c r="Q194" t="inlineStr">
        <is>
          <t>Lemon, Leather, Modern, Unisex</t>
        </is>
      </c>
      <c r="R194" t="inlineStr">
        <is>
          <t>recvhju1CrnBKu</t>
        </is>
      </c>
      <c r="S194" t="inlineStr">
        <is>
          <t>loewe-lemon-yellow-leather-sunglasses-case-recvhju1crnbku</t>
        </is>
      </c>
      <c r="T194"/>
      <c r="U194"/>
      <c r="V194"/>
      <c r="W194" t="inlineStr">
        <is>
          <t>{"id":"chatcmpl-Da9uFlKAe1rpfj1AMdpLr2AisfYgu","object":"chat.completion","created":1777510259,"model":"gpt-5-chat-2025-10-03","choices":[{"index":0,"message":{"role":"assistant","content":"Loewe：黄柠檬色粒面皮革太阳镜收纳包，采用简约信封式设计，质感柔韧耐用，彰显现代奢华格调，男女皆宜，适合都市随行与旅行配搭。","refusal":null,"annotations":[]},"logprobs":null,"finish_reason":"stop"}],"usage":{"prompt_tokens":1304,"completion_tokens":60,"total_tokens":1364,"prompt_tokens_details":{"cached_tokens":0,"audio_tokens":0},"completion_tokens_details":{"reasoning_tokens":0,"audio_tokens":0,"accepted_prediction_tokens":0,"rejected_prediction_tokens":0}},"service_tier":"default","system_fingerprint":"fp_fd471178c5"}</t>
        </is>
      </c>
      <c r="X194" t="inlineStr">
        <is>
          <t>Loewe：黄柠檬色粒面皮革太阳镜收纳包，采用简约信封式设计，质感柔韧耐用，彰显现代奢华格调，男女皆宜，适合都市随行与旅行配搭。</t>
        </is>
      </c>
    </row>
    <row r="195" ht="25.5" customHeight="1">
      <c r="A195">
        <v>1654975475</v>
      </c>
      <c r="B195">
        <v>7623287853</v>
      </c>
      <c r="C195" s="2" t="str">
        <f>=HYPERLINK("https://weidian.com/item.html?itemID=7623287853", "https://weidian.com/item.html?itemID=7623287853")</f>
        <v>https://weidian.com/item.html?itemID=7623287853</v>
      </c>
      <c r="D195"/>
      <c r="E195" s="2" t="str">
        <f>=HYPERLINK("https://si.geilicdn.com/pcitem2014204438-66790000019adf636be90a21146b_1074_1074.jpg?w=640&amp;h=640", "https://si.geilicdn.com/pcitem2014204438-66790000019adf636be90a21146b_1074_1074.jpg?w=640&amp;h=640")</f>
        <v>https://si.geilicdn.com/pcitem2014204438-66790000019adf636be90a21146b_1074_1074.jpg?w=640&amp;h=640</v>
      </c>
      <c r="F195" t="inlineStr">
        <is>
          <t>Glasses</t>
        </is>
      </c>
      <c r="G195" t="inlineStr">
        <is>
          <t>Chanel</t>
        </is>
      </c>
      <c r="H195">
        <v>370</v>
      </c>
      <c r="I195">
        <v>53.62</v>
      </c>
      <c r="J195" t="inlineStr">
        <is>
          <t>{"id":"chatcmpl-DaAHpy041kwazyncHhZlV9vKRo0yS","object":"chat.completion","created":1777511721,"model":"gpt-5-chat-2025-10-03","choices":[{"index":0,"message":{"role":"assistant","content":"Chanel Black Square Pearl Logo Sunglasses","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fd471178c5"}</t>
        </is>
      </c>
      <c r="K195" t="inlineStr">
        <is>
          <t>Chanel Black Square Pearl Logo Sunglasses</t>
        </is>
      </c>
      <c r="L195" t="inlineStr">
        <is>
          <t>{"id":"chatcmpl-DaAAE0YdaB00Nph8J4SCq81Uu9YLQ","object":"chat.completion","created":1777511250,"model":"gpt-5-chat-2025-10-03","choices":[{"index":0,"message":{"role":"assistant","content":"Chanel Classic Black Square Sunglasses with Pearl and Gold Double C Logo, Lightweight Metal Frame, Vintage Modern French Style, Unisex Design for Elegant High-Fashion Look.","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fd471178c5"}</t>
        </is>
      </c>
      <c r="M195" t="inlineStr">
        <is>
          <t>{"alt-svc":"h3=\":443\"; ma=2592000","apim-request-id":"2aac38cd-b96c-43b4-baf2-d04a13787469","azureml-model-session":"d20260428205641-55ca9797","cache-control":"no-cache","connection":"close","content-length":"980","content-type":"application/json","date":"Thu, 30 Apr 2026 01:07:32 GMT","server":"nginx","skip-error-remapping":"true","strict-transport-security":"max-age=31536000; includeSubDomains; preload","via":"1.1 Caddy","x-content-type-options":"nosniff","x-ms-client-request-id":"Not-Set","x-ms-is-spilled-over":"false","x-ms-rai-invoked":"false","x-ms-region":"East US","x-new-api-version":"0.4.35","x-oneapi-request-id":"202604300107301651024538268d9d6iGlU1Hah","x-ratelimit-abusepenalty-active":"False","x-ratelimit-key":"gpt-5-chat-global","x-ratelimit-limit-requests":"1000","x-ratelimit-limit-tokens":"1000000","x-ratelimit-remaining-requests":"999","x-ratelimit-remaining-tokens":"997484","x-ratelimit-renewalperiod-requests":"60","x-ratelimit-renewalperiod-tokens":"60","x-ratelimit-reset-requests":"80","x-ratelimit-reset-tokens":"150","x-request-id":"0d8bc224-ff05-4cf4-b891-8f2ba26e2cc3"}</t>
        </is>
      </c>
      <c r="N195" t="inlineStr">
        <is>
          <t>Chanel Classic Black Square Sunglasses with Pearl and Gold Double C Logo, Lightweight Metal Frame, Vintage Modern French Style, Unisex Design for Elegant High-Fashion Look.</t>
        </is>
      </c>
      <c r="O195" t="inlineStr">
        <is>
          <t>{"id":"chatcmpl-DaAPjR7rqSC3pYUtl0myDSfxlt8Ud","object":"chat.completion","created":1777512211,"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5" t="inlineStr">
        <is>
          <t>Chanel,Glasses,kakobuy,kakebuy2026,kekobuysheet,kakobuysheet2026,2026kakobuy,kakobuyspreadsheeet,kakobuylink,kakebuylist,Kakobuy MEGA Spreadsheet,kakobuysheetfind,kakobuysheetfind2026,2026kakobuysheetfind,kakobuysheet2026</t>
        </is>
      </c>
      <c r="Q195" t="inlineStr">
        <is>
          <t>Chanel, Black, Gold, Vintage, Modern, Unisex</t>
        </is>
      </c>
      <c r="R195" t="inlineStr">
        <is>
          <t>recvhju1CrvBBO</t>
        </is>
      </c>
      <c r="S195" t="inlineStr">
        <is>
          <t>chanel-black-square-pearl-logo-sunglasses-recvhju1crvbb</t>
        </is>
      </c>
      <c r="T195"/>
      <c r="U195"/>
      <c r="V195"/>
      <c r="W195" t="inlineStr">
        <is>
          <t>{"id":"chatcmpl-Da9qBeBGV7B9dDts9L13szD8gHzoO","object":"chat.completion","created":1777510007,"model":"gpt-5-chat-2025-10-03","choices":[{"index":0,"message":{"role":"assistant","content":"Chanel：经典系列黑色方框太阳镜，镜腿镶嵌珍珠与金色双C标识，轻盈金属材质，简约优雅设计，复古摩登风格，适合男女佩戴，彰显法式高级时尚气质。","refusal":null,"annotations":[]},"logprobs":null,"finish_reason":"stop"}],"usage":{"prompt_tokens":1298,"completion_tokens":66,"total_tokens":1364,"prompt_tokens_details":{"cached_tokens":0,"audio_tokens":0},"completion_tokens_details":{"reasoning_tokens":0,"audio_tokens":0,"accepted_prediction_tokens":0,"rejected_prediction_tokens":0}},"service_tier":"default","system_fingerprint":"fp_fd471178c5"}</t>
        </is>
      </c>
      <c r="X195" t="inlineStr">
        <is>
          <t>Chanel：经典系列黑色方框太阳镜，镜腿镶嵌珍珠与金色双C标识，轻盈金属材质，简约优雅设计，复古摩登风格，适合男女佩戴，彰显法式高级时尚气质。</t>
        </is>
      </c>
    </row>
    <row r="196" ht="25.5" customHeight="1">
      <c r="A196">
        <v>1654975475</v>
      </c>
      <c r="B196">
        <v>7623240595</v>
      </c>
      <c r="C196" s="2" t="str">
        <f>=HYPERLINK("https://weidian.com/item.html?itemID=7623240595", "https://weidian.com/item.html?itemID=7623240595")</f>
        <v>https://weidian.com/item.html?itemID=7623240595</v>
      </c>
      <c r="D196"/>
      <c r="E196" s="2" t="str">
        <f>=HYPERLINK("https://si.geilicdn.com/pcitem2014204438-21750000019adf5ed2ae0a20e7c7_1074_1074.jpg?w=640&amp;h=640", "https://si.geilicdn.com/pcitem2014204438-21750000019adf5ed2ae0a20e7c7_1074_1074.jpg?w=640&amp;h=640")</f>
        <v>https://si.geilicdn.com/pcitem2014204438-21750000019adf5ed2ae0a20e7c7_1074_1074.jpg?w=640&amp;h=640</v>
      </c>
      <c r="F196" t="inlineStr">
        <is>
          <t>Glasses</t>
        </is>
      </c>
      <c r="G196" t="inlineStr">
        <is>
          <t>Chanel</t>
        </is>
      </c>
      <c r="H196">
        <v>380</v>
      </c>
      <c r="I196">
        <v>55.07</v>
      </c>
      <c r="J196" t="inlineStr">
        <is>
          <t>{"id":"chatcmpl-DaAMM4wYTz45AkoqmAZ4AmThNdook","object":"chat.completion","created":1777512002,"model":"gpt-5-chat-2025-10-03","choices":[{"index":0,"message":{"role":"assistant","content":"Chanel Pearl Crystal Grey Mirror Sunglasses","refusal":null,"annotations":[]},"logprobs":null,"finish_reason":"stop"}],"usage":{"prompt_tokens":870,"completion_tokens":9,"total_tokens":879,"prompt_tokens_details":{"cached_tokens":0,"audio_tokens":0},"completion_tokens_details":{"reasoning_tokens":0,"audio_tokens":0,"accepted_prediction_tokens":0,"rejected_prediction_tokens":0}},"service_tier":"default","system_fingerprint":"fp_fd471178c5"}</t>
        </is>
      </c>
      <c r="K196" t="inlineStr">
        <is>
          <t>Chanel Pearl Crystal Grey Mirror Sunglasses</t>
        </is>
      </c>
      <c r="L196" t="inlineStr">
        <is>
          <t>{"id":"chatcmpl-DaAB4n1HdLKrdpK2CwXUDIM2HGVEs","object":"chat.completion","created":1777511302,"model":"gpt-5-chat-2025-10-03","choices":[{"index":0,"message":{"role":"assistant","content":"Chanel Luxury Gradient Grey Mirror Sunglasses with pearl and crystal details, elegant metal frame, UV protection, lightweight unisex design for a chic modern French couture look.","refusal":null,"annotations":[]},"logprobs":null,"finish_reason":"stop"}],"usage":{"prompt_tokens":902,"completion_tokens":34,"total_tokens":936,"prompt_tokens_details":{"cached_tokens":0,"audio_tokens":0},"completion_tokens_details":{"reasoning_tokens":0,"audio_tokens":0,"accepted_prediction_tokens":0,"rejected_prediction_tokens":0}},"service_tier":"default","system_fingerprint":"fp_ad66631dec"}</t>
        </is>
      </c>
      <c r="M196" t="inlineStr">
        <is>
          <t>{"alt-svc":"h3=\":443\"; ma=2592000","apim-request-id":"e177ad60-4bc8-4a60-833f-03afa7e55e72","azureml-model-session":"d20260402083108-57a85543","cache-control":"no-cache","connection":"close","content-length":"986","content-type":"application/json","date":"Thu, 30 Apr 2026 01:08:23 GMT","server":"nginx","skip-error-remapping":"true","strict-transport-security":"max-age=31536000; includeSubDomains; preload","via":"1.1 Caddy","x-content-type-options":"nosniff","x-ms-client-request-id":"Not-Set","x-ms-is-spilled-over":"false","x-ms-rai-invoked":"false","x-ms-region":"East US 2","x-new-api-version":"0.4.35","x-oneapi-request-id":"202604300108218598653618268d9d6qlGTXl1I","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c797fbb4-12f2-44dd-9169-a648e3132174"}</t>
        </is>
      </c>
      <c r="N196" t="inlineStr">
        <is>
          <t>Chanel Luxury Gradient Grey Mirror Sunglasses with pearl and crystal details, elegant metal frame, UV protection, lightweight unisex design for a chic modern French couture look.</t>
        </is>
      </c>
      <c r="O196" t="inlineStr">
        <is>
          <t>{"id":"chatcmpl-DaAVD13hKUKD9KfyixfFq0rQswBOz","object":"chat.completion","created":1777512551,"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96" t="inlineStr">
        <is>
          <t>Chanel,Glasses,kakobuy,kakebuy2026,kekobuysheet,kakobuysheet2026,2026kakobuy,kakobuyspreadsheeet,kakobuylink,kakebuylist,Kakobuy MEGA Spreadsheet,kakobuysheetfind,kakobuysheetfind2026,2026kakobuysheetfind,kakobuysheet2026</t>
        </is>
      </c>
      <c r="Q196" t="inlineStr">
        <is>
          <t>Chanel, Gradient, Grey, Anti-Ultraviolet, Lightweight, Unisex</t>
        </is>
      </c>
      <c r="R196" t="inlineStr">
        <is>
          <t>recvhju1CrlkfZ</t>
        </is>
      </c>
      <c r="S196" t="inlineStr">
        <is>
          <t>chanel-pearl-crystal-grey-mirror-sunglasses-recvhju1crlkfz</t>
        </is>
      </c>
      <c r="T196"/>
      <c r="U196"/>
      <c r="V196"/>
      <c r="W196" t="inlineStr">
        <is>
          <t>{"id":"chatcmpl-Da9mzdsyPibCF87QxAey7wP3oZN2R","object":"chat.completion","created":1777509809,"model":"gpt-5-chat-2025-10-03","choices":[{"index":0,"message":{"role":"assistant","content":"Chanel：奢华渐变灰镜面太阳眼镜，优雅金属镜架镶嵌珍珠与水晶饰件，展现经典法式高定风格，轻盈防紫外线设计，适合男女，尽显现代摩登格调。","refusal":null,"annotations":[]},"logprobs":null,"finish_reason":"stop"}],"usage":{"prompt_tokens":1306,"completion_tokens":65,"total_tokens":1371,"prompt_tokens_details":{"cached_tokens":0,"audio_tokens":0},"completion_tokens_details":{"reasoning_tokens":0,"audio_tokens":0,"accepted_prediction_tokens":0,"rejected_prediction_tokens":0}},"service_tier":"default","system_fingerprint":"fp_ad66631dec"}</t>
        </is>
      </c>
      <c r="X196" t="inlineStr">
        <is>
          <t>Chanel：奢华渐变灰镜面太阳眼镜，优雅金属镜架镶嵌珍珠与水晶饰件，展现经典法式高定风格，轻盈防紫外线设计，适合男女，尽显现代摩登格调。</t>
        </is>
      </c>
    </row>
    <row r="197" ht="25.5" customHeight="1">
      <c r="A197">
        <v>1654975475</v>
      </c>
      <c r="B197">
        <v>7623281899</v>
      </c>
      <c r="C197" s="2" t="str">
        <f>=HYPERLINK("https://weidian.com/item.html?itemID=7623281899", "https://weidian.com/item.html?itemID=7623281899")</f>
        <v>https://weidian.com/item.html?itemID=7623281899</v>
      </c>
      <c r="D197"/>
      <c r="E197" s="2" t="str">
        <f>=HYPERLINK("https://si.geilicdn.com/pcitem2014204438-2d0d0000019adf5e4ec50a81347d_1074_1074.jpg?w=640&amp;h=640", "https://si.geilicdn.com/pcitem2014204438-2d0d0000019adf5e4ec50a81347d_1074_1074.jpg?w=640&amp;h=640")</f>
        <v>https://si.geilicdn.com/pcitem2014204438-2d0d0000019adf5e4ec50a81347d_1074_1074.jpg?w=640&amp;h=640</v>
      </c>
      <c r="F197" t="inlineStr">
        <is>
          <t>Glasses</t>
        </is>
      </c>
      <c r="G197" t="inlineStr">
        <is>
          <t>Chanel</t>
        </is>
      </c>
      <c r="H197">
        <v>380</v>
      </c>
      <c r="I197">
        <v>55.07</v>
      </c>
      <c r="J197" t="inlineStr">
        <is>
          <t>{"id":"chatcmpl-DaAKPdE538263ZalZRxZLvP1ngOS2","object":"chat.completion","created":1777511881,"model":"gpt-5-chat-2025-10-03","choices":[{"index":0,"message":{"role":"assistant","content":"Chanel Black Retro Square Unisex UV Protection Sunglasses","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97" t="inlineStr">
        <is>
          <t>Chanel Black Retro Square Unisex UV Protection Sunglasses</t>
        </is>
      </c>
      <c r="L197" t="inlineStr">
        <is>
          <t>{"id":"chatcmpl-DaA6ptqjgxRefWp24Tjz3CaYTXMIh","object":"chat.completion","created":1777511039,"model":"gpt-5-chat-2025-10-03","choices":[{"index":0,"message":{"role":"assistant","content":"Chanel Black Retro Square Sunglasses feature premium acetate frames with gold double C logo, gray lenses for UV protection, unisex design, perfect for modern urban fashion style.","refusal":null,"annotations":[]},"logprobs":null,"finish_reason":"stop"}],"usage":{"prompt_tokens":908,"completion_tokens":35,"total_tokens":943,"prompt_tokens_details":{"cached_tokens":0,"audio_tokens":0},"completion_tokens_details":{"reasoning_tokens":0,"audio_tokens":0,"accepted_prediction_tokens":0,"rejected_prediction_tokens":0}},"service_tier":"default","system_fingerprint":"fp_ad66631dec"}</t>
        </is>
      </c>
      <c r="M197" t="inlineStr">
        <is>
          <t>{"alt-svc":"h3=\":443\"; ma=2592000","apim-request-id":"bfa754b6-e51e-4865-a726-433735cb6a6d","azureml-model-session":"d20260402084046-4209e968","cache-control":"no-cache","connection":"close","content-length":"986","content-type":"application/json","date":"Thu, 30 Apr 2026 01:04:00 GMT","server":"nginx","skip-error-remapping":"true","strict-transport-security":"max-age=31536000; includeSubDomains; preload","via":"1.1 Caddy","x-content-type-options":"nosniff","x-ms-client-request-id":"Not-Set","x-ms-is-spilled-over":"false","x-ms-rai-invoked":"false","x-ms-region":"Central US","x-new-api-version":"0.4.35","x-oneapi-request-id":"202604300103585098722738268d9d6jg4fbXuc","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8c9f0d80-0430-45be-9a23-e24d03558aa0"}</t>
        </is>
      </c>
      <c r="N197" t="inlineStr">
        <is>
          <t>Chanel Black Retro Square Sunglasses feature premium acetate frames with gold double C logo, gray lenses for UV protection, unisex design, perfect for modern urban fashion style.</t>
        </is>
      </c>
      <c r="O197" t="inlineStr">
        <is>
          <t>{"id":"chatcmpl-DaATEJRpyqBPzI8rafHauAE6379z7","object":"chat.completion","created":1777512428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7" t="inlineStr">
        <is>
          <t>Chanel,Glasses,kakobuy,kakebuy2026,kekobuysheet,kakobuysheet2026,2026kakobuy,kakobuyspreadsheeet,kakobuylink,kakebuylist,Kakobuy MEGA Spreadsheet,kakobuysheetfind,kakobuysheetfind2026,2026kakobuysheetfind,kakobuysheet2026</t>
        </is>
      </c>
      <c r="Q197" t="inlineStr">
        <is>
          <t>Chanel, Black, Retro, Unisex, Acetate Fiber, Anti-Ultraviolet</t>
        </is>
      </c>
      <c r="R197" t="inlineStr">
        <is>
          <t>recvhju1CrXtNq</t>
        </is>
      </c>
      <c r="S197" t="inlineStr">
        <is>
          <t>chanel-black-retro-square-sunglasses-recvhju1crxtnq</t>
        </is>
      </c>
      <c r="T197"/>
      <c r="U197"/>
      <c r="V197"/>
      <c r="W197" t="inlineStr">
        <is>
          <t>{"id":"chatcmpl-Da9u43aWY0bTRlzM0lPSOTBzD5JD8","object":"chat.completion","created":1777510248,"model":"gpt-5-chat-2025-10-03","choices":[{"index":0,"message":{"role":"assistant","content":"Chanel：黑色复古方框太阳镜，醋酸纤维镜框质感高级，侧边金色双C标识彰显品牌优雅。经典简约设计，搭配灰黑镜片有效防紫外线，男女皆宜，诠释现代都市时尚格调。","refusal":null,"annotations":[]},"logprobs":null,"finish_reason":"stop"}],"usage":{"prompt_tokens":1308,"completion_tokens":70,"total_tokens":1378,"prompt_tokens_details":{"cached_tokens":0,"audio_tokens":0},"completion_tokens_details":{"reasoning_tokens":0,"audio_tokens":0,"accepted_prediction_tokens":0,"rejected_prediction_tokens":0}},"service_tier":"default","system_fingerprint":"fp_ad66631dec"}</t>
        </is>
      </c>
      <c r="X197" t="inlineStr">
        <is>
          <t>Chanel：黑色复古方框太阳镜，醋酸纤维镜框质感高级，侧边金色双C标识彰显品牌优雅。经典简约设计，搭配灰黑镜片有效防紫外线，男女皆宜，诠释现代都市时尚格调。</t>
        </is>
      </c>
    </row>
    <row r="198" ht="25.5" customHeight="1">
      <c r="A198">
        <v>1654975475</v>
      </c>
      <c r="B198">
        <v>7623224975</v>
      </c>
      <c r="C198" s="2" t="str">
        <f>=HYPERLINK("https://weidian.com/item.html?itemID=7623224975", "https://weidian.com/item.html?itemID=7623224975")</f>
        <v>https://weidian.com/item.html?itemID=7623224975</v>
      </c>
      <c r="D198"/>
      <c r="E198" s="2" t="str">
        <f>=HYPERLINK("https://si.geilicdn.com/pcitem2014204438-28220000019adf4fdd560a207569_1074_1074.jpg?w=640&amp;h=640", "https://si.geilicdn.com/pcitem2014204438-28220000019adf4fdd560a207569_1074_1074.jpg?w=640&amp;h=640")</f>
        <v>https://si.geilicdn.com/pcitem2014204438-28220000019adf4fdd560a207569_1074_1074.jpg?w=640&amp;h=640</v>
      </c>
      <c r="F198" t="inlineStr">
        <is>
          <t>Glasses</t>
        </is>
      </c>
      <c r="G198" t="inlineStr">
        <is>
          <t>Prada</t>
        </is>
      </c>
      <c r="H198">
        <v>370</v>
      </c>
      <c r="I198">
        <v>53.62</v>
      </c>
      <c r="J198" t="inlineStr">
        <is>
          <t>{"id":"chatcmpl-DaALf5qStcJWv6dLNKLuTw9BLHat2","object":"chat.completion","created":1777511959,"model":"gpt-5-chat-2025-10-03","choices":[{"index":0,"message":{"role":"assistant","content":"Prada Gold Frame Square Brown Lens Unisex Sunglasses","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ad66631dec"}</t>
        </is>
      </c>
      <c r="K198" t="inlineStr">
        <is>
          <t>Prada Gold Frame Square Brown Lens Unisex Sunglasses</t>
        </is>
      </c>
      <c r="L198" t="inlineStr">
        <is>
          <t>{"id":"chatcmpl-DaADRq1u8kCWm8DftmvrBVn2gd3Lh","object":"chat.completion","created":1777511449,"model":"gpt-5-chat-2025-10-03","choices":[{"index":0,"message":{"role":"assistant","content":"Prada Gold Frame Square Sunglasses with Acetate Temples and Brown Lenses, unisex retro-modern design blending elegance and style for a timeless luxury look.","refusal":null,"annotations":[]},"logprobs":null,"finish_reason":"stop"}],"usage":{"prompt_tokens":899,"completion_tokens":34,"total_tokens":933,"prompt_tokens_details":{"cached_tokens":0,"audio_tokens":0},"completion_tokens_details":{"reasoning_tokens":0,"audio_tokens":0,"accepted_prediction_tokens":0,"rejected_prediction_tokens":0}},"service_tier":"default","system_fingerprint":"fp_fd471178c5"}</t>
        </is>
      </c>
      <c r="M198" t="inlineStr">
        <is>
          <t>{"alt-svc":"h3=\":443\"; ma=2592000","apim-request-id":"4b1b71aa-890c-402e-b74b-f01f7620771b","azureml-model-session":"d20260428205641-55ca9797","cache-control":"no-cache","connection":"close","content-length":"964","content-type":"application/json","date":"Thu, 30 Apr 2026 01:10:50 GMT","server":"Caddy","skip-error-remapping":"true","strict-transport-security":"max-age=31536000; includeSubDomains; preload","x-content-type-options":"nosniff","x-ms-client-request-id":"Not-Set","x-ms-is-spilled-over":"false","x-ms-rai-invoked":"false","x-ms-region":"South Central US","x-new-api-version":"0.4.35","x-oneapi-request-id":"202604300110489441123158268d9d6TBs1GwEn","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f10978c3-ab26-4a9d-bfd5-b0925960113c"}</t>
        </is>
      </c>
      <c r="N198" t="inlineStr">
        <is>
          <t>Prada Gold Frame Square Sunglasses with Acetate Temples and Brown Lenses, unisex retro-modern design blending elegance and style for a timeless luxury look.</t>
        </is>
      </c>
      <c r="O198" t="inlineStr">
        <is>
          <t>{"id":"chatcmpl-DaAQW6Pw9su246VGQ54JPhQpDuXj1","object":"chat.completion","created":1777512260,"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98" t="inlineStr">
        <is>
          <t>Prada,Glasses,kakobuy,kakebuy2026,kekobuysheet,kakobuysheet2026,2026kakobuy,kakobuyspreadsheeet,kakobuylink,kakebuylist,Kakobuy MEGA Spreadsheet,kakobuysheetfind,kakobuysheetfind2026,2026kakobuysheetfind,kakobuysheet2026</t>
        </is>
      </c>
      <c r="Q198" t="inlineStr">
        <is>
          <t>Acetate Fiber, Brown, Unisex, Retro, Elegant, Style</t>
        </is>
      </c>
      <c r="R198" t="inlineStr">
        <is>
          <t>recvhju1CrRJZK</t>
        </is>
      </c>
      <c r="S198" t="inlineStr">
        <is>
          <t>prada-gold-frame-square-brown-lens-unisex-sunglasses-recvhju1crrjzk</t>
        </is>
      </c>
      <c r="T198"/>
      <c r="U198"/>
      <c r="V198"/>
      <c r="W198" t="inlineStr">
        <is>
          <t>{"id":"chatcmpl-Da9nRnquwWn9beRNVtiBS29zvk7JZ","object":"chat.completion","created":1777509837,"model":"gpt-5-chat-2025-10-03","choices":[{"index":0,"message":{"role":"assistant","content":"Prada：金色边框方形太阳镜，醋酸纤维镜腿搭配金属质感框架，棕色镜片彰显优雅格调，简约设计融合复古时尚元素，适合男女佩戴，展现现代摩登魅力。","refusal":null,"annotations":[]},"logprobs":null,"finish_reason":"stop"}],"usage":{"prompt_tokens":1298,"completion_tokens":66,"total_tokens":1364,"prompt_tokens_details":{"cached_tokens":0,"audio_tokens":0},"completion_tokens_details":{"reasoning_tokens":0,"audio_tokens":0,"accepted_prediction_tokens":0,"rejected_prediction_tokens":0}},"service_tier":"default","system_fingerprint":"fp_ad66631dec"}</t>
        </is>
      </c>
      <c r="X198" t="inlineStr">
        <is>
          <t>Prada：金色边框方形太阳镜，醋酸纤维镜腿搭配金属质感框架，棕色镜片彰显优雅格调，简约设计融合复古时尚元素，适合男女佩戴，展现现代摩登魅力。</t>
        </is>
      </c>
    </row>
    <row r="199" ht="25.5" customHeight="1">
      <c r="A199">
        <v>1654975475</v>
      </c>
      <c r="B199">
        <v>7626251898</v>
      </c>
      <c r="C199" s="2" t="str">
        <f>=HYPERLINK("https://weidian.com/item.html?itemID=7626251898", "https://weidian.com/item.html?itemID=7626251898")</f>
        <v>https://weidian.com/item.html?itemID=7626251898</v>
      </c>
      <c r="D199"/>
      <c r="E199" s="2" t="str">
        <f>=HYPERLINK("https://si.geilicdn.com/pcitem2014204438-7fb80000019adf4d22f20a20e2c5_1440_1920.jpg?w=640&amp;h=640", "https://si.geilicdn.com/pcitem2014204438-7fb80000019adf4d22f20a20e2c5_1440_1920.jpg?w=640&amp;h=640")</f>
        <v>https://si.geilicdn.com/pcitem2014204438-7fb80000019adf4d22f20a20e2c5_1440_1920.jpg?w=640&amp;h=640</v>
      </c>
      <c r="F199" t="inlineStr">
        <is>
          <t>Glasses</t>
        </is>
      </c>
      <c r="G199" t="inlineStr">
        <is>
          <t>Gucci</t>
        </is>
      </c>
      <c r="H199">
        <v>380</v>
      </c>
      <c r="I199">
        <v>55.07</v>
      </c>
      <c r="J199" t="inlineStr">
        <is>
          <t>{"id":"chatcmpl-DaAGAZ2zVfvX6wTOWtH4BZp5ht1o4","object":"chat.completion","created":1777511618,"model":"gpt-5-chat-2025-10-03","choices":[{"index":0,"message":{"role":"assistant","content":"Gucci Classic Rectangular Black Acetate Sunglasses Unisex Fashion","refusal":null,"annotations":[]},"logprobs":null,"finish_reason":"stop"}],"usage":{"prompt_tokens":878,"completion_tokens":15,"total_tokens":893,"prompt_tokens_details":{"cached_tokens":0,"audio_tokens":0},"completion_tokens_details":{"reasoning_tokens":0,"audio_tokens":0,"accepted_prediction_tokens":0,"rejected_prediction_tokens":0}},"service_tier":"default","system_fingerprint":"fp_ad66631dec"}</t>
        </is>
      </c>
      <c r="K199" t="inlineStr">
        <is>
          <t>Gucci Classic Rectangular Black Acetate Sunglasses Unisex Fashion</t>
        </is>
      </c>
      <c r="L199" t="inlineStr">
        <is>
          <t>{"id":"chatcmpl-DaA7DA7KUsgPupap47E2fqMxsnKVJ","object":"chat.completion","created":1777511063,"model":"gpt-5-chat-2025-10-03","choices":[{"index":0,"message":{"role":"assistant","content":"Gucci Classic Rectangular Black Sunglasses – premium acetate frame with iconic gold G logo, a timeless blend of modern minimalism and retro charm. Unisex design showcasing Italian fashion elegance.","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ad66631dec"}</t>
        </is>
      </c>
      <c r="M199" t="inlineStr">
        <is>
          <t>{"alt-svc":"h3=\":443\"; ma=2592000","apim-request-id":"0628ddaf-adf7-429d-94e0-42b38a0a619a","azureml-model-session":"d20260402084046-4209e968","cache-control":"no-cache","connection":"close","content-length":"1007","content-type":"application/json","date":"Thu, 30 Apr 2026 01:04:24 GMT","server":"nginx","skip-error-remapping":"true","strict-transport-security":"max-age=31536000; includeSubDomains; preload","via":"1.1 Caddy","x-content-type-options":"nosniff","x-ms-client-request-id":"Not-Set","x-ms-is-spilled-over":"false","x-ms-rai-invoked":"false","x-ms-region":"East US","x-new-api-version":"0.4.35","x-oneapi-request-id":"202604300104222829553538268d9d6aM7s1Onc","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9b05d8cb-bfc7-45c0-9747-470775aa195a"}</t>
        </is>
      </c>
      <c r="N199" t="inlineStr">
        <is>
          <t>Gucci Classic Rectangular Black Sunglasses – premium acetate frame with iconic gold G logo, a timeless blend of modern minimalism and retro charm. Unisex design showcasing Italian fashion elegance.</t>
        </is>
      </c>
      <c r="O199" t="inlineStr">
        <is>
          <t>{"id":"chatcmpl-DaAPc1Cp3zglM0iL1qt4sKNQUCVNn","object":"chat.completion","created":1777512204,"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9" t="inlineStr">
        <is>
          <t>Gucci,Glasses,kakobuy,kakebuy2026,kekobuysheet,kakobuysheet2026,2026kakobuy,kakobuyspreadsheeet,kakobuylink,kakebuylist,Kakobuy MEGA Spreadsheet,kakobuysheetfind,kakobuysheetfind2026,2026kakobuysheetfind,kakobuysheet2026</t>
        </is>
      </c>
      <c r="Q199" t="inlineStr">
        <is>
          <t>Unisex, Minimalist, Retro, Black, Gold, Acetate Fiber</t>
        </is>
      </c>
      <c r="R199" t="inlineStr">
        <is>
          <t>recvhju1Cr85Z6</t>
        </is>
      </c>
      <c r="S199" t="inlineStr">
        <is>
          <t>gucci-classic-rectangular-black-acetate-sunglasses-recvhju1cr85z6</t>
        </is>
      </c>
      <c r="T199"/>
      <c r="U199"/>
      <c r="V199"/>
      <c r="W199" t="inlineStr">
        <is>
          <t>{"id":"chatcmpl-Da9tP0cwCwJor7MC1oTq1dQbOft5v","object":"chat.completion","created":1777510207,"model":"gpt-5-chat-2025-10-03","choices":[{"index":0,"message":{"role":"assistant","content":"Gucci：经典矩形黑色太阳眼镜，醋酸纤维镜框质感高级，饰以标志性金属G徽标，简约现代设计融合复古风格，适合男女佩戴，彰显意式时尚美学。","refusal":null,"annotations":[]},"logprobs":null,"finish_reason":"stop"}],"usage":{"prompt_tokens":1308,"completion_tokens":61,"total_tokens":1369,"prompt_tokens_details":{"cached_tokens":1280,"audio_tokens":0},"completion_tokens_details":{"reasoning_tokens":0,"audio_tokens":0,"accepted_prediction_tokens":0,"rejected_prediction_tokens":0}},"service_tier":"default","system_fingerprint":"fp_ad66631dec"}</t>
        </is>
      </c>
      <c r="X199" t="inlineStr">
        <is>
          <t>Gucci：经典矩形黑色太阳眼镜，醋酸纤维镜框质感高级，饰以标志性金属G徽标，简约现代设计融合复古风格，适合男女佩戴，彰显意式时尚美学。</t>
        </is>
      </c>
    </row>
    <row r="200" ht="25.5" customHeight="1">
      <c r="A200">
        <v>1654975475</v>
      </c>
      <c r="B200">
        <v>7626208408</v>
      </c>
      <c r="C200" s="2" t="str">
        <f>=HYPERLINK("https://weidian.com/item.html?itemID=7626208408", "https://weidian.com/item.html?itemID=7626208408")</f>
        <v>https://weidian.com/item.html?itemID=7626208408</v>
      </c>
      <c r="D200"/>
      <c r="E200" s="2" t="str">
        <f>=HYPERLINK("https://si.geilicdn.com/pcitem2014204438-61fa0000019adf20fe1f0a811411_1440_1920.jpg?w=640&amp;h=640", "https://si.geilicdn.com/pcitem2014204438-61fa0000019adf20fe1f0a811411_1440_1920.jpg?w=640&amp;h=640")</f>
        <v>https://si.geilicdn.com/pcitem2014204438-61fa0000019adf20fe1f0a811411_1440_1920.jpg?w=640&amp;h=640</v>
      </c>
      <c r="F200" t="inlineStr">
        <is>
          <t>Glasses</t>
        </is>
      </c>
      <c r="G200" t="inlineStr">
        <is>
          <t>Gucci</t>
        </is>
      </c>
      <c r="H200">
        <v>370</v>
      </c>
      <c r="I200">
        <v>53.62</v>
      </c>
      <c r="J200" t="inlineStr">
        <is>
          <t>{"id":"chatcmpl-DaAKcZuk5oq40subDHSjuKjdQmEw1","object":"chat.completion","created":1777511894,"model":"gpt-5-chat-2025-10-03","choices":[{"index":0,"message":{"role":"assistant","content":"Gucci Silver Aviator Sunglasses Men Women Classic Driving","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200" t="inlineStr">
        <is>
          <t>Gucci Silver Aviator Sunglasses Men Women Classic Driving</t>
        </is>
      </c>
      <c r="L200" t="inlineStr">
        <is>
          <t>{"id":"chatcmpl-DaA4xkUBltIvDJ6SOw5qYsznx07Jp","object":"chat.completion","created":1777510923,"model":"gpt-5-chat-2025-10-03","choices":[{"index":0,"message":{"role":"assistant","content":"Gucci Silver Aviator Sunglasses: Lightweight alloy frame with classic double bridge and dark gray lenses, offering Italian modern style for men and women, perfect for city fashion and driving.","refusal":null,"annotations":[]},"logprobs":null,"finish_reason":"stop"}],"usage":{"prompt_tokens":909,"completion_tokens":37,"total_tokens":946,"prompt_tokens_details":{"cached_tokens":0,"audio_tokens":0},"completion_tokens_details":{"reasoning_tokens":0,"audio_tokens":0,"accepted_prediction_tokens":0,"rejected_prediction_tokens":0}},"service_tier":"default","system_fingerprint":"fp_fd471178c5"}</t>
        </is>
      </c>
      <c r="M200" t="inlineStr">
        <is>
          <t>{"alt-svc":"h3=\":443\"; ma=2592000","apim-request-id":"b4f14bea-80ea-41ad-a167-1c26ea963972","azureml-model-session":"d20260428174121-807d9cc5","cache-control":"no-cache","connection":"close","content-length":"1000","content-type":"application/json","date":"Thu, 30 Apr 2026 01:02:04 GMT","server":"Caddy","skip-error-remapping":"true","strict-transport-security":"max-age=31536000; includeSubDomains; preload","x-content-type-options":"nosniff","x-ms-client-request-id":"Not-Set","x-ms-is-spilled-over":"false","x-ms-rai-invoked":"false","x-ms-region":"South Central US","x-new-api-version":"0.4.35","x-oneapi-request-id":"202604300102028304673048268d9d68JYaNyhp","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549497e2-0983-46c3-b5fe-114efed67cce"}</t>
        </is>
      </c>
      <c r="N200" t="inlineStr">
        <is>
          <t>Gucci Silver Aviator Sunglasses: Lightweight alloy frame with classic double bridge and dark gray lenses, offering Italian modern style for men and women, perfect for city fashion and driving.</t>
        </is>
      </c>
      <c r="O200" t="inlineStr">
        <is>
          <t>{"id":"chatcmpl-DaARjUVYRz1wjpsPFR0VANwsqGBih","object":"chat.completion","created":1777512335,"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00" t="inlineStr">
        <is>
          <t>Gucci,Glasses,kakobuy,kakebuy2026,kekobuysheet,kakobuysheet2026,2026kakobuy,kakobuyspreadsheeet,kakobuylink,kakebuylist,Kakobuy MEGA Spreadsheet,kakobuysheetfind,kakobuysheetfind2026,2026kakobuysheetfind,kakobuysheet2026</t>
        </is>
      </c>
      <c r="Q200" t="inlineStr">
        <is>
          <t>Silver, Lightweight, Modern, Unisex, Fashion</t>
        </is>
      </c>
      <c r="R200" t="inlineStr">
        <is>
          <t>recvhju1CrYucs</t>
        </is>
      </c>
      <c r="S200" t="inlineStr">
        <is>
          <t>gucci-silver-aviator-sunglasses-recvhju1cryucs</t>
        </is>
      </c>
      <c r="T200"/>
      <c r="U200"/>
      <c r="V200"/>
      <c r="W200" t="inlineStr">
        <is>
          <t>{"id":"chatcmpl-Da9ozZlKR1RBxF8VC8UP8FCThSVnI","object":"chat.completion","created":1777509933,"model":"gpt-5-chat-2025-10-03","choices":[{"index":0,"message":{"role":"assistant","content":"Gucci：银灰色金属框飞行员墨镜，采用轻盈合金材质与经典双梁设计，搭配深灰镜片，展现意式摩登格调；男女皆宜款，适合都市时尚与驾驶休闲佩戴，体现品牌优雅与前卫融合的设计理念。","refusal":null,"annotations":[]},"logprobs":null,"finish_reason":"stop"}],"usage":{"prompt_tokens":1302,"completion_tokens":74,"total_tokens":1376,"prompt_tokens_details":{"cached_tokens":0,"audio_tokens":0},"completion_tokens_details":{"reasoning_tokens":0,"audio_tokens":0,"accepted_prediction_tokens":0,"rejected_prediction_tokens":0}},"service_tier":"default","system_fingerprint":"fp_fd471178c5"}</t>
        </is>
      </c>
      <c r="X200" t="inlineStr">
        <is>
          <t>Gucci：银灰色金属框飞行员墨镜，采用轻盈合金材质与经典双梁设计，搭配深灰镜片，展现意式摩登格调；男女皆宜款，适合都市时尚与驾驶休闲佩戴，体现品牌优雅与前卫融合的设计理念。</t>
        </is>
      </c>
    </row>
    <row r="201" ht="25.5" customHeight="1">
      <c r="A201">
        <v>1654975475</v>
      </c>
      <c r="B201">
        <v>7623171263</v>
      </c>
      <c r="C201" s="2" t="str">
        <f>=HYPERLINK("https://weidian.com/item.html?itemID=7623171263", "https://weidian.com/item.html?itemID=7623171263")</f>
        <v>https://weidian.com/item.html?itemID=7623171263</v>
      </c>
      <c r="D201"/>
      <c r="E201" s="2" t="str">
        <f>=HYPERLINK("https://si.geilicdn.com/pcitem2014204438-09340000019adf1e787f0a239646_1440_1920.jpg?w=640&amp;h=640", "https://si.geilicdn.com/pcitem2014204438-09340000019adf1e787f0a239646_1440_1920.jpg?w=640&amp;h=640")</f>
        <v>https://si.geilicdn.com/pcitem2014204438-09340000019adf1e787f0a239646_1440_1920.jpg?w=640&amp;h=640</v>
      </c>
      <c r="F201" t="inlineStr">
        <is>
          <t>Glasses</t>
        </is>
      </c>
      <c r="G201" t="inlineStr">
        <is>
          <t>Dior</t>
        </is>
      </c>
      <c r="H201">
        <v>370</v>
      </c>
      <c r="I201">
        <v>53.62</v>
      </c>
      <c r="J201" t="inlineStr">
        <is>
          <t>{"id":"chatcmpl-DaAHUN8i2scM1Y20GVADvbCMslFxI","object":"chat.completion","created":1777511700,"model":"gpt-5-chat-2025-10-03","choices":[{"index":0,"message":{"role":"assistant","content":"Dior Black Square Gradient Gray Sunglasses","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fd471178c5"}</t>
        </is>
      </c>
      <c r="K201" t="inlineStr">
        <is>
          <t>Dior Black Square Gradient Gray Sunglasses</t>
        </is>
      </c>
      <c r="L201" t="inlineStr">
        <is>
          <t>{"id":"chatcmpl-DaAAazoK0cmYt07a4DPvfQFK0tvTH","object":"chat.completion","created":1777511272,"model":"gpt-5-chat-2025-10-03","choices":[{"index":0,"message":{"role":"assistant","content":"Dior Black Square Sunglasses inspired by modern urban aesthetics, crafted from high-density acetate with metal hinges, gradient gray UV-protection lenses, lightweight and unisex for effortless elegance.","refusal":null,"annotations":[]},"logprobs":null,"finish_reason":"stop"}],"usage":{"prompt_tokens":916,"completion_tokens":37,"total_tokens":953,"prompt_tokens_details":{"cached_tokens":0,"audio_tokens":0},"completion_tokens_details":{"reasoning_tokens":0,"audio_tokens":0,"accepted_prediction_tokens":0,"rejected_prediction_tokens":0}},"service_tier":"default","system_fingerprint":"fp_ad66631dec"}</t>
        </is>
      </c>
      <c r="M201" t="inlineStr">
        <is>
          <t>{"alt-svc":"h3=\":443\"; ma=2592000","apim-request-id":"9ab6b2d6-c296-4d12-b7c2-51be2b8a05cb","azureml-model-session":"d20260402084046-4209e968","cache-control":"no-cache","connection":"close","content-length":"1010","content-type":"application/json","date":"Thu, 30 Apr 2026 01:07:54 GMT","server":"Caddy","skip-error-remapping":"true","strict-transport-security":"max-age=31536000; includeSubDomains; preload","x-content-type-options":"nosniff","x-ms-client-request-id":"Not-Set","x-ms-is-spilled-over":"false","x-ms-rai-invoked":"false","x-ms-region":"Central US","x-new-api-version":"0.4.35","x-oneapi-request-id":"202604300107514045667918268d9d6i69CHVNr","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24cf6980-1e95-4d24-ac85-17c0c3b521fd"}</t>
        </is>
      </c>
      <c r="N201" t="inlineStr">
        <is>
          <t>Dior Black Square Sunglasses inspired by modern urban aesthetics, crafted from high-density acetate with metal hinges, gradient gray UV-protection lenses, lightweight and unisex for effortless elegance.</t>
        </is>
      </c>
      <c r="O201" t="inlineStr">
        <is>
          <t>{"id":"chatcmpl-DaAUTRRIKM1I0zjWhIhp8k2kN4vtZ","object":"chat.completion","created":1777512505,"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201" t="inlineStr">
        <is>
          <t>Dior,Glasses,kakobuy,kakebuy2026,kekobuysheet,kakobuysheet2026,2026kakobuy,kakobuyspreadsheeet,kakobuylink,kakebuylist,Kakobuy MEGA Spreadsheet,kakobuysheetfind,kakobuysheetfind2026,2026kakobuysheetfind,kakobuysheet2026</t>
        </is>
      </c>
      <c r="Q201" t="inlineStr">
        <is>
          <t>Dior, Acetate Fiber, Gradient, Unisex, Anti-Ultraviolet, Lightweight</t>
        </is>
      </c>
      <c r="R201" t="inlineStr">
        <is>
          <t>recvhju1Cr6L1P</t>
        </is>
      </c>
      <c r="S201" t="inlineStr">
        <is>
          <t>dior-black-square-gradient-gray-sunglasses-recvhju1cr6l1p</t>
        </is>
      </c>
      <c r="T201"/>
      <c r="U201"/>
      <c r="V201"/>
      <c r="W201" t="inlineStr">
        <is>
          <t>{"id":"chatcmpl-Da9sW8RbnSMxLP5gdqcRsVKUhZ5Rh","object":"chat.completion","created":1777510152,"model":"gpt-5-chat-2025-10-03","choices":[{"index":0,"message":{"role":"assistant","content":"Dior：黑色方框太阳眼镜，灵感源自现代都市美学，采用高密度醋酸纤维与金属铰链设计，镜片渐变灰色防紫外线，佩戴舒适轻盈，呈现简约又不失高级的时尚质感，男女皆宜，彰显优雅格调。","refusal":null,"annotations":[]},"logprobs":null,"finish_reason":"stop"}],"usage":{"prompt_tokens":1300,"completion_tokens":82,"total_tokens":1382,"prompt_tokens_details":{"cached_tokens":1280,"audio_tokens":0},"completion_tokens_details":{"reasoning_tokens":0,"audio_tokens":0,"accepted_prediction_tokens":0,"rejected_prediction_tokens":0}},"service_tier":"default","system_fingerprint":"fp_fd471178c5"}</t>
        </is>
      </c>
      <c r="X201" t="inlineStr">
        <is>
          <t>Dior：黑色方框太阳眼镜，灵感源自现代都市美学，采用高密度醋酸纤维与金属铰链设计，镜片渐变灰色防紫外线，佩戴舒适轻盈，呈现简约又不失高级的时尚质感，男女皆宜，彰显优雅格调。</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