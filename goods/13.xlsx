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nsbuy 商品导入 05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1839115443</v>
      </c>
      <c r="B2">
        <v>7765614561</v>
      </c>
      <c r="C2" s="2" t="str">
        <f>=HYPERLINK("https://weidian.com/item.html?itemID=7765614561", "https://weidian.com/item.html?itemID=7765614561")</f>
        <v>https://weidian.com/item.html?itemID=7765614561</v>
      </c>
      <c r="D2"/>
      <c r="E2" s="2" t="str">
        <f>=HYPERLINK("https://si.geilicdn.com/open1839115443-252808396-13ba0000019e2f900b250a8115c2_1440_1440.jpg?w=640&amp;h=640", "https://si.geilicdn.com/open1839115443-252808396-13ba0000019e2f900b250a8115c2_1440_1440.jpg?w=640&amp;h=640")</f>
        <v>https://si.geilicdn.com/open1839115443-252808396-13ba0000019e2f900b250a8115c2_1440_1440.jpg?w=640&amp;h=640</v>
      </c>
      <c r="F2" t="inlineStr">
        <is>
          <t>Pans</t>
        </is>
      </c>
      <c r="G2" t="inlineStr">
        <is>
          <t>Balenciaga</t>
        </is>
      </c>
      <c r="H2">
        <v>464</v>
      </c>
      <c r="I2">
        <v>67.25</v>
      </c>
      <c r="J2" t="inlineStr">
        <is>
          <t>{"id":"resp_0dda65933d33de02016a0858776730819989813771908f6bf0","object":"chat.completion","created":1778931839,"model":"gpt-5.5","choices":[{"index":0,"message":{"role":"assistant","content":"Balenciaga Dark Gray Loose Sweatpants Pink Logo Joggers"},"finish_reason":"stop"}],"usage":{"prompt_tokens":737,"completion_tokens":352,"total_tokens":1089}}</t>
        </is>
      </c>
      <c r="K2" t="inlineStr">
        <is>
          <t>Balenciaga Dark Gray Loose Sweatpants Pink Logo Joggers</t>
        </is>
      </c>
      <c r="L2" t="inlineStr">
        <is>
          <t>{"id":"resp_0ad5d453ab29583d016a085708e1648194909e57e020d18465","object":"chat.completion","created":1778931468,"model":"gpt-5.5","choices":[{"index":0,"message":{"role":"assistant","content":"Balenciaga dark gray loose sweatpants, unisex cotton terry knit joggers with elastic drawstring waist, side pockets, pink logo embroidery, raw hem streetwear pants"},"finish_reason":"stop"}],"usage":{"prompt_tokens":755,"completion_tokens":83,"total_tokens":838}}</t>
        </is>
      </c>
      <c r="M2" t="inlineStr">
        <is>
          <t>{"alt-svc":"h3=\":443\"; ma=2592000","connection":"close","content-length":"456","content-type":"application/json; charset=utf-8","date":"Sat, 16 May 2026 11:37:48 GMT","referrer-policy":"strict-origin-when-cross-origin","server":"Caddy","strict-transport-security":"max-age=31536000; includeSubDomains; preload","vary":"Accept-Encoding","x-content-type-options":"nosniff","x-frame-options":"DENY","x-new-api-version":"v1.0.0-rc.2","x-oneapi-request-id":"202605161137445747482358268d9d6FN27jpxC","x-request-id":"67f18b20-8523-4d78-8932-8c8c7b5c0e74"}</t>
        </is>
      </c>
      <c r="N2" t="inlineStr">
        <is>
          <t>Balenciaga dark gray loose sweatpants, unisex cotton terry knit joggers with elastic drawstring waist, side pockets, pink logo embroidery, raw hem streetwear pants</t>
        </is>
      </c>
      <c r="O2" t="inlineStr">
        <is>
          <t>{"id":"resp_0b66f6d4d7630632016a085ab08d148197b607bb6aba213864","object":"chat.completion","created":1778932409,"model":"gpt-5.5","choices":[{"index":0,"message":{"role":"assistant","content":"Balenciaga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kakobuysheet2026"},"finish_reason":"stop"}],"usage":{"prompt_tokens":645,"completion_tokens":358,"total_tokens":1003}}</t>
        </is>
      </c>
      <c r="P2"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2" t="inlineStr">
        <is>
          <t>Balenciaga, Dark Grey, Unisex, Streetwear, Joggers</t>
        </is>
      </c>
      <c r="R2" t="inlineStr">
        <is>
          <t>recvjLGBrn3aRc</t>
        </is>
      </c>
      <c r="S2" t="inlineStr">
        <is>
          <t>balenciaga-dark-gray-loose-sweatpants-pink-logo-joggers-recvjlgb rn3arc</t>
        </is>
      </c>
      <c r="T2"/>
      <c r="U2"/>
      <c r="V2"/>
      <c r="W2" t="inlineStr">
        <is>
          <t>{"id":"resp_09721b42fa561c9f016a08562bb878819ba1343d964af1c031","object":"chat.completion","created":1778931247,"model":"gpt-5.5","choices":[{"index":0,"message":{"role":"assistant","content":"巴黎世家Balenciaga：深灰宽松运动长裤，松紧腰抽绳侧袋，棉质针织毛圈，小粉标刺绣，毛边裤脚，Demna街头男女同款休闲裤"},"finish_reason":"stop"}],"usage":{"prompt_tokens":1171,"completion_tokens":157,"total_tokens":1328}}</t>
        </is>
      </c>
      <c r="X2" t="inlineStr">
        <is>
          <t>巴黎世家Balenciaga：深灰宽松运动长裤，松紧腰抽绳侧袋，棉质针织毛圈，小粉标刺绣，毛边裤脚，Demna街头男女同款休闲裤</t>
        </is>
      </c>
    </row>
    <row r="3" ht="25.5" customHeight="1">
      <c r="A3">
        <v>1839115443</v>
      </c>
      <c r="B3">
        <v>7765163091</v>
      </c>
      <c r="C3" s="2" t="str">
        <f>=HYPERLINK("https://weidian.com/item.html?itemID=7765163091", "https://weidian.com/item.html?itemID=7765163091")</f>
        <v>https://weidian.com/item.html?itemID=7765163091</v>
      </c>
      <c r="D3"/>
      <c r="E3" s="2" t="str">
        <f>=HYPERLINK("https://si.geilicdn.com/open1839115443-252808396-17890000019e2f9b4db00a8133b0_1440_1920.jpg?w=640&amp;h=640", "https://si.geilicdn.com/open1839115443-252808396-17890000019e2f9b4db00a8133b0_1440_1920.jpg?w=640&amp;h=640")</f>
        <v>https://si.geilicdn.com/open1839115443-252808396-17890000019e2f9b4db00a8133b0_1440_1920.jpg?w=640&amp;h=640</v>
      </c>
      <c r="F3" t="inlineStr">
        <is>
          <t>T-Shirts</t>
        </is>
      </c>
      <c r="G3" t="inlineStr">
        <is>
          <t>Balenciaga</t>
        </is>
      </c>
      <c r="H3">
        <v>254</v>
      </c>
      <c r="I3">
        <v>36.81</v>
      </c>
      <c r="J3" t="inlineStr">
        <is>
          <t>{"id":"resp_0ebc7b40f6fb3703016a085990bbec819a86be335f4b00e1d3","object":"chat.completion","created":1778932115,"model":"gpt-5.5","choices":[{"index":0,"message":{"role":"assistant","content":"Balenciaga White Oversized Green Graffiti Logo T-Shirt"},"finish_reason":"stop"}],"usage":{"prompt_tokens":883,"completion_tokens":106,"total_tokens":989}}</t>
        </is>
      </c>
      <c r="K3" t="inlineStr">
        <is>
          <t>Balenciaga White Oversized Green Graffiti Logo T-Shirt</t>
        </is>
      </c>
      <c r="L3" t="inlineStr">
        <is>
          <t>{"id":"resp_0e89e11fbbb27302016a08576d76d8819bacb43aa7ea9ad73e","object":"chat.completion","created":1778931568,"model":"gpt-5.5","choices":[{"index":0,"message":{"role":"assistant","content":"Balenciaga white oversized T-shirt, cotton casual short sleeve with green EVERYTHING graffiti logo print, unisex streetwear top"},"finish_reason":"stop"}],"usage":{"prompt_tokens":915,"completion_tokens":117,"total_tokens":1032}}</t>
        </is>
      </c>
      <c r="M3" t="inlineStr">
        <is>
          <t>{"alt-svc":"h3=\":443\"; ma=2592000","connection":"close","content-length":"422","content-type":"application/json; charset=utf-8","date":"Sat, 16 May 2026 11:39:28 GMT","referrer-policy":"strict-origin-when-cross-origin","server":"Caddy","strict-transport-security":"max-age=31536000; includeSubDomains; preload","vary":"Accept-Encoding","x-content-type-options":"nosniff","x-frame-options":"DENY","x-new-api-version":"v1.0.0-rc.2","x-oneapi-request-id":"202605161139252142979748268d9d6ZlBPZLEP","x-request-id":"a4df1234-746b-4b4a-af13-4603ff4eee30"}</t>
        </is>
      </c>
      <c r="N3" t="inlineStr">
        <is>
          <t>Balenciaga white oversized T-shirt, cotton casual short sleeve with green EVERYTHING graffiti logo print, unisex streetwear top</t>
        </is>
      </c>
      <c r="O3" t="inlineStr">
        <is>
          <t>{"id":"resp_002d631f6e76a194016a085a9131f88196b8d3ca8299ff2af0","object":"chat.completion","created":1778932378,"model":"gpt-5.5","choices":[{"index":0,"message":{"role":"assistant","content":"Balenciaga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kakobuysheet2026"},"finish_reason":"stop"}],"usage":{"prompt_tokens":813,"completion_tokens":358,"total_tokens":1171}}</t>
        </is>
      </c>
      <c r="P3"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3" t="inlineStr">
        <is>
          <t>Balenciaga, White, Unisex, Streetwear</t>
        </is>
      </c>
      <c r="R3" t="inlineStr">
        <is>
          <t>recvjLGOf46xLM</t>
        </is>
      </c>
      <c r="S3" t="inlineStr">
        <is>
          <t>balenciaga-white-oversized-green-graffiti-logo-tshirt-recvjlgof46xlm</t>
        </is>
      </c>
      <c r="T3"/>
      <c r="U3"/>
      <c r="V3"/>
      <c r="W3" t="inlineStr">
        <is>
          <t>{"id":"resp_0445d20838304b2f016a085660cfa081949756e93c84254819","object":"chat.completion","created":1778931305,"model":"gpt-5.5","choices":[{"index":0,"message":{"role":"assistant","content":"巴黎世家白色宽松短袖T恤，纯棉休闲面料，胸前绿色EVERYTHING涂鸦Logo印花，街头潮流男女同款上衣"},"finish_reason":"stop"}],"usage":{"prompt_tokens":1341,"completion_tokens":147,"total_tokens":1488}}</t>
        </is>
      </c>
      <c r="X3" t="inlineStr">
        <is>
          <t>巴黎世家白色宽松短袖T恤，纯棉休闲面料，胸前绿色EVERYTHING涂鸦Logo印花，街头潮流男女同款上衣</t>
        </is>
      </c>
    </row>
    <row r="4" ht="25.5" customHeight="1">
      <c r="A4">
        <v>1839115443</v>
      </c>
      <c r="B4">
        <v>7768697606</v>
      </c>
      <c r="C4" s="2" t="str">
        <f>=HYPERLINK("https://weidian.com/item.html?itemID=7768697606", "https://weidian.com/item.html?itemID=7768697606")</f>
        <v>https://weidian.com/item.html?itemID=7768697606</v>
      </c>
      <c r="D4"/>
      <c r="E4" s="2" t="str">
        <f>=HYPERLINK("https://si.geilicdn.com/open1839115443-252808396-3fa90000019e2f9bcd6f0a22d249_1440_1920.jpg?w=640&amp;h=640", "https://si.geilicdn.com/open1839115443-252808396-3fa90000019e2f9bcd6f0a22d249_1440_1920.jpg?w=640&amp;h=640")</f>
        <v>https://si.geilicdn.com/open1839115443-252808396-3fa90000019e2f9bcd6f0a22d249_1440_1920.jpg?w=640&amp;h=640</v>
      </c>
      <c r="F4" t="inlineStr">
        <is>
          <t>T-Shirts</t>
        </is>
      </c>
      <c r="G4" t="inlineStr">
        <is>
          <t>Balenciaga</t>
        </is>
      </c>
      <c r="H4">
        <v>254</v>
      </c>
      <c r="I4">
        <v>36.81</v>
      </c>
      <c r="J4" t="inlineStr">
        <is>
          <t>{"id":"resp_00bc5463a88b6ab3016a0859a7b784819b92c3f238b9182206","object":"chat.completion","created":1778932143,"model":"gpt-5.5","choices":[{"index":0,"message":{"role":"assistant","content":"Balenciaga Black Lightning Eiffel Tower Oversized T-Shirt"},"finish_reason":"stop"}],"usage":{"prompt_tokens":885,"completion_tokens":344,"total_tokens":1229}}</t>
        </is>
      </c>
      <c r="K4" t="inlineStr">
        <is>
          <t>Balenciaga Black Lightning Eiffel Tower Oversized T-Shirt</t>
        </is>
      </c>
      <c r="L4" t="inlineStr">
        <is>
          <t>{"id":"resp_09aecd8b1b5d506b016a0856eac88c819786c0029ab56be8ef","object":"chat.completion","created":1778931438,"model":"gpt-5.5","choices":[{"index":0,"message":{"role":"assistant","content":"Balenciaga black oversized cotton T-shirt with blue lightning Eiffel Tower gothic logo print, unisex vintage streetwear short sleeve tee"},"finish_reason":"stop"}],"usage":{"prompt_tokens":920,"completion_tokens":101,"total_tokens":1021}}</t>
        </is>
      </c>
      <c r="M4" t="inlineStr">
        <is>
          <t>{"alt-svc":"h3=\":443\"; ma=2592000","connection":"close","content-length":"431","content-type":"application/json; charset=utf-8","date":"Sat, 16 May 2026 11:37:18 GMT","referrer-policy":"strict-origin-when-cross-origin","server":"Caddy","strict-transport-security":"max-age=31536000; includeSubDomains; preload","vary":"Accept-Encoding","x-content-type-options":"nosniff","x-frame-options":"DENY","x-new-api-version":"v1.0.0-rc.2","x-oneapi-request-id":"202605161137145012878748268d9d6t8U36qEd","x-request-id":"71e57de9-9b24-4e7a-8dda-412052e0e120"}</t>
        </is>
      </c>
      <c r="N4" t="inlineStr">
        <is>
          <t>Balenciaga black oversized cotton T-shirt with blue lightning Eiffel Tower gothic logo print, unisex vintage streetwear short sleeve tee</t>
        </is>
      </c>
      <c r="O4" t="inlineStr">
        <is>
          <t>{"id":"resp_068ff0247ff090ea016a085b59a48481949bd63056dc49d60e","object":"chat.completion","created":1778932582,"model":"gpt-5.5","choices":[{"index":0,"message":{"role":"assistant","content":"Balenciaga, T-Shirts, kakobuy\nBalenciaga, T-Shirts, kakebuy2026\nBalenciaga, T-Shirts, kekobuysheet\nBalenciaga, T-Shirts, kakobuysheet2026\nBalenciaga, T-Shirts, 2026kakobuy\nBalenciaga, T-Shirts, kakobuyspreadsheeet\nBalenciaga, T-Shirts, kakobuylink\nBalenciaga, T-Shirts, kakebuylist\nBalenciaga, T-Shirts, Kakobuy MEGA Spreadsheet\nBalenciaga, T-Shirts, kakobuysheetfind\nBalenciaga, T-Shirts, kakobuysheetfind2026\nBalenciaga, T-Shirts, 2026kakobuysheetfind\nBalenciaga, T-Shirts, kakobuysheet2026"},"finish_reason":"stop"}],"usage":{"prompt_tokens":813,"completion_tokens":628,"total_tokens":1441}}</t>
        </is>
      </c>
      <c r="P4"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4" t="inlineStr">
        <is>
          <t>Balenciaga, Black, Gothic, Vintage, Streetwear, Unisex</t>
        </is>
      </c>
      <c r="R4" t="inlineStr">
        <is>
          <t>recvjLGOf4eddu</t>
        </is>
      </c>
      <c r="S4" t="inlineStr">
        <is>
          <t>balenciaga-black-lightning-eiffel-tower-oversized-t-shirt-recvjlgof4eddu</t>
        </is>
      </c>
      <c r="T4"/>
      <c r="U4"/>
      <c r="V4"/>
      <c r="W4" t="inlineStr">
        <is>
          <t>{"id":"resp_01d2cd28675c7dbd016a0855a2ae308198b12247a9305290ec","object":"chat.completion","created":1778931111,"model":"gpt-5.5","choices":[{"index":0,"message":{"role":"assistant","content":"巴黎世家Balenciaga黑色宽松短袖T恤，棉质面料，蓝色闪电埃菲尔铁塔哥特Logo印花，复古街头男女同款潮流上衣"},"finish_reason":"stop"}],"usage":{"prompt_tokens":1343,"completion_tokens":178,"total_tokens":1521}}</t>
        </is>
      </c>
      <c r="X4" t="inlineStr">
        <is>
          <t>巴黎世家Balenciaga黑色宽松短袖T恤，棉质面料，蓝色闪电埃菲尔铁塔哥特Logo印花，复古街头男女同款潮流上衣</t>
        </is>
      </c>
    </row>
    <row r="5" ht="25.5" customHeight="1">
      <c r="A5">
        <v>1839115443</v>
      </c>
      <c r="B5">
        <v>7765599339</v>
      </c>
      <c r="C5" s="2" t="str">
        <f>=HYPERLINK("https://weidian.com/item.html?itemID=7765599339", "https://weidian.com/item.html?itemID=7765599339")</f>
        <v>https://weidian.com/item.html?itemID=7765599339</v>
      </c>
      <c r="D5"/>
      <c r="E5" s="2" t="str">
        <f>=HYPERLINK("https://si.geilicdn.com/open1839115443-252808396-333e0000019e2f9b46b30a231226_1080_1080.jpg?w=640&amp;h=640", "https://si.geilicdn.com/open1839115443-252808396-333e0000019e2f9b46b30a231226_1080_1080.jpg?w=640&amp;h=640")</f>
        <v>https://si.geilicdn.com/open1839115443-252808396-333e0000019e2f9b46b30a231226_1080_1080.jpg?w=640&amp;h=640</v>
      </c>
      <c r="F5" t="inlineStr">
        <is>
          <t>Pans</t>
        </is>
      </c>
      <c r="G5" t="inlineStr">
        <is>
          <t>Balenciaga</t>
        </is>
      </c>
      <c r="H5">
        <v>424</v>
      </c>
      <c r="I5">
        <v>61.45</v>
      </c>
      <c r="J5" t="inlineStr">
        <is>
          <t>{"id":"resp_080300e1f1217b80016a0858f55a0881989ea665f806cb14db","object":"chat.completion","created":1778931960,"model":"gpt-5.5","choices":[{"index":0,"message":{"role":"assistant","content":"Balenciaga Black Wide Leg Elastic Waist Pants"},"finish_reason":"stop"}],"usage":{"prompt_tokens":722,"completion_tokens":103,"total_tokens":825}}</t>
        </is>
      </c>
      <c r="K5" t="inlineStr">
        <is>
          <t>Balenciaga Black Wide Leg Elastic Waist Pants</t>
        </is>
      </c>
      <c r="L5" t="inlineStr">
        <is>
          <t>{"id":"resp_04b5c50553815316016a085735ee408194a97a54c9bc9fd432","object":"chat.completion","created":1778931512,"model":"gpt-5.5","choices":[{"index":0,"message":{"role":"assistant","content":"Balenciaga black elastic waist wide-leg pants, soft cotton blend, side pockets, logo patch, unisex streetwear casual sports trousers."},"finish_reason":"stop"}],"usage":{"prompt_tokens":747,"completion_tokens":79,"total_tokens":826}}</t>
        </is>
      </c>
      <c r="M5" t="inlineStr">
        <is>
          <t>{"alt-svc":"h3=\":443\"; ma=2592000","connection":"close","content-length":"426","content-type":"application/json; charset=utf-8","date":"Sat, 16 May 2026 11:38:32 GMT","referrer-policy":"strict-origin-when-cross-origin","server":"Caddy","strict-transport-security":"max-age=31536000; includeSubDomains; preload","vary":"Accept-Encoding","x-content-type-options":"nosniff","x-frame-options":"DENY","x-new-api-version":"v1.0.0-rc.2","x-oneapi-request-id":"202605161138281141166008268d9d6qKoIRPQh","x-request-id":"bfc38e16-a717-4a30-af8f-06877e35d21c"}</t>
        </is>
      </c>
      <c r="N5" t="inlineStr">
        <is>
          <t>Balenciaga black elastic waist wide-leg pants, soft cotton blend, side pockets, logo patch, unisex streetwear casual sports trousers.</t>
        </is>
      </c>
      <c r="O5" t="inlineStr">
        <is>
          <t>{"id":"resp_0beaae3f61565b7e016a085bb02d88819aba6d9594ed373a49","object":"chat.completion","created":1778932663,"model":"gpt-5.5","choices":[{"index":0,"message":{"role":"assistant","content":"Balenciaga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kakobuysheet2026"},"finish_reason":"stop"}],"usage":{"prompt_tokens":645,"completion_tokens":338,"total_tokens":983}}</t>
        </is>
      </c>
      <c r="P5"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5" t="inlineStr">
        <is>
          <t>Balenciaga, Black, Unisex, Streetwear</t>
        </is>
      </c>
      <c r="R5" t="inlineStr">
        <is>
          <t>recvjLGOf4ffX0</t>
        </is>
      </c>
      <c r="S5" t="inlineStr">
        <is>
          <t>balenciaga-black-wide-leg-elastic-waist-pants-recvjlgof4ffx0</t>
        </is>
      </c>
      <c r="T5"/>
      <c r="U5"/>
      <c r="V5"/>
      <c r="W5" t="inlineStr">
        <is>
          <t>{"id":"resp_0b881ff34d62e7fb016a08556c1e2481949c5a3e2236d12daa","object":"chat.completion","created":1778931056,"model":"gpt-5.5","choices":[{"index":0,"message":{"role":"assistant","content":"巴黎世家 Balenciaga 黑色松紧腰阔腿休闲裤，柔软棉质混纺，侧袋实用，小标贴布设计，男女同款街头运动长裤"},"finish_reason":"stop"}],"usage":{"prompt_tokens":1171,"completion_tokens":138,"total_tokens":1309}}</t>
        </is>
      </c>
      <c r="X5" t="inlineStr">
        <is>
          <t>巴黎世家 Balenciaga 黑色松紧腰阔腿休闲裤，柔软棉质混纺，侧袋实用，小标贴布设计，男女同款街头运动长裤</t>
        </is>
      </c>
    </row>
    <row r="6" ht="25.5" customHeight="1">
      <c r="A6">
        <v>1839115443</v>
      </c>
      <c r="B6">
        <v>7765685995</v>
      </c>
      <c r="C6" s="2" t="str">
        <f>=HYPERLINK("https://weidian.com/item.html?itemID=7765685995", "https://weidian.com/item.html?itemID=7765685995")</f>
        <v>https://weidian.com/item.html?itemID=7765685995</v>
      </c>
      <c r="D6"/>
      <c r="E6" s="2" t="str">
        <f>=HYPERLINK("https://si.geilicdn.com/open1839115443-252808396-2fc30000019e2f945d860a23b4de_1440_1920.jpg?w=640&amp;h=640", "https://si.geilicdn.com/open1839115443-252808396-2fc30000019e2f945d860a23b4de_1440_1920.jpg?w=640&amp;h=640")</f>
        <v>https://si.geilicdn.com/open1839115443-252808396-2fc30000019e2f945d860a23b4de_1440_1920.jpg?w=640&amp;h=640</v>
      </c>
      <c r="F6" t="inlineStr">
        <is>
          <t>T-Shirts</t>
        </is>
      </c>
      <c r="G6" t="inlineStr">
        <is>
          <t>Balenciaga</t>
        </is>
      </c>
      <c r="H6">
        <v>254</v>
      </c>
      <c r="I6">
        <v>36.81</v>
      </c>
      <c r="J6" t="inlineStr">
        <is>
          <t>{"id":"resp_00cc66151be07f4c016a0858b7a6408196b49f071bfd3bc0b3","object":"chat.completion","created":1778931899,"model":"gpt-5.5","choices":[{"index":0,"message":{"role":"assistant","content":"Balenciaga White Cotton Blue Drip Logo Oversized T-Shirt"},"finish_reason":"stop"}],"usage":{"prompt_tokens":884,"completion_tokens":130,"total_tokens":1014}}</t>
        </is>
      </c>
      <c r="K6" t="inlineStr">
        <is>
          <t>Balenciaga White Cotton Blue Drip Logo Oversized T-Shirt</t>
        </is>
      </c>
      <c r="L6" t="inlineStr">
        <is>
          <t>{"id":"resp_0fed7b23dad36f0a016a085721f3148190832a13abcd5ab358","object":"chat.completion","created":1778931495,"model":"gpt-5.5","choices":[{"index":0,"message":{"role":"assistant","content":"Balenciaga white cotton T-shirt with blue spray drip logo, oversized unisex fit, short sleeve streetwear casual top."},"finish_reason":"stop"}],"usage":{"prompt_tokens":915,"completion_tokens":77,"total_tokens":992}}</t>
        </is>
      </c>
      <c r="M6" t="inlineStr">
        <is>
          <t>{"alt-svc":"h3=\":443\"; ma=2592000","connection":"close","content-length":"409","content-type":"application/json; charset=utf-8","date":"Sat, 16 May 2026 11:38:15 GMT","referrer-policy":"strict-origin-when-cross-origin","server":"nginx/1.24.0 (Ubuntu)","strict-transport-security":"max-age=31536000; includeSubDomains; preload","vary":"Accept-Encoding","via":"1.1 Caddy","x-content-type-options":"nosniff","x-frame-options":"DENY","x-new-api-version":"v1.0.0-rc.2","x-oneapi-request-id":"202605161138097150434068268d9d6UrDlFTbz","x-request-id":"4228d68c-23ff-4d27-bc92-c76f6504a94d"}</t>
        </is>
      </c>
      <c r="N6" t="inlineStr">
        <is>
          <t>Balenciaga white cotton T-shirt with blue spray drip logo, oversized unisex fit, short sleeve streetwear casual top.</t>
        </is>
      </c>
      <c r="O6" t="inlineStr">
        <is>
          <t>{"id":"resp_0d940eb84a795ae8016a085b19e8d08196bd58243a559fd4e8","object":"chat.completion","created":1778932515,"model":"gpt-5.5","choices":[{"index":0,"message":{"role":"assistant","content":"Balenciaga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kakobuysheet2026"},"finish_reason":"stop"}],"usage":{"prompt_tokens":813,"completion_tokens":381,"total_tokens":1194}}</t>
        </is>
      </c>
      <c r="P6"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6" t="inlineStr">
        <is>
          <t>Balenciaga, White, Streetwear, Unisex, Summer</t>
        </is>
      </c>
      <c r="R6" t="inlineStr">
        <is>
          <t>recvjLGOf4Y7My</t>
        </is>
      </c>
      <c r="S6" t="inlineStr">
        <is>
          <t>balenciaga-white-cotton-blue-drip-logo-oversized-t-shirt-recvjlgof4y7my</t>
        </is>
      </c>
      <c r="T6"/>
      <c r="U6"/>
      <c r="V6"/>
      <c r="W6" t="inlineStr">
        <is>
          <t>{"id":"resp_0ed85953299051ae016a0855eae75481998da65318d9c98781","object":"chat.completion","created":1778931183,"model":"gpt-5.5","choices":[{"index":0,"message":{"role":"assistant","content":"巴黎世家Balenciaga白色短袖T恤，纯棉面料，胸前蓝色喷绘滴落Logo，宽松廓形，男女同款街头休闲上衣。"},"finish_reason":"stop"}],"usage":{"prompt_tokens":1339,"completion_tokens":151,"total_tokens":1490}}</t>
        </is>
      </c>
      <c r="X6" t="inlineStr">
        <is>
          <t>巴黎世家Balenciaga白色短袖T恤，纯棉面料，胸前蓝色喷绘滴落Logo，宽松廓形，男女同款街头休闲上衣。</t>
        </is>
      </c>
    </row>
    <row r="7" ht="25.5" customHeight="1">
      <c r="A7">
        <v>1839115443</v>
      </c>
      <c r="B7">
        <v>7768602612</v>
      </c>
      <c r="C7" s="2" t="str">
        <f>=HYPERLINK("https://weidian.com/item.html?itemID=7768602612", "https://weidian.com/item.html?itemID=7768602612")</f>
        <v>https://weidian.com/item.html?itemID=7768602612</v>
      </c>
      <c r="D7"/>
      <c r="E7" s="2" t="str">
        <f>=HYPERLINK("https://si.geilicdn.com/open1839115443-252808396-2ab90000019e2f91d56e0aa08239_1440_1440.jpg?w=640&amp;h=640", "https://si.geilicdn.com/open1839115443-252808396-2ab90000019e2f91d56e0aa08239_1440_1440.jpg?w=640&amp;h=640")</f>
        <v>https://si.geilicdn.com/open1839115443-252808396-2ab90000019e2f91d56e0aa08239_1440_1440.jpg?w=640&amp;h=640</v>
      </c>
      <c r="F7" t="inlineStr">
        <is>
          <t>Pans</t>
        </is>
      </c>
      <c r="G7" t="inlineStr">
        <is>
          <t>Balenciaga</t>
        </is>
      </c>
      <c r="H7">
        <v>554</v>
      </c>
      <c r="I7">
        <v>80.29</v>
      </c>
      <c r="J7" t="inlineStr">
        <is>
          <t>{"id":"resp_0face891de2252d6016a08599c7d40819a8d06fadf0a306f2d","object":"chat.completion","created":1778932127,"model":"gpt-5.5","choices":[{"index":0,"message":{"role":"assistant","content":"Balenciaga Off White Graffiti Wide Leg Cotton Pants"},"finish_reason":"stop"}],"usage":{"prompt_tokens":721,"completion_tokens":115,"total_tokens":836}}</t>
        </is>
      </c>
      <c r="K7" t="inlineStr">
        <is>
          <t>Balenciaga Off White Graffiti Wide Leg Cotton Pants</t>
        </is>
      </c>
      <c r="L7" t="inlineStr">
        <is>
          <t>{"id":"resp_04c244c8f2815a18016a0857ca50c88199ab1839f9e93b099a","object":"chat.completion","created":1778931661,"model":"gpt-5.5","choices":[{"index":0,"message":{"role":"assistant","content":"Balenciaga off-white relaxed wide-leg cotton pants, drawstring elastic waist, vintage graffiti embroidered motifs, unisex streetwear casual trousers"},"finish_reason":"stop"}],"usage":{"prompt_tokens":752,"completion_tokens":112,"total_tokens":864}}</t>
        </is>
      </c>
      <c r="M7" t="inlineStr">
        <is>
          <t>{"alt-svc":"h3=\":443\"; ma=2592000","connection":"close","content-length":"442","content-type":"application/json; charset=utf-8","date":"Sat, 16 May 2026 11:41:01 GMT","referrer-policy":"strict-origin-when-cross-origin","server":"Caddy","strict-transport-security":"max-age=31536000; includeSubDomains; preload","vary":"Accept-Encoding","x-content-type-options":"nosniff","x-frame-options":"DENY","x-new-api-version":"v1.0.0-rc.2","x-oneapi-request-id":"202605161140579140838678268d9d6Rn64k5oS","x-request-id":"e9df03d2-ac31-4f0a-b61d-01e350ab74b0"}</t>
        </is>
      </c>
      <c r="N7" t="inlineStr">
        <is>
          <t>Balenciaga off-white relaxed wide-leg cotton pants, drawstring elastic waist, vintage graffiti embroidered motifs, unisex streetwear casual trousers</t>
        </is>
      </c>
      <c r="O7" t="inlineStr">
        <is>
          <t>{"id":"resp_0e4bc2ba6d57c1a2016a085a8a11148197810d72e05e880584","object":"chat.completion","created":1778932370,"model":"gpt-5.5","choices":[{"index":0,"message":{"role":"assistant","content":"Balenciaga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kakobuysheet2026"},"finish_reason":"stop"}],"usage":{"prompt_tokens":645,"completion_tokens":352,"total_tokens":997}}</t>
        </is>
      </c>
      <c r="P7"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7" t="inlineStr">
        <is>
          <t>Balenciaga, Off-White, Unisex, Streetwear</t>
        </is>
      </c>
      <c r="R7" t="inlineStr">
        <is>
          <t>recvjLGOf4QYYh</t>
        </is>
      </c>
      <c r="S7" t="inlineStr">
        <is>
          <t>balenciaga-off-white-graffiti-wide-leg-cotton-pants-recvjlgof4qyyh</t>
        </is>
      </c>
      <c r="T7"/>
      <c r="U7"/>
      <c r="V7"/>
      <c r="W7" t="inlineStr">
        <is>
          <t>{"id":"resp_016bbcc476a13ee8016a08558c9bcc819a817ac4479030b947","object":"chat.completion","created":1778931089,"model":"gpt-5.5","choices":[{"index":0,"message":{"role":"assistant","content":"巴黎世家Balenciaga 米白色宽松阔腿休闲裤，棉质抽绳松紧腰，复古涂鸦刺绣图腾设计，男女同款街头潮流长裤"},"finish_reason":"stop"}],"usage":{"prompt_tokens":1171,"completion_tokens":190,"total_tokens":1361}}</t>
        </is>
      </c>
      <c r="X7" t="inlineStr">
        <is>
          <t>巴黎世家Balenciaga 米白色宽松阔腿休闲裤，棉质抽绳松紧腰，复古涂鸦刺绣图腾设计，男女同款街头潮流长裤</t>
        </is>
      </c>
    </row>
    <row r="8" ht="25.5" customHeight="1">
      <c r="A8">
        <v>1839115443</v>
      </c>
      <c r="B8">
        <v>7768577472</v>
      </c>
      <c r="C8" s="2" t="str">
        <f>=HYPERLINK("https://weidian.com/item.html?itemID=7768577472", "https://weidian.com/item.html?itemID=7768577472")</f>
        <v>https://weidian.com/item.html?itemID=7768577472</v>
      </c>
      <c r="D8"/>
      <c r="E8" s="2" t="str">
        <f>=HYPERLINK("https://si.geilicdn.com/open1839115443-252808396-323b0000019e2f9718e40a23b4de_1440_1920.jpg?w=640&amp;h=640", "https://si.geilicdn.com/open1839115443-252808396-323b0000019e2f9718e40a23b4de_1440_1920.jpg?w=640&amp;h=640")</f>
        <v>https://si.geilicdn.com/open1839115443-252808396-323b0000019e2f9718e40a23b4de_1440_1920.jpg?w=640&amp;h=640</v>
      </c>
      <c r="F8" t="inlineStr">
        <is>
          <t>T-Shirts</t>
        </is>
      </c>
      <c r="G8" t="inlineStr">
        <is>
          <t>Balenciaga</t>
        </is>
      </c>
      <c r="H8">
        <v>294</v>
      </c>
      <c r="I8">
        <v>42.61</v>
      </c>
      <c r="J8" t="inlineStr">
        <is>
          <t>{"id":"resp_06afcbae639404fd016a0859a4d6fc819baeb5d70d2a697be3","object":"chat.completion","created":1778932135,"model":"gpt-5.5","choices":[{"index":0,"message":{"role":"assistant","content":"Balenciaga Black Cotton Blue Palm Logo T-Shirt"},"finish_reason":"stop"}],"usage":{"prompt_tokens":887,"completion_tokens":84,"total_tokens":971}}</t>
        </is>
      </c>
      <c r="K8" t="inlineStr">
        <is>
          <t>Balenciaga Black Cotton Blue Palm Logo T-Shirt</t>
        </is>
      </c>
      <c r="L8" t="inlineStr">
        <is>
          <t>{"id":"resp_03e315747dcd702e016a0857356edc81938b97ad1234bd8a80","object":"chat.completion","created":1778931513,"model":"gpt-5.5","choices":[{"index":0,"message":{"role":"assistant","content":"Balenciaga black pure cotton short sleeve T-shirt with blue palm silhouette logo print, Demna-inspired streetwear casual unisex top"},"finish_reason":"stop"}],"usage":{"prompt_tokens":911,"completion_tokens":120,"total_tokens":1031}}</t>
        </is>
      </c>
      <c r="M8" t="inlineStr">
        <is>
          <t>{"alt-svc":"h3=\":443\"; ma=2592000","connection":"close","content-length":"426","content-type":"application/json; charset=utf-8","date":"Sat, 16 May 2026 11:38:33 GMT","referrer-policy":"strict-origin-when-cross-origin","server":"nginx/1.24.0 (Ubuntu)","strict-transport-security":"max-age=31536000; includeSubDomains; preload","vary":"Accept-Encoding","via":"1.1 Caddy","x-content-type-options":"nosniff","x-frame-options":"DENY","x-new-api-version":"v1.0.0-rc.2","x-oneapi-request-id":"202605161138292034821568268d9d6whfOPhxp","x-request-id":"79182930-56cc-4d28-951d-c42b850f5b5a"}</t>
        </is>
      </c>
      <c r="N8" t="inlineStr">
        <is>
          <t>Balenciaga black pure cotton short sleeve T-shirt with blue palm silhouette logo print, Demna-inspired streetwear casual unisex top</t>
        </is>
      </c>
      <c r="O8" t="inlineStr">
        <is>
          <t>{"id":"resp_086ef5df94bad004016a085a41ccfc8194ba35a68d1938ffe8","object":"chat.completion","created":1778932296,"model":"gpt-5.5","choices":[{"index":0,"message":{"role":"assistant","content":"Balenciaga,T-Shirts,kakobuy\nBalenciaga,T-Shirts,kakebuy2026\nBalenciaga,T-Shirts,kekobuysheet\nBalenciaga,T-Shirts,kakobuysheet2026\nBalenciaga,T-Shirts,2026kakobuy\nBalenciaga,T-Shirts,kakobuyspreadsheeet\nBalenciaga,T-Shirts,kakobuylink\nBalenciaga,T-Shirts,kakebuylist\nBalenciaga,T-Shirts,Kakobuy MEGA Spreadsheet\nBalenciaga,T-Shirts,kakobuysheetfind\nBalenciaga,T-Shirts,kakobuysheetfind2026\nBalenciaga,T-Shirts,2026kakobuysheetfind\nBalenciaga,T-Shirts,kakobuysheet2026"},"finish_reason":"stop"}],"usage":{"prompt_tokens":813,"completion_tokens":282,"total_tokens":1095}}</t>
        </is>
      </c>
      <c r="P8" t="inlineStr">
        <is>
          <t>Balenciaga,T-Shirts,kakobuy
Balenciaga,T-Shirts,kakebuy2026
Balenciaga,T-Shirts,kekobuysheet
Balenciaga,T-Shirts,kakobuysheet2026
Balenciaga,T-Shirts,2026kakobuy
Balenciaga,T-Shirts,kakobuyspreadsheeet
Balenciaga,T-Shirts,kakobuylink
Balenciaga,T-Shirts,kakebuylist
Balenciaga,T-Shirts,Kakobuy MEGA Spreadsheet
Balenciaga,T-Shirts,kakobuysheetfind
Balenciaga,T-Shirts,kakobuysheetfind2026
Balenciaga,T-Shirts,2026kakobuysheetfind
Balenciaga,T-Shirts,kakobuysheet2026</t>
        </is>
      </c>
      <c r="Q8" t="inlineStr">
        <is>
          <t>Balenciaga, Black, Streetwear, Unisex, Summer</t>
        </is>
      </c>
      <c r="R8" t="inlineStr">
        <is>
          <t>recvjLGOf4fReZ</t>
        </is>
      </c>
      <c r="S8" t="inlineStr">
        <is>
          <t>balenciaga-black-cotton-blue-palm-logo-tshirt-recvjlgof4frez</t>
        </is>
      </c>
      <c r="T8"/>
      <c r="U8"/>
      <c r="V8"/>
      <c r="W8" t="inlineStr">
        <is>
          <t>{"id":"resp_028f7ad60549e187016a085681b0d08196ad8e1d523cdb227a","object":"chat.completion","created":1778931334,"model":"gpt-5.5","choices":[{"index":0,"message":{"role":"assistant","content":"巴黎世家 Balenciaga 黑色纯棉短袖T恤，蓝色棕榈剪影印花Logo，Demna街头休闲男女同款上衣"},"finish_reason":"stop"}],"usage":{"prompt_tokens":1341,"completion_tokens":193,"total_tokens":1534}}</t>
        </is>
      </c>
      <c r="X8" t="inlineStr">
        <is>
          <t>巴黎世家 Balenciaga 黑色纯棉短袖T恤，蓝色棕榈剪影印花Logo，Demna街头休闲男女同款上衣</t>
        </is>
      </c>
    </row>
    <row r="9" ht="25.5" customHeight="1">
      <c r="A9">
        <v>1839115443</v>
      </c>
      <c r="B9">
        <v>7765648257</v>
      </c>
      <c r="C9" s="2" t="str">
        <f>=HYPERLINK("https://weidian.com/item.html?itemID=7765648257", "https://weidian.com/item.html?itemID=7765648257")</f>
        <v>https://weidian.com/item.html?itemID=7765648257</v>
      </c>
      <c r="D9"/>
      <c r="E9" s="2" t="str">
        <f>=HYPERLINK("https://si.geilicdn.com/open1839115443-252808396-27610000019e2f97559f0aa08269_1152_768.jpg?w=640&amp;h=640", "https://si.geilicdn.com/open1839115443-252808396-27610000019e2f97559f0aa08269_1152_768.jpg?w=640&amp;h=640")</f>
        <v>https://si.geilicdn.com/open1839115443-252808396-27610000019e2f97559f0aa08269_1152_768.jpg?w=640&amp;h=640</v>
      </c>
      <c r="F9" t="inlineStr">
        <is>
          <t>‌Underwear</t>
        </is>
      </c>
      <c r="G9" t="inlineStr">
        <is>
          <t>Balenciaga</t>
        </is>
      </c>
      <c r="H9">
        <v>204</v>
      </c>
      <c r="I9">
        <v>29.5652173913043</v>
      </c>
      <c r="J9" t="inlineStr">
        <is>
          <t>{"id":"resp_059f2a64c5d336ac016a0859730bd081949a87fbc19c10704c","object":"chat.completion","created":1778932086,"model":"gpt-5.5","choices":[{"index":0,"message":{"role":"assistant","content":"Balenciaga Men's Black Stretch Cotton Logo Boxer Briefs"},"finish_reason":"stop"}],"usage":{"prompt_tokens":569,"completion_tokens":141,"total_tokens":710}}</t>
        </is>
      </c>
      <c r="K9" t="inlineStr">
        <is>
          <t>Balenciaga Men's Black Stretch Cotton Logo Boxer Briefs</t>
        </is>
      </c>
      <c r="L9" t="inlineStr">
        <is>
          <t>{"id":"resp_0f7d708c9251bb83016a08576a25a8819bb2fc10498c606003","object":"chat.completion","created":1778931565,"model":"gpt-5.5","choices":[{"index":0,"message":{"role":"assistant","content":"Balenciaga men's black boxer briefs, stretch cotton, breathable close fit, logo waistband, minimalist sporty trunks underwear."},"finish_reason":"stop"}],"usage":{"prompt_tokens":594,"completion_tokens":126,"total_tokens":720}}</t>
        </is>
      </c>
      <c r="M9" t="inlineStr">
        <is>
          <t>{"alt-svc":"h3=\":443\"; ma=2592000","connection":"close","content-length":"420","content-type":"application/json; charset=utf-8","date":"Sat, 16 May 2026 11:39:25 GMT","referrer-policy":"strict-origin-when-cross-origin","server":"Caddy","strict-transport-security":"max-age=31536000; includeSubDomains; preload","vary":"Accept-Encoding","x-content-type-options":"nosniff","x-frame-options":"DENY","x-new-api-version":"v1.0.0-rc.2","x-oneapi-request-id":"202605161139217854401708268d9d6dwx5FkTj","x-request-id":"d59efdc6-092c-4fe2-851f-a611a7909453"}</t>
        </is>
      </c>
      <c r="N9" t="inlineStr">
        <is>
          <t>Balenciaga men's black boxer briefs, stretch cotton, breathable close fit, logo waistband, minimalist sporty trunks underwear.</t>
        </is>
      </c>
      <c r="O9" t="inlineStr">
        <is>
          <t>{"id":"resp_0d6676affe3c9df4016a085b2e6a188193995c909ba4b1aded","object":"chat.completion","created":1778932536,"model":"gpt-5.5","choices":[{"index":0,"message":{"role":"assistant","content":"Balenciaga Underwear kakobuy, Balenciaga Underwear kakebuy2026, Balenciaga Underwear kekobuysheet, Balenciaga Underwear kakobuysheet2026, Balenciaga Underwear 2026kakobuy, Balenciaga Underwear kakobuyspreadsheeet, Balenciaga Underwear kakobuylink, Balenciaga Underwear kakebuylist, Balenciaga Underwear Kakobuy MEGA Spreadsheet, Balenciaga Underwear kakobuysheetfind, Balenciaga Underwear kakobuysheetfind2026, Balenciaga Underwear 2026kakobuysheetfind, Balenciaga Underwear kakobuysheet2026"},"finish_reason":"stop"}],"usage":{"prompt_tokens":502,"completion_tokens":494,"total_tokens":996}}</t>
        </is>
      </c>
      <c r="P9" t="inlineStr">
        <is>
          <t>Balenciaga Underwear kakobuy, Balenciaga Underwear kakebuy2026, Balenciaga Underwear kekobuysheet, Balenciaga Underwear kakobuysheet2026, Balenciaga Underwear 2026kakobuy, Balenciaga Underwear kakobuyspreadsheeet, Balenciaga Underwear kakobuylink, Balenciaga Underwear kakebuylist, Balenciaga Underwear Kakobuy MEGA Spreadsheet, Balenciaga Underwear kakobuysheetfind, Balenciaga Underwear kakobuysheetfind2026, Balenciaga Underwear 2026kakobuysheetfind, Balenciaga Underwear kakobuysheet2026</t>
        </is>
      </c>
      <c r="Q9" t="inlineStr">
        <is>
          <t>Balenciaga, Men, Black, Minimalist, Sporty, Breathable</t>
        </is>
      </c>
      <c r="R9" t="inlineStr">
        <is>
          <t>recvjLGOf4Sc8K</t>
        </is>
      </c>
      <c r="S9" t="inlineStr">
        <is>
          <t>balenciaga-black-stretch-cotton-logo-boxer-briefs-recvjLGOf4Sc8K</t>
        </is>
      </c>
      <c r="T9"/>
      <c r="U9"/>
      <c r="V9"/>
      <c r="W9" t="inlineStr">
        <is>
          <t>{"id":"resp_0ae68f51ebcf3be1016a085644c7ac819bb4e6bd007dfdd4c1","object":"chat.completion","created":1778931272,"model":"gpt-5.5","choices":[{"index":0,"message":{"role":"assistant","content":"巴黎世家Balenciaga黑色男士平角内裤，弹力棉质透气贴身，腰头字母Logo，简约运动风四角裤"},"finish_reason":"stop"}],"usage":{"prompt_tokens":1022,"completion_tokens":156,"total_tokens":1178}}</t>
        </is>
      </c>
      <c r="X9" t="inlineStr">
        <is>
          <t>巴黎世家Balenciaga黑色男士平角内裤，弹力棉质透气贴身，腰头字母Logo，简约运动风四角裤</t>
        </is>
      </c>
    </row>
    <row r="10" ht="25.5" customHeight="1">
      <c r="A10">
        <v>1839115443</v>
      </c>
      <c r="B10">
        <v>7765693709</v>
      </c>
      <c r="C10" s="2" t="str">
        <f>=HYPERLINK("https://weidian.com/item.html?itemID=7765693709", "https://weidian.com/item.html?itemID=7765693709")</f>
        <v>https://weidian.com/item.html?itemID=7765693709</v>
      </c>
      <c r="D10"/>
      <c r="E10" s="2" t="str">
        <f>=HYPERLINK("https://si.geilicdn.com/open1839115443-252808396-39410000019e2f9772dd0a22d249_1080_1080.jpg?w=640&amp;h=640", "https://si.geilicdn.com/open1839115443-252808396-39410000019e2f9772dd0a22d249_1080_1080.jpg?w=640&amp;h=640")</f>
        <v>https://si.geilicdn.com/open1839115443-252808396-39410000019e2f9772dd0a22d249_1080_1080.jpg?w=640&amp;h=640</v>
      </c>
      <c r="F10" t="inlineStr">
        <is>
          <t>Pans</t>
        </is>
      </c>
      <c r="G10" t="inlineStr">
        <is>
          <t>Balenciaga</t>
        </is>
      </c>
      <c r="H10">
        <v>354</v>
      </c>
      <c r="I10">
        <v>51.3</v>
      </c>
      <c r="J10" t="inlineStr">
        <is>
          <t>{"id":"resp_021650611dadfdf5016a085961e2d4819ba1be1f2815f82923","object":"chat.completion","created":1778932070,"model":"gpt-5.5","choices":[{"index":0,"message":{"role":"assistant","content":"Balenciaga Gray Cotton Terry Logo Waist Sweat Shorts"},"finish_reason":"stop"}],"usage":{"prompt_tokens":725,"completion_tokens":195,"total_tokens":920}}</t>
        </is>
      </c>
      <c r="K10" t="inlineStr">
        <is>
          <t>Balenciaga Gray Cotton Terry Logo Waist Sweat Shorts</t>
        </is>
      </c>
      <c r="L10" t="inlineStr">
        <is>
          <t>{"id":"resp_094737a0f2853d3b016a0857768314819a9aae6ba7d8c9e34c","object":"chat.completion","created":1778931579,"model":"gpt-5.5","choices":[{"index":0,"message":{"role":"assistant","content":"Balenciaga gray cotton terry sweat shorts, white logo waistband, elastic high waist, wide leg knee-length unisex streetwear casual sports shorts"},"finish_reason":"stop"}],"usage":{"prompt_tokens":753,"completion_tokens":196,"total_tokens":949}}</t>
        </is>
      </c>
      <c r="M10" t="inlineStr">
        <is>
          <t>{"alt-svc":"h3=\":443\"; ma=2592000","connection":"close","content-length":"438","content-type":"application/json; charset=utf-8","date":"Sat, 16 May 2026 11:39:39 GMT","referrer-policy":"strict-origin-when-cross-origin","server":"Caddy","strict-transport-security":"max-age=31536000; includeSubDomains; preload","vary":"Accept-Encoding","x-content-type-options":"nosniff","x-frame-options":"DENY","x-new-api-version":"v1.0.0-rc.2","x-oneapi-request-id":"202605161139342283812208268d9d6DvjEkMIn","x-request-id":"5060b66d-4c14-4695-8f8b-c80551cd6030"}</t>
        </is>
      </c>
      <c r="N10" t="inlineStr">
        <is>
          <t>Balenciaga gray cotton terry sweat shorts, white logo waistband, elastic high waist, wide leg knee-length unisex streetwear casual sports shorts</t>
        </is>
      </c>
      <c r="O10" t="inlineStr">
        <is>
          <t>{"id":"resp_03a3de7ab34a2d16016a085ade165c8197bc1e548d872f535a","object":"chat.completion","created":1778932453,"model":"gpt-5.5","choices":[{"index":0,"message":{"role":"assistant","content":"Balenciaga shorts kakobuy, Balenciaga shorts kakebuy2026, Balenciaga shorts kekobuysheet, Balenciaga shorts kakobuysheet2026, Balenciaga shorts 2026kakobuy, Balenciaga shorts kakobuyspreadsheeet, Balenciaga shorts kakobuylink, Balenciaga shorts kakebuylist, Balenciaga shorts Kakobuy MEGA Spreadsheet, Balenciaga shorts kakobuysheetfind, Balenciaga shorts kakobuysheetfind2026, Balenciaga shorts 2026kakobuysheetfind, Balenciaga shorts kakobuysheet2026"},"finish_reason":"stop"}],"usage":{"prompt_tokens":645,"completion_tokens":320,"total_tokens":965}}</t>
        </is>
      </c>
      <c r="P10" t="inlineStr">
        <is>
          <t>Balenciaga shorts kakobuy, Balenciaga shorts kakebuy2026, Balenciaga shorts kekobuysheet, Balenciaga shorts kakobuysheet2026, Balenciaga shorts 2026kakobuy, Balenciaga shorts kakobuyspreadsheeet, Balenciaga shorts kakobuylink, Balenciaga shorts kakebuylist, Balenciaga shorts Kakobuy MEGA Spreadsheet, Balenciaga shorts kakobuysheetfind, Balenciaga shorts kakobuysheetfind2026, Balenciaga shorts 2026kakobuysheetfind, Balenciaga shorts kakobuysheet2026</t>
        </is>
      </c>
      <c r="Q10" t="inlineStr">
        <is>
          <t>Balenciaga, Grey, Unisex, Streetwear</t>
        </is>
      </c>
      <c r="R10" t="inlineStr">
        <is>
          <t>recvjLGOf4CUPd</t>
        </is>
      </c>
      <c r="S10" t="inlineStr">
        <is>
          <t>balenciaga-gray-cotton-terry-logo-waist-sweat-shorts-recvjlgof4cupd</t>
        </is>
      </c>
      <c r="T10"/>
      <c r="U10"/>
      <c r="V10"/>
      <c r="W10" t="inlineStr">
        <is>
          <t>{"id":"resp_0c416fec9579be2b016a0855e5010c819b955734442d464c6f","object":"chat.completion","created":1778931176,"model":"gpt-5.5","choices":[{"index":0,"message":{"role":"assistant","content":"巴黎世家 Balenciaga 灰色休闲运动短裤，白色拼接Logo腰头，棉质针织毛圈面料，松紧高腰阔腿设计，男女通用街头潮流五分裤"},"finish_reason":"stop"}],"usage":{"prompt_tokens":1169,"completion_tokens":156,"total_tokens":1325}}</t>
        </is>
      </c>
      <c r="X10" t="inlineStr">
        <is>
          <t>巴黎世家 Balenciaga 灰色休闲运动短裤，白色拼接Logo腰头，棉质针织毛圈面料，松紧高腰阔腿设计，男女通用街头潮流五分裤</t>
        </is>
      </c>
    </row>
    <row r="11" ht="25.5" customHeight="1">
      <c r="A11">
        <v>1839115443</v>
      </c>
      <c r="B11">
        <v>7768638076</v>
      </c>
      <c r="C11" s="2" t="str">
        <f>=HYPERLINK("https://weidian.com/item.html?itemID=7768638076", "https://weidian.com/item.html?itemID=7768638076")</f>
        <v>https://weidian.com/item.html?itemID=7768638076</v>
      </c>
      <c r="D11"/>
      <c r="E11" s="2" t="str">
        <f>=HYPERLINK("https://si.geilicdn.com/open1839115443-252808396-7fb20000019e2f67c3650a23b4de_750_1407.jpg?w=640&amp;h=640", "https://si.geilicdn.com/open1839115443-252808396-7fb20000019e2f67c3650a23b4de_750_1407.jpg?w=640&amp;h=640")</f>
        <v>https://si.geilicdn.com/open1839115443-252808396-7fb20000019e2f67c3650a23b4de_750_1407.jpg?w=640&amp;h=640</v>
      </c>
      <c r="F11" t="inlineStr">
        <is>
          <t>Pans</t>
        </is>
      </c>
      <c r="G11" t="inlineStr">
        <is>
          <t>Balenciaga</t>
        </is>
      </c>
      <c r="H11">
        <v>95</v>
      </c>
      <c r="I11">
        <v>13.77</v>
      </c>
      <c r="J11" t="inlineStr">
        <is>
          <t>{"id":"resp_06eb76b027ef6454016a0858b4c21c8196932e6353679d23f9","object":"chat.completion","created":1778931898,"model":"gpt-5.5","choices":[{"index":0,"message":{"role":"assistant","content":"Balenciaga Black Cargo Shorts Gray Graffiti Logo Unisex"},"finish_reason":"stop"}],"usage":{"prompt_tokens":1150,"completion_tokens":266,"total_tokens":1416}}</t>
        </is>
      </c>
      <c r="K11" t="inlineStr">
        <is>
          <t>Balenciaga Black Cargo Shorts Gray Graffiti Logo Unisex</t>
        </is>
      </c>
      <c r="L11" t="inlineStr">
        <is>
          <t>{"id":"resp_05194a774ab44035016a0857a24de48195b34f26022d747504","object":"chat.completion","created":1778931622,"model":"gpt-5.5","choices":[{"index":0,"message":{"role":"assistant","content":"Balenciaga black cargo shorts with gray graffiti logo print, multi-pocket utility design, streetwear unisex knee-length casual pants."},"finish_reason":"stop"}],"usage":{"prompt_tokens":1175,"completion_tokens":113,"total_tokens":1288}}</t>
        </is>
      </c>
      <c r="M11" t="inlineStr">
        <is>
          <t>{"alt-svc":"h3=\":443\"; ma=2592000","connection":"close","content-length":"429","content-type":"application/json; charset=utf-8","date":"Sat, 16 May 2026 11:40:22 GMT","referrer-policy":"strict-origin-when-cross-origin","server":"Caddy","strict-transport-security":"max-age=31536000; includeSubDomains; preload","vary":"Accept-Encoding","x-content-type-options":"nosniff","x-frame-options":"DENY","x-new-api-version":"v1.0.0-rc.2","x-oneapi-request-id":"20260516114018655655278268d9d6FtfqGlyB","x-request-id":"d5a35425-3a10-4beb-a95e-ba5006b207dc"}</t>
        </is>
      </c>
      <c r="N11" t="inlineStr">
        <is>
          <t>Balenciaga black cargo shorts with gray graffiti logo print, multi-pocket utility design, streetwear unisex knee-length casual pants.</t>
        </is>
      </c>
      <c r="O11" t="inlineStr">
        <is>
          <t>{"id":"resp_09be35a18e12b6e2016a085bac14d88195995ab8afc8bed3c3","object":"chat.completion","created":1778932659,"model":"gpt-5.5","choices":[{"index":0,"message":{"role":"assistant","content":"Balenciaga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kakobuysheet2026"},"finish_reason":"stop"}],"usage":{"prompt_tokens":1077,"completion_tokens":289,"total_tokens":1366}}</t>
        </is>
      </c>
      <c r="P11"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11" t="inlineStr">
        <is>
          <t>Balenciaga, Black, Cargo, Streetwear, Unisex</t>
        </is>
      </c>
      <c r="R11" t="inlineStr">
        <is>
          <t>recvjLGOf4rRrE</t>
        </is>
      </c>
      <c r="S11" t="inlineStr">
        <is>
          <t>balenciaga-black-cargo-shorts-gray-graffiti-logo-recvjlgof4rrre</t>
        </is>
      </c>
      <c r="T11"/>
      <c r="U11"/>
      <c r="V11"/>
      <c r="W11" t="inlineStr">
        <is>
          <t>{"id":"resp_0eb061a36a2edd53016a0855c4622c819a8c33612f23a55a73","object":"chat.completion","created":1778931143,"model":"gpt-5.5","choices":[{"index":0,"message":{"role":"assistant","content":"巴黎世家Balenciaga黑色工装短裤，灰色涂鸦Logo印花，多口袋休闲机能设计，街头潮流男女同款五分裤"},"finish_reason":"stop"}],"usage":{"prompt_tokens":1603,"completion_tokens":124,"total_tokens":1727}}</t>
        </is>
      </c>
      <c r="X11" t="inlineStr">
        <is>
          <t>巴黎世家Balenciaga黑色工装短裤，灰色涂鸦Logo印花，多口袋休闲机能设计，街头潮流男女同款五分裤</t>
        </is>
      </c>
    </row>
    <row r="12" ht="25.5" customHeight="1">
      <c r="A12">
        <v>1839115443</v>
      </c>
      <c r="B12">
        <v>7768660068</v>
      </c>
      <c r="C12" s="2" t="str">
        <f>=HYPERLINK("https://weidian.com/item.html?itemID=7768660068", "https://weidian.com/item.html?itemID=7768660068")</f>
        <v>https://weidian.com/item.html?itemID=7768660068</v>
      </c>
      <c r="D12"/>
      <c r="E12" s="2" t="str">
        <f>=HYPERLINK("https://si.geilicdn.com/open1839115443-252808396-26030000019e2f8474110a23b491_1440_1920.jpg?w=640&amp;h=640", "https://si.geilicdn.com/open1839115443-252808396-26030000019e2f8474110a23b491_1440_1920.jpg?w=640&amp;h=640")</f>
        <v>https://si.geilicdn.com/open1839115443-252808396-26030000019e2f8474110a23b491_1440_1920.jpg?w=640&amp;h=640</v>
      </c>
      <c r="F12" t="inlineStr">
        <is>
          <t>T-Shirts</t>
        </is>
      </c>
      <c r="G12" t="inlineStr">
        <is>
          <t>Balenciaga</t>
        </is>
      </c>
      <c r="H12">
        <v>294</v>
      </c>
      <c r="I12">
        <v>42.61</v>
      </c>
      <c r="J12" t="inlineStr">
        <is>
          <t>{"id":"resp_0091b92119c34c32016a085a04d1248198854ca972da034570","object":"chat.completion","created":1778932232,"model":"gpt-5.5","choices":[{"index":0,"message":{"role":"assistant","content":"Balenciaga Black Gothic Logo Cotton Crew Neck T-Shirt"},"finish_reason":"stop"}],"usage":{"prompt_tokens":888,"completion_tokens":118,"total_tokens":1006}}</t>
        </is>
      </c>
      <c r="K12" t="inlineStr">
        <is>
          <t>Balenciaga Black Gothic Logo Cotton Crew Neck T-Shirt</t>
        </is>
      </c>
      <c r="L12" t="inlineStr">
        <is>
          <t>{"id":"resp_0d7926ce4dd2db7d016a085709a7a08193aeee4012a330f069","object":"chat.completion","created":1778931468,"model":"gpt-5.5","choices":[{"index":0,"message":{"role":"assistant","content":"Balenciaga black gothic logo print T-shirt, soft cotton crew neck, relaxed unisex fit, short sleeve streetwear casual top."},"finish_reason":"stop"}],"usage":{"prompt_tokens":914,"completion_tokens":97,"total_tokens":1011}}</t>
        </is>
      </c>
      <c r="M12" t="inlineStr">
        <is>
          <t>{"alt-svc":"h3=\":443\"; ma=2592000","connection":"close","content-length":"416","content-type":"application/json; charset=utf-8","date":"Sat, 16 May 2026 11:37:48 GMT","referrer-policy":"strict-origin-when-cross-origin","server":"nginx/1.24.0 (Ubuntu)","strict-transport-security":"max-age=31536000; includeSubDomains; preload","vary":"Accept-Encoding","via":"1.1 Caddy","x-content-type-options":"nosniff","x-frame-options":"DENY","x-new-api-version":"v1.0.0-rc.2","x-oneapi-request-id":"202605161137453824834978268d9d6Egj4o2fs","x-request-id":"13c0a9b5-b793-4124-8ea6-74f4bf28540c"}</t>
        </is>
      </c>
      <c r="N12" t="inlineStr">
        <is>
          <t>Balenciaga black gothic logo print T-shirt, soft cotton crew neck, relaxed unisex fit, short sleeve streetwear casual top.</t>
        </is>
      </c>
      <c r="O12" t="inlineStr">
        <is>
          <t>{"id":"resp_049a760f8cf986fc016a085b271e7481979896ba2443b01c44","object":"chat.completion","created":1778932525,"model":"gpt-5.5","choices":[{"index":0,"message":{"role":"assistant","content":"Balenciaga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kakobuysheet2026"},"finish_reason":"stop"}],"usage":{"prompt_tokens":813,"completion_tokens":300,"total_tokens":1113}}</t>
        </is>
      </c>
      <c r="P12"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12" t="inlineStr">
        <is>
          <t>Balenciaga, Black, Gothic, Streetwear, Unisex</t>
        </is>
      </c>
      <c r="R12" t="inlineStr">
        <is>
          <t>recvjLGOf49qMj</t>
        </is>
      </c>
      <c r="S12" t="inlineStr">
        <is>
          <t>balenciaga-black-gothic-logo-cotton-crew-neck-t-shirt-recvjlgof49qmj</t>
        </is>
      </c>
      <c r="T12"/>
      <c r="U12"/>
      <c r="V12"/>
      <c r="W12" t="inlineStr">
        <is>
          <t>{"id":"resp_0c9974ad67f152d0016a085641c7fc819a8f6b859ea283f82e","object":"chat.completion","created":1778931269,"model":"gpt-5.5","choices":[{"index":0,"message":{"role":"assistant","content":"巴黎世家Balenciaga黑色哥特字母印花短袖T恤，纯棉舒适面料，圆领宽松版型，男女通用街头休闲潮流上衣"},"finish_reason":"stop"}],"usage":{"prompt_tokens":1335,"completion_tokens":122,"total_tokens":1457}}</t>
        </is>
      </c>
      <c r="X12" t="inlineStr">
        <is>
          <t>巴黎世家Balenciaga黑色哥特字母印花短袖T恤，纯棉舒适面料，圆领宽松版型，男女通用街头休闲潮流上衣</t>
        </is>
      </c>
    </row>
    <row r="13" ht="25.5" customHeight="1">
      <c r="A13">
        <v>1839115443</v>
      </c>
      <c r="B13">
        <v>7768616876</v>
      </c>
      <c r="C13" s="2" t="str">
        <f>=HYPERLINK("https://weidian.com/item.html?itemID=7768616876", "https://weidian.com/item.html?itemID=7768616876")</f>
        <v>https://weidian.com/item.html?itemID=7768616876</v>
      </c>
      <c r="D13"/>
      <c r="E13" s="2" t="str">
        <f>=HYPERLINK("https://si.geilicdn.com/open1839115443-252808396-30090000019e2f8cfa760a22d249_1080_1438.jpg?w=640&amp;h=640", "https://si.geilicdn.com/open1839115443-252808396-30090000019e2f8cfa760a22d249_1080_1438.jpg?w=640&amp;h=640")</f>
        <v>https://si.geilicdn.com/open1839115443-252808396-30090000019e2f8cfa760a22d249_1080_1438.jpg?w=640&amp;h=640</v>
      </c>
      <c r="F13" t="inlineStr">
        <is>
          <t>Pans</t>
        </is>
      </c>
      <c r="G13" t="inlineStr">
        <is>
          <t>Balenciaga</t>
        </is>
      </c>
      <c r="H13">
        <v>494</v>
      </c>
      <c r="I13">
        <v>71.59</v>
      </c>
      <c r="J13" t="inlineStr">
        <is>
          <t>{"id":"resp_05fc64f525c761b2016a085982d664819380130489bbd2ff5c","object":"chat.completion","created":1778932107,"model":"gpt-5.5","choices":[{"index":0,"message":{"role":"assistant","content":"Balenciaga Camo Patchwork Denim Cargo Jeans Ripped Loose"},"finish_reason":"stop"}],"usage":{"prompt_tokens":891,"completion_tokens":383,"total_tokens":1274}}</t>
        </is>
      </c>
      <c r="K13" t="inlineStr">
        <is>
          <t>Balenciaga Camo Patchwork Denim Cargo Jeans Ripped Loose</t>
        </is>
      </c>
      <c r="L13" t="inlineStr">
        <is>
          <t>{"id":"resp_0d07caedac3c32ff016a085725c4648195ba9852192f6a66af","object":"chat.completion","created":1778931497,"model":"gpt-5.5","choices":[{"index":0,"message":{"role":"assistant","content":"Balenciaga camo patchwork black denim cargo pants, distressed ripped multi-pocket jeans with blue drawstring, loose streetwear unisex trousers"},"finish_reason":"stop"}],"usage":{"prompt_tokens":912,"completion_tokens":158,"total_tokens":1070}}</t>
        </is>
      </c>
      <c r="M13" t="inlineStr">
        <is>
          <t>{"alt-svc":"h3=\":443\"; ma=2592000","connection":"close","content-length":"437","content-type":"application/json; charset=utf-8","date":"Sat, 16 May 2026 11:38:17 GMT","referrer-policy":"strict-origin-when-cross-origin","server":"Caddy","strict-transport-security":"max-age=31536000; includeSubDomains; preload","vary":"Accept-Encoding","x-content-type-options":"nosniff","x-frame-options":"DENY","x-new-api-version":"v1.0.0-rc.2","x-oneapi-request-id":"202605161138135810749698268d9d6rI9wPLWh","x-request-id":"1198f93e-9700-458f-9c12-7bdd08e15fce"}</t>
        </is>
      </c>
      <c r="N13" t="inlineStr">
        <is>
          <t>Balenciaga camo patchwork black denim cargo pants, distressed ripped multi-pocket jeans with blue drawstring, loose streetwear unisex trousers</t>
        </is>
      </c>
      <c r="O13" t="inlineStr">
        <is>
          <t>{"id":"resp_023f73ad763998ed016a085ad9c3308194b5d9e1a54100e7b1","object":"chat.completion","created":1778932450,"model":"gpt-5.5","choices":[{"index":0,"message":{"role":"assistant","content":"Balenciaga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kakobuysheet2026"},"finish_reason":"stop"}],"usage":{"prompt_tokens":813,"completion_tokens":324,"total_tokens":1137}}</t>
        </is>
      </c>
      <c r="P13"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13" t="inlineStr">
        <is>
          <t>Balenciaga, Camouflage, Cargo, Distressed, Streetwear, Unisex</t>
        </is>
      </c>
      <c r="R13" t="inlineStr">
        <is>
          <t>recvjLGOf4mXI1</t>
        </is>
      </c>
      <c r="S13" t="inlineStr">
        <is>
          <t>balenciaga-camo-patchwork-denim-cargo-jeans-recvjlgof4mxi1</t>
        </is>
      </c>
      <c r="T13"/>
      <c r="U13"/>
      <c r="V13"/>
      <c r="W13" t="inlineStr">
        <is>
          <t>{"id":"resp_09cfbf309c48dc01016a08565bcb6481979699353f110dc340","object":"chat.completion","created":1778931296,"model":"gpt-5.5","choices":[{"index":0,"message":{"role":"assistant","content":"巴黎世家Balenciaga：迷彩拼接黑色牛仔工装裤，破洞做旧、多口袋、蓝色抽绳，宽松街头风男女同款长裤"},"finish_reason":"stop"}],"usage":{"prompt_tokens":1337,"completion_tokens":189,"total_tokens":1526}}</t>
        </is>
      </c>
      <c r="X13" t="inlineStr">
        <is>
          <t>巴黎世家Balenciaga：迷彩拼接黑色牛仔工装裤，破洞做旧、多口袋、蓝色抽绳，宽松街头风男女同款长裤</t>
        </is>
      </c>
    </row>
    <row r="14" ht="25.5" customHeight="1">
      <c r="A14">
        <v>1839115443</v>
      </c>
      <c r="B14">
        <v>7765623001</v>
      </c>
      <c r="C14" s="2" t="str">
        <f>=HYPERLINK("https://weidian.com/item.html?itemID=7765623001", "https://weidian.com/item.html?itemID=7765623001")</f>
        <v>https://weidian.com/item.html?itemID=7765623001</v>
      </c>
      <c r="D14"/>
      <c r="E14" s="2" t="str">
        <f>=HYPERLINK("https://si.geilicdn.com/open1839115443-252808396-34b10000019e2f9b4f580aa08239_1439_1920.jpg?w=640&amp;h=640", "https://si.geilicdn.com/open1839115443-252808396-34b10000019e2f9b4f580aa08239_1439_1920.jpg?w=640&amp;h=640")</f>
        <v>https://si.geilicdn.com/open1839115443-252808396-34b10000019e2f9b4f580aa08239_1439_1920.jpg?w=640&amp;h=640</v>
      </c>
      <c r="F14" t="inlineStr">
        <is>
          <t>Jerseys</t>
        </is>
      </c>
      <c r="G14" t="inlineStr">
        <is>
          <t>Balenciaga</t>
        </is>
      </c>
      <c r="H14">
        <v>334</v>
      </c>
      <c r="I14">
        <v>48.41</v>
      </c>
      <c r="J14" t="inlineStr">
        <is>
          <t>{"id":"resp_00471eccbc5316bd016a0858fe451c81999d7770eaa74ae2e2","object":"chat.completion","created":1778931972,"model":"gpt-5.5","choices":[{"index":0,"message":{"role":"assistant","content":"Balenciaga No.10 Black Colorblock Long Sleeve Jersey"},"finish_reason":"stop"}],"usage":{"prompt_tokens":889,"completion_tokens":190,"total_tokens":1079}}</t>
        </is>
      </c>
      <c r="K14" t="inlineStr">
        <is>
          <t>Balenciaga No.10 Black Colorblock Long Sleeve Jersey</t>
        </is>
      </c>
      <c r="L14" t="inlineStr">
        <is>
          <t>{"id":"resp_0a5e5da6c2ab2e7c016a08577bf00081939242855e4cb1bded","object":"chat.completion","created":1778931583,"model":"gpt-5.5","choices":[{"index":0,"message":{"role":"assistant","content":"Balenciaga black No.10 long sleeve jersey, red white colorblock quick-dry fabric, college sport style unisex trendy top"},"finish_reason":"stop"}],"usage":{"prompt_tokens":904,"completion_tokens":141,"total_tokens":1045}}</t>
        </is>
      </c>
      <c r="M14" t="inlineStr">
        <is>
          <t>{"alt-svc":"h3=\":443\"; ma=2592000","connection":"close","content-length":"414","content-type":"application/json; charset=utf-8","date":"Sat, 16 May 2026 11:39:43 GMT","referrer-policy":"strict-origin-when-cross-origin","server":"Caddy","strict-transport-security":"max-age=31536000; includeSubDomains; preload","vary":"Accept-Encoding","x-content-type-options":"nosniff","x-frame-options":"DENY","x-new-api-version":"v1.0.0-rc.2","x-oneapi-request-id":"202605161139397341569488268d9d6zTA1aokt","x-request-id":"4ed193ee-80c1-4eae-a926-986153b01631"}</t>
        </is>
      </c>
      <c r="N14" t="inlineStr">
        <is>
          <t>Balenciaga black No.10 long sleeve jersey, red white colorblock quick-dry fabric, college sport style unisex trendy top</t>
        </is>
      </c>
      <c r="O14" t="inlineStr">
        <is>
          <t>{"id":"resp_0323dd5fd8463b54016a085ae1a4508197b10994b47e87e84d","object":"chat.completion","created":1778932456,"model":"gpt-5.5","choices":[{"index":0,"message":{"role":"assistant","content":"Balenciaga Jerseys kakobuy, Balenciaga Jerseys kakebuy2026, Balenciaga Jerseys kekobuysheet, Balenciaga Jerseys kakobuysheet2026, Balenciaga Jerseys 2026kakobuy, Balenciaga Jerseys kakobuyspreadsheeet, Balenciaga Jerseys kakobuylink, Balenciaga Jerseys kakebuylist, Balenciaga Jerseys Kakobuy MEGA Spreadsheet, Balenciaga Jerseys kakobuysheetfind, Balenciaga Jerseys kakobuysheetfind2026, Balenciaga Jerseys 2026kakobuysheetfind, Balenciaga Jerseys kakobuysheet2026"},"finish_reason":"stop"}],"usage":{"prompt_tokens":813,"completion_tokens":301,"total_tokens":1114}}</t>
        </is>
      </c>
      <c r="P14" t="inlineStr">
        <is>
          <t>Balenciaga Jerseys kakobuy, Balenciaga Jerseys kakebuy2026, Balenciaga Jerseys kekobuysheet, Balenciaga Jerseys kakobuysheet2026, Balenciaga Jerseys 2026kakobuy, Balenciaga Jerseys kakobuyspreadsheeet, Balenciaga Jerseys kakobuylink, Balenciaga Jerseys kakebuylist, Balenciaga Jerseys Kakobuy MEGA Spreadsheet, Balenciaga Jerseys kakobuysheetfind, Balenciaga Jerseys kakobuysheetfind2026, Balenciaga Jerseys 2026kakobuysheetfind, Balenciaga Jerseys kakobuysheet2026</t>
        </is>
      </c>
      <c r="Q14" t="inlineStr">
        <is>
          <t>Balenciaga, Color Block, Quick Dry, Sporty, Unisex</t>
        </is>
      </c>
      <c r="R14" t="inlineStr">
        <is>
          <t>recvjLGOf4LjN2</t>
        </is>
      </c>
      <c r="S14" t="inlineStr">
        <is>
          <t>balenciaga-no10-black-colorblock-long-sleeve-recvjlgof4ljn2</t>
        </is>
      </c>
      <c r="T14"/>
      <c r="U14"/>
      <c r="V14"/>
      <c r="W14" t="inlineStr">
        <is>
          <t>{"id":"resp_0f53317615f03eff016a08566326408190bb5370b1186e9cdc","object":"chat.completion","created":1778931304,"model":"gpt-5.5","choices":[{"index":0,"message":{"role":"assistant","content":"巴黎世家Balenciaga黑色10号长袖球衣，红白拼接速干面料，学院运动风男女同款潮流上衣"},"finish_reason":"stop"}],"usage":{"prompt_tokens":1339,"completion_tokens":227,"total_tokens":1566}}</t>
        </is>
      </c>
      <c r="X14" t="inlineStr">
        <is>
          <t>巴黎世家Balenciaga黑色10号长袖球衣，红白拼接速干面料，学院运动风男女同款潮流上衣</t>
        </is>
      </c>
    </row>
    <row r="15" ht="25.5" customHeight="1">
      <c r="A15">
        <v>1839115443</v>
      </c>
      <c r="B15">
        <v>7765599287</v>
      </c>
      <c r="C15" s="2" t="str">
        <f>=HYPERLINK("https://weidian.com/item.html?itemID=7765599287", "https://weidian.com/item.html?itemID=7765599287")</f>
        <v>https://weidian.com/item.html?itemID=7765599287</v>
      </c>
      <c r="D15"/>
      <c r="E15" s="2" t="str">
        <f>=HYPERLINK("https://si.geilicdn.com/open1839115443-252808396-37e30000019e2f9a8d0d0a23b4de_1080_1080.jpg?w=640&amp;h=640", "https://si.geilicdn.com/open1839115443-252808396-37e30000019e2f9a8d0d0a23b4de_1080_1080.jpg?w=640&amp;h=640")</f>
        <v>https://si.geilicdn.com/open1839115443-252808396-37e30000019e2f9a8d0d0a23b4de_1080_1080.jpg?w=640&amp;h=640</v>
      </c>
      <c r="F15" t="inlineStr">
        <is>
          <t>Pans</t>
        </is>
      </c>
      <c r="G15" t="inlineStr">
        <is>
          <t>Balenciaga</t>
        </is>
      </c>
      <c r="H15">
        <v>344</v>
      </c>
      <c r="I15">
        <v>49.8550724637681</v>
      </c>
      <c r="J15" t="inlineStr">
        <is>
          <t>{"id":"resp_038cdf987fc58409016a08590d15e8819485a9220f96fd6ba2","object":"chat.completion","created":1778931990,"model":"gpt-5.5","choices":[{"index":0,"message":{"role":"assistant","content":"Balenciaga Gray Cotton Terry Elastic Waist Sweat Shorts"},"finish_reason":"stop"}],"usage":{"prompt_tokens":719,"completion_tokens":163,"total_tokens":882}}</t>
        </is>
      </c>
      <c r="K15" t="inlineStr">
        <is>
          <t>Balenciaga Gray Cotton Terry Elastic Waist Sweat Shorts</t>
        </is>
      </c>
      <c r="L15" t="inlineStr">
        <is>
          <t>{"id":"resp_07efb60a40907f99016a08574f350c8193880c14d127c102d7","object":"chat.completion","created":1778931539,"model":"gpt-5.5","choices":[{"index":0,"message":{"role":"assistant","content":"Balenciaga gray elastic waist sweat shorts, cotton terry fabric, plaid inner waistband, unisex streetwear casual designer sports shorts"},"finish_reason":"stop"}],"usage":{"prompt_tokens":749,"completion_tokens":156,"total_tokens":905}}</t>
        </is>
      </c>
      <c r="M15" t="inlineStr">
        <is>
          <t>{"alt-svc":"h3=\":443\"; ma=2592000","connection":"close","content-length":"429","content-type":"application/json; charset=utf-8","date":"Sat, 16 May 2026 11:38:59 GMT","referrer-policy":"strict-origin-when-cross-origin","server":"nginx/1.24.0 (Ubuntu)","strict-transport-security":"max-age=31536000; includeSubDomains; preload","vary":"Accept-Encoding","via":"1.1 Caddy","x-content-type-options":"nosniff","x-frame-options":"DENY","x-new-api-version":"v1.0.0-rc.2","x-oneapi-request-id":"202605161138548014225788268d9d6g6VKOXJv","x-request-id":"9f623652-d185-43e3-a845-7f1576778fdc"}</t>
        </is>
      </c>
      <c r="N15" t="inlineStr">
        <is>
          <t>Balenciaga gray elastic waist sweat shorts, cotton terry fabric, plaid inner waistband, unisex streetwear casual designer sports shorts</t>
        </is>
      </c>
      <c r="O15" t="inlineStr">
        <is>
          <t>{"id":"resp_08ff8d343b093fdc016a085ab0df108197b1902a143f78ee53","object":"chat.completion","created":1778932408,"model":"gpt-5.5","choices":[{"index":0,"message":{"role":"assistant","content":"Balenciaga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kakobuysheet2026"},"finish_reason":"stop"}],"usage":{"prompt_tokens":645,"completion_tokens":333,"total_tokens":978}}</t>
        </is>
      </c>
      <c r="P15"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15" t="inlineStr">
        <is>
          <t>Balenciaga, Gray, Unisex, Streetwear</t>
        </is>
      </c>
      <c r="R15" t="inlineStr">
        <is>
          <t>recvjLGOf41KJ8</t>
        </is>
      </c>
      <c r="S15" t="inlineStr">
        <is>
          <t>balenciaga-gray-cotton-terry-sweat-shorts-recvjlgof41kj8</t>
        </is>
      </c>
      <c r="T15"/>
      <c r="U15"/>
      <c r="V15"/>
      <c r="W15" t="inlineStr">
        <is>
          <t>{"id":"resp_0a305e1109ca0434016a0855ed7124819ba38282e9d5dcaf9d","object":"chat.completion","created":1778931185,"model":"gpt-5.5","choices":[{"index":0,"message":{"role":"assistant","content":"巴黎世家Balenciaga灰色松紧腰运动短裤，棉质毛圈面料，拼接格纹内腰设计，男女同款街头休闲风潮牌裤装"},"finish_reason":"stop"}],"usage":{"prompt_tokens":1179,"completion_tokens":128,"total_tokens":1307}}</t>
        </is>
      </c>
      <c r="X15" t="inlineStr">
        <is>
          <t>巴黎世家Balenciaga灰色松紧腰运动短裤，棉质毛圈面料，拼接格纹内腰设计，男女同款街头休闲风潮牌裤装</t>
        </is>
      </c>
    </row>
    <row r="16" ht="25.5" customHeight="1">
      <c r="A16">
        <v>1839115443</v>
      </c>
      <c r="B16">
        <v>7765650505</v>
      </c>
      <c r="C16" s="2" t="str">
        <f>=HYPERLINK("https://weidian.com/item.html?itemID=7765650505", "https://weidian.com/item.html?itemID=7765650505")</f>
        <v>https://weidian.com/item.html?itemID=7765650505</v>
      </c>
      <c r="D16"/>
      <c r="E16" s="2" t="str">
        <f>=HYPERLINK("https://si.geilicdn.com/open1839115443-252808396-1d9c0000019e2f9a69a20a8115c2_1500_1500.jpg?w=640&amp;h=640", "https://si.geilicdn.com/open1839115443-252808396-1d9c0000019e2f9a69a20a8115c2_1500_1500.jpg?w=640&amp;h=640")</f>
        <v>https://si.geilicdn.com/open1839115443-252808396-1d9c0000019e2f9a69a20a8115c2_1500_1500.jpg?w=640&amp;h=640</v>
      </c>
      <c r="F16" t="inlineStr">
        <is>
          <t>Pans</t>
        </is>
      </c>
      <c r="G16" t="inlineStr">
        <is>
          <t>Balenciaga</t>
        </is>
      </c>
      <c r="H16">
        <v>324</v>
      </c>
      <c r="I16">
        <v>46.96</v>
      </c>
      <c r="J16" t="inlineStr">
        <is>
          <t>{"id":"resp_0247bf469bc41625016a0859a69ee8819bae092a2fdf6f17e1","object":"chat.completion","created":1778932143,"model":"gpt-5.5","choices":[{"index":0,"message":{"role":"assistant","content":"Balenciaga Paris Dark Gray Embroidered Cotton Sweat Shorts"},"finish_reason":"stop"}],"usage":{"prompt_tokens":723,"completion_tokens":412,"total_tokens":1135}}</t>
        </is>
      </c>
      <c r="K16" t="inlineStr">
        <is>
          <t>Balenciaga Paris Dark Gray Embroidered Cotton Sweat Shorts</t>
        </is>
      </c>
      <c r="L16" t="inlineStr">
        <is>
          <t>{"id":"resp_0d849caef1eade40016a0856d01a848195b468709b66c21344","object":"chat.completion","created":1778931412,"model":"gpt-5.5","choices":[{"index":0,"message":{"role":"assistant","content":"Balenciaga Paris dark gray logo embroidered cotton sweat shorts, unisex drawstring elastic waist, loose streetwear casual knee-length five-point pants"},"finish_reason":"stop"}],"usage":{"prompt_tokens":744,"completion_tokens":133,"total_tokens":877}}</t>
        </is>
      </c>
      <c r="M16" t="inlineStr">
        <is>
          <t>{"alt-svc":"h3=\":443\"; ma=2592000","connection":"close","content-length":"444","content-type":"application/json; charset=utf-8","date":"Sat, 16 May 2026 11:36:52 GMT","referrer-policy":"strict-origin-when-cross-origin","server":"nginx/1.24.0 (Ubuntu)","strict-transport-security":"max-age=31536000; includeSubDomains; preload","vary":"Accept-Encoding","via":"1.1 Caddy","x-content-type-options":"nosniff","x-frame-options":"DENY","x-new-api-version":"v1.0.0-rc.2","x-oneapi-request-id":"202605161136478490621338268d9d6U5OOHZgv","x-request-id":"5533ef3f-88b0-48a7-a83d-810a18ec78aa"}</t>
        </is>
      </c>
      <c r="N16" t="inlineStr">
        <is>
          <t>Balenciaga Paris dark gray logo embroidered cotton sweat shorts, unisex drawstring elastic waist, loose streetwear casual knee-length five-point pants</t>
        </is>
      </c>
      <c r="O16" t="inlineStr">
        <is>
          <t>{"id":"resp_0a0668908e570309016a085b5ac1948194a018c3104fa7a37a","object":"chat.completion","created":1778932584,"model":"gpt-5.5","choices":[{"index":0,"message":{"role":"assistant","content":"Balenciaga, Pants, kakobuy\nBalenciaga, Pants, kakebuy2026\nBalenciaga, Pants, kekobuysheet\nBalenciaga, Pants, kakobuysheet2026\nBalenciaga, Pants, 2026kakobuy\nBalenciaga, Pants, kakobuyspreadsheeet\nBalenciaga, Pants, kakobuylink\nBalenciaga, Pants, kakebuylist\nBalenciaga, Pants, Kakobuy MEGA Spreadsheet\nBalenciaga, Pants, kakobuysheetfind\nBalenciaga, Pants, kakobuysheetfind2026\nBalenciaga, Pants, 2026kakobuysheetfind\nBalenciaga, Pants, kakobuysheet2026"},"finish_reason":"stop"}],"usage":{"prompt_tokens":645,"completion_tokens":594,"total_tokens":1239}}</t>
        </is>
      </c>
      <c r="P16"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16" t="inlineStr">
        <is>
          <t>Balenciaga, Dark Grey, Streetwear, Unisex</t>
        </is>
      </c>
      <c r="R16" t="inlineStr">
        <is>
          <t>recvjLGOf4jgHg</t>
        </is>
      </c>
      <c r="S16" t="inlineStr">
        <is>
          <t>balenciaga-dark-gray-embroidered-cotton-sweat-shorts-recvjlgof4jghg</t>
        </is>
      </c>
      <c r="T16"/>
      <c r="U16"/>
      <c r="V16"/>
      <c r="W16" t="inlineStr">
        <is>
          <t>{"id":"resp_0dfa96bfe62c32be016a08565e9b988196b4913afe2f99c307","object":"chat.completion","created":1778931300,"model":"gpt-5.5","choices":[{"index":0,"message":{"role":"assistant","content":"巴黎世家Balenciaga 深灰色Logo刺绣抽绳松紧腰棉质运动短裤，男女同款街头休闲宽松五分裤"},"finish_reason":"stop"}],"usage":{"prompt_tokens":1179,"completion_tokens":138,"total_tokens":1317}}</t>
        </is>
      </c>
      <c r="X16" t="inlineStr">
        <is>
          <t>巴黎世家Balenciaga 深灰色Logo刺绣抽绳松紧腰棉质运动短裤，男女同款街头休闲宽松五分裤</t>
        </is>
      </c>
    </row>
    <row r="17" ht="25.5" customHeight="1">
      <c r="A17">
        <v>1839115443</v>
      </c>
      <c r="B17">
        <v>7768658204</v>
      </c>
      <c r="C17" s="2" t="str">
        <f>=HYPERLINK("https://weidian.com/item.html?itemID=7768658204", "https://weidian.com/item.html?itemID=7768658204")</f>
        <v>https://weidian.com/item.html?itemID=7768658204</v>
      </c>
      <c r="D17"/>
      <c r="E17" s="2" t="str">
        <f>=HYPERLINK("https://si.geilicdn.com/open1839115443-252808396-0cff0000019e2f90b1f60a8133b0_1080_1080.jpg?w=640&amp;h=640", "https://si.geilicdn.com/open1839115443-252808396-0cff0000019e2f90b1f60a8133b0_1080_1080.jpg?w=640&amp;h=640")</f>
        <v>https://si.geilicdn.com/open1839115443-252808396-0cff0000019e2f90b1f60a8133b0_1080_1080.jpg?w=640&amp;h=640</v>
      </c>
      <c r="F17" t="inlineStr">
        <is>
          <t>T-Shirts</t>
        </is>
      </c>
      <c r="G17" t="inlineStr">
        <is>
          <t>Balenciaga</t>
        </is>
      </c>
      <c r="H17">
        <v>294</v>
      </c>
      <c r="I17">
        <v>42.61</v>
      </c>
      <c r="J17" t="inlineStr">
        <is>
          <t>{"id":"resp_02e3ec8230c4b495016a0858b59e448193910c219bc16a74aa","object":"chat.completion","created":1778931897,"model":"gpt-5.5","choices":[{"index":0,"message":{"role":"assistant","content":"Balenciaga Black Oversized Cotton Logo T-Shirt Unisex Tee"},"finish_reason":"stop"}],"usage":{"prompt_tokens":719,"completion_tokens":127,"total_tokens":846}}</t>
        </is>
      </c>
      <c r="K17" t="inlineStr">
        <is>
          <t>Balenciaga Black Oversized Cotton Logo T-Shirt Unisex Tee</t>
        </is>
      </c>
      <c r="L17" t="inlineStr">
        <is>
          <t>{"id":"resp_098a30c45ddabcf1016a085725a3f48195ad79839f6161b686","object":"chat.completion","created":1778931496,"model":"gpt-5.5","choices":[{"index":0,"message":{"role":"assistant","content":"Balenciaga black cotton T-shirt, oversized unisex streetwear tee with small embroidered logo on chest and sleeve, casual summer top"},"finish_reason":"stop"}],"usage":{"prompt_tokens":749,"completion_tokens":98,"total_tokens":847}}</t>
        </is>
      </c>
      <c r="M17" t="inlineStr">
        <is>
          <t>{"alt-svc":"h3=\":443\"; ma=2592000","connection":"close","content-length":"424","content-type":"application/json; charset=utf-8","date":"Sat, 16 May 2026 11:38:16 GMT","referrer-policy":"strict-origin-when-cross-origin","server":"Caddy","strict-transport-security":"max-age=31536000; includeSubDomains; preload","vary":"Accept-Encoding","x-content-type-options":"nosniff","x-frame-options":"DENY","x-new-api-version":"v1.0.0-rc.2","x-oneapi-request-id":"202605161138134329572438268d9d6kzIzo56d","x-request-id":"068a908e-f379-4ed7-8b38-973bcf03351b"}</t>
        </is>
      </c>
      <c r="N17" t="inlineStr">
        <is>
          <t>Balenciaga black cotton T-shirt, oversized unisex streetwear tee with small embroidered logo on chest and sleeve, casual summer top</t>
        </is>
      </c>
      <c r="O17" t="inlineStr">
        <is>
          <t>{"id":"resp_0a79fd0f600ba5f1016a085aaa3f3481959607f4485064787a","object":"chat.completion","created":1778932403,"model":"gpt-5.5","choices":[{"index":0,"message":{"role":"assistant","content":"Balenciaga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2026kakobuysheetfind"},"finish_reason":"stop"}],"usage":{"prompt_tokens":645,"completion_tokens":462,"total_tokens":1107}}</t>
        </is>
      </c>
      <c r="P17"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t>
        </is>
      </c>
      <c r="Q17" t="inlineStr">
        <is>
          <t>Balenciaga, Streetwear, Summer, Unisex</t>
        </is>
      </c>
      <c r="R17" t="inlineStr">
        <is>
          <t>recvjLGOf4VVXm</t>
        </is>
      </c>
      <c r="S17" t="inlineStr">
        <is>
          <t>balenciaga-black-oversized-cotton-logo-tee-recvjlgof4vvxm</t>
        </is>
      </c>
      <c r="T17"/>
      <c r="U17"/>
      <c r="V17"/>
      <c r="W17" t="inlineStr">
        <is>
          <t>{"id":"resp_027f4abf5fdef683016a08567f63448193bdd42ce47a895bbf","object":"chat.completion","created":1778931331,"model":"gpt-5.5","choices":[{"index":0,"message":{"role":"assistant","content":"巴黎世家Balenciaga黑色纯棉短袖T恤，胸前与袖口小Logo刺绣，宽松休闲街头风，男女同款夏季百搭上衣"},"finish_reason":"stop"}],"usage":{"prompt_tokens":1175,"completion_tokens":162,"total_tokens":1337}}</t>
        </is>
      </c>
      <c r="X17" t="inlineStr">
        <is>
          <t>巴黎世家Balenciaga黑色纯棉短袖T恤，胸前与袖口小Logo刺绣，宽松休闲街头风，男女同款夏季百搭上衣</t>
        </is>
      </c>
    </row>
    <row r="18" ht="25.5" customHeight="1">
      <c r="A18">
        <v>1839115443</v>
      </c>
      <c r="B18">
        <v>7768135220</v>
      </c>
      <c r="C18" s="2" t="str">
        <f>=HYPERLINK("https://weidian.com/item.html?itemID=7768135220", "https://weidian.com/item.html?itemID=7768135220")</f>
        <v>https://weidian.com/item.html?itemID=7768135220</v>
      </c>
      <c r="D18"/>
      <c r="E18" s="2" t="str">
        <f>=HYPERLINK("https://si.geilicdn.com/open1839115443-252808396-348f0000019e2f90458a0a22d249_1440_1920.jpg?w=640&amp;h=640", "https://si.geilicdn.com/open1839115443-252808396-348f0000019e2f90458a0a22d249_1440_1920.jpg?w=640&amp;h=640")</f>
        <v>https://si.geilicdn.com/open1839115443-252808396-348f0000019e2f90458a0a22d249_1440_1920.jpg?w=640&amp;h=640</v>
      </c>
      <c r="F18" t="inlineStr">
        <is>
          <t>T-Shirts</t>
        </is>
      </c>
      <c r="G18" t="inlineStr">
        <is>
          <t>Balenciaga</t>
        </is>
      </c>
      <c r="H18">
        <v>254</v>
      </c>
      <c r="I18">
        <v>36.81</v>
      </c>
      <c r="J18" t="inlineStr">
        <is>
          <t>{"id":"resp_0648eeb1623a33df016a0859117f9081949b297d5a250f9dab","object":"chat.completion","created":1778931990,"model":"gpt-5.5","choices":[{"index":0,"message":{"role":"assistant","content":"Balenciaga Off White Yellow Graffiti Oversized T-Shirt"},"finish_reason":"stop"}],"usage":{"prompt_tokens":887,"completion_tokens":183,"total_tokens":1070}}</t>
        </is>
      </c>
      <c r="K18" t="inlineStr">
        <is>
          <t>Balenciaga Off White Yellow Graffiti Oversized T-Shirt</t>
        </is>
      </c>
      <c r="L18" t="inlineStr">
        <is>
          <t>{"id":"resp_05565f08e5155986016a085745a0688190a0acc612a3b0d644","object":"chat.completion","created":1778931528,"model":"gpt-5.5","choices":[{"index":0,"message":{"role":"assistant","content":"Balenciaga off-white cotton T-shirt with distressed graffiti logo and yellow abstract print, oversized streetwear short sleeve unisex casual top"},"finish_reason":"stop"}],"usage":{"prompt_tokens":920,"completion_tokens":93,"total_tokens":1013}}</t>
        </is>
      </c>
      <c r="M18" t="inlineStr">
        <is>
          <t>{"alt-svc":"h3=\":443\"; ma=2592000","connection":"close","content-length":"438","content-type":"application/json; charset=utf-8","date":"Sat, 16 May 2026 11:38:48 GMT","referrer-policy":"strict-origin-when-cross-origin","server":"nginx/1.24.0 (Ubuntu)","strict-transport-security":"max-age=31536000; includeSubDomains; preload","vary":"Accept-Encoding","via":"1.1 Caddy","x-content-type-options":"nosniff","x-frame-options":"DENY","x-new-api-version":"v1.0.0-rc.2","x-oneapi-request-id":"202605161138453686378438268d9d6anOnCdCO","x-request-id":"c01c952c-65e4-4396-939d-ae7e14128378"}</t>
        </is>
      </c>
      <c r="N18" t="inlineStr">
        <is>
          <t>Balenciaga off-white cotton T-shirt with distressed graffiti logo and yellow abstract print, oversized streetwear short sleeve unisex casual top</t>
        </is>
      </c>
      <c r="O18" t="inlineStr">
        <is>
          <t>{"id":"resp_0e6674cf1ac4de0a016a085a8924d08190b8bc672a6be3cc1c","object":"chat.completion","created":1778932371,"model":"gpt-5.5","choices":[{"index":0,"message":{"role":"assistant","content":"Balenciaga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kakobuysheet2026"},"finish_reason":"stop"}],"usage":{"prompt_tokens":813,"completion_tokens":296,"total_tokens":1109}}</t>
        </is>
      </c>
      <c r="P18"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18" t="inlineStr">
        <is>
          <t>Balenciaga, Off-White, Yellow, Abstract, Streetwear, Unisex</t>
        </is>
      </c>
      <c r="R18" t="inlineStr">
        <is>
          <t>recvjLGOf4emFq</t>
        </is>
      </c>
      <c r="S18" t="inlineStr">
        <is>
          <t>balenciaga-off-white-yellow-graffiti-oversized-t-shirt-recvjlgof4emfq</t>
        </is>
      </c>
      <c r="T18"/>
      <c r="U18"/>
      <c r="V18"/>
      <c r="W18" t="inlineStr">
        <is>
          <t>{"id":"resp_02c5ef29978af83b016a0855863de8819b892a2100919cef72","object":"chat.completion","created":1778931082,"model":"gpt-5.5","choices":[{"index":0,"message":{"role":"assistant","content":"巴黎世家 Balenciaga 米白色短袖T恤，纯棉面料，做旧涂鸦字母与黄色抽象图腾印花，宽松街头风男女同款休闲上衣"},"finish_reason":"stop"}],"usage":{"prompt_tokens":1339,"completion_tokens":152,"total_tokens":1491}}</t>
        </is>
      </c>
      <c r="X18" t="inlineStr">
        <is>
          <t>巴黎世家 Balenciaga 米白色短袖T恤，纯棉面料，做旧涂鸦字母与黄色抽象图腾印花，宽松街头风男女同款休闲上衣</t>
        </is>
      </c>
    </row>
    <row r="19" ht="25.5" customHeight="1">
      <c r="A19">
        <v>1839115443</v>
      </c>
      <c r="B19">
        <v>7768614988</v>
      </c>
      <c r="C19" s="2" t="str">
        <f>=HYPERLINK("https://weidian.com/item.html?itemID=7768614988", "https://weidian.com/item.html?itemID=7768614988")</f>
        <v>https://weidian.com/item.html?itemID=7768614988</v>
      </c>
      <c r="D19"/>
      <c r="E19" s="2" t="str">
        <f>=HYPERLINK("https://si.geilicdn.com/open1839115443-252808396-28050000019e2f9836f60aa08269_1440_1920.jpg?w=640&amp;h=640", "https://si.geilicdn.com/open1839115443-252808396-28050000019e2f9836f60aa08269_1440_1920.jpg?w=640&amp;h=640")</f>
        <v>https://si.geilicdn.com/open1839115443-252808396-28050000019e2f9836f60aa08269_1440_1920.jpg?w=640&amp;h=640</v>
      </c>
      <c r="F19" t="inlineStr">
        <is>
          <t>T-Shirts</t>
        </is>
      </c>
      <c r="G19" t="inlineStr">
        <is>
          <t>Balenciaga</t>
        </is>
      </c>
      <c r="H19">
        <v>254</v>
      </c>
      <c r="I19">
        <v>36.81</v>
      </c>
      <c r="J19" t="inlineStr">
        <is>
          <t>{"id":"resp_007109131af7e6ed016a085996af6081939e38fad8e2b3576b","object":"chat.completion","created":1778932124,"model":"gpt-5.5","choices":[{"index":0,"message":{"role":"assistant","content":"Balenciaga Black Flame Skull Graphic Oversized T-Shirt"},"finish_reason":"stop"}],"usage":{"prompt_tokens":892,"completion_tokens":240,"total_tokens":1132}}</t>
        </is>
      </c>
      <c r="K19" t="inlineStr">
        <is>
          <t>Balenciaga Black Flame Skull Graphic Oversized T-Shirt</t>
        </is>
      </c>
      <c r="L19" t="inlineStr">
        <is>
          <t>{"id":"resp_035a012b91063beb016a0856d0c288819395fb7bc86191063f","object":"chat.completion","created":1778931413,"model":"gpt-5.5","choices":[{"index":0,"message":{"role":"assistant","content":"Balenciaga black flame logo skull graphic cotton T-shirt, relaxed oversized fit, dark metal rock streetwear style, unisex short sleeve top."},"finish_reason":"stop"}],"usage":{"prompt_tokens":917,"completion_tokens":123,"total_tokens":1040}}</t>
        </is>
      </c>
      <c r="M19" t="inlineStr">
        <is>
          <t>{"alt-svc":"h3=\":443\"; ma=2592000","connection":"close","content-length":"434","content-type":"application/json; charset=utf-8","date":"Sat, 16 May 2026 11:36:53 GMT","referrer-policy":"strict-origin-when-cross-origin","server":"nginx/1.24.0 (Ubuntu)","strict-transport-security":"max-age=31536000; includeSubDomains; preload","vary":"Accept-Encoding","via":"1.1 Caddy","x-content-type-options":"nosniff","x-frame-options":"DENY","x-new-api-version":"v1.0.0-rc.2","x-oneapi-request-id":"202605161136485556294298268d9d6w0sDUCMn","x-request-id":"5a2d47ae-d278-461c-a9d8-76bd224ea652"}</t>
        </is>
      </c>
      <c r="N19" t="inlineStr">
        <is>
          <t>Balenciaga black flame logo skull graphic cotton T-shirt, relaxed oversized fit, dark metal rock streetwear style, unisex short sleeve top.</t>
        </is>
      </c>
      <c r="O19" t="inlineStr">
        <is>
          <t>{"id":"resp_0a0232eda6887361016a085b4942b88190bd649f835670bb7d","object":"chat.completion","created":1778932561,"model":"gpt-5.5","choices":[{"index":0,"message":{"role":"assistant","content":"Balenciaga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kakobuysheet2026"},"finish_reason":"stop"}],"usage":{"prompt_tokens":813,"completion_tokens":352,"total_tokens":1165}}</t>
        </is>
      </c>
      <c r="P19"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19" t="inlineStr">
        <is>
          <t>Balenciaga, Black, Streetwear, Unisex, Summer</t>
        </is>
      </c>
      <c r="R19" t="inlineStr">
        <is>
          <t>recvjLGOf4kXj5</t>
        </is>
      </c>
      <c r="S19" t="inlineStr">
        <is>
          <t>balenciaga-black-flame-skull-graphic-oversized-t-shirt-recvjlgof4kxj5</t>
        </is>
      </c>
      <c r="T19"/>
      <c r="U19"/>
      <c r="V19"/>
      <c r="W19" t="inlineStr">
        <is>
          <t>{"id":"resp_0cc07ec3a12be583016a08557c6f708195adca21ae630ebc6a","object":"chat.completion","created":1778931072,"model":"gpt-5.5","choices":[{"index":0,"message":{"role":"assistant","content":"巴黎世家Balenciaga 黑色火焰Logo骷髅图腾短袖T恤，棉质宽松版型，暗黑金属摇滚街头风，男女同款潮流上衣。"},"finish_reason":"stop"}],"usage":{"prompt_tokens":1335,"completion_tokens":160,"total_tokens":1495}}</t>
        </is>
      </c>
      <c r="X19" t="inlineStr">
        <is>
          <t>巴黎世家Balenciaga 黑色火焰Logo骷髅图腾短袖T恤，棉质宽松版型，暗黑金属摇滚街头风，男女同款潮流上衣。</t>
        </is>
      </c>
    </row>
    <row r="20" ht="25.5" customHeight="1">
      <c r="A20">
        <v>1839115443</v>
      </c>
      <c r="B20">
        <v>7768685680</v>
      </c>
      <c r="C20" s="2" t="str">
        <f>=HYPERLINK("https://weidian.com/item.html?itemID=7768685680", "https://weidian.com/item.html?itemID=7768685680")</f>
        <v>https://weidian.com/item.html?itemID=7768685680</v>
      </c>
      <c r="D20"/>
      <c r="E20" s="2" t="str">
        <f>=HYPERLINK("https://si.geilicdn.com/open1839115443-252808396-18fc0000019e2f982f930a8115c2_1440_1920.jpg?w=640&amp;h=640", "https://si.geilicdn.com/open1839115443-252808396-18fc0000019e2f982f930a8115c2_1440_1920.jpg?w=640&amp;h=640")</f>
        <v>https://si.geilicdn.com/open1839115443-252808396-18fc0000019e2f982f930a8115c2_1440_1920.jpg?w=640&amp;h=640</v>
      </c>
      <c r="F20" t="inlineStr">
        <is>
          <t>T-Shirts</t>
        </is>
      </c>
      <c r="G20" t="inlineStr">
        <is>
          <t>Balenciaga</t>
        </is>
      </c>
      <c r="H20">
        <v>254</v>
      </c>
      <c r="I20">
        <v>36.81</v>
      </c>
      <c r="J20" t="inlineStr">
        <is>
          <t>{"id":"resp_0285dad7714c5e69016a0858b074d48197b287ce156e613b0e","object":"chat.completion","created":1778931892,"model":"gpt-5.5","choices":[{"index":0,"message":{"role":"assistant","content":"Balenciaga Black Vintage Portrait Logo T-Shirt"},"finish_reason":"stop"}],"usage":{"prompt_tokens":888,"completion_tokens":60,"total_tokens":948}}</t>
        </is>
      </c>
      <c r="K20" t="inlineStr">
        <is>
          <t>Balenciaga Black Vintage Portrait Logo T-Shirt</t>
        </is>
      </c>
      <c r="L20" t="inlineStr">
        <is>
          <t>{"id":"resp_0f3e837fc8d51fd4016a08571a7a7081979eb579debf6734c6","object":"chat.completion","created":1778931485,"model":"gpt-5.5","choices":[{"index":0,"message":{"role":"assistant","content":"Balenciaga black cotton short sleeve T-shirt with vintage portrait and logo print, loose drop-shoulder unisex streetwear tee."},"finish_reason":"stop"}],"usage":{"prompt_tokens":917,"completion_tokens":91,"total_tokens":1008}}</t>
        </is>
      </c>
      <c r="M20" t="inlineStr">
        <is>
          <t>{"alt-svc":"h3=\":443\"; ma=2592000","connection":"close","content-length":"419","content-type":"application/json; charset=utf-8","date":"Sat, 16 May 2026 11:38:05 GMT","referrer-policy":"strict-origin-when-cross-origin","server":"nginx/1.24.0 (Ubuntu)","strict-transport-security":"max-age=31536000; includeSubDomains; preload","vary":"Accept-Encoding","via":"1.1 Caddy","x-content-type-options":"nosniff","x-frame-options":"DENY","x-new-api-version":"v1.0.0-rc.2","x-oneapi-request-id":"202605161138022474604908268d9d6PbaLOvtp","x-request-id":"332cd947-9889-477e-a1d5-9063366c3a85"}</t>
        </is>
      </c>
      <c r="N20" t="inlineStr">
        <is>
          <t>Balenciaga black cotton short sleeve T-shirt with vintage portrait and logo print, loose drop-shoulder unisex streetwear tee.</t>
        </is>
      </c>
      <c r="O20" t="inlineStr">
        <is>
          <t>{"id":"resp_0431b297342c7cc8016a085b0482148196a06d56a8f5f744b9","object":"chat.completion","created":1778932491,"model":"gpt-5.5","choices":[{"index":0,"message":{"role":"assistant","content":"Balenciaga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kakobuysheet2026"},"finish_reason":"stop"}],"usage":{"prompt_tokens":813,"completion_tokens":339,"total_tokens":1152}}</t>
        </is>
      </c>
      <c r="P20"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20" t="inlineStr">
        <is>
          <t>Balenciaga, Black, Streetwear, Unisex, Summer</t>
        </is>
      </c>
      <c r="R20" t="inlineStr">
        <is>
          <t>recvjLGOf4I2xo</t>
        </is>
      </c>
      <c r="S20" t="inlineStr">
        <is>
          <t>balenciaga-black-vintage-portrait-logo-tshirt-recvjlgof4i2xo</t>
        </is>
      </c>
      <c r="T20"/>
      <c r="U20"/>
      <c r="V20"/>
      <c r="W20" t="inlineStr">
        <is>
          <t>{"id":"resp_0cc587bc00ce2d13016a085569bca081908c74d5757c41adc1","object":"chat.completion","created":1778931054,"model":"gpt-5.5","choices":[{"index":0,"message":{"role":"assistant","content":"巴黎世家Balenciaga黑色短袖T恤，棉质面料，正面复古人物与字母印花，宽松落肩版型，男女同款街头潮流上衣"},"finish_reason":"stop"}],"usage":{"prompt_tokens":1339,"completion_tokens":144,"total_tokens":1483}}</t>
        </is>
      </c>
      <c r="X20" t="inlineStr">
        <is>
          <t>巴黎世家Balenciaga黑色短袖T恤，棉质面料，正面复古人物与字母印花，宽松落肩版型，男女同款街头潮流上衣</t>
        </is>
      </c>
    </row>
    <row r="21" ht="25.5" customHeight="1">
      <c r="A21">
        <v>1839115443</v>
      </c>
      <c r="B21">
        <v>7768599242</v>
      </c>
      <c r="C21" s="2" t="str">
        <f>=HYPERLINK("https://weidian.com/item.html?itemID=7768599242", "https://weidian.com/item.html?itemID=7768599242")</f>
        <v>https://weidian.com/item.html?itemID=7768599242</v>
      </c>
      <c r="D21"/>
      <c r="E21" s="2" t="str">
        <f>=HYPERLINK("https://si.geilicdn.com/open1839115443-252808396-2d610000019e2f97ab800a231226_1440_1919.jpg?w=640&amp;h=640", "https://si.geilicdn.com/open1839115443-252808396-2d610000019e2f97ab800a231226_1440_1919.jpg?w=640&amp;h=640")</f>
        <v>https://si.geilicdn.com/open1839115443-252808396-2d610000019e2f97ab800a231226_1440_1919.jpg?w=640&amp;h=640</v>
      </c>
      <c r="F21" t="inlineStr">
        <is>
          <t>Jerseys</t>
        </is>
      </c>
      <c r="G21" t="inlineStr">
        <is>
          <t>Balenciaga</t>
        </is>
      </c>
      <c r="H21">
        <v>314</v>
      </c>
      <c r="I21">
        <v>45.5</v>
      </c>
      <c r="J21" t="inlineStr">
        <is>
          <t>{"id":"resp_086d6d1c8edff8c6016a0858b7a6a48195bc8932fd22f603c1","object":"chat.completion","created":1778931899,"model":"gpt-5.5","choices":[{"index":0,"message":{"role":"assistant","content":"Balenciaga NBA Black White Short Sleeve Baseball Jersey"},"finish_reason":"stop"}],"usage":{"prompt_tokens":893,"completion_tokens":128,"total_tokens":1021}}</t>
        </is>
      </c>
      <c r="K21" t="inlineStr">
        <is>
          <t>Balenciaga NBA Black White Short Sleeve Baseball Jersey</t>
        </is>
      </c>
      <c r="L21" t="inlineStr">
        <is>
          <t>{"id":"resp_03a1efb6591742ea016a0857915ea8819093e46e84bc93f4c6","object":"chat.completion","created":1778931605,"model":"gpt-5.5","choices":[{"index":0,"message":{"role":"assistant","content":"Balenciaga NBA collab black white short sleeve baseball jersey, lightweight woven fabric, striped V-neck snap button, unisex retro streetwear jacket"},"finish_reason":"stop"}],"usage":{"prompt_tokens":913,"completion_tokens":116,"total_tokens":1029}}</t>
        </is>
      </c>
      <c r="M21" t="inlineStr">
        <is>
          <t>{"alt-svc":"h3=\":443\"; ma=2592000","connection":"close","content-length":"443","content-type":"application/json; charset=utf-8","date":"Sat, 16 May 2026 11:40:05 GMT","referrer-policy":"strict-origin-when-cross-origin","server":"nginx/1.24.0 (Ubuntu)","strict-transport-security":"max-age=31536000; includeSubDomains; preload","vary":"Accept-Encoding","via":"1.1 Caddy","x-content-type-options":"nosniff","x-frame-options":"DENY","x-new-api-version":"v1.0.0-rc.2","x-oneapi-request-id":"202605161140011462499498268d9d6sigFRqCn","x-request-id":"17161369-c43a-4d18-89bb-982d4d108328"}</t>
        </is>
      </c>
      <c r="N21" t="inlineStr">
        <is>
          <t>Balenciaga NBA collab black white short sleeve baseball jersey, lightweight woven fabric, striped V-neck snap button, unisex retro streetwear jacket</t>
        </is>
      </c>
      <c r="O21" t="inlineStr">
        <is>
          <t>{"id":"resp_03e0ad56223d050d016a085af6b20c8193ab97a63cad5ab216","object":"chat.completion","created":1778932476,"model":"gpt-5.5","choices":[{"index":0,"message":{"role":"assistant","content":"Balenciaga Jerseys kakobuy, Balenciaga Jerseys kakebuy2026, Balenciaga Jerseys kekobuysheet, Balenciaga Jerseys kakobuysheet2026, Balenciaga Jerseys 2026kakobuy, Balenciaga Jerseys kakobuyspreadsheeet, Balenciaga Jerseys kakobuylink, Balenciaga Jerseys kakebuylist, Balenciaga Jerseys Kakobuy MEGA Spreadsheet, Balenciaga Jerseys kakobuysheetfind, Balenciaga Jerseys kakobuysheetfind2026, Balenciaga Jerseys 2026kakobuysheetfind, Balenciaga Jerseys kakobuysheet2026"},"finish_reason":"stop"}],"usage":{"prompt_tokens":813,"completion_tokens":245,"total_tokens":1058}}</t>
        </is>
      </c>
      <c r="P21" t="inlineStr">
        <is>
          <t>Balenciaga Jerseys kakobuy, Balenciaga Jerseys kakebuy2026, Balenciaga Jerseys kekobuysheet, Balenciaga Jerseys kakobuysheet2026, Balenciaga Jerseys 2026kakobuy, Balenciaga Jerseys kakobuyspreadsheeet, Balenciaga Jerseys kakobuylink, Balenciaga Jerseys kakebuylist, Balenciaga Jerseys Kakobuy MEGA Spreadsheet, Balenciaga Jerseys kakobuysheetfind, Balenciaga Jerseys kakobuysheetfind2026, Balenciaga Jerseys 2026kakobuysheetfind, Balenciaga Jerseys kakobuysheet2026</t>
        </is>
      </c>
      <c r="Q21" t="inlineStr">
        <is>
          <t>Balenciaga, Unisex, Retro, Streetwear, Lightweight</t>
        </is>
      </c>
      <c r="R21" t="inlineStr">
        <is>
          <t>recvjLGOf4bhtR</t>
        </is>
      </c>
      <c r="S21" t="inlineStr">
        <is>
          <t>balenciaga-nba-black-white-jersey-recvjlgof4bhtr</t>
        </is>
      </c>
      <c r="T21"/>
      <c r="U21"/>
      <c r="V21"/>
      <c r="W21" t="inlineStr">
        <is>
          <t>{"id":"resp_0fec6427f7805d26016a0855cdc25081989fdf1022f232a217","object":"chat.completion","created":1778931155,"model":"gpt-5.5","choices":[{"index":0,"message":{"role":"assistant","content":"巴黎世家Balenciaga NBA联名黑白短袖棒球衫，轻薄梭织面料，条纹V领按扣设计，男女同款复古街头球衣外套"},"finish_reason":"stop"}],"usage":{"prompt_tokens":1335,"completion_tokens":148,"total_tokens":1483}}</t>
        </is>
      </c>
      <c r="X21" t="inlineStr">
        <is>
          <t>巴黎世家Balenciaga NBA联名黑白短袖棒球衫，轻薄梭织面料，条纹V领按扣设计，男女同款复古街头球衣外套</t>
        </is>
      </c>
    </row>
    <row r="22" ht="25.5" customHeight="1">
      <c r="A22">
        <v>1839115443</v>
      </c>
      <c r="B22">
        <v>7768622914</v>
      </c>
      <c r="C22" s="2" t="str">
        <f>=HYPERLINK("https://weidian.com/item.html?itemID=7768622914", "https://weidian.com/item.html?itemID=7768622914")</f>
        <v>https://weidian.com/item.html?itemID=7768622914</v>
      </c>
      <c r="D22"/>
      <c r="E22" s="2" t="str">
        <f>=HYPERLINK("https://si.geilicdn.com/open1839115443-252808396-38f90000019e2f9bb5850a23b4de_1440_1920.jpg?w=640&amp;h=640", "https://si.geilicdn.com/open1839115443-252808396-38f90000019e2f9bb5850a23b4de_1440_1920.jpg?w=640&amp;h=640")</f>
        <v>https://si.geilicdn.com/open1839115443-252808396-38f90000019e2f9bb5850a23b4de_1440_1920.jpg?w=640&amp;h=640</v>
      </c>
      <c r="F22" t="inlineStr">
        <is>
          <t>T-Shirts</t>
        </is>
      </c>
      <c r="G22" t="inlineStr">
        <is>
          <t>Balenciaga</t>
        </is>
      </c>
      <c r="H22">
        <v>314</v>
      </c>
      <c r="I22">
        <v>45.5</v>
      </c>
      <c r="J22" t="inlineStr">
        <is>
          <t>{"id":"resp_0c565db3e2ae71e4016a0859a20b94819b8aceade76891a0c7","object":"chat.completion","created":1778932134,"model":"gpt-5.5","choices":[{"index":0,"message":{"role":"assistant","content":"Balenciaga Black Logo Cotton T-Shirt Unisex Streetwear Tee"},"finish_reason":"stop"}],"usage":{"prompt_tokens":893,"completion_tokens":144,"total_tokens":1037}}</t>
        </is>
      </c>
      <c r="K22" t="inlineStr">
        <is>
          <t>Balenciaga Black Logo Cotton T-Shirt Unisex Streetwear Tee</t>
        </is>
      </c>
      <c r="L22" t="inlineStr">
        <is>
          <t>{"id":"resp_0720ffe6e29a10ef016a0856e45b1c8193a739f0d6c923db84","object":"chat.completion","created":1778931432,"model":"gpt-5.5","choices":[{"index":0,"message":{"role":"assistant","content":"Balenciaga black cotton T-shirt with red and white logo print, short sleeve unisex streetwear top, comfortable casual tee for men and women"},"finish_reason":"stop"}],"usage":{"prompt_tokens":910,"completion_tokens":145,"total_tokens":1055}}</t>
        </is>
      </c>
      <c r="M22" t="inlineStr">
        <is>
          <t>{"alt-svc":"h3=\":443\"; ma=2592000","connection":"close","content-length":"434","content-type":"application/json; charset=utf-8","date":"Sat, 16 May 2026 11:37:12 GMT","referrer-policy":"strict-origin-when-cross-origin","server":"nginx/1.24.0 (Ubuntu)","strict-transport-security":"max-age=31536000; includeSubDomains; preload","vary":"Accept-Encoding","via":"1.1 Caddy","x-content-type-options":"nosniff","x-frame-options":"DENY","x-new-api-version":"v1.0.0-rc.2","x-oneapi-request-id":"202605161137081160894208268d9d6WDVddQEO","x-request-id":"781bf698-2aeb-4424-93b6-67f6dcd5f4e7"}</t>
        </is>
      </c>
      <c r="N22" t="inlineStr">
        <is>
          <t>Balenciaga black cotton T-shirt with red and white logo print, short sleeve unisex streetwear top, comfortable casual tee for men and women</t>
        </is>
      </c>
      <c r="O22" t="inlineStr">
        <is>
          <t>{"id":"resp_0051e7b2bb1b1374016a085ba258088197b2b063bd759fcf2c","object":"chat.completion","created":1778932647,"model":"gpt-5.5","choices":[{"index":0,"message":{"role":"assistant","content":"Balenciaga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kakobuysheet2026"},"finish_reason":"stop"}],"usage":{"prompt_tokens":813,"completion_tokens":217,"total_tokens":1030}}</t>
        </is>
      </c>
      <c r="P22"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22" t="inlineStr">
        <is>
          <t>Balenciaga, Black, Streetwear, Unisex, Summer</t>
        </is>
      </c>
      <c r="R22" t="inlineStr">
        <is>
          <t>recvjLGOf4tg9q</t>
        </is>
      </c>
      <c r="S22" t="inlineStr">
        <is>
          <t>balenciaga-black-logo-cotton-tee-recvjlgof4tg9q</t>
        </is>
      </c>
      <c r="T22"/>
      <c r="U22"/>
      <c r="V22"/>
      <c r="W22" t="inlineStr">
        <is>
          <t>{"id":"resp_00298a5135f533c4016a085640a31481908790d5591450ef11","object":"chat.completion","created":1778931268,"model":"gpt-5.5","choices":[{"index":0,"message":{"role":"assistant","content":"巴黎世家Balenciaga黑色短袖T恤，纯棉舒适面料，红白Logo印花设计，休闲街头风男女同款上衣"},"finish_reason":"stop"}],"usage":{"prompt_tokens":1341,"completion_tokens":147,"total_tokens":1488}}</t>
        </is>
      </c>
      <c r="X22" t="inlineStr">
        <is>
          <t>巴黎世家Balenciaga黑色短袖T恤，纯棉舒适面料，红白Logo印花设计，休闲街头风男女同款上衣</t>
        </is>
      </c>
    </row>
    <row r="23" ht="25.5" customHeight="1">
      <c r="A23">
        <v>1839115443</v>
      </c>
      <c r="B23">
        <v>7768626732</v>
      </c>
      <c r="C23" s="2" t="str">
        <f>=HYPERLINK("https://weidian.com/item.html?itemID=7768626732", "https://weidian.com/item.html?itemID=7768626732")</f>
        <v>https://weidian.com/item.html?itemID=7768626732</v>
      </c>
      <c r="D23"/>
      <c r="E23" s="2" t="str">
        <f>=HYPERLINK("https://si.geilicdn.com/open1839115443-252808396-34290000019e2f9899a70a23b4de_1080_1438.jpg?w=640&amp;h=640", "https://si.geilicdn.com/open1839115443-252808396-34290000019e2f9899a70a23b4de_1080_1438.jpg?w=640&amp;h=640")</f>
        <v>https://si.geilicdn.com/open1839115443-252808396-34290000019e2f9899a70a23b4de_1080_1438.jpg?w=640&amp;h=640</v>
      </c>
      <c r="F23" t="inlineStr">
        <is>
          <t>Pans</t>
        </is>
      </c>
      <c r="G23" t="inlineStr">
        <is>
          <t>Balenciaga</t>
        </is>
      </c>
      <c r="H23">
        <v>394</v>
      </c>
      <c r="I23">
        <v>57.1</v>
      </c>
      <c r="J23" t="inlineStr">
        <is>
          <t>{"id":"resp_0fc9e89d88f5e9eb016a0858d512808198bb1ec93537f6ca1c","object":"chat.completion","created":1778931929,"model":"gpt-5.5","choices":[{"index":0,"message":{"role":"assistant","content":"Balenciaga Gray Camo Cargo Shorts Multi Pocket Cotton"},"finish_reason":"stop"}],"usage":{"prompt_tokens":895,"completion_tokens":114,"total_tokens":1009}}</t>
        </is>
      </c>
      <c r="K23" t="inlineStr">
        <is>
          <t>Balenciaga Gray Camo Cargo Shorts Multi Pocket Cotton</t>
        </is>
      </c>
      <c r="L23" t="inlineStr">
        <is>
          <t>{"id":"resp_0fa6258a2bae9db8016a0857963950819092387783dd2db869","object":"chat.completion","created":1778931609,"model":"gpt-5.5","choices":[{"index":0,"message":{"role":"assistant","content":"Balenciaga gray white camo cargo shorts, multi-pocket cotton, loose street military style, unisex Demna designer casual knee-length workwear shorts"},"finish_reason":"stop"}],"usage":{"prompt_tokens":915,"completion_tokens":112,"total_tokens":1027}}</t>
        </is>
      </c>
      <c r="M23" t="inlineStr">
        <is>
          <t>{"alt-svc":"h3=\":443\"; ma=2592000","connection":"close","content-length":"442","content-type":"application/json; charset=utf-8","date":"Sat, 16 May 2026 11:40:09 GMT","referrer-policy":"strict-origin-when-cross-origin","server":"Caddy","strict-transport-security":"max-age=31536000; includeSubDomains; preload","vary":"Accept-Encoding","x-content-type-options":"nosniff","x-frame-options":"DENY","x-new-api-version":"v1.0.0-rc.2","x-oneapi-request-id":"20260516114006404962758268d9d6zT7eWs1H","x-request-id":"bd387766-d3de-4dba-831f-7d1457ee044b"}</t>
        </is>
      </c>
      <c r="N23" t="inlineStr">
        <is>
          <t>Balenciaga gray white camo cargo shorts, multi-pocket cotton, loose street military style, unisex Demna designer casual knee-length workwear shorts</t>
        </is>
      </c>
      <c r="O23" t="inlineStr">
        <is>
          <t>{"id":"resp_0d3e3d779eee8f4f016a085b2540cc819585525dd193506f26","object":"chat.completion","created":1778932525,"model":"gpt-5.5","choices":[{"index":0,"message":{"role":"assistant","content":"Balenciaga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kakobuysheet2026"},"finish_reason":"stop"}],"usage":{"prompt_tokens":813,"completion_tokens":352,"total_tokens":1165}}</t>
        </is>
      </c>
      <c r="P23"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23" t="inlineStr">
        <is>
          <t>Balenciaga, Cargo, Street, Unisex</t>
        </is>
      </c>
      <c r="R23" t="inlineStr">
        <is>
          <t>recvjLGOf4s9X9</t>
        </is>
      </c>
      <c r="S23" t="inlineStr">
        <is>
          <t>balenciaga-gray-camo-cargo-shorts-recvjlgof4s9x9</t>
        </is>
      </c>
      <c r="T23"/>
      <c r="U23"/>
      <c r="V23"/>
      <c r="W23" t="inlineStr">
        <is>
          <t>{"id":"resp_05876c04a6c7af10016a08558699e4819b91dfef11e97ee1d8","object":"chat.completion","created":1778931083,"model":"gpt-5.5","choices":[{"index":0,"message":{"role":"assistant","content":"巴黎世家Balenciaga 灰白迷彩工装短裤，多袋功能棉质面料，宽松街头军旅风，男女通用，Demna设计感休闲五分裤"},"finish_reason":"stop"}],"usage":{"prompt_tokens":1339,"completion_tokens":162,"total_tokens":1501}}</t>
        </is>
      </c>
      <c r="X23" t="inlineStr">
        <is>
          <t>巴黎世家Balenciaga 灰白迷彩工装短裤，多袋功能棉质面料，宽松街头军旅风，男女通用，Demna设计感休闲五分裤</t>
        </is>
      </c>
    </row>
    <row r="24" ht="25.5" customHeight="1">
      <c r="A24">
        <v>1839115443</v>
      </c>
      <c r="B24">
        <v>7765632859</v>
      </c>
      <c r="C24" s="2" t="str">
        <f>=HYPERLINK("https://weidian.com/item.html?itemID=7765632859", "https://weidian.com/item.html?itemID=7765632859")</f>
        <v>https://weidian.com/item.html?itemID=7765632859</v>
      </c>
      <c r="D24"/>
      <c r="E24" s="2" t="str">
        <f>=HYPERLINK("https://si.geilicdn.com/open1839115443-252808396-36bd0000019e2f9919720a23b4de_1440_1920.jpg?w=640&amp;h=640", "https://si.geilicdn.com/open1839115443-252808396-36bd0000019e2f9919720a23b4de_1440_1920.jpg?w=640&amp;h=640")</f>
        <v>https://si.geilicdn.com/open1839115443-252808396-36bd0000019e2f9919720a23b4de_1440_1920.jpg?w=640&amp;h=640</v>
      </c>
      <c r="F24" t="inlineStr">
        <is>
          <t>T-Shirts</t>
        </is>
      </c>
      <c r="G24" t="inlineStr">
        <is>
          <t>Balenciaga</t>
        </is>
      </c>
      <c r="H24">
        <v>264</v>
      </c>
      <c r="I24">
        <v>38.26</v>
      </c>
      <c r="J24" t="inlineStr">
        <is>
          <t>{"id":"resp_0f3e49fb8da397a2016a0858980fb48198922f8b3d44cfaaa0","object":"chat.completion","created":1778931869,"model":"gpt-5.5","choices":[{"index":0,"message":{"role":"assistant","content":"Balenciaga Grey Washed Distressed Cotton Totem T-Shirt"},"finish_reason":"stop"}],"usage":{"prompt_tokens":890,"completion_tokens":229,"total_tokens":1119}}</t>
        </is>
      </c>
      <c r="K24" t="inlineStr">
        <is>
          <t>Balenciaga Grey Washed Distressed Cotton Totem T-Shirt</t>
        </is>
      </c>
      <c r="L24" t="inlineStr">
        <is>
          <t>{"id":"resp_05b6a1d258ebf03f016a0857c3d0248199a6c0db569dd4cd6a","object":"chat.completion","created":1778931655,"model":"gpt-5.5","choices":[{"index":0,"message":{"role":"assistant","content":"Balenciaga grey washed distressed cotton T-shirt, loose unisex fit with abstract white totem graphic, streetwear casual short sleeve tee."},"finish_reason":"stop"}],"usage":{"prompt_tokens":915,"completion_tokens":112,"total_tokens":1027}}</t>
        </is>
      </c>
      <c r="M24" t="inlineStr">
        <is>
          <t>{"alt-svc":"h3=\":443\"; ma=2592000","connection":"close","content-length":"432","content-type":"application/json; charset=utf-8","date":"Sat, 16 May 2026 11:40:55 GMT","referrer-policy":"strict-origin-when-cross-origin","server":"Caddy","strict-transport-security":"max-age=31536000; includeSubDomains; preload","vary":"Accept-Encoding","x-content-type-options":"nosniff","x-frame-options":"DENY","x-new-api-version":"v1.0.0-rc.2","x-oneapi-request-id":"202605161140514267075958268d9d64ZCKsoZY","x-request-id":"14d5323c-91c9-4eaa-91c6-5139c09a7a35"}</t>
        </is>
      </c>
      <c r="N24" t="inlineStr">
        <is>
          <t>Balenciaga grey washed distressed cotton T-shirt, loose unisex fit with abstract white totem graphic, streetwear casual short sleeve tee.</t>
        </is>
      </c>
      <c r="O24" t="inlineStr">
        <is>
          <t>{"id":"resp_07628629d0f56557016a085a85bb888190ad6e568c9243a0f3","object":"chat.completion","created":1778932369,"model":"gpt-5.5","choices":[{"index":0,"message":{"role":"assistant","content":"Balenciaga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2026kakobuysheetfind"},"finish_reason":"stop"}],"usage":{"prompt_tokens":813,"completion_tokens":523,"total_tokens":1336}}</t>
        </is>
      </c>
      <c r="P24"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t>
        </is>
      </c>
      <c r="Q24" t="inlineStr">
        <is>
          <t>Balenciaga, Grey, Distressed, Abstract, Streetwear, Unisex</t>
        </is>
      </c>
      <c r="R24" t="inlineStr">
        <is>
          <t>recvjLGOf4uulN</t>
        </is>
      </c>
      <c r="S24" t="inlineStr">
        <is>
          <t>balenciaga-grey-washed-distressed-cotton-totem-t-shirt-recvjlgof4uuln</t>
        </is>
      </c>
      <c r="T24"/>
      <c r="U24"/>
      <c r="V24"/>
      <c r="W24" t="inlineStr">
        <is>
          <t>{"id":"resp_08cf486ac96d6d1f016a08568c92808190b2beaa2673d635c8","object":"chat.completion","created":1778931344,"model":"gpt-5.5","choices":[{"index":0,"message":{"role":"assistant","content":"巴黎世家Balenciaga 灰色水洗做旧短袖T恤，纯棉宽松版型，抽象白色图腾印花，男女同款街头休闲风格。"},"finish_reason":"stop"}],"usage":{"prompt_tokens":1339,"completion_tokens":153,"total_tokens":1492}}</t>
        </is>
      </c>
      <c r="X24" t="inlineStr">
        <is>
          <t>巴黎世家Balenciaga 灰色水洗做旧短袖T恤，纯棉宽松版型，抽象白色图腾印花，男女同款街头休闲风格。</t>
        </is>
      </c>
    </row>
    <row r="25" ht="25.5" customHeight="1">
      <c r="A25">
        <v>1839115443</v>
      </c>
      <c r="B25">
        <v>7765611101</v>
      </c>
      <c r="C25" s="2" t="str">
        <f>=HYPERLINK("https://weidian.com/item.html?itemID=7765611101", "https://weidian.com/item.html?itemID=7765611101")</f>
        <v>https://weidian.com/item.html?itemID=7765611101</v>
      </c>
      <c r="D25"/>
      <c r="E25" s="2" t="str">
        <f>=HYPERLINK("https://si.geilicdn.com/open1839115443-252808396-281d0000019e2f985ae30aa08269_1440_1920.jpg?w=640&amp;h=640", "https://si.geilicdn.com/open1839115443-252808396-281d0000019e2f985ae30aa08269_1440_1920.jpg?w=640&amp;h=640")</f>
        <v>https://si.geilicdn.com/open1839115443-252808396-281d0000019e2f985ae30aa08269_1440_1920.jpg?w=640&amp;h=640</v>
      </c>
      <c r="F25" t="inlineStr">
        <is>
          <t>T-Shirts</t>
        </is>
      </c>
      <c r="G25" t="inlineStr">
        <is>
          <t>Balenciaga</t>
        </is>
      </c>
      <c r="H25">
        <v>234</v>
      </c>
      <c r="I25">
        <v>33.91</v>
      </c>
      <c r="J25" t="inlineStr">
        <is>
          <t>{"id":"resp_0c21d04a4941715d016a08597fa8f0819bb86690ac9c15d1ea","object":"chat.completion","created":1778932099,"model":"gpt-5.5","choices":[{"index":0,"message":{"role":"assistant","content":"Balenciaga Black Logo Tape Oversized Cotton T-Shirt"},"finish_reason":"stop"}],"usage":{"prompt_tokens":882,"completion_tokens":116,"total_tokens":998}}</t>
        </is>
      </c>
      <c r="K25" t="inlineStr">
        <is>
          <t>Balenciaga Black Logo Tape Oversized Cotton T-Shirt</t>
        </is>
      </c>
      <c r="L25" t="inlineStr">
        <is>
          <t>{"id":"resp_00da708c3c25f5f9016a0857c9920481988c52259ddb8d54e5","object":"chat.completion","created":1778931661,"model":"gpt-5.5","choices":[{"index":0,"message":{"role":"assistant","content":"Balenciaga black cotton short sleeve T-shirt with logo tape shoulder sleeve panels, oversized unisex streetwear casual top."},"finish_reason":"stop"}],"usage":{"prompt_tokens":912,"completion_tokens":92,"total_tokens":1004}}</t>
        </is>
      </c>
      <c r="M25" t="inlineStr">
        <is>
          <t>{"alt-svc":"h3=\":443\"; ma=2592000","connection":"close","content-length":"417","content-type":"application/json; charset=utf-8","date":"Sat, 16 May 2026 11:41:01 GMT","referrer-policy":"strict-origin-when-cross-origin","server":"Caddy","strict-transport-security":"max-age=31536000; includeSubDomains; preload","vary":"Accept-Encoding","x-content-type-options":"nosniff","x-frame-options":"DENY","x-new-api-version":"v1.0.0-rc.2","x-oneapi-request-id":"202605161140571804995768268d9d6ctEBrU5e","x-request-id":"686263fe-f8cc-41fa-a1d9-27828b5c2686"}</t>
        </is>
      </c>
      <c r="N25" t="inlineStr">
        <is>
          <t>Balenciaga black cotton short sleeve T-shirt with logo tape shoulder sleeve panels, oversized unisex streetwear casual top.</t>
        </is>
      </c>
      <c r="O25" t="inlineStr">
        <is>
          <t>{"id":"resp_0ae84aa235f72ec3016a085abb1a548194b49cea74fc4b46ce","object":"chat.completion","created":1778932417,"model":"gpt-5.5","choices":[{"index":0,"message":{"role":"assistant","content":"Balenciaga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kakobuysheet2026"},"finish_reason":"stop"}],"usage":{"prompt_tokens":813,"completion_tokens":299,"total_tokens":1112}}</t>
        </is>
      </c>
      <c r="P25"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25" t="inlineStr">
        <is>
          <t>Balenciaga, Black, Streetwear, Unisex, Summer</t>
        </is>
      </c>
      <c r="R25" t="inlineStr">
        <is>
          <t>recvjLGOf42kVl</t>
        </is>
      </c>
      <c r="S25" t="inlineStr">
        <is>
          <t>balenciaga-black-logo-tape-oversized-cotton-t-shirt-recvjlgof42kvl</t>
        </is>
      </c>
      <c r="T25"/>
      <c r="U25"/>
      <c r="V25"/>
      <c r="W25" t="inlineStr">
        <is>
          <t>{"id":"resp_0a2b470b7530308c016a085636b9ec81989ffc47b1ed85b814","object":"chat.completion","created":1778931258,"model":"gpt-5.5","choices":[{"index":0,"message":{"role":"assistant","content":"巴黎世家Balenciaga黑色棉质短袖T恤，肩袖Logo织带拼接设计，宽松廓形，男女同款街头休闲风潮流上衣"},"finish_reason":"stop"}],"usage":{"prompt_tokens":1335,"completion_tokens":138,"total_tokens":1473}}</t>
        </is>
      </c>
      <c r="X25" t="inlineStr">
        <is>
          <t>巴黎世家Balenciaga黑色棉质短袖T恤，肩袖Logo织带拼接设计，宽松廓形，男女同款街头休闲风潮流上衣</t>
        </is>
      </c>
    </row>
    <row r="26" ht="25.5" customHeight="1">
      <c r="A26">
        <v>1839115443</v>
      </c>
      <c r="B26">
        <v>7768670106</v>
      </c>
      <c r="C26" s="2" t="str">
        <f>=HYPERLINK("https://weidian.com/item.html?itemID=7768670106", "https://weidian.com/item.html?itemID=7768670106")</f>
        <v>https://weidian.com/item.html?itemID=7768670106</v>
      </c>
      <c r="D26"/>
      <c r="E26" s="2" t="str">
        <f>=HYPERLINK("https://si.geilicdn.com/open1839115443-252808396-34550000019e2f986fa40a23b491_1440_1920.jpg?w=640&amp;h=640", "https://si.geilicdn.com/open1839115443-252808396-34550000019e2f986fa40a23b491_1440_1920.jpg?w=640&amp;h=640")</f>
        <v>https://si.geilicdn.com/open1839115443-252808396-34550000019e2f986fa40a23b491_1440_1920.jpg?w=640&amp;h=640</v>
      </c>
      <c r="F26" t="inlineStr">
        <is>
          <t>T-Shirts</t>
        </is>
      </c>
      <c r="G26" t="inlineStr">
        <is>
          <t>Balenciaga</t>
        </is>
      </c>
      <c r="H26">
        <v>294</v>
      </c>
      <c r="I26">
        <v>42.6086956521739</v>
      </c>
      <c r="J26" t="inlineStr">
        <is>
          <t>{"id":"resp_0b7aba61dbdef7df016a0859ae88f881959b96df932ac60072","object":"chat.completion","created":1778932146,"model":"gpt-5.5","choices":[{"index":0,"message":{"role":"assistant","content":"Balenciaga Black Washed Wave Palm Oversized T-Shirt"},"finish_reason":"stop"}],"usage":{"prompt_tokens":888,"completion_tokens":174,"total_tokens":1062}}</t>
        </is>
      </c>
      <c r="K26" t="inlineStr">
        <is>
          <t>Balenciaga Black Washed Wave Palm Oversized T-Shirt</t>
        </is>
      </c>
      <c r="L26" t="inlineStr">
        <is>
          <t>{"id":"resp_0b9a93124616c432016a085723da0c8196aeea84438369eff9","object":"chat.completion","created":1778931495,"model":"gpt-5.5","choices":[{"index":0,"message":{"role":"assistant","content":"Balenciaga black vintage washed cotton T-shirt, oversized unisex streetwear tee with wave, palm tree graphic and gothic logo print."},"finish_reason":"stop"}],"usage":{"prompt_tokens":918,"completion_tokens":105,"total_tokens":1023}}</t>
        </is>
      </c>
      <c r="M26" t="inlineStr">
        <is>
          <t>{"alt-svc":"h3=\":443\"; ma=2592000","connection":"close","content-length":"426","content-type":"application/json; charset=utf-8","date":"Sat, 16 May 2026 11:38:15 GMT","referrer-policy":"strict-origin-when-cross-origin","server":"nginx/1.24.0 (Ubuntu)","strict-transport-security":"max-age=31536000; includeSubDomains; preload","vary":"Accept-Encoding","via":"1.1 Caddy","x-content-type-options":"nosniff","x-frame-options":"DENY","x-new-api-version":"v1.0.0-rc.2","x-oneapi-request-id":"202605161138116884604598268d9d6NaOiZoCm","x-request-id":"afd92147-e577-46d0-9105-1de805c52f7d"}</t>
        </is>
      </c>
      <c r="N26" t="inlineStr">
        <is>
          <t>Balenciaga black vintage washed cotton T-shirt, oversized unisex streetwear tee with wave, palm tree graphic and gothic logo print.</t>
        </is>
      </c>
      <c r="O26" t="inlineStr">
        <is>
          <t>{"id":"resp_04b496ad36a327be016a085b5b4fc8819589ef5268e24b2fa1","object":"chat.completion","created":1778932586,"model":"gpt-5.5","choices":[{"index":0,"message":{"role":"assistant","content":"Balenciaga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kakobuysheet2026"},"finish_reason":"stop"}],"usage":{"prompt_tokens":813,"completion_tokens":587,"total_tokens":1400}}</t>
        </is>
      </c>
      <c r="P26"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26" t="inlineStr">
        <is>
          <t>Balenciaga, Black, Vintage, Streetwear, Unisex</t>
        </is>
      </c>
      <c r="R26" t="inlineStr">
        <is>
          <t>recvjLGOf4RM1c</t>
        </is>
      </c>
      <c r="S26" t="inlineStr">
        <is>
          <t>balenciaga-black-washed-wave-palm-oversized-t-shirt-recvjLGOf4RM1c</t>
        </is>
      </c>
      <c r="T26"/>
      <c r="U26"/>
      <c r="V26"/>
      <c r="W26" t="inlineStr">
        <is>
          <t>{"id":"resp_0aed23324e11102f016a0856520aa08193a0291d9be5828bf0","object":"chat.completion","created":1778931287,"model":"gpt-5.5","choices":[{"index":0,"message":{"role":"assistant","content":"巴黎世家Balenciaga黑色复古水洗短袖T恤，棉质宽松版型，海浪椰树图腾与哥特字母印花，男女同款街头潮流上衣"},"finish_reason":"stop"}],"usage":{"prompt_tokens":1335,"completion_tokens":140,"total_tokens":1475}}</t>
        </is>
      </c>
      <c r="X26" t="inlineStr">
        <is>
          <t>巴黎世家Balenciaga黑色复古水洗短袖T恤，棉质宽松版型，海浪椰树图腾与哥特字母印花，男女同款街头潮流上衣</t>
        </is>
      </c>
    </row>
    <row r="27" ht="25.5" customHeight="1">
      <c r="A27">
        <v>1839115443</v>
      </c>
      <c r="B27">
        <v>7768601120</v>
      </c>
      <c r="C27" s="2" t="str">
        <f>=HYPERLINK("https://weidian.com/item.html?itemID=7768601120", "https://weidian.com/item.html?itemID=7768601120")</f>
        <v>https://weidian.com/item.html?itemID=7768601120</v>
      </c>
      <c r="D27"/>
      <c r="E27" s="2" t="str">
        <f>=HYPERLINK("https://si.geilicdn.com/open1839115443-252808396-37e30000019e2f9939e00a23b491_1440_1920.jpg?w=640&amp;h=640", "https://si.geilicdn.com/open1839115443-252808396-37e30000019e2f9939e00a23b491_1440_1920.jpg?w=640&amp;h=640")</f>
        <v>https://si.geilicdn.com/open1839115443-252808396-37e30000019e2f9939e00a23b491_1440_1920.jpg?w=640&amp;h=640</v>
      </c>
      <c r="F27" t="inlineStr">
        <is>
          <t>T-Shirts</t>
        </is>
      </c>
      <c r="G27" t="inlineStr">
        <is>
          <t>Balenciaga</t>
        </is>
      </c>
      <c r="H27">
        <v>244</v>
      </c>
      <c r="I27">
        <v>35.36</v>
      </c>
      <c r="J27" t="inlineStr">
        <is>
          <t>{"id":"resp_0e76cbe1ac31b607016a08587aabf4819b9b92e1f560f858c6","object":"chat.completion","created":1778931836,"model":"gpt-5.5","choices":[{"index":0,"message":{"role":"assistant","content":"Balenciaga Dark Charcoal Oversized Logo Patch T-Shirt"},"finish_reason":"stop"}],"usage":{"prompt_tokens":885,"completion_tokens":13,"total_tokens":898}}</t>
        </is>
      </c>
      <c r="K27" t="inlineStr">
        <is>
          <t>Balenciaga Dark Charcoal Oversized Logo Patch T-Shirt</t>
        </is>
      </c>
      <c r="L27" t="inlineStr">
        <is>
          <t>{"id":"resp_0041d5d65683b901016a0856e4eaa081948e982fabf6421ab3","object":"chat.completion","created":1778931433,"model":"gpt-5.5","choices":[{"index":0,"message":{"role":"assistant","content":"Balenciaga T-Shirt dark charcoal washed cotton tee with small chest patch logo, oversized drop shoulder unisex streetwear casual top"},"finish_reason":"stop"}],"usage":{"prompt_tokens":912,"completion_tokens":147,"total_tokens":1059}}</t>
        </is>
      </c>
      <c r="M27" t="inlineStr">
        <is>
          <t>{"alt-svc":"h3=\":443\"; ma=2592000","connection":"close","content-length":"427","content-type":"application/json; charset=utf-8","date":"Sat, 16 May 2026 11:37:13 GMT","referrer-policy":"strict-origin-when-cross-origin","server":"Caddy","strict-transport-security":"max-age=31536000; includeSubDomains; preload","vary":"Accept-Encoding","x-content-type-options":"nosniff","x-frame-options":"DENY","x-new-api-version":"v1.0.0-rc.2","x-oneapi-request-id":"202605161137087459896108268d9d6TgBFnP5v","x-request-id":"6dfb605f-a0d4-4cd3-93da-1bf08db62453"}</t>
        </is>
      </c>
      <c r="N27" t="inlineStr">
        <is>
          <t>Balenciaga T-Shirt dark charcoal washed cotton tee with small chest patch logo, oversized drop shoulder unisex streetwear casual top</t>
        </is>
      </c>
      <c r="O27" t="inlineStr">
        <is>
          <t>{"id":"resp_0a0c39258e8523bc016a085a85dce881959598f098861f1aea","object":"chat.completion","created":1778932365,"model":"gpt-5.5","choices":[{"index":0,"message":{"role":"assistant","content":"Balenciaga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kakobuysheet2026"},"finish_reason":"stop"}],"usage":{"prompt_tokens":813,"completion_tokens":245,"total_tokens":1058}}</t>
        </is>
      </c>
      <c r="P27"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27" t="inlineStr">
        <is>
          <t>Balenciaga, Unisex, Streetwear, Charcoal</t>
        </is>
      </c>
      <c r="R27" t="inlineStr">
        <is>
          <t>recvjLGOf4rsld</t>
        </is>
      </c>
      <c r="S27" t="inlineStr">
        <is>
          <t>balenciaga-dark-charcoal-oversized-logo-patch-tshirt-recvjlgof4rsld</t>
        </is>
      </c>
      <c r="T27"/>
      <c r="U27"/>
      <c r="V27"/>
      <c r="W27" t="inlineStr">
        <is>
          <t>{"id":"resp_07d2ece0c180343b016a0856226b74819bbd20b56f3f72d353","object":"chat.completion","created":1778931238,"model":"gpt-5.5","choices":[{"index":0,"message":{"role":"assistant","content":"巴黎世家Balenciaga 深炭黑水洗棉短袖T恤，小胸标贴布设计，宽松落肩版型，男女同款街头休闲上衣"},"finish_reason":"stop"}],"usage":{"prompt_tokens":1339,"completion_tokens":148,"total_tokens":1487}}</t>
        </is>
      </c>
      <c r="X27" t="inlineStr">
        <is>
          <t>巴黎世家Balenciaga 深炭黑水洗棉短袖T恤，小胸标贴布设计，宽松落肩版型，男女同款街头休闲上衣</t>
        </is>
      </c>
    </row>
    <row r="28" ht="25.5" customHeight="1">
      <c r="A28">
        <v>1839115443</v>
      </c>
      <c r="B28">
        <v>7765628511</v>
      </c>
      <c r="C28" s="2" t="str">
        <f>=HYPERLINK("https://weidian.com/item.html?itemID=7765628511", "https://weidian.com/item.html?itemID=7765628511")</f>
        <v>https://weidian.com/item.html?itemID=7765628511</v>
      </c>
      <c r="D28"/>
      <c r="E28" s="2" t="str">
        <f>=HYPERLINK("https://si.geilicdn.com/open1839115443-252808396-316e0000019e2f993c460a231226_1500_1500.jpg?w=640&amp;h=640", "https://si.geilicdn.com/open1839115443-252808396-316e0000019e2f993c460a231226_1500_1500.jpg?w=640&amp;h=640")</f>
        <v>https://si.geilicdn.com/open1839115443-252808396-316e0000019e2f993c460a231226_1500_1500.jpg?w=640&amp;h=640</v>
      </c>
      <c r="F28" t="inlineStr">
        <is>
          <t>T-Shirts</t>
        </is>
      </c>
      <c r="G28" t="inlineStr">
        <is>
          <t>Balenciaga</t>
        </is>
      </c>
      <c r="H28">
        <v>324</v>
      </c>
      <c r="I28">
        <v>46.96</v>
      </c>
      <c r="J28" t="inlineStr">
        <is>
          <t>{"id":"resp_04e5275de6e9bcd2016a08587efb148198b5880d6ae724d3f9","object":"chat.completion","created":1778931843,"model":"gpt-5.5","choices":[{"index":0,"message":{"role":"assistant","content":"Balenciaga Gray Washed Oversized Logo Cotton T-Shirt"},"finish_reason":"stop"}],"usage":{"prompt_tokens":721,"completion_tokens":145,"total_tokens":866}}</t>
        </is>
      </c>
      <c r="K28" t="inlineStr">
        <is>
          <t>Balenciaga Gray Washed Oversized Logo Cotton T-Shirt</t>
        </is>
      </c>
      <c r="L28" t="inlineStr">
        <is>
          <t>{"id":"resp_08f651523eb74f9b016a0857b8815c819b917a91df857458b2","object":"chat.completion","created":1778931643,"model":"gpt-5.5","choices":[{"index":0,"message":{"role":"assistant","content":"Balenciaga gray washed cotton T-shirt, relaxed oversized fit, small chest logo embroidery, vintage streetwear unisex short sleeve casual top"},"finish_reason":"stop"}],"usage":{"prompt_tokens":744,"completion_tokens":108,"total_tokens":852}}</t>
        </is>
      </c>
      <c r="M28" t="inlineStr">
        <is>
          <t>{"alt-svc":"h3=\":443\"; ma=2592000","connection":"close","content-length":"434","content-type":"application/json; charset=utf-8","date":"Sat, 16 May 2026 11:40:43 GMT","referrer-policy":"strict-origin-when-cross-origin","server":"Caddy","strict-transport-security":"max-age=31536000; includeSubDomains; preload","vary":"Accept-Encoding","x-content-type-options":"nosniff","x-frame-options":"DENY","x-new-api-version":"v1.0.0-rc.2","x-oneapi-request-id":"20260516114040446290018268d9d65S2C04By","x-request-id":"8ac8c37f-ac0d-4d49-a582-5df4476deb17"}</t>
        </is>
      </c>
      <c r="N28" t="inlineStr">
        <is>
          <t>Balenciaga gray washed cotton T-shirt, relaxed oversized fit, small chest logo embroidery, vintage streetwear unisex short sleeve casual top</t>
        </is>
      </c>
      <c r="O28" t="inlineStr">
        <is>
          <t>{"id":"resp_070bf75870e7879b016a085a671b908190896a3e902b8b2f99","object":"chat.completion","created":1778932338,"model":"gpt-5.5","choices":[{"index":0,"message":{"role":"assistant","content":"Balenciaga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kakobuysheet2026"},"finish_reason":"stop"}],"usage":{"prompt_tokens":645,"completion_tokens":565,"total_tokens":1210}}</t>
        </is>
      </c>
      <c r="P28"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28" t="inlineStr">
        <is>
          <t>Balenciaga, Gray, Vintage, Streetwear, Unisex, Summer</t>
        </is>
      </c>
      <c r="R28" t="inlineStr">
        <is>
          <t>recvjLGOf4UFUn</t>
        </is>
      </c>
      <c r="S28" t="inlineStr">
        <is>
          <t>balenciaga-gray-washed-oversized-logo-cotton-t-shirt-recvjlgof4ufun</t>
        </is>
      </c>
      <c r="T28"/>
      <c r="U28"/>
      <c r="V28"/>
      <c r="W28" t="inlineStr">
        <is>
          <t>{"id":"resp_094917237261c986016a08565617508190addd098e8e69ef6f","object":"chat.completion","created":1778931290,"model":"gpt-5.5","choices":[{"index":0,"message":{"role":"assistant","content":"巴黎世家Balenciaga 灰色水洗短袖T恤，纯棉宽松版型，小胸标Logo刺绣，复古街头风男女同款休闲上衣"},"finish_reason":"stop"}],"usage":{"prompt_tokens":1167,"completion_tokens":166,"total_tokens":1333}}</t>
        </is>
      </c>
      <c r="X28" t="inlineStr">
        <is>
          <t>巴黎世家Balenciaga 灰色水洗短袖T恤，纯棉宽松版型，小胸标Logo刺绣，复古街头风男女同款休闲上衣</t>
        </is>
      </c>
    </row>
    <row r="29" ht="25.5" customHeight="1">
      <c r="A29">
        <v>1839115443</v>
      </c>
      <c r="B29">
        <v>7765636737</v>
      </c>
      <c r="C29" s="2" t="str">
        <f>=HYPERLINK("https://weidian.com/item.html?itemID=7765636737", "https://weidian.com/item.html?itemID=7765636737")</f>
        <v>https://weidian.com/item.html?itemID=7765636737</v>
      </c>
      <c r="D29"/>
      <c r="E29" s="2" t="str">
        <f>=HYPERLINK("https://si.geilicdn.com/open1839115443-252808396-3d7f0000019e2f9935ec0a22d249_1440_1920.jpg?w=640&amp;h=640", "https://si.geilicdn.com/open1839115443-252808396-3d7f0000019e2f9935ec0a22d249_1440_1920.jpg?w=640&amp;h=640")</f>
        <v>https://si.geilicdn.com/open1839115443-252808396-3d7f0000019e2f9935ec0a22d249_1440_1920.jpg?w=640&amp;h=640</v>
      </c>
      <c r="F29" t="inlineStr">
        <is>
          <t>T-Shirts</t>
        </is>
      </c>
      <c r="G29" t="inlineStr">
        <is>
          <t>Balenciaga</t>
        </is>
      </c>
      <c r="H29">
        <v>244</v>
      </c>
      <c r="I29">
        <v>35.36</v>
      </c>
      <c r="J29" t="inlineStr">
        <is>
          <t>{"id":"resp_093a928dad4d4f3e016a0859112a888193a8bf9a062fc30475","object":"chat.completion","created":1778931988,"model":"gpt-5.5","choices":[{"index":0,"message":{"role":"assistant","content":"Balenciaga Black Oversized Jewel Totem Graphic T-Shirt"},"finish_reason":"stop"}],"usage":{"prompt_tokens":893,"completion_tokens":107,"total_tokens":1000}}</t>
        </is>
      </c>
      <c r="K29" t="inlineStr">
        <is>
          <t>Balenciaga Black Oversized Jewel Totem Graphic T-Shirt</t>
        </is>
      </c>
      <c r="L29" t="inlineStr">
        <is>
          <t>{"id":"resp_04a07b157774f6b4016a0857aa399c8198b57ca4f0456f8873","object":"chat.completion","created":1778931629,"model":"gpt-5.5","choices":[{"index":0,"message":{"role":"assistant","content":"Balenciaga black oversized cotton T-shirt, unisex short sleeve streetwear top with colorful jewel circle totem graphic print, casual luxury designer tee"},"finish_reason":"stop"}],"usage":{"prompt_tokens":917,"completion_tokens":112,"total_tokens":1029}}</t>
        </is>
      </c>
      <c r="M29" t="inlineStr">
        <is>
          <t>{"alt-svc":"h3=\":443\"; ma=2592000","connection":"close","content-length":"447","content-type":"application/json; charset=utf-8","date":"Sat, 16 May 2026 11:40:29 GMT","referrer-policy":"strict-origin-when-cross-origin","server":"nginx/1.24.0 (Ubuntu)","strict-transport-security":"max-age=31536000; includeSubDomains; preload","vary":"Accept-Encoding","via":"1.1 Caddy","x-content-type-options":"nosniff","x-frame-options":"DENY","x-new-api-version":"v1.0.0-rc.2","x-oneapi-request-id":"202605161140257794596548268d9d6LuKwfDox","x-request-id":"dc935cf5-0615-477f-820d-3b3914cfdc0b"}</t>
        </is>
      </c>
      <c r="N29" t="inlineStr">
        <is>
          <t>Balenciaga black oversized cotton T-shirt, unisex short sleeve streetwear top with colorful jewel circle totem graphic print, casual luxury designer tee</t>
        </is>
      </c>
      <c r="O29" t="inlineStr">
        <is>
          <t>{"id":"resp_06d2c6ead573ae98016a085ab9dc908195a23a6afb0edfdbe3","object":"chat.completion","created":1778932416,"model":"gpt-5.5","choices":[{"index":0,"message":{"role":"assistant","content":"Balenciaga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kakobuysheet2026"},"finish_reason":"stop"}],"usage":{"prompt_tokens":813,"completion_tokens":276,"total_tokens":1089}}</t>
        </is>
      </c>
      <c r="P29"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29" t="inlineStr">
        <is>
          <t>Balenciaga, Black, Streetwear, Unisex, Summer</t>
        </is>
      </c>
      <c r="R29" t="inlineStr">
        <is>
          <t>recvjLGOf4cW3V</t>
        </is>
      </c>
      <c r="S29" t="inlineStr">
        <is>
          <t>balenciaga-oversized-jewel-totem-graphic-tshirt-recvjlgof4cw3v</t>
        </is>
      </c>
      <c r="T29"/>
      <c r="U29"/>
      <c r="V29"/>
      <c r="W29" t="inlineStr">
        <is>
          <t>{"id":"resp_0a055ef849b94110016a0855a90e0c819ba66e32ee83bd2659","object":"chat.completion","created":1778931117,"model":"gpt-5.5","choices":[{"index":0,"message":{"role":"assistant","content":"巴黎世家 Balenciaga 黑色宽松短袖T恤，纯棉材质，彩色宝石圆形图腾印花，男女同款街头休闲风潮牌上衣"},"finish_reason":"stop"}],"usage":{"prompt_tokens":1343,"completion_tokens":150,"total_tokens":1493}}</t>
        </is>
      </c>
      <c r="X29" t="inlineStr">
        <is>
          <t>巴黎世家 Balenciaga 黑色宽松短袖T恤，纯棉材质，彩色宝石圆形图腾印花，男女同款街头休闲风潮牌上衣</t>
        </is>
      </c>
    </row>
    <row r="30" ht="25.5" customHeight="1">
      <c r="A30">
        <v>1839115443</v>
      </c>
      <c r="B30">
        <v>7768652108</v>
      </c>
      <c r="C30" s="2" t="str">
        <f>=HYPERLINK("https://weidian.com/item.html?itemID=7768652108", "https://weidian.com/item.html?itemID=7768652108")</f>
        <v>https://weidian.com/item.html?itemID=7768652108</v>
      </c>
      <c r="D30"/>
      <c r="E30" s="2" t="str">
        <f>=HYPERLINK("https://si.geilicdn.com/open1839115443-252808396-2bf70000019e2f9980710aa08269_1440_1920.jpg?w=640&amp;h=640", "https://si.geilicdn.com/open1839115443-252808396-2bf70000019e2f9980710aa08269_1440_1920.jpg?w=640&amp;h=640")</f>
        <v>https://si.geilicdn.com/open1839115443-252808396-2bf70000019e2f9980710aa08269_1440_1920.jpg?w=640&amp;h=640</v>
      </c>
      <c r="F30" t="inlineStr">
        <is>
          <t>Jerseys</t>
        </is>
      </c>
      <c r="G30" t="inlineStr">
        <is>
          <t>Balenciaga</t>
        </is>
      </c>
      <c r="H30">
        <v>334</v>
      </c>
      <c r="I30">
        <v>48.41</v>
      </c>
      <c r="J30" t="inlineStr">
        <is>
          <t>{"id":"resp_08c907c176ffcc1b016a0858b5a0a48194bdb2a461a86f2c1e","object":"chat.completion","created":1778931896,"model":"gpt-5.5","choices":[{"index":0,"message":{"role":"assistant","content":"Balenciaga #10 Black Colorblock Mesh Sports Jersey"},"finish_reason":"stop"}],"usage":{"prompt_tokens":891,"completion_tokens":98,"total_tokens":989}}</t>
        </is>
      </c>
      <c r="K30" t="inlineStr">
        <is>
          <t>Balenciaga #10 Black Colorblock Mesh Sports Jersey</t>
        </is>
      </c>
      <c r="L30" t="inlineStr">
        <is>
          <t>{"id":"resp_04bdac94d37da222016a0856eb9b9481979bb61abeb0bb5d7f","object":"chat.completion","created":1778931440,"model":"gpt-5.5","choices":[{"index":0,"message":{"role":"assistant","content":"Balenciaga #10 jersey, black red white colorblock mesh quick-dry breathable raglan short sleeve, vintage American sports unisex top"},"finish_reason":"stop"}],"usage":{"prompt_tokens":910,"completion_tokens":140,"total_tokens":1050}}</t>
        </is>
      </c>
      <c r="M30" t="inlineStr">
        <is>
          <t>{"alt-svc":"h3=\":443\"; ma=2592000","connection":"close","content-length":"426","content-type":"application/json; charset=utf-8","date":"Sat, 16 May 2026 11:37:20 GMT","referrer-policy":"strict-origin-when-cross-origin","server":"nginx/1.24.0 (Ubuntu)","strict-transport-security":"max-age=31536000; includeSubDomains; preload","vary":"Accept-Encoding","via":"1.1 Caddy","x-content-type-options":"nosniff","x-frame-options":"DENY","x-new-api-version":"v1.0.0-rc.2","x-oneapi-request-id":"202605161137153530415748268d9d634uoMydZ","x-request-id":"3d579f40-c82d-4a75-9ec1-2005801c81e4"}</t>
        </is>
      </c>
      <c r="N30" t="inlineStr">
        <is>
          <t>Balenciaga #10 jersey, black red white colorblock mesh quick-dry breathable raglan short sleeve, vintage American sports unisex top</t>
        </is>
      </c>
      <c r="O30" t="inlineStr">
        <is>
          <t>{"id":"resp_0c959380e4c87ef4016a085b39346c8197b557c4141fd242b6","object":"chat.completion","created":1778932542,"model":"gpt-5.5","choices":[{"index":0,"message":{"role":"assistant","content":"Balenciaga Jerseys kakobuy, Balenciaga Jerseys kakebuy2026, Balenciaga Jerseys kekobuysheet, Balenciaga Jerseys kakobuysheet2026, Balenciaga Jerseys 2026kakobuy, Balenciaga Jerseys kakobuyspreadsheeet, Balenciaga Jerseys kakobuylink, Balenciaga Jerseys kakebuylist, Balenciaga Jerseys Kakobuy MEGA Spreadsheet, Balenciaga Jerseys kakobuysheetfind, Balenciaga Jerseys kakobuysheetfind2026, Balenciaga Jerseys 2026kakobuysheetfind, Balenciaga Jerseys kakobuysheet2026"},"finish_reason":"stop"}],"usage":{"prompt_tokens":813,"completion_tokens":216,"total_tokens":1029}}</t>
        </is>
      </c>
      <c r="P30" t="inlineStr">
        <is>
          <t>Balenciaga Jerseys kakobuy, Balenciaga Jerseys kakebuy2026, Balenciaga Jerseys kekobuysheet, Balenciaga Jerseys kakobuysheet2026, Balenciaga Jerseys 2026kakobuy, Balenciaga Jerseys kakobuyspreadsheeet, Balenciaga Jerseys kakobuylink, Balenciaga Jerseys kakebuylist, Balenciaga Jerseys Kakobuy MEGA Spreadsheet, Balenciaga Jerseys kakobuysheetfind, Balenciaga Jerseys kakobuysheetfind2026, Balenciaga Jerseys 2026kakobuysheetfind, Balenciaga Jerseys kakobuysheet2026</t>
        </is>
      </c>
      <c r="Q30" t="inlineStr">
        <is>
          <t>Balenciaga, Black Red, Color Block, Mesh, Quick Dry, Breathable</t>
        </is>
      </c>
      <c r="R30" t="inlineStr">
        <is>
          <t>recvjLGOf4VSQb</t>
        </is>
      </c>
      <c r="S30" t="inlineStr">
        <is>
          <t>balenciaga-10-black-colorblock-mesh-sports-jersey-recvjlgof4vsqb</t>
        </is>
      </c>
      <c r="T30"/>
      <c r="U30"/>
      <c r="V30"/>
      <c r="W30" t="inlineStr">
        <is>
          <t>{"id":"resp_047dc13662e60cf0016a08560265f8819a91c9ed951eff6583","object":"chat.completion","created":1778931206,"model":"gpt-5.5","choices":[{"index":0,"message":{"role":"assistant","content":"巴黎世家Balenciaga黑红白拼色10号球衣，透气速干网眼面料，撞色插肩短袖，美式复古运动风男女同款上衣"},"finish_reason":"stop"}],"usage":{"prompt_tokens":1335,"completion_tokens":139,"total_tokens":1474}}</t>
        </is>
      </c>
      <c r="X30" t="inlineStr">
        <is>
          <t>巴黎世家Balenciaga黑红白拼色10号球衣，透气速干网眼面料，撞色插肩短袖，美式复古运动风男女同款上衣</t>
        </is>
      </c>
    </row>
    <row r="31" ht="25.5" customHeight="1">
      <c r="A31">
        <v>1839115443</v>
      </c>
      <c r="B31">
        <v>7768666178</v>
      </c>
      <c r="C31" s="2" t="str">
        <f>=HYPERLINK("https://weidian.com/item.html?itemID=7768666178", "https://weidian.com/item.html?itemID=7768666178")</f>
        <v>https://weidian.com/item.html?itemID=7768666178</v>
      </c>
      <c r="D31"/>
      <c r="E31" s="2" t="str">
        <f>=HYPERLINK("https://si.geilicdn.com/open1839115443-252808396-16530000019e2f9a2d640a8133b0_1440_1920.jpg?w=640&amp;h=640", "https://si.geilicdn.com/open1839115443-252808396-16530000019e2f9a2d640a8133b0_1440_1920.jpg?w=640&amp;h=640")</f>
        <v>https://si.geilicdn.com/open1839115443-252808396-16530000019e2f9a2d640a8133b0_1440_1920.jpg?w=640&amp;h=640</v>
      </c>
      <c r="F31" t="inlineStr">
        <is>
          <t>T-Shirts</t>
        </is>
      </c>
      <c r="G31" t="inlineStr">
        <is>
          <t>Balenciaga</t>
        </is>
      </c>
      <c r="H31">
        <v>294</v>
      </c>
      <c r="I31">
        <v>42.61</v>
      </c>
      <c r="J31" t="inlineStr">
        <is>
          <t>{"id":"resp_0e9786d0512bf0cc016a08592c4a6881949c8f4f0b1fc2f7ff","object":"chat.completion","created":1778932016,"model":"gpt-5.5","choices":[{"index":0,"message":{"role":"assistant","content":"Balenciaga Black Gothic Logo Oversized Cotton T-Shirt"},"finish_reason":"stop"}],"usage":{"prompt_tokens":886,"completion_tokens":108,"total_tokens":994}}</t>
        </is>
      </c>
      <c r="K31" t="inlineStr">
        <is>
          <t>Balenciaga Black Gothic Logo Oversized Cotton T-Shirt</t>
        </is>
      </c>
      <c r="L31" t="inlineStr">
        <is>
          <t>{"id":"resp_0b2efd9b08f8bf7c016a0857a090908195b7ccb0205b3d3a37","object":"chat.completion","created":1778931619,"model":"gpt-5.5","choices":[{"index":0,"message":{"role":"assistant","content":"Balenciaga black cotton short sleeve T-shirt with tonal Gothic logo, oversized unisex streetwear tee, vintage casual summer top."},"finish_reason":"stop"}],"usage":{"prompt_tokens":917,"completion_tokens":112,"total_tokens":1029}}</t>
        </is>
      </c>
      <c r="M31" t="inlineStr">
        <is>
          <t>{"alt-svc":"h3=\":443\"; ma=2592000","connection":"close","content-length":"423","content-type":"application/json; charset=utf-8","date":"Sat, 16 May 2026 11:40:19 GMT","referrer-policy":"strict-origin-when-cross-origin","server":"nginx/1.24.0 (Ubuntu)","strict-transport-security":"max-age=31536000; includeSubDomains; preload","vary":"Accept-Encoding","via":"1.1 Caddy","x-content-type-options":"nosniff","x-frame-options":"DENY","x-new-api-version":"v1.0.0-rc.2","x-oneapi-request-id":"202605161140162657060928268d9d6z4D03LPz","x-request-id":"a75644da-1853-4521-aa7c-e910102851fe"}</t>
        </is>
      </c>
      <c r="N31" t="inlineStr">
        <is>
          <t>Balenciaga black cotton short sleeve T-shirt with tonal Gothic logo, oversized unisex streetwear tee, vintage casual summer top.</t>
        </is>
      </c>
      <c r="O31" t="inlineStr">
        <is>
          <t>{"id":"resp_036ee359c6fba0f0016a085b7f7c188194abc08cafccb17046","object":"chat.completion","created":1778932614,"model":"gpt-5.5","choices":[{"index":0,"message":{"role":"assistant","content":"Balenciaga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kakobuysheet2026"},"finish_reason":"stop"}],"usage":{"prompt_tokens":813,"completion_tokens":270,"total_tokens":1083}}</t>
        </is>
      </c>
      <c r="P31"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31" t="inlineStr">
        <is>
          <t>Balenciaga, Black, Gothic, Streetwear, Summer, Unisex</t>
        </is>
      </c>
      <c r="R31" t="inlineStr">
        <is>
          <t>recvjLGOf4Pbp2</t>
        </is>
      </c>
      <c r="S31" t="inlineStr">
        <is>
          <t>balenciaga-black-gothic-logo-oversized-cotton-t-shirt-recvjlgof4pbp2</t>
        </is>
      </c>
      <c r="T31"/>
      <c r="U31"/>
      <c r="V31"/>
      <c r="W31" t="inlineStr">
        <is>
          <t>{"id":"resp_0a2912d37190738d016a0855dc28d8819abe697c0463321fa4","object":"chat.completion","created":1778931167,"model":"gpt-5.5","choices":[{"index":0,"message":{"role":"assistant","content":"巴黎世家Balenciaga黑色短袖T恤，纯棉面料，胸前暗色哥特字母Logo，宽松廓形，街头复古风男女同款上衣"},"finish_reason":"stop"}],"usage":{"prompt_tokens":1341,"completion_tokens":133,"total_tokens":1474}}</t>
        </is>
      </c>
      <c r="X31" t="inlineStr">
        <is>
          <t>巴黎世家Balenciaga黑色短袖T恤，纯棉面料，胸前暗色哥特字母Logo，宽松廓形，街头复古风男女同款上衣</t>
        </is>
      </c>
    </row>
    <row r="32" ht="25.5" customHeight="1">
      <c r="A32">
        <v>1839115443</v>
      </c>
      <c r="B32">
        <v>7765628515</v>
      </c>
      <c r="C32" s="2" t="str">
        <f>=HYPERLINK("https://weidian.com/item.html?itemID=7765628515", "https://weidian.com/item.html?itemID=7765628515")</f>
        <v>https://weidian.com/item.html?itemID=7765628515</v>
      </c>
      <c r="D32"/>
      <c r="E32" s="2" t="str">
        <f>=HYPERLINK("https://si.geilicdn.com/open1839115443-252808396-33410000019e2f99c0470aa08239_1440_1920.jpg?w=640&amp;h=640", "https://si.geilicdn.com/open1839115443-252808396-33410000019e2f99c0470aa08239_1440_1920.jpg?w=640&amp;h=640")</f>
        <v>https://si.geilicdn.com/open1839115443-252808396-33410000019e2f99c0470aa08239_1440_1920.jpg?w=640&amp;h=640</v>
      </c>
      <c r="F32" t="inlineStr">
        <is>
          <t>Pans</t>
        </is>
      </c>
      <c r="G32" t="inlineStr">
        <is>
          <t>Balenciaga</t>
        </is>
      </c>
      <c r="H32">
        <v>444</v>
      </c>
      <c r="I32">
        <v>64.35</v>
      </c>
      <c r="J32" t="inlineStr">
        <is>
          <t>{"id":"resp_0d4afdf60a8d6a45016a08587c2a2881988294a38a901d9c01","object":"chat.completion","created":1778931837,"model":"gpt-5.5","choices":[{"index":0,"message":{"role":"assistant","content":"Balenciaga Off White Wide Leg Jeans Pants"},"finish_reason":"stop"}],"usage":{"prompt_tokens":896,"completion_tokens":10,"total_tokens":906}}</t>
        </is>
      </c>
      <c r="K32" t="inlineStr">
        <is>
          <t>Balenciaga Off White Wide Leg Jeans Pants</t>
        </is>
      </c>
      <c r="L32" t="inlineStr">
        <is>
          <t>{"id":"resp_04aafee92ffa8384016a08579d61088193841f1421da9aa6ca","object":"chat.completion","created":1778931618,"model":"gpt-5.5","choices":[{"index":0,"message":{"role":"assistant","content":"Balenciaga off-white loose wide-leg jeans, cotton denim 5-pocket design, vintage washed streetwear style, unisex Demna-era casual pants."},"finish_reason":"stop"}],"usage":{"prompt_tokens":915,"completion_tokens":151,"total_tokens":1066}}</t>
        </is>
      </c>
      <c r="M32" t="inlineStr">
        <is>
          <t>{"alt-svc":"h3=\":443\"; ma=2592000","connection":"close","content-length":"431","content-type":"application/json; charset=utf-8","date":"Sat, 16 May 2026 11:40:18 GMT","referrer-policy":"strict-origin-when-cross-origin","server":"nginx/1.24.0 (Ubuntu)","strict-transport-security":"max-age=31536000; includeSubDomains; preload","vary":"Accept-Encoding","via":"1.1 Caddy","x-content-type-options":"nosniff","x-frame-options":"DENY","x-new-api-version":"v1.0.0-rc.2","x-oneapi-request-id":"202605161140131103657268268d9d6m0i2SBV4","x-request-id":"3b24060d-479f-4f50-a520-f2f94c5927d2"}</t>
        </is>
      </c>
      <c r="N32" t="inlineStr">
        <is>
          <t>Balenciaga off-white loose wide-leg jeans, cotton denim 5-pocket design, vintage washed streetwear style, unisex Demna-era casual pants.</t>
        </is>
      </c>
      <c r="O32" t="inlineStr">
        <is>
          <t>{"id":"resp_085cf22825c6c0ea016a085b508bf481909b24d8b8a4a46a9f","object":"chat.completion","created":1778932567,"model":"gpt-5.5","choices":[{"index":0,"message":{"role":"assistant","content":"Balenciaga,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kakobuysheet2026"},"finish_reason":"stop"}],"usage":{"prompt_tokens":813,"completion_tokens":285,"total_tokens":1098}}</t>
        </is>
      </c>
      <c r="P32"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32" t="inlineStr">
        <is>
          <t>Balenciaga, Denim, Vintage, Streetwear, Unisex</t>
        </is>
      </c>
      <c r="R32" t="inlineStr">
        <is>
          <t>recvjLGOf4X0nU</t>
        </is>
      </c>
      <c r="S32" t="inlineStr">
        <is>
          <t>balenciaga-off-white-wide-leg-jeans-recvjlgof4x0nu</t>
        </is>
      </c>
      <c r="T32"/>
      <c r="U32"/>
      <c r="V32"/>
      <c r="W32" t="inlineStr">
        <is>
          <t>{"id":"resp_0a44b1f9c97ed09d016a085619f61c819ab4f846a45330c4c4","object":"chat.completion","created":1778931230,"model":"gpt-5.5","choices":[{"index":0,"message":{"role":"assistant","content":"巴黎世家Balenciaga 米白色宽松阔腿牛仔裤，纯棉丹宁五袋设计，复古水洗街头风，男女同款2020年代Demna休闲长裤"},"finish_reason":"stop"}],"usage":{"prompt_tokens":1335,"completion_tokens":158,"total_tokens":1493}}</t>
        </is>
      </c>
      <c r="X32" t="inlineStr">
        <is>
          <t>巴黎世家Balenciaga 米白色宽松阔腿牛仔裤，纯棉丹宁五袋设计，复古水洗街头风，男女同款2020年代Demna休闲长裤</t>
        </is>
      </c>
    </row>
    <row r="33" ht="25.5" customHeight="1">
      <c r="A33">
        <v>1839115443</v>
      </c>
      <c r="B33">
        <v>7768668192</v>
      </c>
      <c r="C33" s="2" t="str">
        <f>=HYPERLINK("https://weidian.com/item.html?itemID=7768668192", "https://weidian.com/item.html?itemID=7768668192")</f>
        <v>https://weidian.com/item.html?itemID=7768668192</v>
      </c>
      <c r="D33"/>
      <c r="E33" s="2" t="str">
        <f>=HYPERLINK("https://si.geilicdn.com/open1839115443-252808396-373b0000019e2f99d2770a23b4de_1440_1920.jpg?w=640&amp;h=640", "https://si.geilicdn.com/open1839115443-252808396-373b0000019e2f99d2770a23b4de_1440_1920.jpg?w=640&amp;h=640")</f>
        <v>https://si.geilicdn.com/open1839115443-252808396-373b0000019e2f99d2770a23b4de_1440_1920.jpg?w=640&amp;h=640</v>
      </c>
      <c r="F33" t="inlineStr">
        <is>
          <t>T-Shirts</t>
        </is>
      </c>
      <c r="G33" t="inlineStr">
        <is>
          <t>Balenciaga</t>
        </is>
      </c>
      <c r="H33">
        <v>274</v>
      </c>
      <c r="I33">
        <v>39.71</v>
      </c>
      <c r="J33" t="inlineStr">
        <is>
          <t>{"id":"resp_07f0dbd1d7a92914016a08592d9b2881958205ab8d67d5421f","object":"chat.completion","created":1778932017,"model":"gpt-5.5","choices":[{"index":0,"message":{"role":"assistant","content":"Balenciaga Black Distressed Portrait Logo Oversized T-Shirt"},"finish_reason":"stop"}],"usage":{"prompt_tokens":891,"completion_tokens":130,"total_tokens":1021}}</t>
        </is>
      </c>
      <c r="K33" t="inlineStr">
        <is>
          <t>Balenciaga Black Distressed Portrait Logo Oversized T-Shirt</t>
        </is>
      </c>
      <c r="L33" t="inlineStr">
        <is>
          <t>{"id":"resp_0d47c589fc1aec18016a0856d07a1081949967023d693fa0d7","object":"chat.completion","created":1778931412,"model":"gpt-5.5","choices":[{"index":0,"message":{"role":"assistant","content":"Balenciaga black distressed cotton T-shirt, oversized crew neck, white portrait and cracked logo print, unisex vintage streetwear short sleeve top"},"finish_reason":"stop"}],"usage":{"prompt_tokens":919,"completion_tokens":124,"total_tokens":1043}}</t>
        </is>
      </c>
      <c r="M33" t="inlineStr">
        <is>
          <t>{"alt-svc":"h3=\":443\"; ma=2592000","connection":"close","content-length":"441","content-type":"application/json; charset=utf-8","date":"Sat, 16 May 2026 11:36:52 GMT","referrer-policy":"strict-origin-when-cross-origin","server":"Caddy","strict-transport-security":"max-age=31536000; includeSubDomains; preload","vary":"Accept-Encoding","x-content-type-options":"nosniff","x-frame-options":"DENY","x-new-api-version":"v1.0.0-rc.2","x-oneapi-request-id":"20260516113648845740448268d9d6DbLWIiaJ","x-request-id":"fa51a770-33f2-4c84-ac0e-253e83003693"}</t>
        </is>
      </c>
      <c r="N33" t="inlineStr">
        <is>
          <t>Balenciaga black distressed cotton T-shirt, oversized crew neck, white portrait and cracked logo print, unisex vintage streetwear short sleeve top</t>
        </is>
      </c>
      <c r="O33" t="inlineStr">
        <is>
          <t>{"id":"resp_0d7bee145a80d0bf016a085b0540588190858199f4e01baefb","object":"chat.completion","created":1778932494,"model":"gpt-5.5","choices":[{"index":0,"message":{"role":"assistant","content":"Balenciaga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kakobuysheet2026"},"finish_reason":"stop"}],"usage":{"prompt_tokens":813,"completion_tokens":417,"total_tokens":1230}}</t>
        </is>
      </c>
      <c r="P33"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33" t="inlineStr">
        <is>
          <t>Balenciaga, Black, Distressed, Vintage, Streetwear, Unisex</t>
        </is>
      </c>
      <c r="R33" t="inlineStr">
        <is>
          <t>recvjLGOf4Qvyq</t>
        </is>
      </c>
      <c r="S33" t="inlineStr">
        <is>
          <t>balenciaga-black-distressed-portrait-logo-oversized-t-shirt-recvjlgof4qvyq</t>
        </is>
      </c>
      <c r="T33"/>
      <c r="U33"/>
      <c r="V33"/>
      <c r="W33" t="inlineStr">
        <is>
          <t>{"id":"resp_0be3065e0b577872016a08558759a88197a947993cfc31dec3","object":"chat.completion","created":1778931083,"model":"gpt-5.5","choices":[{"index":0,"message":{"role":"assistant","content":"巴黎世家Balenciaga黑色做旧短袖T恤，棉质圆领宽松版型，白色人像与破损Logo印花，男女同款街头复古潮流上衣"},"finish_reason":"stop"}],"usage":{"prompt_tokens":1341,"completion_tokens":149,"total_tokens":1490}}</t>
        </is>
      </c>
      <c r="X33" t="inlineStr">
        <is>
          <t>巴黎世家Balenciaga黑色做旧短袖T恤，棉质圆领宽松版型，白色人像与破损Logo印花，男女同款街头复古潮流上衣</t>
        </is>
      </c>
    </row>
    <row r="34" ht="25.5" customHeight="1">
      <c r="A34">
        <v>1839115443</v>
      </c>
      <c r="B34">
        <v>7765684069</v>
      </c>
      <c r="C34" s="2" t="str">
        <f>=HYPERLINK("https://weidian.com/item.html?itemID=7765684069", "https://weidian.com/item.html?itemID=7765684069")</f>
        <v>https://weidian.com/item.html?itemID=7765684069</v>
      </c>
      <c r="D34"/>
      <c r="E34" s="2" t="str">
        <f>=HYPERLINK("https://si.geilicdn.com/open1839115443-252808396-34260000019e2f9c86d40a231226_1440_1920.jpg?w=640&amp;h=640", "https://si.geilicdn.com/open1839115443-252808396-34260000019e2f9c86d40a231226_1440_1920.jpg?w=640&amp;h=640")</f>
        <v>https://si.geilicdn.com/open1839115443-252808396-34260000019e2f9c86d40a231226_1440_1920.jpg?w=640&amp;h=640</v>
      </c>
      <c r="F34" t="inlineStr">
        <is>
          <t>T-Shirts</t>
        </is>
      </c>
      <c r="G34" t="inlineStr">
        <is>
          <t>Balenciaga</t>
        </is>
      </c>
      <c r="H34">
        <v>264</v>
      </c>
      <c r="I34">
        <v>38.26</v>
      </c>
      <c r="J34" t="inlineStr">
        <is>
          <t>{"id":"resp_07f867c3d5c90a04016a08594fd600819ba3c458091125c14e","object":"chat.completion","created":1778932051,"model":"gpt-5.5","choices":[{"index":0,"message":{"role":"assistant","content":"Balenciaga Black Graffiti Print Oversized Cotton T-Shirt"},"finish_reason":"stop"}],"usage":{"prompt_tokens":891,"completion_tokens":131,"total_tokens":1022}}</t>
        </is>
      </c>
      <c r="K34" t="inlineStr">
        <is>
          <t>Balenciaga Black Graffiti Print Oversized Cotton T-Shirt</t>
        </is>
      </c>
      <c r="L34" t="inlineStr">
        <is>
          <t>{"id":"resp_06b1014d4a5a4415016a0856e8fbe08197a74e15c2b812d1e8","object":"chat.completion","created":1778931436,"model":"gpt-5.5","choices":[{"index":0,"message":{"role":"assistant","content":"Balenciaga black cotton short sleeve T-shirt with abstract graffiti print, subtle logo, relaxed oversized streetwear fit, unisex designer fashion top"},"finish_reason":"stop"}],"usage":{"prompt_tokens":913,"completion_tokens":97,"total_tokens":1010}}</t>
        </is>
      </c>
      <c r="M34" t="inlineStr">
        <is>
          <t>{"alt-svc":"h3=\":443\"; ma=2592000","connection":"close","content-length":"443","content-type":"application/json; charset=utf-8","date":"Sat, 16 May 2026 11:37:16 GMT","referrer-policy":"strict-origin-when-cross-origin","server":"nginx/1.24.0 (Ubuntu)","strict-transport-security":"max-age=31536000; includeSubDomains; preload","vary":"Accept-Encoding","via":"1.1 Caddy","x-content-type-options":"nosniff","x-frame-options":"DENY","x-new-api-version":"v1.0.0-rc.2","x-oneapi-request-id":"202605161137127192229038268d9d6mGEmRqv5","x-request-id":"f2e4e8b7-1b23-4750-bc65-dbe31efb3902"}</t>
        </is>
      </c>
      <c r="N34" t="inlineStr">
        <is>
          <t>Balenciaga black cotton short sleeve T-shirt with abstract graffiti print, subtle logo, relaxed oversized streetwear fit, unisex designer fashion top</t>
        </is>
      </c>
      <c r="O34" t="inlineStr">
        <is>
          <t>{"id":"resp_02ddd794db986cc1016a085b6f6a748190abbd16276f8708df","object":"chat.completion","created":1778932600,"model":"gpt-5.5","choices":[{"index":0,"message":{"role":"assistant","content":"Balenciaga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kakobuysheet2026"},"finish_reason":"stop"}],"usage":{"prompt_tokens":813,"completion_tokens":438,"total_tokens":1251}}</t>
        </is>
      </c>
      <c r="P34"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34" t="inlineStr">
        <is>
          <t>Balenciaga, Black, Abstract, Streetwear, Unisex, Summer</t>
        </is>
      </c>
      <c r="R34" t="inlineStr">
        <is>
          <t>recvjLGOf4SGGN</t>
        </is>
      </c>
      <c r="S34" t="inlineStr">
        <is>
          <t>balenciaga-black-graffiti-oversized-tee-recvjlgof4sggn</t>
        </is>
      </c>
      <c r="T34"/>
      <c r="U34"/>
      <c r="V34"/>
      <c r="W34" t="inlineStr">
        <is>
          <t>{"id":"resp_0d3eac0459bc05ba016a08564dc19481988e6ec8e364b39b06","object":"chat.completion","created":1778931282,"model":"gpt-5.5","choices":[{"index":0,"message":{"role":"assistant","content":"巴黎世家Balenciaga：黑色棉质短袖T恤，抽象涂鸦印花与小标识设计，宽松街头风男女同款潮流上衣"},"finish_reason":"stop"}],"usage":{"prompt_tokens":1337,"completion_tokens":199,"total_tokens":1536}}</t>
        </is>
      </c>
      <c r="X34" t="inlineStr">
        <is>
          <t>巴黎世家Balenciaga：黑色棉质短袖T恤，抽象涂鸦印花与小标识设计，宽松街头风男女同款潮流上衣</t>
        </is>
      </c>
    </row>
    <row r="35" ht="25.5" customHeight="1">
      <c r="A35">
        <v>1839115443</v>
      </c>
      <c r="B35">
        <v>7768650602</v>
      </c>
      <c r="C35" s="2" t="str">
        <f>=HYPERLINK("https://weidian.com/item.html?itemID=7768650602", "https://weidian.com/item.html?itemID=7768650602")</f>
        <v>https://weidian.com/item.html?itemID=7768650602</v>
      </c>
      <c r="D35"/>
      <c r="E35" s="2" t="str">
        <f>=HYPERLINK("https://si.geilicdn.com/open1839115443-252808396-28ac0000019e2fa4d6be0a8115c2_1080_1080.jpg?w=640&amp;h=640", "https://si.geilicdn.com/open1839115443-252808396-28ac0000019e2fa4d6be0a8115c2_1080_1080.jpg?w=640&amp;h=640")</f>
        <v>https://si.geilicdn.com/open1839115443-252808396-28ac0000019e2fa4d6be0a8115c2_1080_1080.jpg?w=640&amp;h=640</v>
      </c>
      <c r="F35" t="inlineStr">
        <is>
          <t>T-Shirts</t>
        </is>
      </c>
      <c r="G35" t="inlineStr">
        <is>
          <t>Louis Vuitton</t>
        </is>
      </c>
      <c r="H35">
        <v>88</v>
      </c>
      <c r="I35">
        <v>12.75</v>
      </c>
      <c r="J35" t="inlineStr">
        <is>
          <t>{"id":"resp_0a5f508f2b5b059e016a085895cb0c819ba1a8b2181c3ed88a","object":"chat.completion","created":1778931866,"model":"gpt-5.5","choices":[{"index":0,"message":{"role":"assistant","content":"Louis Vuitton White Tool Graphic Cotton T-Shirt Unisex"},"finish_reason":"stop"}],"usage":{"prompt_tokens":719,"completion_tokens":168,"total_tokens":887}}</t>
        </is>
      </c>
      <c r="K35" t="inlineStr">
        <is>
          <t>Louis Vuitton White Tool Graphic Cotton T-Shirt Unisex</t>
        </is>
      </c>
      <c r="L35" t="inlineStr">
        <is>
          <t>{"id":"resp_09d190b703085d5f016a08570236808190bd768ecf6742f352","object":"chat.completion","created":1778931461,"model":"gpt-5.5","choices":[{"index":0,"message":{"role":"assistant","content":"Louis Vuitton white cotton T-shirt, relaxed unisex fit, black tool graphic and handwritten logo print, luxury streetwear short sleeve top."},"finish_reason":"stop"}],"usage":{"prompt_tokens":746,"completion_tokens":99,"total_tokens":845}}</t>
        </is>
      </c>
      <c r="M35" t="inlineStr">
        <is>
          <t>{"alt-svc":"h3=\":443\"; ma=2592000","connection":"close","content-length":"431","content-type":"application/json; charset=utf-8","date":"Sat, 16 May 2026 11:37:41 GMT","referrer-policy":"strict-origin-when-cross-origin","server":"Caddy","strict-transport-security":"max-age=31536000; includeSubDomains; preload","vary":"Accept-Encoding","x-content-type-options":"nosniff","x-frame-options":"DENY","x-new-api-version":"v1.0.0-rc.2","x-oneapi-request-id":"202605161137379822664468268d9d6oGMAzRpy","x-request-id":"bd7f496c-2819-400e-ab39-f93889630d86"}</t>
        </is>
      </c>
      <c r="N35" t="inlineStr">
        <is>
          <t>Louis Vuitton white cotton T-shirt, relaxed unisex fit, black tool graphic and handwritten logo print, luxury streetwear short sleeve top.</t>
        </is>
      </c>
      <c r="O35" t="inlineStr">
        <is>
          <t>{"id":"resp_09d8a7edbb57b0b6016a085a4190688197b16e040542899f28","object":"chat.completion","created":1778932295,"model":"gpt-5.5","choices":[{"index":0,"message":{"role":"assistant","content":"Louis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kakobuysheet2026"},"finish_reason":"stop"}],"usage":{"prompt_tokens":644,"completion_tokens":225,"total_tokens":869}}</t>
        </is>
      </c>
      <c r="P35"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35" t="inlineStr">
        <is>
          <t>LV, White, Unisex, Streetwear</t>
        </is>
      </c>
      <c r="R35" t="inlineStr">
        <is>
          <t>recvjLGOf4oAYc</t>
        </is>
      </c>
      <c r="S35" t="inlineStr">
        <is>
          <t>louis-vuitton-white-tool-graphic-cotton-t-shirt-recvjlgof4oayc</t>
        </is>
      </c>
      <c r="T35"/>
      <c r="U35"/>
      <c r="V35"/>
      <c r="W35" t="inlineStr">
        <is>
          <t>{"id":"resp_073a8fc1dc0b15aa016a08565ee96c8194b307f2d86cbe2ede","object":"chat.completion","created":1778931298,"model":"gpt-5.5","choices":[{"index":0,"message":{"role":"assistant","content":"路易威登 Louis Vuitton 白色短袖T恤，棉质休闲版型，黑色工具图腾与手写Logo印花，男女同款街头潮流上衣。"},"finish_reason":"stop"}],"usage":{"prompt_tokens":1173,"completion_tokens":132,"total_tokens":1305}}</t>
        </is>
      </c>
      <c r="X35" t="inlineStr">
        <is>
          <t>路易威登 Louis Vuitton 白色短袖T恤，棉质休闲版型，黑色工具图腾与手写Logo印花，男女同款街头潮流上衣。</t>
        </is>
      </c>
    </row>
    <row r="36" ht="25.5" customHeight="1">
      <c r="A36">
        <v>1839115443</v>
      </c>
      <c r="B36">
        <v>7765678439</v>
      </c>
      <c r="C36" s="2" t="str">
        <f>=HYPERLINK("https://weidian.com/item.html?itemID=7765678439", "https://weidian.com/item.html?itemID=7765678439")</f>
        <v>https://weidian.com/item.html?itemID=7765678439</v>
      </c>
      <c r="D36"/>
      <c r="E36" s="2" t="str">
        <f>=HYPERLINK("https://si.geilicdn.com/open1839115443-252808396-43330000019e2fa531cd0a23b4de_1080_1080.jpg?w=640&amp;h=640", "https://si.geilicdn.com/open1839115443-252808396-43330000019e2fa531cd0a23b4de_1080_1080.jpg?w=640&amp;h=640")</f>
        <v>https://si.geilicdn.com/open1839115443-252808396-43330000019e2fa531cd0a23b4de_1080_1080.jpg?w=640&amp;h=640</v>
      </c>
      <c r="F36" t="inlineStr">
        <is>
          <t>T-Shirts</t>
        </is>
      </c>
      <c r="G36" t="inlineStr">
        <is>
          <t>Louis Vuitton</t>
        </is>
      </c>
      <c r="H36">
        <v>80</v>
      </c>
      <c r="I36">
        <v>11.59</v>
      </c>
      <c r="J36" t="inlineStr">
        <is>
          <t>{"id":"resp_05b5fd28d6c768b9016a085897fa90819ba866dc4850250a3f","object":"chat.completion","created":1778931867,"model":"gpt-5.5","choices":[{"index":0,"message":{"role":"assistant","content":"Louis Vuitton LV Graffiti White Cotton Crew Neck T-Shirt"},"finish_reason":"stop"}],"usage":{"prompt_tokens":716,"completion_tokens":136,"total_tokens":852}}</t>
        </is>
      </c>
      <c r="K36" t="inlineStr">
        <is>
          <t>Louis Vuitton LV Graffiti White Cotton Crew Neck T-Shirt</t>
        </is>
      </c>
      <c r="L36" t="inlineStr">
        <is>
          <t>{"id":"resp_0251abcb5e8f6a1f016a085792d68881958188834be5e17798","object":"chat.completion","created":1778931605,"model":"gpt-5.5","choices":[{"index":0,"message":{"role":"assistant","content":"Louis Vuitton white cotton crew neck T-shirt, LV letter and green vers graffiti print, unisex short sleeve streetwear casual top"},"finish_reason":"stop"}],"usage":{"prompt_tokens":744,"completion_tokens":84,"total_tokens":828}}</t>
        </is>
      </c>
      <c r="M36" t="inlineStr">
        <is>
          <t>{"alt-svc":"h3=\":443\"; ma=2592000","connection":"close","content-length":"421","content-type":"application/json; charset=utf-8","date":"Sat, 16 May 2026 11:40:05 GMT","referrer-policy":"strict-origin-when-cross-origin","server":"nginx/1.24.0 (Ubuntu)","strict-transport-security":"max-age=31536000; includeSubDomains; preload","vary":"Accept-Encoding","via":"1.1 Caddy","x-content-type-options":"nosniff","x-frame-options":"DENY","x-new-api-version":"v1.0.0-rc.2","x-oneapi-request-id":"202605161140026700906078268d9d6fwJN7Ino","x-request-id":"b1f522c2-789e-4384-87ad-a2521588f2ab"}</t>
        </is>
      </c>
      <c r="N36" t="inlineStr">
        <is>
          <t>Louis Vuitton white cotton crew neck T-shirt, LV letter and green vers graffiti print, unisex short sleeve streetwear casual top</t>
        </is>
      </c>
      <c r="O36" t="inlineStr">
        <is>
          <t>{"id":"resp_0342401f85131743016a085a9235448193995766622fb38ac8","object":"chat.completion","created":1778932380,"model":"gpt-5.5","choices":[{"index":0,"message":{"role":"assistant","content":"Louis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2026kakobuysheetfind"},"finish_reason":"stop"}],"usage":{"prompt_tokens":644,"completion_tokens":421,"total_tokens":1065}}</t>
        </is>
      </c>
      <c r="P36"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t>
        </is>
      </c>
      <c r="Q36" t="inlineStr">
        <is>
          <t>LV, White, Streetwear, Unisex</t>
        </is>
      </c>
      <c r="R36" t="inlineStr">
        <is>
          <t>recvjLGOf4zrXs</t>
        </is>
      </c>
      <c r="S36" t="inlineStr">
        <is>
          <t>lv-graffiti-white-cotton-crew-neck-t-shirt-recvjlgof4zx</t>
        </is>
      </c>
      <c r="T36"/>
      <c r="U36"/>
      <c r="V36"/>
      <c r="W36" t="inlineStr">
        <is>
          <t>{"id":"resp_0a53c6bf8b8744e8016a0855671828819489ed3c2cd2a48bab","object":"chat.completion","created":1778931051,"model":"gpt-5.5","choices":[{"index":0,"message":{"role":"assistant","content":"路易威登 Louis Vuitton 白色纯棉圆领短袖T恤，LV字母与绿色vers涂鸦印花，男女同款休闲街头风潮牌上衣"},"finish_reason":"stop"}],"usage":{"prompt_tokens":1167,"completion_tokens":182,"total_tokens":1349}}</t>
        </is>
      </c>
      <c r="X36" t="inlineStr">
        <is>
          <t>路易威登 Louis Vuitton 白色纯棉圆领短袖T恤，LV字母与绿色vers涂鸦印花，男女同款休闲街头风潮牌上衣</t>
        </is>
      </c>
    </row>
    <row r="37" ht="25.5" customHeight="1">
      <c r="A37">
        <v>1839115443</v>
      </c>
      <c r="B37">
        <v>7768611446</v>
      </c>
      <c r="C37" s="2" t="str">
        <f>=HYPERLINK("https://weidian.com/item.html?itemID=7768611446", "https://weidian.com/item.html?itemID=7768611446")</f>
        <v>https://weidian.com/item.html?itemID=7768611446</v>
      </c>
      <c r="D37"/>
      <c r="E37" s="2" t="str">
        <f>=HYPERLINK("https://si.geilicdn.com/open1839115443-252808396-47eb0000019e2fa964730a23b491_790_790.jpg?w=640&amp;h=640", "https://si.geilicdn.com/open1839115443-252808396-47eb0000019e2fa964730a23b491_790_790.jpg?w=640&amp;h=640")</f>
        <v>https://si.geilicdn.com/open1839115443-252808396-47eb0000019e2fa964730a23b491_790_790.jpg?w=640&amp;h=640</v>
      </c>
      <c r="F37" t="inlineStr">
        <is>
          <t>T-Shirts</t>
        </is>
      </c>
      <c r="G37" t="inlineStr">
        <is>
          <t>Versace</t>
        </is>
      </c>
      <c r="H37">
        <v>80</v>
      </c>
      <c r="I37">
        <v>11.59</v>
      </c>
      <c r="J37" t="inlineStr">
        <is>
          <t>{"id":"resp_0cece50dab7b598e016a0858b5c1548195a7b3c72cc19c4f30","object":"chat.completion","created":1778931897,"model":"gpt-5.5","choices":[{"index":0,"message":{"role":"assistant","content":"Versace Cream Pink Medusa Logo Cotton T-Shirt Unisex"},"finish_reason":"stop"}],"usage":{"prompt_tokens":713,"completion_tokens":140,"total_tokens":853}}</t>
        </is>
      </c>
      <c r="K37" t="inlineStr">
        <is>
          <t>Versace Cream Pink Medusa Logo Cotton T-Shirt Unisex</t>
        </is>
      </c>
      <c r="L37" t="inlineStr">
        <is>
          <t>{"id":"resp_08d87ad4cad69f06016a0856cc52c08197b74b47f3db773458","object":"chat.completion","created":1778931407,"model":"gpt-5.5","choices":[{"index":0,"message":{"role":"assistant","content":"Versace cream cotton short sleeve T-shirt with pink Medusa graphic and logo print, unisex casual streetwear top."},"finish_reason":"stop"}],"usage":{"prompt_tokens":737,"completion_tokens":102,"total_tokens":839}}</t>
        </is>
      </c>
      <c r="M37" t="inlineStr">
        <is>
          <t>{"alt-svc":"h3=\":443\"; ma=2592000","connection":"close","content-length":"406","content-type":"application/json; charset=utf-8","date":"Sat, 16 May 2026 11:36:47 GMT","referrer-policy":"strict-origin-when-cross-origin","server":"nginx/1.24.0 (Ubuntu)","strict-transport-security":"max-age=31536000; includeSubDomains; preload","vary":"Accept-Encoding","via":"1.1 Caddy","x-content-type-options":"nosniff","x-frame-options":"DENY","x-new-api-version":"v1.0.0-rc.2","x-oneapi-request-id":"20260516113644969321378268d9d69rgrWVNz","x-request-id":"c9a50c0b-9e13-4a3d-8ca5-6efa36409704"}</t>
        </is>
      </c>
      <c r="N37" t="inlineStr">
        <is>
          <t>Versace cream cotton short sleeve T-shirt with pink Medusa graphic and logo print, unisex casual streetwear top.</t>
        </is>
      </c>
      <c r="O37" t="inlineStr">
        <is>
          <t>{"id":"resp_05f331a5f1a75122016a085a47191c81968a6a694c60f069f2","object":"chat.completion","created":1778932301,"model":"gpt-5.5","choices":[{"index":0,"message":{"role":"assistant","content":"Versace T-Shirts kakobuy, Versace T-Shirts kakebuy2026, Versace T-Shirts kekobuysheet, Versace T-Shirts kakobuysheet2026, Versace T-Shirts 2026kakobuy, Versace T-Shirts kakobuyspreadsheeet, Versace T-Shirts kakobuylink, Versace T-Shirts kakebuylist, Versace T-Shirts Kakobuy MEGA Spreadsheet, Versace T-Shirts kakobuysheetfind, Versace T-Shirts kakobuysheetfind2026, Versace T-Shirts 2026kakobuysheetfind, Versace T-Shirts kakobuysheet2026"},"finish_reason":"stop"}],"usage":{"prompt_tokens":644,"completion_tokens":216,"total_tokens":860}}</t>
        </is>
      </c>
      <c r="P37" t="inlineStr">
        <is>
          <t>Versace T-Shirts kakobuy, Versace T-Shirts kakebuy2026, Versace T-Shirts kekobuysheet, Versace T-Shirts kakobuysheet2026, Versace T-Shirts 2026kakobuy, Versace T-Shirts kakobuyspreadsheeet, Versace T-Shirts kakobuylink, Versace T-Shirts kakebuylist, Versace T-Shirts Kakobuy MEGA Spreadsheet, Versace T-Shirts kakobuysheetfind, Versace T-Shirts kakobuysheetfind2026, Versace T-Shirts 2026kakobuysheetfind, Versace T-Shirts kakobuysheet2026</t>
        </is>
      </c>
      <c r="Q37" t="inlineStr">
        <is>
          <t>Cream, Pink, Streetwear, Unisex</t>
        </is>
      </c>
      <c r="R37" t="inlineStr">
        <is>
          <t>recvjLGOf4Emff</t>
        </is>
      </c>
      <c r="S37" t="inlineStr">
        <is>
          <t>versace-medusa-logo-cotton-t-shirt-recvjlgof4emff</t>
        </is>
      </c>
      <c r="T37"/>
      <c r="U37"/>
      <c r="V37"/>
      <c r="W37" t="inlineStr">
        <is>
          <t>{"id":"resp_0ebc8ec07c69ea36016a0855e148f8819a92839f20f6bb42db","object":"chat.completion","created":1778931173,"model":"gpt-5.5","choices":[{"index":0,"message":{"role":"assistant","content":"范思哲 Versace 米白色棉质短袖T恤，粉色美杜莎图腾与品牌Logo印花，男女同款休闲街头风上衣。"},"finish_reason":"stop"}],"usage":{"prompt_tokens":1161,"completion_tokens":153,"total_tokens":1314}}</t>
        </is>
      </c>
      <c r="X37" t="inlineStr">
        <is>
          <t>范思哲 Versace 米白色棉质短袖T恤，粉色美杜莎图腾与品牌Logo印花，男女同款休闲街头风上衣。</t>
        </is>
      </c>
    </row>
    <row r="38" ht="25.5" customHeight="1">
      <c r="A38">
        <v>1839115443</v>
      </c>
      <c r="B38">
        <v>7765678553</v>
      </c>
      <c r="C38" s="2" t="str">
        <f>=HYPERLINK("https://weidian.com/item.html?itemID=7765678553", "https://weidian.com/item.html?itemID=7765678553")</f>
        <v>https://weidian.com/item.html?itemID=7765678553</v>
      </c>
      <c r="D38"/>
      <c r="E38" s="2" t="str">
        <f>=HYPERLINK("https://si.geilicdn.com/open1839115443-252808396-46d50000019e2fa960620a23b4de_790_790.jpg?w=640&amp;h=640", "https://si.geilicdn.com/open1839115443-252808396-46d50000019e2fa960620a23b4de_790_790.jpg?w=640&amp;h=640")</f>
        <v>https://si.geilicdn.com/open1839115443-252808396-46d50000019e2fa960620a23b4de_790_790.jpg?w=640&amp;h=640</v>
      </c>
      <c r="F38" t="inlineStr">
        <is>
          <t>T-Shirts</t>
        </is>
      </c>
      <c r="G38" t="inlineStr">
        <is>
          <t xml:space="preserve"> Versace</t>
        </is>
      </c>
      <c r="H38">
        <v>80</v>
      </c>
      <c r="I38">
        <v>11.59</v>
      </c>
      <c r="J38" t="inlineStr">
        <is>
          <t>{"id":"resp_0ff55a4e57fba2b7016a08587fe9cc8195b95cc1cddaa41df6","object":"chat.completion","created":1778931843,"model":"gpt-5.5","choices":[{"index":0,"message":{"role":"assistant","content":"Versace Black Cotton Medusa Logo T-Shirt Unisex Streetwear"},"finish_reason":"stop"}],"usage":{"prompt_tokens":714,"completion_tokens":147,"total_tokens":861}}</t>
        </is>
      </c>
      <c r="K38" t="inlineStr">
        <is>
          <t>Versace Black Cotton Medusa Logo T-Shirt Unisex Streetwear</t>
        </is>
      </c>
      <c r="L38" t="inlineStr">
        <is>
          <t>{"id":"resp_0025d78de6c54ce6016a08576b2b508198b0a2c0f19cb9568b","object":"chat.completion","created":1778931566,"model":"gpt-5.5","choices":[{"index":0,"message":{"role":"assistant","content":"Versace black cotton short sleeve T-shirt, pink Medusa logo print, loose streetwear fit, unisex summer top"},"finish_reason":"stop"}],"usage":{"prompt_tokens":739,"completion_tokens":105,"total_tokens":844}}</t>
        </is>
      </c>
      <c r="M38" t="inlineStr">
        <is>
          <t>{"alt-svc":"h3=\":443\"; ma=2592000","connection":"close","content-length":"400","content-type":"application/json; charset=utf-8","date":"Sat, 16 May 2026 11:39:26 GMT","referrer-policy":"strict-origin-when-cross-origin","server":"Caddy","strict-transport-security":"max-age=31536000; includeSubDomains; preload","vary":"Accept-Encoding","x-content-type-options":"nosniff","x-frame-options":"DENY","x-new-api-version":"v1.0.0-rc.2","x-oneapi-request-id":"202605161139229347537098268d9d6JLjluc2S","x-request-id":"bba870f8-3186-4a3d-b20f-44721ddc1974"}</t>
        </is>
      </c>
      <c r="N38" t="inlineStr">
        <is>
          <t>Versace black cotton short sleeve T-shirt, pink Medusa logo print, loose streetwear fit, unisex summer top</t>
        </is>
      </c>
      <c r="O38" t="inlineStr">
        <is>
          <t>{"id":"resp_0c170045781d255e016a085adc1c4c81949d8f154e3a2f84c6","object":"chat.completion","created":1778932449,"model":"gpt-5.5","choices":[{"index":0,"message":{"role":"assistant","content":"Versace T-Shirts kakobuy, Versace T-Shirts kakebuy2026, Versace T-Shirts kekobuysheet, Versace T-Shirts kakobuysheet2026, Versace T-Shirts 2026kakobuy, Versace T-Shirts kakobuyspreadsheeet, Versace T-Shirts kakobuylink, Versace T-Shirts kakebuylist, Versace T-Shirts Kakobuy MEGA Spreadsheet, Versace T-Shirts kakobuysheetfind, Versace T-Shirts kakobuysheetfind2026, Versace T-Shirts 2026kakobuysheetfind, Versace T-Shirts kakobuysheet2026"},"finish_reason":"stop"}],"usage":{"prompt_tokens":644,"completion_tokens":198,"total_tokens":842}}</t>
        </is>
      </c>
      <c r="P38" t="inlineStr">
        <is>
          <t>Versace T-Shirts kakobuy, Versace T-Shirts kakebuy2026, Versace T-Shirts kekobuysheet, Versace T-Shirts kakobuysheet2026, Versace T-Shirts 2026kakobuy, Versace T-Shirts kakobuyspreadsheeet, Versace T-Shirts kakobuylink, Versace T-Shirts kakebuylist, Versace T-Shirts Kakobuy MEGA Spreadsheet, Versace T-Shirts kakobuysheetfind, Versace T-Shirts kakobuysheetfind2026, Versace T-Shirts 2026kakobuysheetfind, Versace T-Shirts kakobuysheet2026</t>
        </is>
      </c>
      <c r="Q38" t="inlineStr">
        <is>
          <t>Black, Streetwear, Summer, Unisex</t>
        </is>
      </c>
      <c r="R38" t="inlineStr">
        <is>
          <t>recvjLGOf4B23M</t>
        </is>
      </c>
      <c r="S38" t="inlineStr">
        <is>
          <t>versace-medusa-logo-t-shirt-recvjlgof4b23m</t>
        </is>
      </c>
      <c r="T38"/>
      <c r="U38"/>
      <c r="V38"/>
      <c r="W38" t="inlineStr">
        <is>
          <t>{"id":"resp_0b4a1f821e28d58e016a0856019fb8819ab8cc5fb48b9758cd","object":"chat.completion","created":1778931206,"model":"gpt-5.5","choices":[{"index":0,"message":{"role":"assistant","content":"范思哲Versace：黑色纯棉短袖T恤，粉色美杜莎Logo印花，宽松休闲街头风，男女同款夏季上衣"},"finish_reason":"stop"}],"usage":{"prompt_tokens":1163,"completion_tokens":229,"total_tokens":1392}}</t>
        </is>
      </c>
      <c r="X38" t="inlineStr">
        <is>
          <t>范思哲Versace：黑色纯棉短袖T恤，粉色美杜莎Logo印花，宽松休闲街头风，男女同款夏季上衣</t>
        </is>
      </c>
    </row>
    <row r="39" ht="25.5" customHeight="1">
      <c r="A39">
        <v>1839115443</v>
      </c>
      <c r="B39">
        <v>7765666661</v>
      </c>
      <c r="C39" s="2" t="str">
        <f>=HYPERLINK("https://weidian.com/item.html?itemID=7765666661", "https://weidian.com/item.html?itemID=7765666661")</f>
        <v>https://weidian.com/item.html?itemID=7765666661</v>
      </c>
      <c r="D39"/>
      <c r="E39" s="2" t="str">
        <f>=HYPERLINK("https://si.geilicdn.com/open1839115443-252808396-43110000019e2fa9a2ff0aa08239_1080_1455.jpg?w=640&amp;h=640", "https://si.geilicdn.com/open1839115443-252808396-43110000019e2fa9a2ff0aa08239_1080_1455.jpg?w=640&amp;h=640")</f>
        <v>https://si.geilicdn.com/open1839115443-252808396-43110000019e2fa9a2ff0aa08239_1080_1455.jpg?w=640&amp;h=640</v>
      </c>
      <c r="F39" t="inlineStr">
        <is>
          <t>T-Shirts</t>
        </is>
      </c>
      <c r="G39" t="inlineStr">
        <is>
          <t>Moncler</t>
        </is>
      </c>
      <c r="H39">
        <v>80</v>
      </c>
      <c r="I39">
        <v>11.59</v>
      </c>
      <c r="J39" t="inlineStr">
        <is>
          <t>{"id":"resp_048b1eb604d4365d016a0858cdb16c8197825008da53f5b1c6","object":"chat.completion","created":1778931921,"model":"gpt-5.5","choices":[{"index":0,"message":{"role":"assistant","content":"Moncler White Cotton Pink Logo Crew Neck T-Shirt"},"finish_reason":"stop"}],"usage":{"prompt_tokens":892,"completion_tokens":134,"total_tokens":1026}}</t>
        </is>
      </c>
      <c r="K39" t="inlineStr">
        <is>
          <t>Moncler White Cotton Pink Logo Crew Neck T-Shirt</t>
        </is>
      </c>
      <c r="L39" t="inlineStr">
        <is>
          <t>{"id":"resp_05abe8b86334a6d4016a08578920b88196bc484aecde771611","object":"chat.completion","created":1778931596,"model":"gpt-5.5","choices":[{"index":0,"message":{"role":"assistant","content":"Moncler white cotton crew neck T-shirt with pink logo letter print, unisex casual streetwear short sleeve summer top, 2020s style"},"finish_reason":"stop"}],"usage":{"prompt_tokens":913,"completion_tokens":74,"total_tokens":987}}</t>
        </is>
      </c>
      <c r="M39" t="inlineStr">
        <is>
          <t>{"alt-svc":"h3=\":443\"; ma=2592000","connection":"close","content-length":"422","content-type":"application/json; charset=utf-8","date":"Sat, 16 May 2026 11:39:56 GMT","referrer-policy":"strict-origin-when-cross-origin","server":"Caddy","strict-transport-security":"max-age=31536000; includeSubDomains; preload","vary":"Accept-Encoding","x-content-type-options":"nosniff","x-frame-options":"DENY","x-new-api-version":"v1.0.0-rc.2","x-oneapi-request-id":"202605161139529265800768268d9d6ttvvgqCo","x-request-id":"14c5d469-982a-4def-80a0-999bd5be6607"}</t>
        </is>
      </c>
      <c r="N39" t="inlineStr">
        <is>
          <t>Moncler white cotton crew neck T-shirt with pink logo letter print, unisex casual streetwear short sleeve summer top, 2020s style</t>
        </is>
      </c>
      <c r="O39" t="inlineStr">
        <is>
          <t>{"id":"resp_08d07b89ebc0784c016a085ae13db88198bace881ceacadfc3","object":"chat.completion","created":1778932454,"model":"gpt-5.5","choices":[{"index":0,"message":{"role":"assistant","content":"Moncler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 Moncler T-Shirts kakobuysheet2026"},"finish_reason":"stop"}],"usage":{"prompt_tokens":812,"completion_tokens":201,"total_tokens":1013}}</t>
        </is>
      </c>
      <c r="P39" t="inlineStr">
        <is>
          <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 Moncler T-Shirts kakobuysheet2026</t>
        </is>
      </c>
      <c r="Q39" t="inlineStr">
        <is>
          <t>White, Streetwear, Unisex, Summer</t>
        </is>
      </c>
      <c r="R39" t="inlineStr">
        <is>
          <t>recvjLGOf4mw2c</t>
        </is>
      </c>
      <c r="S39" t="inlineStr">
        <is>
          <t>moncler-white-cotton-pink-logo-crew-neck-t-shirt-recvjlgof4mw2c</t>
        </is>
      </c>
      <c r="T39"/>
      <c r="U39"/>
      <c r="V39"/>
      <c r="W39" t="inlineStr">
        <is>
          <t>{"id":"resp_0c3d2b651c27d731016a08567c590c8195ac8e12c899291bfc","object":"chat.completion","created":1778931330,"model":"gpt-5.5","choices":[{"index":0,"message":{"role":"assistant","content":"盟可睐 Moncler 白色纯棉圆领短袖T恤，粉色品牌字母Logo印花，休闲街头风，男女同款，2020年代夏季上衣"},"finish_reason":"stop"}],"usage":{"prompt_tokens":1335,"completion_tokens":162,"total_tokens":1497}}</t>
        </is>
      </c>
      <c r="X39" t="inlineStr">
        <is>
          <t>盟可睐 Moncler 白色纯棉圆领短袖T恤，粉色品牌字母Logo印花，休闲街头风，男女同款，2020年代夏季上衣</t>
        </is>
      </c>
    </row>
    <row r="40" ht="25.5" customHeight="1">
      <c r="A40">
        <v>1839115443</v>
      </c>
      <c r="B40">
        <v>7768617292</v>
      </c>
      <c r="C40" s="2" t="str">
        <f>=HYPERLINK("https://weidian.com/item.html?itemID=7768617292", "https://weidian.com/item.html?itemID=7768617292")</f>
        <v>https://weidian.com/item.html?itemID=7768617292</v>
      </c>
      <c r="D40"/>
      <c r="E40" s="2" t="str">
        <f>=HYPERLINK("https://si.geilicdn.com/open1839115443-252808396-482b0000019e2fa9cb9f0a23b491_1080_1080.jpg?w=640&amp;h=640", "https://si.geilicdn.com/open1839115443-252808396-482b0000019e2fa9cb9f0a23b491_1080_1080.jpg?w=640&amp;h=640")</f>
        <v>https://si.geilicdn.com/open1839115443-252808396-482b0000019e2fa9cb9f0a23b491_1080_1080.jpg?w=640&amp;h=640</v>
      </c>
      <c r="F40" t="inlineStr">
        <is>
          <t>T-Shirts</t>
        </is>
      </c>
      <c r="G40" t="inlineStr">
        <is>
          <t>Gucci</t>
        </is>
      </c>
      <c r="H40">
        <v>80</v>
      </c>
      <c r="I40">
        <v>11.59</v>
      </c>
      <c r="J40" t="inlineStr">
        <is>
          <t>{"id":"resp_021efb95492dc5c4016a08590b032c81978ec392dbdb26f5b2","object":"chat.completion","created":1778931984,"model":"gpt-5.5","choices":[{"index":0,"message":{"role":"assistant","content":"Gucci Firenze 1921 White Cotton Logo T-Shirt Unisex Tee"},"finish_reason":"stop"}],"usage":{"prompt_tokens":730,"completion_tokens":186,"total_tokens":916}}</t>
        </is>
      </c>
      <c r="K40" t="inlineStr">
        <is>
          <t>Gucci Firenze 1921 White Cotton Logo T-Shirt Unisex Tee</t>
        </is>
      </c>
      <c r="L40" t="inlineStr">
        <is>
          <t>{"id":"resp_04e60333234100f4016a08576a9b6c819ab88307c9f84197ee","object":"chat.completion","created":1778931565,"model":"gpt-5.5","choices":[{"index":0,"message":{"role":"assistant","content":"Gucci white cotton T-shirt, Firenze 1921 logo print, crew neck short sleeve, unisex casual designer tee, classic versatile top for men and women"},"finish_reason":"stop"}],"usage":{"prompt_tokens":744,"completion_tokens":104,"total_tokens":848}}</t>
        </is>
      </c>
      <c r="M40" t="inlineStr">
        <is>
          <t>{"alt-svc":"h3=\":443\"; ma=2592000","connection":"close","content-length":"438","content-type":"application/json; charset=utf-8","date":"Sat, 16 May 2026 11:39:25 GMT","referrer-policy":"strict-origin-when-cross-origin","server":"nginx/1.24.0 (Ubuntu)","strict-transport-security":"max-age=31536000; includeSubDomains; preload","vary":"Accept-Encoding","via":"1.1 Caddy","x-content-type-options":"nosniff","x-frame-options":"DENY","x-new-api-version":"v1.0.0-rc.2","x-oneapi-request-id":"202605161139223396443068268d9d6T9ZcLgKb","x-request-id":"b45682d1-5e0a-45e0-9576-1419e36c9f32"}</t>
        </is>
      </c>
      <c r="N40" t="inlineStr">
        <is>
          <t>Gucci white cotton T-shirt, Firenze 1921 logo print, crew neck short sleeve, unisex casual designer tee, classic versatile top for men and women</t>
        </is>
      </c>
      <c r="O40" t="inlineStr">
        <is>
          <t>{"id":"resp_03dad5123c455dd3016a085b280eb08196a12035f3e3e01c86","object":"chat.completion","created":1778932525,"model":"gpt-5.5","choices":[{"index":0,"message":{"role":"assistant","content":"Gucci,T-Shirts,kakobuy,kakebuy2026,kekobuysheet,kakobuysheet2026,2026kakobuy,kakobuyspreadsheeet,kakobuylink,kakebuylist,Kakobuy MEGA Spreadsheet,kakobuysheetfind,kakobuysheetfind2026,2026kakobuysheetfind,kakobuysheet2026"},"finish_reason":"stop"}],"usage":{"prompt_tokens":644,"completion_tokens":247,"total_tokens":891}}</t>
        </is>
      </c>
      <c r="P40" t="inlineStr">
        <is>
          <t>Gucci,T-Shirts,kakobuy,kakebuy2026,kekobuysheet,kakobuysheet2026,2026kakobuy,kakobuyspreadsheeet,kakobuylink,kakebuylist,Kakobuy MEGA Spreadsheet,kakobuysheetfind,kakobuysheetfind2026,2026kakobuysheetfind,kakobuysheet2026</t>
        </is>
      </c>
      <c r="Q40" t="inlineStr">
        <is>
          <t>White, Unisex, Classic, Versatile</t>
        </is>
      </c>
      <c r="R40" t="inlineStr">
        <is>
          <t>recvjLGOf4Dgs6</t>
        </is>
      </c>
      <c r="S40" t="inlineStr">
        <is>
          <t>gucci-firenze-1921-white-cotton-logo-tee-recvjlgof4dgs6</t>
        </is>
      </c>
      <c r="T40"/>
      <c r="U40"/>
      <c r="V40"/>
      <c r="W40" t="inlineStr">
        <is>
          <t>{"id":"resp_08c126d843aac921016a0855e1bad0819897beda74ec57c04f","object":"chat.completion","created":1778931175,"model":"gpt-5.5","choices":[{"index":0,"message":{"role":"assistant","content":"古驰Gucci白色纯棉短袖T恤，Firenze 1921字母Logo印花，简约圆领休闲风，男女同款经典百搭上衣"},"finish_reason":"stop"}],"usage":{"prompt_tokens":1171,"completion_tokens":124,"total_tokens":1295}}</t>
        </is>
      </c>
      <c r="X40" t="inlineStr">
        <is>
          <t>古驰Gucci白色纯棉短袖T恤，Firenze 1921字母Logo印花，简约圆领休闲风，男女同款经典百搭上衣</t>
        </is>
      </c>
    </row>
    <row r="41" ht="25.5" customHeight="1">
      <c r="A41">
        <v>1839115443</v>
      </c>
      <c r="B41">
        <v>7768689794</v>
      </c>
      <c r="C41" s="2" t="str">
        <f>=HYPERLINK("https://weidian.com/item.html?itemID=7768689794", "https://weidian.com/item.html?itemID=7768689794")</f>
        <v>https://weidian.com/item.html?itemID=7768689794</v>
      </c>
      <c r="D41"/>
      <c r="E41" s="2" t="str">
        <f>=HYPERLINK("https://si.geilicdn.com/open1839115443-252808396-45300000019e2fae842b0a231226_1066_1066.jpg?w=640&amp;h=640", "https://si.geilicdn.com/open1839115443-252808396-45300000019e2fae842b0a231226_1066_1066.jpg?w=640&amp;h=640")</f>
        <v>https://si.geilicdn.com/open1839115443-252808396-45300000019e2fae842b0a231226_1066_1066.jpg?w=640&amp;h=640</v>
      </c>
      <c r="F41" t="inlineStr">
        <is>
          <t>T-Shirts</t>
        </is>
      </c>
      <c r="G41" t="inlineStr">
        <is>
          <t>Gucci</t>
        </is>
      </c>
      <c r="H41">
        <v>148</v>
      </c>
      <c r="I41">
        <v>21.45</v>
      </c>
      <c r="J41" t="inlineStr">
        <is>
          <t>{"id":"resp_03b49cc7cf6d7d14016a0859159d8c8194860503cb284b9241","object":"chat.completion","created":1778931993,"model":"gpt-5.5","choices":[{"index":0,"message":{"role":"assistant","content":"Gucci Black Cotton Logo T-Shirt Unisex Streetwear Top"},"finish_reason":"stop"}],"usage":{"prompt_tokens":722,"completion_tokens":139,"total_tokens":861}}</t>
        </is>
      </c>
      <c r="K41" t="inlineStr">
        <is>
          <t>Gucci Black Cotton Logo T-Shirt Unisex Streetwear Top</t>
        </is>
      </c>
      <c r="L41" t="inlineStr">
        <is>
          <t>{"id":"resp_06f410187ca93574016a08573e91fc8197bcc277e6882695c6","object":"chat.completion","created":1778931521,"model":"gpt-5.5","choices":[{"index":0,"message":{"role":"assistant","content":"Gucci black short sleeve T-shirt, pure cotton, contrast chest logo print, vintage streetwear casual unisex summer top for men and women"},"finish_reason":"stop"}],"usage":{"prompt_tokens":740,"completion_tokens":122,"total_tokens":862}}</t>
        </is>
      </c>
      <c r="M41" t="inlineStr">
        <is>
          <t>{"alt-svc":"h3=\":443\"; ma=2592000","connection":"close","content-length":"429","content-type":"application/json; charset=utf-8","date":"Sat, 16 May 2026 11:38:41 GMT","referrer-policy":"strict-origin-when-cross-origin","server":"nginx/1.24.0 (Ubuntu)","strict-transport-security":"max-age=31536000; includeSubDomains; preload","vary":"Accept-Encoding","via":"1.1 Caddy","x-content-type-options":"nosniff","x-frame-options":"DENY","x-new-api-version":"v1.0.0-rc.2","x-oneapi-request-id":"202605161138382974522478268d9d6BObrsGXq","x-request-id":"07fe8a8c-2c5e-4972-ae45-0ee825fa1de5"}</t>
        </is>
      </c>
      <c r="N41" t="inlineStr">
        <is>
          <t>Gucci black short sleeve T-shirt, pure cotton, contrast chest logo print, vintage streetwear casual unisex summer top for men and women</t>
        </is>
      </c>
      <c r="O41" t="inlineStr">
        <is>
          <t>{"id":"resp_035423fc8d756b71016a085a8caa608193ad7a04c11758d40b","object":"chat.completion","created":1778932370,"model":"gpt-5.5","choices":[{"index":0,"message":{"role":"assistant","content":"Gucci T-Shirts kakobuy, Gucci T-Shirts kakebuy2026, Gucci T-Shirts kekobuysheet, Gucci T-Shirts kakobuysheet2026, Gucci T-Shirts 2026kakobuy, Gucci T-Shirts kakobuyspreadsheeet, Gucci T-Shirts kakobuylink, Gucci T-Shirts kakebuylist, Gucci T-Shirts Kakobuy MEGA Spreadsheet, Gucci T-Shirts kakobuysheetfind, Gucci T-Shirts kakobuysheetfind2026, Gucci T-Shirts 2026kakobuysheetfind, Gucci T-Shirts kakobuysheet2026"},"finish_reason":"stop"}],"usage":{"prompt_tokens":644,"completion_tokens":278,"total_tokens":922}}</t>
        </is>
      </c>
      <c r="P41" t="inlineStr">
        <is>
          <t>Gucci T-Shirts kakobuy, Gucci T-Shirts kakebuy2026, Gucci T-Shirts kekobuysheet, Gucci T-Shirts kakobuysheet2026, Gucci T-Shirts 2026kakobuy, Gucci T-Shirts kakobuyspreadsheeet, Gucci T-Shirts kakobuylink, Gucci T-Shirts kakebuylist, Gucci T-Shirts Kakobuy MEGA Spreadsheet, Gucci T-Shirts kakobuysheetfind, Gucci T-Shirts kakobuysheetfind2026, Gucci T-Shirts 2026kakobuysheetfind, Gucci T-Shirts kakobuysheet2026</t>
        </is>
      </c>
      <c r="Q41" t="inlineStr">
        <is>
          <t>Black, Vintage, Streetwear, Summer, Unisex</t>
        </is>
      </c>
      <c r="R41" t="inlineStr">
        <is>
          <t>recvjLGOf4WeHk</t>
        </is>
      </c>
      <c r="S41" t="inlineStr">
        <is>
          <t>gucci-black-cotton-logo-tshirt-recvjlgof4weh</t>
        </is>
      </c>
      <c r="T41"/>
      <c r="U41"/>
      <c r="V41"/>
      <c r="W41" t="inlineStr">
        <is>
          <t>{"id":"resp_0b17cacc2a1b4b58016a085657adac81949a6608e38233e217","object":"chat.completion","created":1778931290,"model":"gpt-5.5","choices":[{"index":0,"message":{"role":"assistant","content":"古驰Gucci黑色短袖T恤，纯棉面料，胸前撞色Logo印花，复古街头休闲风，男女同款夏季上衣"},"finish_reason":"stop"}],"usage":{"prompt_tokens":1165,"completion_tokens":99,"total_tokens":1264}}</t>
        </is>
      </c>
      <c r="X41" t="inlineStr">
        <is>
          <t>古驰Gucci黑色短袖T恤，纯棉面料，胸前撞色Logo印花，复古街头休闲风，男女同款夏季上衣</t>
        </is>
      </c>
    </row>
    <row r="42" ht="25.5" customHeight="1">
      <c r="A42">
        <v>1839115443</v>
      </c>
      <c r="B42">
        <v>7765674643</v>
      </c>
      <c r="C42" s="2" t="str">
        <f>=HYPERLINK("https://weidian.com/item.html?itemID=7765674643", "https://weidian.com/item.html?itemID=7765674643")</f>
        <v>https://weidian.com/item.html?itemID=7765674643</v>
      </c>
      <c r="D42"/>
      <c r="E42" s="2" t="str">
        <f>=HYPERLINK("https://si.geilicdn.com/open1839115443-252808396-4bdb0000019e2faed43f0a23b491_1280_1475.jpg?w=640&amp;h=640", "https://si.geilicdn.com/open1839115443-252808396-4bdb0000019e2faed43f0a23b491_1280_1475.jpg?w=640&amp;h=640")</f>
        <v>https://si.geilicdn.com/open1839115443-252808396-4bdb0000019e2faed43f0a23b491_1280_1475.jpg?w=640&amp;h=640</v>
      </c>
      <c r="F42" t="inlineStr">
        <is>
          <t>T-Shirts</t>
        </is>
      </c>
      <c r="G42" t="inlineStr">
        <is>
          <t>Louis Vuitton</t>
        </is>
      </c>
      <c r="H42">
        <v>148</v>
      </c>
      <c r="I42">
        <v>21.45</v>
      </c>
      <c r="J42" t="inlineStr">
        <is>
          <t>{"id":"resp_04aa626c7a6b3cd0016a0859342dac8198845ab053b31c9670","object":"chat.completion","created":1778932023,"model":"gpt-5.5","choices":[{"index":0,"message":{"role":"assistant","content":"Louis Vuitton Black LV Duck Graffiti Cotton T-Shirt"},"finish_reason":"stop"}],"usage":{"prompt_tokens":812,"completion_tokens":134,"total_tokens":946}}</t>
        </is>
      </c>
      <c r="K42" t="inlineStr">
        <is>
          <t>Louis Vuitton Black LV Duck Graffiti Cotton T-Shirt</t>
        </is>
      </c>
      <c r="L42" t="inlineStr">
        <is>
          <t>{"id":"resp_07633c15cef2b58a016a08570ff0988195a225d8b6118aa55f","object":"chat.completion","created":1778931475,"model":"gpt-5.5","choices":[{"index":0,"message":{"role":"assistant","content":"Louis Vuitton black cotton T-shirt with pink graffiti LV logo and cartoon duck print, unisex short sleeve vintage streetwear casual top"},"finish_reason":"stop"}],"usage":{"prompt_tokens":846,"completion_tokens":88,"total_tokens":934}}</t>
        </is>
      </c>
      <c r="M42" t="inlineStr">
        <is>
          <t>{"alt-svc":"h3=\":443\"; ma=2592000","connection":"close","content-length":"428","content-type":"application/json; charset=utf-8","date":"Sat, 16 May 2026 11:37:55 GMT","referrer-policy":"strict-origin-when-cross-origin","server":"nginx/1.24.0 (Ubuntu)","strict-transport-security":"max-age=31536000; includeSubDomains; preload","vary":"Accept-Encoding","via":"1.1 Caddy","x-content-type-options":"nosniff","x-frame-options":"DENY","x-new-api-version":"v1.0.0-rc.2","x-oneapi-request-id":"202605161137517117710988268d9d6mE9uQAa8","x-request-id":"2e44dce7-de61-4211-9ab6-a3f5d6929cfc"}</t>
        </is>
      </c>
      <c r="N42" t="inlineStr">
        <is>
          <t>Louis Vuitton black cotton T-shirt with pink graffiti LV logo and cartoon duck print, unisex short sleeve vintage streetwear casual top</t>
        </is>
      </c>
      <c r="O42" t="inlineStr">
        <is>
          <t>{"id":"resp_066bc0f39a3257d7016a085a44750c81938e5063d6c2b7d438","object":"chat.completion","created":1778932299,"model":"gpt-5.5","choices":[{"index":0,"message":{"role":"assistant","content":"Louis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kakobuysheet2026"},"finish_reason":"stop"}],"usage":{"prompt_tokens":740,"completion_tokens":261,"total_tokens":1001}}</t>
        </is>
      </c>
      <c r="P42"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42" t="inlineStr">
        <is>
          <t>LV, Black, Vintage, Streetwear, Unisex</t>
        </is>
      </c>
      <c r="R42" t="inlineStr">
        <is>
          <t>recvjLGOf4zBJs</t>
        </is>
      </c>
      <c r="S42" t="inlineStr">
        <is>
          <t>louis-vuitton-black-lv-duck-graffiti-cotton-t-shirt-recvjlgof4zbjs</t>
        </is>
      </c>
      <c r="T42"/>
      <c r="U42"/>
      <c r="V42"/>
      <c r="W42" t="inlineStr">
        <is>
          <t>{"id":"resp_0d8fb80ecf13864b016a0855a295008199ad8e94c0d4f2b62a","object":"chat.completion","created":1778931110,"model":"gpt-5.5","choices":[{"index":0,"message":{"role":"assistant","content":"路易威登Louis Vuitton 黑色短袖T恤，纯棉面料，粉色涂鸦LV标识与卡通鸭图案，复古街头风男女同款休闲上衣"},"finish_reason":"stop"}],"usage":{"prompt_tokens":1267,"completion_tokens":143,"total_tokens":1410}}</t>
        </is>
      </c>
      <c r="X42" t="inlineStr">
        <is>
          <t>路易威登Louis Vuitton 黑色短袖T恤，纯棉面料，粉色涂鸦LV标识与卡通鸭图案，复古街头风男女同款休闲上衣</t>
        </is>
      </c>
    </row>
    <row r="43" ht="25.5" customHeight="1">
      <c r="A43">
        <v>1839115443</v>
      </c>
      <c r="B43">
        <v>7768613390</v>
      </c>
      <c r="C43" s="2" t="str">
        <f>=HYPERLINK("https://weidian.com/item.html?itemID=7768613390", "https://weidian.com/item.html?itemID=7768613390")</f>
        <v>https://weidian.com/item.html?itemID=7768613390</v>
      </c>
      <c r="D43"/>
      <c r="E43" s="2" t="str">
        <f>=HYPERLINK("https://si.geilicdn.com/open1839115443-252808396-3fa50000019e2faec7790aa08269_1080_1080.jpg?w=640&amp;h=640", "https://si.geilicdn.com/open1839115443-252808396-3fa50000019e2faec7790aa08269_1080_1080.jpg?w=640&amp;h=640")</f>
        <v>https://si.geilicdn.com/open1839115443-252808396-3fa50000019e2faec7790aa08269_1080_1080.jpg?w=640&amp;h=640</v>
      </c>
      <c r="F43" t="inlineStr">
        <is>
          <t>T-Shirts</t>
        </is>
      </c>
      <c r="G43" t="inlineStr">
        <is>
          <t>Louis Vuitton</t>
        </is>
      </c>
      <c r="H43">
        <v>140</v>
      </c>
      <c r="I43">
        <v>20.29</v>
      </c>
      <c r="J43" t="inlineStr">
        <is>
          <t>{"id":"resp_0ef920064aff4dd1016a0859533d18819b9179472907efb2de","object":"chat.completion","created":1778932054,"model":"gpt-5.5","choices":[{"index":0,"message":{"role":"assistant","content":"Louis Vuitton White Graffiti Logo Cotton T-Shirt"},"finish_reason":"stop"}],"usage":{"prompt_tokens":713,"completion_tokens":111,"total_tokens":824}}</t>
        </is>
      </c>
      <c r="K43" t="inlineStr">
        <is>
          <t>Louis Vuitton White Graffiti Logo Cotton T-Shirt</t>
        </is>
      </c>
      <c r="L43" t="inlineStr">
        <is>
          <t>{"id":"resp_054d292a8680c923016a085748414c819983370cffa8725f93","object":"chat.completion","created":1778931531,"model":"gpt-5.5","choices":[{"index":0,"message":{"role":"assistant","content":"Louis Vuitton white cotton crew neck T-shirt with colorful graffiti logo print, relaxed unisex streetwear short sleeve casual top."},"finish_reason":"stop"}],"usage":{"prompt_tokens":743,"completion_tokens":25,"total_tokens":768}}</t>
        </is>
      </c>
      <c r="M43" t="inlineStr">
        <is>
          <t>{"alt-svc":"h3=\":443\"; ma=2592000","connection":"close","content-length":"423","content-type":"application/json; charset=utf-8","date":"Sat, 16 May 2026 11:38:51 GMT","referrer-policy":"strict-origin-when-cross-origin","server":"Caddy","strict-transport-security":"max-age=31536000; includeSubDomains; preload","vary":"Accept-Encoding","x-content-type-options":"nosniff","x-frame-options":"DENY","x-new-api-version":"v1.0.0-rc.2","x-oneapi-request-id":"202605161138478424359748268d9d6IikzfbhJ","x-request-id":"8dfa3597-d4d0-499f-bc0d-3c824d8e4c3f"}</t>
        </is>
      </c>
      <c r="N43" t="inlineStr">
        <is>
          <t>Louis Vuitton white cotton crew neck T-shirt with colorful graffiti logo print, relaxed unisex streetwear short sleeve casual top.</t>
        </is>
      </c>
      <c r="O43" t="inlineStr">
        <is>
          <t>{"id":"resp_0b8468f036ce699b016a085a61835c8195b1012725be256412","object":"chat.completion","created":1778932333,"model":"gpt-5.5","choices":[{"index":0,"message":{"role":"assistant","content":"Louis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2026kakobuysheetfind"},"finish_reason":"stop"}],"usage":{"prompt_tokens":644,"completion_tokens":562,"total_tokens":1206}}</t>
        </is>
      </c>
      <c r="P43"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t>
        </is>
      </c>
      <c r="Q43" t="inlineStr">
        <is>
          <t>LV, White, Streetwear, Unisex</t>
        </is>
      </c>
      <c r="R43" t="inlineStr">
        <is>
          <t>recvjLGOf4vM1b</t>
        </is>
      </c>
      <c r="S43" t="inlineStr">
        <is>
          <t>louis-vuitton-white-graffiti-logo-cotton-t-shirt-recvjlgof4vm1b</t>
        </is>
      </c>
      <c r="T43"/>
      <c r="U43"/>
      <c r="V43"/>
      <c r="W43" t="inlineStr">
        <is>
          <t>{"id":"resp_0a29ec5641304dcd016a08559b2558819b9c68e7acfada91eb","object":"chat.completion","created":1778931103,"model":"gpt-5.5","choices":[{"index":0,"message":{"role":"assistant","content":"路易威登白色短袖T恤，纯棉圆领休闲版型，彩色涂鸦Louis Vuitton字母印花，男女同款街头潮流上衣。"},"finish_reason":"stop"}],"usage":{"prompt_tokens":1165,"completion_tokens":160,"total_tokens":1325}}</t>
        </is>
      </c>
      <c r="X43" t="inlineStr">
        <is>
          <t>路易威登白色短袖T恤，纯棉圆领休闲版型，彩色涂鸦Louis Vuitton字母印花，男女同款街头潮流上衣。</t>
        </is>
      </c>
    </row>
    <row r="44" ht="25.5" customHeight="1">
      <c r="A44">
        <v>1839115443</v>
      </c>
      <c r="B44">
        <v>7768599416</v>
      </c>
      <c r="C44" s="2" t="str">
        <f>=HYPERLINK("https://weidian.com/item.html?itemID=7768599416", "https://weidian.com/item.html?itemID=7768599416")</f>
        <v>https://weidian.com/item.html?itemID=7768599416</v>
      </c>
      <c r="D44"/>
      <c r="E44" s="2" t="str">
        <f>=HYPERLINK("https://si.geilicdn.com/open1839115443-252808396-485f0000019e2fa34b790a22d249_1080_1080.jpg?w=640&amp;h=640", "https://si.geilicdn.com/open1839115443-252808396-485f0000019e2fa34b790a22d249_1080_1080.jpg?w=640&amp;h=640")</f>
        <v>https://si.geilicdn.com/open1839115443-252808396-485f0000019e2fa34b790a22d249_1080_1080.jpg?w=640&amp;h=640</v>
      </c>
      <c r="F44" t="inlineStr">
        <is>
          <t>T-Shirts</t>
        </is>
      </c>
      <c r="G44" t="inlineStr">
        <is>
          <t>Gucci</t>
        </is>
      </c>
      <c r="H44">
        <v>88</v>
      </c>
      <c r="I44">
        <v>12.75</v>
      </c>
      <c r="J44" t="inlineStr">
        <is>
          <t>{"id":"resp_03ce092746cbb9e4016a0858b4ebe88195b8d8dfef1e99bcc9","object":"chat.completion","created":1778931896,"model":"gpt-5.5","choices":[{"index":0,"message":{"role":"assistant","content":"Gucci Beige Cotton Letter Block Print Unisex T-Shirt"},"finish_reason":"stop"}],"usage":{"prompt_tokens":725,"completion_tokens":111,"total_tokens":836}}</t>
        </is>
      </c>
      <c r="K44" t="inlineStr">
        <is>
          <t>Gucci Beige Cotton Letter Block Print Unisex T-Shirt</t>
        </is>
      </c>
      <c r="L44" t="inlineStr">
        <is>
          <t>{"id":"resp_0d1a1b95a16b4567016a08577639e8819ab17511607b3be163","object":"chat.completion","created":1778931579,"model":"gpt-5.5","choices":[{"index":0,"message":{"role":"assistant","content":"Gucci beige cotton T-shirt with colorful letter block print, crew neck short sleeve relaxed fit, vintage streetwear unisex top for men and women."},"finish_reason":"stop"}],"usage":{"prompt_tokens":741,"completion_tokens":136,"total_tokens":877}}</t>
        </is>
      </c>
      <c r="M44" t="inlineStr">
        <is>
          <t>{"alt-svc":"h3=\":443\"; ma=2592000","connection":"close","content-length":"439","content-type":"application/json; charset=utf-8","date":"Sat, 16 May 2026 11:39:39 GMT","referrer-policy":"strict-origin-when-cross-origin","server":"nginx/1.24.0 (Ubuntu)","strict-transport-security":"max-age=31536000; includeSubDomains; preload","vary":"Accept-Encoding","via":"1.1 Caddy","x-content-type-options":"nosniff","x-frame-options":"DENY","x-new-api-version":"v1.0.0-rc.2","x-oneapi-request-id":"202605161139339522117218268d9d6marmJrLi","x-request-id":"7d9d5376-bc2d-47e5-aa27-589e91f46e83"}</t>
        </is>
      </c>
      <c r="N44" t="inlineStr">
        <is>
          <t>Gucci beige cotton T-shirt with colorful letter block print, crew neck short sleeve relaxed fit, vintage streetwear unisex top for men and women.</t>
        </is>
      </c>
      <c r="O44" t="inlineStr">
        <is>
          <t>{"id":"resp_0ccbc029dd6a3e5b016a085b29c9e0819796ca6358d39f870d","object":"chat.completion","created":1778932527,"model":"gpt-5.5","choices":[{"index":0,"message":{"role":"assistant","content":"Gucci T-Shirts kakobuy, Gucci T-Shirts kakebuy2026, Gucci T-Shirts kekobuysheet, Gucci T-Shirts kakobuysheet2026, Gucci T-Shirts 2026kakobuy, Gucci T-Shirts kakobuyspreadsheeet, Gucci T-Shirts kakobuylink, Gucci T-Shirts kakebuylist, Gucci T-Shirts Kakobuy MEGA Spreadsheet, Gucci T-Shirts kakobuysheetfind, Gucci T-Shirts kakobuysheetfind2026, Gucci T-Shirts 2026kakobuysheetfind, Gucci T-Shirts kakobuysheet2026"},"finish_reason":"stop"}],"usage":{"prompt_tokens":644,"completion_tokens":225,"total_tokens":869}}</t>
        </is>
      </c>
      <c r="P44" t="inlineStr">
        <is>
          <t>Gucci T-Shirts kakobuy, Gucci T-Shirts kakebuy2026, Gucci T-Shirts kekobuysheet, Gucci T-Shirts kakobuysheet2026, Gucci T-Shirts 2026kakobuy, Gucci T-Shirts kakobuyspreadsheeet, Gucci T-Shirts kakobuylink, Gucci T-Shirts kakebuylist, Gucci T-Shirts Kakobuy MEGA Spreadsheet, Gucci T-Shirts kakobuysheetfind, Gucci T-Shirts kakobuysheetfind2026, Gucci T-Shirts 2026kakobuysheetfind, Gucci T-Shirts kakobuysheet2026</t>
        </is>
      </c>
      <c r="Q44" t="inlineStr">
        <is>
          <t>Beige, Color Block, Vintage, Streetwear, Unisex</t>
        </is>
      </c>
      <c r="R44" t="inlineStr">
        <is>
          <t>recvjLGOf4wKi5</t>
        </is>
      </c>
      <c r="S44" t="inlineStr">
        <is>
          <t>gucci-beige-cotton-letter-block-print-unisex-tshirt-recvjlgof4wki5</t>
        </is>
      </c>
      <c r="T44"/>
      <c r="U44"/>
      <c r="V44"/>
      <c r="W44" t="inlineStr">
        <is>
          <t>{"id":"resp_0568859bdd72f515016a0855859cec8198837cb05b926909cf","object":"chat.completion","created":1778931082,"model":"gpt-5.5","choices":[{"index":0,"message":{"role":"assistant","content":"古驰Gucci 米白色彩色字母积木印花短袖T恤，纯棉圆领休闲版型，复古街头风男女同款上衣。"},"finish_reason":"stop"}],"usage":{"prompt_tokens":1167,"completion_tokens":136,"total_tokens":1303}}</t>
        </is>
      </c>
      <c r="X44" t="inlineStr">
        <is>
          <t>古驰Gucci 米白色彩色字母积木印花短袖T恤，纯棉圆领休闲版型，复古街头风男女同款上衣。</t>
        </is>
      </c>
    </row>
    <row r="45" ht="25.5" customHeight="1">
      <c r="A45">
        <v>1839115443</v>
      </c>
      <c r="B45">
        <v>7768687890</v>
      </c>
      <c r="C45" s="2" t="str">
        <f>=HYPERLINK("https://weidian.com/item.html?itemID=7768687890", "https://weidian.com/item.html?itemID=7768687890")</f>
        <v>https://weidian.com/item.html?itemID=7768687890</v>
      </c>
      <c r="D45"/>
      <c r="E45" s="2" t="str">
        <f>=HYPERLINK("https://si.geilicdn.com/open1839115443-252808396-435d0000019e2fa47df70a23b491_799_799.jpg?w=640&amp;h=640", "https://si.geilicdn.com/open1839115443-252808396-435d0000019e2fa47df70a23b491_799_799.jpg?w=640&amp;h=640")</f>
        <v>https://si.geilicdn.com/open1839115443-252808396-435d0000019e2fa47df70a23b491_799_799.jpg?w=640&amp;h=640</v>
      </c>
      <c r="F45" t="inlineStr">
        <is>
          <t>T-Shirts</t>
        </is>
      </c>
      <c r="G45" t="inlineStr">
        <is>
          <t>Arc teryx</t>
        </is>
      </c>
      <c r="H45">
        <v>80</v>
      </c>
      <c r="I45">
        <v>11.59</v>
      </c>
      <c r="J45" t="inlineStr">
        <is>
          <t>{"id":"resp_0d49a9ad365d7841016a08590611688194bb9aa599ea103452","object":"chat.completion","created":1778931981,"model":"gpt-5.5","choices":[{"index":0,"message":{"role":"assistant","content":"Arc'teryx Black Cotton Bird Logo T-Shirt Unisex Outdoor Tee"},"finish_reason":"stop"}],"usage":{"prompt_tokens":719,"completion_tokens":265,"total_tokens":984}}</t>
        </is>
      </c>
      <c r="K45" t="inlineStr">
        <is>
          <t>Arc'teryx Black Cotton Bird Logo T-Shirt Unisex Outdoor Tee</t>
        </is>
      </c>
      <c r="L45" t="inlineStr">
        <is>
          <t>{"id":"resp_06cbaa3c35d8fef7016a085704d8b8819485b27eee9bde26d6","object":"chat.completion","created":1778931463,"model":"gpt-5.5","choices":[{"index":0,"message":{"role":"assistant","content":"Arc'teryx black cotton T-shirt, breathable short sleeve tee with chest bird logo embroidery, minimalist outdoor casual unisex top."},"finish_reason":"stop"}],"usage":{"prompt_tokens":752,"completion_tokens":81,"total_tokens":833}}</t>
        </is>
      </c>
      <c r="M45" t="inlineStr">
        <is>
          <t>{"alt-svc":"h3=\":443\"; ma=2592000","connection":"close","content-length":"423","content-type":"application/json; charset=utf-8","date":"Sat, 16 May 2026 11:37:43 GMT","referrer-policy":"strict-origin-when-cross-origin","server":"Caddy","strict-transport-security":"max-age=31536000; includeSubDomains; preload","vary":"Accept-Encoding","x-content-type-options":"nosniff","x-frame-options":"DENY","x-new-api-version":"v1.0.0-rc.2","x-oneapi-request-id":"202605161137406701039448268d9d6joQ3szAw","x-request-id":"2acf852c-aa65-48a9-83c6-26aca6aee827"}</t>
        </is>
      </c>
      <c r="N45" t="inlineStr">
        <is>
          <t>Arc'teryx black cotton T-shirt, breathable short sleeve tee with chest bird logo embroidery, minimalist outdoor casual unisex top.</t>
        </is>
      </c>
      <c r="O45" t="inlineStr">
        <is>
          <t>{"id":"resp_0118c62202f21593016a085a6f569081959ffcc4cddc58b96c","object":"chat.completion","created":1778932342,"model":"gpt-5.5","choices":[{"index":0,"message":{"role":"assistant","content":"Arc'teryx, T-Shirts, kakobuy, kakebuy2026, kekobuysheet, kakobuysheet2026, 2026kakobuy, kakobuyspreadsheeet, kakobuylink, kakebuylist, Kakobuy MEGA Spreadsheet, kakobuysheetfind, kakobuysheetfind2026, 2026kakobuysheetfind, kakobuysheet2026"},"finish_reason":"stop"}],"usage":{"prompt_tokens":646,"completion_tokens":328,"total_tokens":974}}</t>
        </is>
      </c>
      <c r="P45" t="inlineStr">
        <is>
          <t>Arc'teryx, T-Shirts, kakobuy, kakebuy2026, kekobuysheet, kakobuysheet2026, 2026kakobuy, kakobuyspreadsheeet, kakobuylink, kakebuylist, Kakobuy MEGA Spreadsheet, kakobuysheetfind, kakobuysheetfind2026, 2026kakobuysheetfind, kakobuysheet2026</t>
        </is>
      </c>
      <c r="Q45"/>
      <c r="R45" t="inlineStr">
        <is>
          <t>recvjLGOf4CgfD</t>
        </is>
      </c>
      <c r="S45" t="inlineStr">
        <is>
          <t>arcteryx-black-cotton-bird-logo-tee-recvjlgof4cgfd</t>
        </is>
      </c>
      <c r="T45"/>
      <c r="U45"/>
      <c r="V45"/>
      <c r="W45" t="inlineStr">
        <is>
          <t>{"id":"resp_02b330151f55a7ab016a08565475e0819688c63ad6917a669c","object":"chat.completion","created":1778931288,"model":"gpt-5.5","choices":[{"index":0,"message":{"role":"assistant","content":"始祖鸟 Arc'teryx 黑色短袖T恤，纯棉透气面料，左胸标志性始祖鸟图腾刺绣，简约户外机能风，男女同款休闲上衣。"},"finish_reason":"stop"}],"usage":{"prompt_tokens":1167,"completion_tokens":152,"total_tokens":1319}}</t>
        </is>
      </c>
      <c r="X45" t="inlineStr">
        <is>
          <t>始祖鸟 Arc'teryx 黑色短袖T恤，纯棉透气面料，左胸标志性始祖鸟图腾刺绣，简约户外机能风，男女同款休闲上衣。</t>
        </is>
      </c>
    </row>
    <row r="46" ht="25.5" customHeight="1">
      <c r="A46">
        <v>1839115443</v>
      </c>
      <c r="B46">
        <v>7768611320</v>
      </c>
      <c r="C46" s="2" t="str">
        <f>=HYPERLINK("https://weidian.com/item.html?itemID=7768611320", "https://weidian.com/item.html?itemID=7768611320")</f>
        <v>https://weidian.com/item.html?itemID=7768611320</v>
      </c>
      <c r="D46"/>
      <c r="E46" s="2" t="str">
        <f>=HYPERLINK("https://si.geilicdn.com/open1839115443-252808396-42230000019e2fa43bf70a23b4de_1440_1896.jpg?w=640&amp;h=640", "https://si.geilicdn.com/open1839115443-252808396-42230000019e2fa43bf70a23b4de_1440_1896.jpg?w=640&amp;h=640")</f>
        <v>https://si.geilicdn.com/open1839115443-252808396-42230000019e2fa43bf70a23b4de_1440_1896.jpg?w=640&amp;h=640</v>
      </c>
      <c r="F46" t="inlineStr">
        <is>
          <t>T-Shirts</t>
        </is>
      </c>
      <c r="G46" t="inlineStr">
        <is>
          <t xml:space="preserve"> Balenciaga</t>
        </is>
      </c>
      <c r="H46">
        <v>80</v>
      </c>
      <c r="I46">
        <v>11.59</v>
      </c>
      <c r="J46" t="inlineStr">
        <is>
          <t>{"id":"resp_02e342f037fd9d3c016a0858e9a384819b9abcae6f29db8c24","object":"chat.completion","created":1778931948,"model":"gpt-5.5","choices":[{"index":0,"message":{"role":"assistant","content":"Balenciaga 2020s Tiger Medallion Black Cotton T-Shirt"},"finish_reason":"stop"}],"usage":{"prompt_tokens":901,"completion_tokens":115,"total_tokens":1016}}</t>
        </is>
      </c>
      <c r="K46" t="inlineStr">
        <is>
          <t>Balenciaga 2020s Tiger Medallion Black Cotton T-Shirt</t>
        </is>
      </c>
      <c r="L46" t="inlineStr">
        <is>
          <t>{"id":"resp_00227734fc7d443e016a08570d5190819485146eb16b5de7b5","object":"chat.completion","created":1778931472,"model":"gpt-5.5","choices":[{"index":0,"message":{"role":"assistant","content":"Balenciaga 2020s black cotton T-shirt, crew neck relaxed fit, yellow-blue tiger medallion chest print, Demna streetwear unisex tee"},"finish_reason":"stop"}],"usage":{"prompt_tokens":921,"completion_tokens":136,"total_tokens":1057}}</t>
        </is>
      </c>
      <c r="M46" t="inlineStr">
        <is>
          <t>{"alt-svc":"h3=\":443\"; ma=2592000","connection":"close","content-length":"425","content-type":"application/json; charset=utf-8","date":"Sat, 16 May 2026 11:37:52 GMT","referrer-policy":"strict-origin-when-cross-origin","server":"Caddy","strict-transport-security":"max-age=31536000; includeSubDomains; preload","vary":"Accept-Encoding","x-content-type-options":"nosniff","x-frame-options":"DENY","x-new-api-version":"v1.0.0-rc.2","x-oneapi-request-id":"202605161137489506733978268d9d6KPovRSNd","x-request-id":"c59fd474-4631-4797-9533-fb5f29695781"}</t>
        </is>
      </c>
      <c r="N46" t="inlineStr">
        <is>
          <t>Balenciaga 2020s black cotton T-shirt, crew neck relaxed fit, yellow-blue tiger medallion chest print, Demna streetwear unisex tee</t>
        </is>
      </c>
      <c r="O46" t="inlineStr">
        <is>
          <t>{"id":"resp_0109950dde0980f7016a085b04e4488190afcf5c5736449ada","object":"chat.completion","created":1778932490,"model":"gpt-5.5","choices":[{"index":0,"message":{"role":"assistant","content":"Balenciaga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kakobuysheet2026"},"finish_reason":"stop"}],"usage":{"prompt_tokens":813,"completion_tokens":255,"total_tokens":1068}}</t>
        </is>
      </c>
      <c r="P46"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46" t="inlineStr">
        <is>
          <t>Balenciaga, Streetwear, Black, Unisex</t>
        </is>
      </c>
      <c r="R46" t="inlineStr">
        <is>
          <t>recvjLGOf4mzr2</t>
        </is>
      </c>
      <c r="S46" t="inlineStr">
        <is>
          <t>balenciaga-tiger-medallion-black-cotton-tshirt-recvjlgof4mzr2</t>
        </is>
      </c>
      <c r="T46"/>
      <c r="U46"/>
      <c r="V46"/>
      <c r="W46" t="inlineStr">
        <is>
          <t>{"id":"resp_0bc672a8657c03ae016a085624dfbc819b90e49c3d31c812be","object":"chat.completion","created":1778931243,"model":"gpt-5.5","choices":[{"index":0,"message":{"role":"assistant","content":"巴黎世家 Balenciaga 2020年代黑色纯棉短袖T恤，圆领休闲版型，胸前黄蓝虎纹圆形图腾印花，Demna街头潮流男女同款上衣"},"finish_reason":"stop"}],"usage":{"prompt_tokens":1337,"completion_tokens":315,"total_tokens":1652}}</t>
        </is>
      </c>
      <c r="X46" t="inlineStr">
        <is>
          <t>巴黎世家 Balenciaga 2020年代黑色纯棉短袖T恤，圆领休闲版型，胸前黄蓝虎纹圆形图腾印花，Demna街头潮流男女同款上衣</t>
        </is>
      </c>
    </row>
    <row r="47" ht="25.5" customHeight="1">
      <c r="A47">
        <v>1839115443</v>
      </c>
      <c r="B47">
        <v>7768699768</v>
      </c>
      <c r="C47" s="2" t="str">
        <f>=HYPERLINK("https://weidian.com/item.html?itemID=7768699768", "https://weidian.com/item.html?itemID=7768699768")</f>
        <v>https://weidian.com/item.html?itemID=7768699768</v>
      </c>
      <c r="D47"/>
      <c r="E47" s="2" t="str">
        <f>=HYPERLINK("https://si.geilicdn.com/open1839115443-252808396-3d180000019e2fa4af660a231226_1080_1080.jpg?w=640&amp;h=640", "https://si.geilicdn.com/open1839115443-252808396-3d180000019e2fa4af660a231226_1080_1080.jpg?w=640&amp;h=640")</f>
        <v>https://si.geilicdn.com/open1839115443-252808396-3d180000019e2fa4af660a231226_1080_1080.jpg?w=640&amp;h=640</v>
      </c>
      <c r="F47" t="inlineStr">
        <is>
          <t>T-Shirts</t>
        </is>
      </c>
      <c r="G47" t="inlineStr">
        <is>
          <t>Prada</t>
        </is>
      </c>
      <c r="H47">
        <v>80</v>
      </c>
      <c r="I47">
        <v>11.59</v>
      </c>
      <c r="J47" t="inlineStr">
        <is>
          <t>{"id":"resp_07a0b27504129acf016a085893aed88199b375d76b35e20902","object":"chat.completion","created":1778931864,"model":"gpt-5.5","choices":[{"index":0,"message":{"role":"assistant","content":"Prada Black Cotton T-Shirt Triangle Car Logo Unisex Tee"},"finish_reason":"stop"}],"usage":{"prompt_tokens":726,"completion_tokens":184,"total_tokens":910}}</t>
        </is>
      </c>
      <c r="K47" t="inlineStr">
        <is>
          <t>Prada Black Cotton T-Shirt Triangle Car Logo Unisex Tee</t>
        </is>
      </c>
      <c r="L47" t="inlineStr">
        <is>
          <t>{"id":"resp_035ac1c05203bf7f016a085727450c8195b36465467a75ffb7","object":"chat.completion","created":1778931498,"model":"gpt-5.5","choices":[{"index":0,"message":{"role":"assistant","content":"Prada black short sleeve T-shirt, soft pure cotton, triangle logo with car emblem print, vintage streetwear unisex casual tee for men and women"},"finish_reason":"stop"}],"usage":{"prompt_tokens":745,"completion_tokens":120,"total_tokens":865}}</t>
        </is>
      </c>
      <c r="M47" t="inlineStr">
        <is>
          <t>{"alt-svc":"h3=\":443\"; ma=2592000","connection":"close","content-length":"437","content-type":"application/json; charset=utf-8","date":"Sat, 16 May 2026 11:38:18 GMT","referrer-policy":"strict-origin-when-cross-origin","server":"nginx/1.24.0 (Ubuntu)","strict-transport-security":"max-age=31536000; includeSubDomains; preload","vary":"Accept-Encoding","via":"1.1 Caddy","x-content-type-options":"nosniff","x-frame-options":"DENY","x-new-api-version":"v1.0.0-rc.2","x-oneapi-request-id":"20260516113815439637288268d9d6ZGeJoQsB","x-request-id":"0dd43c7b-b698-414c-8039-2c0879c12e8b"}</t>
        </is>
      </c>
      <c r="N47" t="inlineStr">
        <is>
          <t>Prada black short sleeve T-shirt, soft pure cotton, triangle logo with car emblem print, vintage streetwear unisex casual tee for men and women</t>
        </is>
      </c>
      <c r="O47" t="inlineStr">
        <is>
          <t>{"id":"resp_025576df47c65f5d016a085ab4411481969afca20d1c858b62","object":"chat.completion","created":1778932409,"model":"gpt-5.5","choices":[{"index":0,"message":{"role":"assistant","content":"Prada, T-Shirts, kakobuy, kakebuy2026, kekobuysheet, kakobuysheet2026, 2026kakobuy, kakobuyspreadsheeet, kakobuylink, kakebuylist, Kakobuy MEGA Spreadsheet, kakobuysheetfind, kakobuysheetfind2026, 2026kakobuysheetfind, kakobuysheet2026"},"finish_reason":"stop"}],"usage":{"prompt_tokens":644,"completion_tokens":190,"total_tokens":834}}</t>
        </is>
      </c>
      <c r="P47" t="inlineStr">
        <is>
          <t>Prada, T-Shirts, kakobuy, kakebuy2026, kekobuysheet, kakobuysheet2026, 2026kakobuy, kakobuyspreadsheeet, kakobuylink, kakebuylist, Kakobuy MEGA Spreadsheet, kakobuysheetfind, kakobuysheetfind2026, 2026kakobuysheetfind, kakobuysheet2026</t>
        </is>
      </c>
      <c r="Q47" t="inlineStr">
        <is>
          <t>Black, Vintage, Streetwear, Unisex</t>
        </is>
      </c>
      <c r="R47" t="inlineStr">
        <is>
          <t>recvjLGOf4fGSm</t>
        </is>
      </c>
      <c r="S47" t="inlineStr">
        <is>
          <t>prada-black-cotton-t-shirt-triangle-car-logo-unisex-tee-recvjlgof4fgsm</t>
        </is>
      </c>
      <c r="T47"/>
      <c r="U47"/>
      <c r="V47"/>
      <c r="W47" t="inlineStr">
        <is>
          <t>{"id":"resp_01b5374fb752b70f016a085681c7b08194964565f1572be6d0","object":"chat.completion","created":1778931333,"model":"gpt-5.5","choices":[{"index":0,"message":{"role":"assistant","content":"普拉达Prada黑色短袖T恤，纯棉舒适面料，正面三角徽标与汽车图腾印花，复古街头风男女同款休闲上衣"},"finish_reason":"stop"}],"usage":{"prompt_tokens":1165,"completion_tokens":171,"total_tokens":1336}}</t>
        </is>
      </c>
      <c r="X47" t="inlineStr">
        <is>
          <t>普拉达Prada黑色短袖T恤，纯棉舒适面料，正面三角徽标与汽车图腾印花，复古街头风男女同款休闲上衣</t>
        </is>
      </c>
    </row>
    <row r="48" ht="25.5" customHeight="1">
      <c r="A48">
        <v>1839115443</v>
      </c>
      <c r="B48">
        <v>7765186973</v>
      </c>
      <c r="C48" s="2" t="str">
        <f>=HYPERLINK("https://weidian.com/item.html?itemID=7765186973", "https://weidian.com/item.html?itemID=7765186973")</f>
        <v>https://weidian.com/item.html?itemID=7765186973</v>
      </c>
      <c r="D48"/>
      <c r="E48" s="2" t="str">
        <f>=HYPERLINK("https://si.geilicdn.com/open1839115443-252808396-36d50000019e2fa394a10aa08269_1080_1080.jpg?w=640&amp;h=640", "https://si.geilicdn.com/open1839115443-252808396-36d50000019e2fa394a10aa08269_1080_1080.jpg?w=640&amp;h=640")</f>
        <v>https://si.geilicdn.com/open1839115443-252808396-36d50000019e2fa394a10aa08269_1080_1080.jpg?w=640&amp;h=640</v>
      </c>
      <c r="F48" t="inlineStr">
        <is>
          <t>T-Shirts</t>
        </is>
      </c>
      <c r="G48" t="inlineStr">
        <is>
          <t>Givenchy</t>
        </is>
      </c>
      <c r="H48">
        <v>80</v>
      </c>
      <c r="I48">
        <v>11.59</v>
      </c>
      <c r="J48" t="inlineStr">
        <is>
          <t>{"id":"resp_0184e1d72f8f8ee8016a08593a8cc48197aa717a70d0b84719","object":"chat.completion","created":1778932029,"model":"gpt-5.5","choices":[{"index":0,"message":{"role":"assistant","content":"Givenchy White Blurred Logo Cotton T-Shirt"},"finish_reason":"stop"}],"usage":{"prompt_tokens":714,"completion_tokens":51,"total_tokens":765}}</t>
        </is>
      </c>
      <c r="K48" t="inlineStr">
        <is>
          <t>Givenchy White Blurred Logo Cotton T-Shirt</t>
        </is>
      </c>
      <c r="L48" t="inlineStr">
        <is>
          <t>{"id":"resp_086810e71a2e6240016a0857b185bc819099665bdba6a6fa39","object":"chat.completion","created":1778931635,"model":"gpt-5.5","choices":[{"index":0,"message":{"role":"assistant","content":"Givenchy white cotton T-shirt, blurred letter logo print, crew neck short sleeve, relaxed unisex streetwear casual top"},"finish_reason":"stop"}],"usage":{"prompt_tokens":745,"completion_tokens":73,"total_tokens":818}}</t>
        </is>
      </c>
      <c r="M48" t="inlineStr">
        <is>
          <t>{"alt-svc":"h3=\":443\"; ma=2592000","connection":"close","content-length":"411","content-type":"application/json; charset=utf-8","date":"Sat, 16 May 2026 11:40:35 GMT","referrer-policy":"strict-origin-when-cross-origin","server":"Caddy","strict-transport-security":"max-age=31536000; includeSubDomains; preload","vary":"Accept-Encoding","x-content-type-options":"nosniff","x-frame-options":"DENY","x-new-api-version":"v1.0.0-rc.2","x-oneapi-request-id":"20260516114033870997568268d9d6XkAK6eC0","x-request-id":"5cb8f66c-b4ea-4dd2-8007-6e445fd163ab"}</t>
        </is>
      </c>
      <c r="N48" t="inlineStr">
        <is>
          <t>Givenchy white cotton T-shirt, blurred letter logo print, crew neck short sleeve, relaxed unisex streetwear casual top</t>
        </is>
      </c>
      <c r="O48" t="inlineStr">
        <is>
          <t>{"id":"resp_0d432ff44c062530016a085a6af3ec8196b005a32734d4cb6c","object":"chat.completion","created":1778932336,"model":"gpt-5.5","choices":[{"index":0,"message":{"role":"assistant","content":"Givenchy T-Shirts kakobuy, Givenchy T-Shirts kakebuy2026, Givenchy T-Shirts kekobuysheet, Givenchy T-Shirts kakobuysheet2026, Givenchy T-Shirts 2026kakobuy, Givenchy T-Shirts kakobuyspreadsheeet, Givenchy T-Shirts kakobuylink, Givenchy T-Shirts kakebuylist, Givenchy T-Shirts Kakobuy MEGA Spreadsheet, Givenchy T-Shirts kakobuysheetfind, Givenchy T-Shirts kakobuysheetfind2026, Givenchy T-Shirts 2026kakobuysheetfind, Givenchy T-Shirts kakobuysheet2026"},"finish_reason":"stop"}],"usage":{"prompt_tokens":644,"completion_tokens":232,"total_tokens":876}}</t>
        </is>
      </c>
      <c r="P48" t="inlineStr">
        <is>
          <t>Givenchy T-Shirts kakobuy, Givenchy T-Shirts kakebuy2026, Givenchy T-Shirts kekobuysheet, Givenchy T-Shirts kakobuysheet2026, Givenchy T-Shirts 2026kakobuy, Givenchy T-Shirts kakobuyspreadsheeet, Givenchy T-Shirts kakobuylink, Givenchy T-Shirts kakebuylist, Givenchy T-Shirts Kakobuy MEGA Spreadsheet, Givenchy T-Shirts kakobuysheetfind, Givenchy T-Shirts kakobuysheetfind2026, Givenchy T-Shirts 2026kakobuysheetfind, Givenchy T-Shirts kakobuysheet2026</t>
        </is>
      </c>
      <c r="Q48" t="inlineStr">
        <is>
          <t>White, Unisex, Streetwear</t>
        </is>
      </c>
      <c r="R48" t="inlineStr">
        <is>
          <t>recvjLGOf472fi</t>
        </is>
      </c>
      <c r="S48" t="inlineStr">
        <is>
          <t>givenchy-white-blurred-logo-cotton-tshirt-recvjlgof472fi</t>
        </is>
      </c>
      <c r="T48"/>
      <c r="U48"/>
      <c r="V48"/>
      <c r="W48" t="inlineStr">
        <is>
          <t>{"id":"resp_0d5a628707f112c0016a0855fd931881948bcf0d5acfa4dd15","object":"chat.completion","created":1778931202,"model":"gpt-5.5","choices":[{"index":0,"message":{"role":"assistant","content":"纪梵希Givenchy 白色纯棉短袖T恤，胸前模糊字母Logo印花，简约圆领休闲版型，男女同款街头潮流上衣"},"finish_reason":"stop"}],"usage":{"prompt_tokens":1165,"completion_tokens":186,"total_tokens":1351}}</t>
        </is>
      </c>
      <c r="X48" t="inlineStr">
        <is>
          <t>纪梵希Givenchy 白色纯棉短袖T恤，胸前模糊字母Logo印花，简约圆领休闲版型，男女同款街头潮流上衣</t>
        </is>
      </c>
    </row>
    <row r="49" ht="25.5" customHeight="1">
      <c r="A49">
        <v>1839115443</v>
      </c>
      <c r="B49">
        <v>7765690317</v>
      </c>
      <c r="C49" s="2" t="str">
        <f>=HYPERLINK("https://weidian.com/item.html?itemID=7765690317", "https://weidian.com/item.html?itemID=7765690317")</f>
        <v>https://weidian.com/item.html?itemID=7765690317</v>
      </c>
      <c r="D49"/>
      <c r="E49" s="2" t="str">
        <f>=HYPERLINK("https://si.geilicdn.com/open1839115443-252808396-47df0000019e2fa959e20a23b491_1084_1080.jpg?w=640&amp;h=640", "https://si.geilicdn.com/open1839115443-252808396-47df0000019e2fa959e20a23b491_1084_1080.jpg?w=640&amp;h=640")</f>
        <v>https://si.geilicdn.com/open1839115443-252808396-47df0000019e2fa959e20a23b491_1084_1080.jpg?w=640&amp;h=640</v>
      </c>
      <c r="F49" t="inlineStr">
        <is>
          <t>T-Shirts</t>
        </is>
      </c>
      <c r="G49" t="inlineStr">
        <is>
          <t>Louis Vuitton</t>
        </is>
      </c>
      <c r="H49">
        <v>80</v>
      </c>
      <c r="I49">
        <v>11.59</v>
      </c>
      <c r="J49" t="inlineStr">
        <is>
          <t>{"id":"resp_0f8dfe27becfa2f6016a0858f4faa481948c803ec19af02390","object":"chat.completion","created":1778931960,"model":"gpt-5.5","choices":[{"index":0,"message":{"role":"assistant","content":"Louis Vuitton White Cotton LV Graphic Crew Neck T-Shirt"},"finish_reason":"stop"}],"usage":{"prompt_tokens":717,"completion_tokens":133,"total_tokens":850}}</t>
        </is>
      </c>
      <c r="K49" t="inlineStr">
        <is>
          <t>Louis Vuitton White Cotton LV Graphic Crew Neck T-Shirt</t>
        </is>
      </c>
      <c r="L49" t="inlineStr">
        <is>
          <t>{"id":"resp_0e086e31d7e95556016a0857aade348198bfb86dba84bae14a","object":"chat.completion","created":1778931629,"model":"gpt-5.5","choices":[{"index":0,"message":{"role":"assistant","content":"Louis Vuitton white cotton short sleeve T-shirt with blue LV letter graphic, crew neck, unisex casual streetwear luxury fashion top."},"finish_reason":"stop"}],"usage":{"prompt_tokens":746,"completion_tokens":97,"total_tokens":843}}</t>
        </is>
      </c>
      <c r="M49" t="inlineStr">
        <is>
          <t>{"alt-svc":"h3=\":443\"; ma=2592000","connection":"close","content-length":"425","content-type":"application/json; charset=utf-8","date":"Sat, 16 May 2026 11:40:29 GMT","referrer-policy":"strict-origin-when-cross-origin","server":"nginx/1.24.0 (Ubuntu)","strict-transport-security":"max-age=31536000; includeSubDomains; preload","vary":"Accept-Encoding","via":"1.1 Caddy","x-content-type-options":"nosniff","x-frame-options":"DENY","x-new-api-version":"v1.0.0-rc.2","x-oneapi-request-id":"202605161140265516748608268d9d6ntjK9ifP","x-request-id":"4c9c99ac-cbf4-4a3f-8ccf-5e9b37bc25b3"}</t>
        </is>
      </c>
      <c r="N49" t="inlineStr">
        <is>
          <t>Louis Vuitton white cotton short sleeve T-shirt with blue LV letter graphic, crew neck, unisex casual streetwear luxury fashion top.</t>
        </is>
      </c>
      <c r="O49" t="inlineStr">
        <is>
          <t>{"id":"resp_040f3cdb7a98698e016a085a3974848193b70e2506aa63f37e","object":"chat.completion","created":1778932287,"model":"gpt-5.5","choices":[{"index":0,"message":{"role":"assistant","content":"Louis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kakobuysheet2026"},"finish_reason":"stop"}],"usage":{"prompt_tokens":644,"completion_tokens":228,"total_tokens":872}}</t>
        </is>
      </c>
      <c r="P49"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49" t="inlineStr">
        <is>
          <t>LV, White, Streetwear, Unisex</t>
        </is>
      </c>
      <c r="R49" t="inlineStr">
        <is>
          <t>recvjLGOf4FnIL</t>
        </is>
      </c>
      <c r="S49" t="inlineStr">
        <is>
          <t>louis-vuitton-white-cotton-lv-graphic-crew-neck-t-shirt-recvjlgof4fnil</t>
        </is>
      </c>
      <c r="T49"/>
      <c r="U49"/>
      <c r="V49"/>
      <c r="W49" t="inlineStr">
        <is>
          <t>{"id":"resp_08e9f8b6f6b7eb20016a0855de0f78819bbe1bd1d2ed720164","object":"chat.completion","created":1778931169,"model":"gpt-5.5","choices":[{"index":0,"message":{"role":"assistant","content":"路易威登Louis Vuitton 白色棉质短袖T恤，蓝色LV字母图腾印花，圆领休闲百搭，男女同款街头奢潮风格品类。"},"finish_reason":"stop"}],"usage":{"prompt_tokens":1167,"completion_tokens":155,"total_tokens":1322}}</t>
        </is>
      </c>
      <c r="X49" t="inlineStr">
        <is>
          <t>路易威登Louis Vuitton 白色棉质短袖T恤，蓝色LV字母图腾印花，圆领休闲百搭，男女同款街头奢潮风格品类。</t>
        </is>
      </c>
    </row>
    <row r="50" ht="25.5" customHeight="1">
      <c r="A50">
        <v>1839115443</v>
      </c>
      <c r="B50">
        <v>7765733605</v>
      </c>
      <c r="C50" s="2" t="str">
        <f>=HYPERLINK("https://weidian.com/item.html?itemID=7765733605", "https://weidian.com/item.html?itemID=7765733605")</f>
        <v>https://weidian.com/item.html?itemID=7765733605</v>
      </c>
      <c r="D50"/>
      <c r="E50" s="2" t="str">
        <f>=HYPERLINK("https://si.geilicdn.com/open1839115443-252808396-2cc80000019e2fa95b430a8115c2_799_1066.jpg?w=640&amp;h=640", "https://si.geilicdn.com/open1839115443-252808396-2cc80000019e2fa95b430a8115c2_799_1066.jpg?w=640&amp;h=640")</f>
        <v>https://si.geilicdn.com/open1839115443-252808396-2cc80000019e2fa95b430a8115c2_799_1066.jpg?w=640&amp;h=640</v>
      </c>
      <c r="F50" t="inlineStr">
        <is>
          <t>T-Shirts</t>
        </is>
      </c>
      <c r="G50" t="inlineStr">
        <is>
          <t>Arc teryx</t>
        </is>
      </c>
      <c r="H50">
        <v>80</v>
      </c>
      <c r="I50">
        <v>11.59</v>
      </c>
      <c r="J50" t="inlineStr">
        <is>
          <t>{"id":"resp_0a2ee6489c167000016a085946641081989b8b31a2d1a886fd","object":"chat.completion","created":1778932044,"model":"gpt-5.5","choices":[{"index":0,"message":{"role":"assistant","content":"Arc'teryx White Cotton Blurred Logo Short Sleeve T-Shirt"},"finish_reason":"stop"}],"usage":{"prompt_tokens":896,"completion_tokens":302,"total_tokens":1198}}</t>
        </is>
      </c>
      <c r="K50" t="inlineStr">
        <is>
          <t>Arc'teryx White Cotton Blurred Logo Short Sleeve T-Shirt</t>
        </is>
      </c>
      <c r="L50" t="inlineStr">
        <is>
          <t>{"id":"resp_074a04a32924f9cc016a0857ae29b08196a03fdb7ae9c6bbb9","object":"chat.completion","created":1778931633,"model":"gpt-5.5","choices":[{"index":0,"message":{"role":"assistant","content":"Arc'teryx white short sleeve T-shirt, breathable pure cotton, blurred totem logo print, loose casual streetwear fit, unisex summer top"},"finish_reason":"stop"}],"usage":{"prompt_tokens":916,"completion_tokens":126,"total_tokens":1042}}</t>
        </is>
      </c>
      <c r="M50" t="inlineStr">
        <is>
          <t>{"alt-svc":"h3=\":443\"; ma=2592000","connection":"close","content-length":"429","content-type":"application/json; charset=utf-8","date":"Sat, 16 May 2026 11:40:33 GMT","referrer-policy":"strict-origin-when-cross-origin","server":"Caddy","strict-transport-security":"max-age=31536000; includeSubDomains; preload","vary":"Accept-Encoding","x-content-type-options":"nosniff","x-frame-options":"DENY","x-new-api-version":"v1.0.0-rc.2","x-oneapi-request-id":"202605161140299989155748268d9d6k6ESbSAk","x-request-id":"f3de0793-110a-47e2-9290-3b0f20c1a329"}</t>
        </is>
      </c>
      <c r="N50" t="inlineStr">
        <is>
          <t>Arc'teryx white short sleeve T-shirt, breathable pure cotton, blurred totem logo print, loose casual streetwear fit, unisex summer top</t>
        </is>
      </c>
      <c r="O50" t="inlineStr">
        <is>
          <t>{"id":"resp_0a9697c0f703f507016a085b1182f88195a614a342984c64db","object":"chat.completion","created":1778932503,"model":"gpt-5.5","choices":[{"index":0,"message":{"role":"assistant","content":"Arc teryx T-Shirts kakobuy, Arc teryx T-Shirts kakebuy2026, Arc teryx T-Shirts kekobuysheet, Arc teryx T-Shirts kakobuysheet2026, Arc teryx T-Shirts 2026kakobuy, Arc teryx T-Shirts kakobuyspreadsheeet, Arc teryx T-Shirts kakobuylink, Arc teryx T-Shirts kakebuylist, Arc teryx T-Shirts Kakobuy MEGA Spreadsheet, Arc teryx T-Shirts kakobuysheetfind, Arc teryx T-Shirts kakobuysheetfind2026, Arc teryx T-Shirts 2026kakobuysheetfind, Arc teryx T-Shirts kakobuysheet2026"},"finish_reason":"stop"}],"usage":{"prompt_tokens":814,"completion_tokens":251,"total_tokens":1065}}</t>
        </is>
      </c>
      <c r="P50" t="inlineStr">
        <is>
          <t>Arc teryx T-Shirts kakobuy, Arc teryx T-Shirts kakebuy2026, Arc teryx T-Shirts kekobuysheet, Arc teryx T-Shirts kakobuysheet2026, Arc teryx T-Shirts 2026kakobuy, Arc teryx T-Shirts kakobuyspreadsheeet, Arc teryx T-Shirts kakobuylink, Arc teryx T-Shirts kakebuylist, Arc teryx T-Shirts Kakobuy MEGA Spreadsheet, Arc teryx T-Shirts kakobuysheetfind, Arc teryx T-Shirts kakobuysheetfind2026, Arc teryx T-Shirts 2026kakobuysheetfind, Arc teryx T-Shirts kakobuysheet2026</t>
        </is>
      </c>
      <c r="Q50"/>
      <c r="R50" t="inlineStr">
        <is>
          <t>recvjLGOf488rK</t>
        </is>
      </c>
      <c r="S50" t="inlineStr">
        <is>
          <t>arcteryx-white-cotton-blurred-logo-tshirt-recvjlgof488rk</t>
        </is>
      </c>
      <c r="T50"/>
      <c r="U50"/>
      <c r="V50"/>
      <c r="W50" t="inlineStr">
        <is>
          <t>{"id":"resp_072b0f79ce622d8f016a085567be088194a1f217e5b3aef26d","object":"chat.completion","created":1778931054,"model":"gpt-5.5","choices":[{"index":0,"message":{"role":"assistant","content":"始祖鸟Arc teryx白色短袖T恤，纯棉透气面料，胸前模糊图腾Logo印花，宽松休闲街头风男女同款上衣"},"finish_reason":"stop"}],"usage":{"prompt_tokens":1339,"completion_tokens":212,"total_tokens":1551}}</t>
        </is>
      </c>
      <c r="X50" t="inlineStr">
        <is>
          <t>始祖鸟Arc teryx白色短袖T恤，纯棉透气面料，胸前模糊图腾Logo印花，宽松休闲街头风男女同款上衣</t>
        </is>
      </c>
    </row>
    <row r="51" ht="25.5" customHeight="1">
      <c r="A51">
        <v>1839115443</v>
      </c>
      <c r="B51">
        <v>7765628825</v>
      </c>
      <c r="C51" s="2" t="str">
        <f>=HYPERLINK("https://weidian.com/item.html?itemID=7765628825", "https://weidian.com/item.html?itemID=7765628825")</f>
        <v>https://weidian.com/item.html?itemID=7765628825</v>
      </c>
      <c r="D51"/>
      <c r="E51" s="2" t="str">
        <f>=HYPERLINK("https://si.geilicdn.com/open1839115443-252808396-40310000019e2fafa16d0aa08269_810_810.jpg?w=750&amp;h=750&amp;cp=1", "https://si.geilicdn.com/open1839115443-252808396-40310000019e2fafa16d0aa08269_810_810.jpg?w=750&amp;h=750&amp;cp=1")</f>
        <v>https://si.geilicdn.com/open1839115443-252808396-40310000019e2fafa16d0aa08269_810_810.jpg?w=750&amp;h=750&amp;cp=1</v>
      </c>
      <c r="F51" t="inlineStr">
        <is>
          <t>T-Shirts</t>
        </is>
      </c>
      <c r="G51" t="inlineStr">
        <is>
          <t>Louis Vuitton</t>
        </is>
      </c>
      <c r="H51">
        <v>140</v>
      </c>
      <c r="I51">
        <v>20.29</v>
      </c>
      <c r="J51" t="inlineStr">
        <is>
          <t>{"id":"resp_0a5135979d685549016a085896c06881989102b8fcfd91afbd","object":"chat.completion","created":1778931865,"model":"gpt-5.5","choices":[{"index":0,"message":{"role":"assistant","content":"Louis Vuitton Black Cotton Logo Crew Neck T-Shirt"},"finish_reason":"stop"}],"usage":{"prompt_tokens":928,"completion_tokens":118,"total_tokens":1046}}</t>
        </is>
      </c>
      <c r="K51" t="inlineStr">
        <is>
          <t>Louis Vuitton Black Cotton Logo Crew Neck T-Shirt</t>
        </is>
      </c>
      <c r="L51" t="inlineStr">
        <is>
          <t>{"id":"resp_06aa65eb9a5c7d9d016a085709d23881969dbea6a99118e94e","object":"chat.completion","created":1778931468,"model":"gpt-5.5","choices":[{"index":0,"message":{"role":"assistant","content":"Louis Vuitton black cotton crew neck T-shirt with chest logo print, unisex short sleeve streetwear summer top for men and women."},"finish_reason":"stop"}],"usage":{"prompt_tokens":953,"completion_tokens":91,"total_tokens":1044}}</t>
        </is>
      </c>
      <c r="M51" t="inlineStr">
        <is>
          <t>{"alt-svc":"h3=\":443\"; ma=2592000","connection":"close","content-length":"422","content-type":"application/json; charset=utf-8","date":"Sat, 16 May 2026 11:37:48 GMT","referrer-policy":"strict-origin-when-cross-origin","server":"nginx/1.24.0 (Ubuntu)","strict-transport-security":"max-age=31536000; includeSubDomains; preload","vary":"Accept-Encoding","via":"1.1 Caddy","x-content-type-options":"nosniff","x-frame-options":"DENY","x-new-api-version":"v1.0.0-rc.2","x-oneapi-request-id":"202605161137455887852808268d9d6wyP4U8Gz","x-request-id":"ac3dd5a6-14c5-41a5-bf45-974965114a2f"}</t>
        </is>
      </c>
      <c r="N51" t="inlineStr">
        <is>
          <t>Louis Vuitton black cotton crew neck T-shirt with chest logo print, unisex short sleeve streetwear summer top for men and women.</t>
        </is>
      </c>
      <c r="O51" t="inlineStr">
        <is>
          <t>{"id":"resp_034a0957d50e0451016a085adbaac8819688bfe6fb22b2250d","object":"chat.completion","created":1778932450,"model":"gpt-5.5","choices":[{"index":0,"message":{"role":"assistant","content":"Louis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kakobuysheet2026"},"finish_reason":"stop"}],"usage":{"prompt_tokens":855,"completion_tokens":263,"total_tokens":1118}}</t>
        </is>
      </c>
      <c r="P51"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51" t="inlineStr">
        <is>
          <t>LV, Black, Streetwear, Summer, Unisex</t>
        </is>
      </c>
      <c r="R51" t="inlineStr">
        <is>
          <t>recvjLGOf4U686</t>
        </is>
      </c>
      <c r="S51" t="inlineStr">
        <is>
          <t>louis-vuitton-black-cotton-logo-crew-neck-t-shirt-recvjlgof4u686</t>
        </is>
      </c>
      <c r="T51"/>
      <c r="U51"/>
      <c r="V51"/>
      <c r="W51" t="inlineStr">
        <is>
          <t>{"id":"resp_05f2ec93fdc28630016a0855b037a8819b8d34caeb0b2b9d6c","object":"chat.completion","created":1778931124,"model":"gpt-5.5","choices":[{"index":0,"message":{"role":"assistant","content":"路易威登Louis Vuitton黑色短袖T恤，棉质圆领，胸前字母Logo印花，街头休闲风，男女同款夏季上衣。"},"finish_reason":"stop"}],"usage":{"prompt_tokens":1380,"completion_tokens":174,"total_tokens":1554}}</t>
        </is>
      </c>
      <c r="X51" t="inlineStr">
        <is>
          <t>路易威登Louis Vuitton黑色短袖T恤，棉质圆领，胸前字母Logo印花，街头休闲风，男女同款夏季上衣。</t>
        </is>
      </c>
    </row>
    <row r="52" ht="25.5" customHeight="1">
      <c r="A52">
        <v>1839115443</v>
      </c>
      <c r="B52">
        <v>7765666827</v>
      </c>
      <c r="C52" s="2" t="str">
        <f>=HYPERLINK("https://weidian.com/item.html?itemID=7765666827", "https://weidian.com/item.html?itemID=7765666827")</f>
        <v>https://weidian.com/item.html?itemID=7765666827</v>
      </c>
      <c r="D52"/>
      <c r="E52" s="2" t="str">
        <f>=HYPERLINK("https://si.geilicdn.com/open1839115443-252808396-48320000019e2fb08b3f0a231226_1280_1280.jpg?w=640&amp;h=640", "https://si.geilicdn.com/open1839115443-252808396-48320000019e2fb08b3f0a231226_1280_1280.jpg?w=640&amp;h=640")</f>
        <v>https://si.geilicdn.com/open1839115443-252808396-48320000019e2fb08b3f0a231226_1280_1280.jpg?w=640&amp;h=640</v>
      </c>
      <c r="F52" t="inlineStr">
        <is>
          <t>T-Shirts</t>
        </is>
      </c>
      <c r="G52" t="inlineStr">
        <is>
          <t>Louis Vuitton</t>
        </is>
      </c>
      <c r="H52">
        <v>148</v>
      </c>
      <c r="I52">
        <v>21.45</v>
      </c>
      <c r="J52" t="inlineStr">
        <is>
          <t>{"id":"resp_06186abf5e9b9e5c016a0859543de081998ea2cdf82354565e","object":"chat.completion","created":1778932055,"model":"gpt-5.5","choices":[{"index":0,"message":{"role":"assistant","content":"Louis Vuitton Black Cotton Logo T-Shirt Unisex Streetwear"},"finish_reason":"stop"}],"usage":{"prompt_tokens":712,"completion_tokens":137,"total_tokens":849}}</t>
        </is>
      </c>
      <c r="K52" t="inlineStr">
        <is>
          <t>Louis Vuitton Black Cotton Logo T-Shirt Unisex Streetwear</t>
        </is>
      </c>
      <c r="L52" t="inlineStr">
        <is>
          <t>{"id":"resp_0c746ae175329df4016a0856d053388197b74316f75b3875c3","object":"chat.completion","created":1778931412,"model":"gpt-5.5","choices":[{"index":0,"message":{"role":"assistant","content":"Louis Vuitton black cotton crew neck T-shirt with white silhouette logo print, vintage streetwear unisex short sleeve casual top"},"finish_reason":"stop"}],"usage":{"prompt_tokens":741,"completion_tokens":106,"total_tokens":847}}</t>
        </is>
      </c>
      <c r="M52" t="inlineStr">
        <is>
          <t>{"alt-svc":"h3=\":443\"; ma=2592000","connection":"close","content-length":"422","content-type":"application/json; charset=utf-8","date":"Sat, 16 May 2026 11:36:52 GMT","referrer-policy":"strict-origin-when-cross-origin","server":"nginx/1.24.0 (Ubuntu)","strict-transport-security":"max-age=31536000; includeSubDomains; preload","vary":"Accept-Encoding","via":"1.1 Caddy","x-content-type-options":"nosniff","x-frame-options":"DENY","x-new-api-version":"v1.0.0-rc.2","x-oneapi-request-id":"20260516113648666501498268d9d6zNH5HVf9","x-request-id":"44786678-4233-41be-b841-b37172ea0bec"}</t>
        </is>
      </c>
      <c r="N52" t="inlineStr">
        <is>
          <t>Louis Vuitton black cotton crew neck T-shirt with white silhouette logo print, vintage streetwear unisex short sleeve casual top</t>
        </is>
      </c>
      <c r="O52" t="inlineStr">
        <is>
          <t>{"id":"resp_0d4315c44cca5514016a085b222850819092441156deb00c0e","object":"chat.completion","created":1778932526,"model":"gpt-5.5","choices":[{"index":0,"message":{"role":"assistant","content":"Louis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kakobuysheet2026"},"finish_reason":"stop"}],"usage":{"prompt_tokens":644,"completion_tokens":585,"total_tokens":1229}}</t>
        </is>
      </c>
      <c r="P52"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52" t="inlineStr">
        <is>
          <t>LV, Black, Streetwear, Unisex, Summer</t>
        </is>
      </c>
      <c r="R52" t="inlineStr">
        <is>
          <t>recvjLGOf4lNIh</t>
        </is>
      </c>
      <c r="S52" t="inlineStr">
        <is>
          <t>louis-vuitton-black-cotton-logo-tshirt-recvjlgof4lnih</t>
        </is>
      </c>
      <c r="T52"/>
      <c r="U52"/>
      <c r="V52"/>
      <c r="W52" t="inlineStr">
        <is>
          <t>{"id":"resp_07cd6c85640c1b5a016a0855c0d0fc8199a6494b649978ceb0","object":"chat.completion","created":1778931140,"model":"gpt-5.5","choices":[{"index":0,"message":{"role":"assistant","content":"路易威登Louis Vuitton黑色短袖T恤，纯棉圆领，白色人物剪影Logo印花，复古街头风男女同款休闲上衣"},"finish_reason":"stop"}],"usage":{"prompt_tokens":1167,"completion_tokens":138,"total_tokens":1305}}</t>
        </is>
      </c>
      <c r="X52" t="inlineStr">
        <is>
          <t>路易威登Louis Vuitton黑色短袖T恤，纯棉圆领，白色人物剪影Logo印花，复古街头风男女同款休闲上衣</t>
        </is>
      </c>
    </row>
    <row r="53" ht="25.5" customHeight="1">
      <c r="A53">
        <v>1839115443</v>
      </c>
      <c r="B53">
        <v>7768698004</v>
      </c>
      <c r="C53" s="2" t="str">
        <f>=HYPERLINK("https://weidian.com/item.html?itemID=7768698004", "https://weidian.com/item.html?itemID=7768698004")</f>
        <v>https://weidian.com/item.html?itemID=7768698004</v>
      </c>
      <c r="D53"/>
      <c r="E53" s="2" t="str">
        <f>=HYPERLINK("https://si.geilicdn.com/open1839115443-252808396-52350000019e2faff3680a22d249_1066_1066.jpg?w=640&amp;h=640", "https://si.geilicdn.com/open1839115443-252808396-52350000019e2faff3680a22d249_1066_1066.jpg?w=640&amp;h=640")</f>
        <v>https://si.geilicdn.com/open1839115443-252808396-52350000019e2faff3680a22d249_1066_1066.jpg?w=640&amp;h=640</v>
      </c>
      <c r="F53" t="inlineStr">
        <is>
          <t>T-Shirts</t>
        </is>
      </c>
      <c r="G53" t="inlineStr">
        <is>
          <t xml:space="preserve"> Louis Vuitton</t>
        </is>
      </c>
      <c r="H53">
        <v>168</v>
      </c>
      <c r="I53">
        <v>24.35</v>
      </c>
      <c r="J53" t="inlineStr">
        <is>
          <t>{"id":"resp_0b145e16c4d91ca3016a0858b72d608195a37d4ab4fabb4b4c","object":"chat.completion","created":1778931900,"model":"gpt-5.5","choices":[{"index":0,"message":{"role":"assistant","content":"Louis Vuitton Black Red LV Dragon Cotton T-Shirt"},"finish_reason":"stop"}],"usage":{"prompt_tokens":719,"completion_tokens":202,"total_tokens":921}}</t>
        </is>
      </c>
      <c r="K53" t="inlineStr">
        <is>
          <t>Louis Vuitton Black Red LV Dragon Cotton T-Shirt</t>
        </is>
      </c>
      <c r="L53" t="inlineStr">
        <is>
          <t>{"id":"resp_020c6844d3650bdf016a0857cf4f6c8193a4301ecb910e92f8","object":"chat.completion","created":1778931667,"model":"gpt-5.5","choices":[{"index":0,"message":{"role":"assistant","content":"Louis Vuitton black cotton short sleeve T-shirt with red LV letter and dragon print, unisex streetwear casual tee for men and women."},"finish_reason":"stop"}],"usage":{"prompt_tokens":739,"completion_tokens":121,"total_tokens":860}}</t>
        </is>
      </c>
      <c r="M53" t="inlineStr">
        <is>
          <t>{"alt-svc":"h3=\":443\"; ma=2592000","connection":"close","content-length":"426","content-type":"application/json; charset=utf-8","date":"Sat, 16 May 2026 11:41:07 GMT","referrer-policy":"strict-origin-when-cross-origin","server":"nginx/1.24.0 (Ubuntu)","strict-transport-security":"max-age=31536000; includeSubDomains; preload","vary":"Accept-Encoding","via":"1.1 Caddy","x-content-type-options":"nosniff","x-frame-options":"DENY","x-new-api-version":"v1.0.0-rc.2","x-oneapi-request-id":"20260516114103956067478268d9d6pZyONIze","x-request-id":"1cb9172c-b534-49b9-a20a-599877d50c4e"}</t>
        </is>
      </c>
      <c r="N53" t="inlineStr">
        <is>
          <t>Louis Vuitton black cotton short sleeve T-shirt with red LV letter and dragon print, unisex streetwear casual tee for men and women.</t>
        </is>
      </c>
      <c r="O53" t="inlineStr">
        <is>
          <t>{"id":"resp_0fa33affc10b113e016a085b08bdb08190ba6d5335d9d56b23","object":"chat.completion","created":1778932499,"model":"gpt-5.5","choices":[{"index":0,"message":{"role":"assistant","content":"Louis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2026kakobuysheetfind"},"finish_reason":"stop"}],"usage":{"prompt_tokens":644,"completion_tokens":528,"total_tokens":1172}}</t>
        </is>
      </c>
      <c r="P53"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t>
        </is>
      </c>
      <c r="Q53" t="inlineStr">
        <is>
          <t>LV, Black, Streetwear, Unisex</t>
        </is>
      </c>
      <c r="R53" t="inlineStr">
        <is>
          <t>recvjLGOf4JRk1</t>
        </is>
      </c>
      <c r="S53" t="inlineStr">
        <is>
          <t>louis-vuitton-black-red-lv-dragon-cotton-tshirt-recvjlgof4jr</t>
        </is>
      </c>
      <c r="T53"/>
      <c r="U53"/>
      <c r="V53"/>
      <c r="W53" t="inlineStr">
        <is>
          <t>{"id":"resp_06ab80a436043581016a0855a3acb48194ba8a93d0805d02a3","object":"chat.completion","created":1778931109,"model":"gpt-5.5","choices":[{"index":0,"message":{"role":"assistant","content":"Louis Vuitton 黑色短袖T恤，棉质面料，红色LV字母与龙纹印花，街头休闲风，男女同款潮流上衣"},"finish_reason":"stop"}],"usage":{"prompt_tokens":1165,"completion_tokens":41,"total_tokens":1206}}</t>
        </is>
      </c>
      <c r="X53" t="inlineStr">
        <is>
          <t>Louis Vuitton 黑色短袖T恤，棉质面料，红色LV字母与龙纹印花，街头休闲风，男女同款潮流上衣</t>
        </is>
      </c>
    </row>
    <row r="54" ht="25.5" customHeight="1">
      <c r="A54">
        <v>1839115443</v>
      </c>
      <c r="B54">
        <v>7768660674</v>
      </c>
      <c r="C54" s="2" t="str">
        <f>=HYPERLINK("https://weidian.com/item.html?itemID=7768660674", "https://weidian.com/item.html?itemID=7768660674")</f>
        <v>https://weidian.com/item.html?itemID=7768660674</v>
      </c>
      <c r="D54"/>
      <c r="E54" s="2" t="str">
        <f>=HYPERLINK("https://si.geilicdn.com/open1839115443-252808396-4bff0000019e2faf0dea0a23b491_1066_1066.jpg?w=750&amp;h=750&amp;cp=1", "https://si.geilicdn.com/open1839115443-252808396-4bff0000019e2faf0dea0a23b491_1066_1066.jpg?w=750&amp;h=750&amp;cp=1")</f>
        <v>https://si.geilicdn.com/open1839115443-252808396-4bff0000019e2faf0dea0a23b491_1066_1066.jpg?w=750&amp;h=750&amp;cp=1</v>
      </c>
      <c r="F54" t="inlineStr">
        <is>
          <t>T-Shirts</t>
        </is>
      </c>
      <c r="G54" t="inlineStr">
        <is>
          <t>Fendi</t>
        </is>
      </c>
      <c r="H54">
        <v>148</v>
      </c>
      <c r="I54">
        <v>21.45</v>
      </c>
      <c r="J54" t="inlineStr">
        <is>
          <t>{"id":"resp_0a8f23b8c582fe02016a0859889318819a8333829f44c14428","object":"chat.completion","created":1778932110,"model":"gpt-5.5","choices":[{"index":0,"message":{"role":"assistant","content":"Fendi x FRGMT White Cotton Logo Crew Neck T-Shirt"},"finish_reason":"stop"}],"usage":{"prompt_tokens":933,"completion_tokens":232,"total_tokens":1165}}</t>
        </is>
      </c>
      <c r="K54" t="inlineStr">
        <is>
          <t>Fendi x FRGMT White Cotton Logo Crew Neck T-Shirt</t>
        </is>
      </c>
      <c r="L54" t="inlineStr">
        <is>
          <t>{"id":"resp_0e3110608cd8666c016a0856cba69081909ccabd4974c09330","object":"chat.completion","created":1778931407,"model":"gpt-5.5","choices":[{"index":0,"message":{"role":"assistant","content":"Fendi x FRGMT white cotton crew neck T-shirt, unisex short sleeve with front letter and FF logo print, casual streetwear top"},"finish_reason":"stop"}],"usage":{"prompt_tokens":960,"completion_tokens":126,"total_tokens":1086}}</t>
        </is>
      </c>
      <c r="M54" t="inlineStr">
        <is>
          <t>{"alt-svc":"h3=\":443\"; ma=2592000","connection":"close","content-length":"419","content-type":"application/json; charset=utf-8","date":"Sat, 16 May 2026 11:36:47 GMT","referrer-policy":"strict-origin-when-cross-origin","server":"Caddy","strict-transport-security":"max-age=31536000; includeSubDomains; preload","vary":"Accept-Encoding","x-content-type-options":"nosniff","x-frame-options":"DENY","x-new-api-version":"v1.0.0-rc.2","x-oneapi-request-id":"202605161136434333667948268d9d6HY9OOfky","x-request-id":"6016685d-f620-4f59-96e7-3e7dc7b795f7"}</t>
        </is>
      </c>
      <c r="N54" t="inlineStr">
        <is>
          <t>Fendi x FRGMT white cotton crew neck T-shirt, unisex short sleeve with front letter and FF logo print, casual streetwear top</t>
        </is>
      </c>
      <c r="O54" t="inlineStr">
        <is>
          <t>{"id":"resp_08415d7f581151d1016a085b75f250819487ac371bda8099ee","object":"chat.completion","created":1778932603,"model":"gpt-5.5","choices":[{"index":0,"message":{"role":"assistant","content":"Fendi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kakobuysheet2026"},"finish_reason":"stop"}],"usage":{"prompt_tokens":855,"completion_tokens":252,"total_tokens":1107}}</t>
        </is>
      </c>
      <c r="P54" t="inlineStr">
        <is>
          <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t>
        </is>
      </c>
      <c r="Q54" t="inlineStr">
        <is>
          <t>Streetwear, White, Unisex, Summer</t>
        </is>
      </c>
      <c r="R54" t="inlineStr">
        <is>
          <t>recvjLGOf454M2</t>
        </is>
      </c>
      <c r="S54" t="inlineStr">
        <is>
          <t>fendi-frgmt-white-cotton-logo-crew-neck-tshirt-recvjlgof454m2</t>
        </is>
      </c>
      <c r="T54"/>
      <c r="U54"/>
      <c r="V54"/>
      <c r="W54" t="inlineStr">
        <is>
          <t>{"id":"resp_0b6854004cddd5cc016a0855c809d8819a885ccfa9f8208240","object":"chat.completion","created":1778931148,"model":"gpt-5.5","choices":[{"index":0,"message":{"role":"assistant","content":"白色Fendi x FRGMT联名短袖T恤，棉质圆领，正面字母与FF徽标印花，男女同款休闲街头风潮牌上衣"},"finish_reason":"stop"}],"usage":{"prompt_tokens":1388,"completion_tokens":142,"total_tokens":1530}}</t>
        </is>
      </c>
      <c r="X54" t="inlineStr">
        <is>
          <t>白色Fendi x FRGMT联名短袖T恤，棉质圆领，正面字母与FF徽标印花，男女同款休闲街头风潮牌上衣</t>
        </is>
      </c>
    </row>
    <row r="55" ht="25.5" customHeight="1">
      <c r="A55">
        <v>1839115443</v>
      </c>
      <c r="B55">
        <v>7765674291</v>
      </c>
      <c r="C55" s="2" t="str">
        <f>=HYPERLINK("https://weidian.com/item.html?itemID=7765674291", "https://weidian.com/item.html?itemID=7765674291")</f>
        <v>https://weidian.com/item.html?itemID=7765674291</v>
      </c>
      <c r="D55"/>
      <c r="E55" s="2" t="str">
        <f>=HYPERLINK("https://si.geilicdn.com/open1839115443-252808396-39370000019e2f9ac8ee0a23b491_1080_1440.jpg?w=640&amp;h=640", "https://si.geilicdn.com/open1839115443-252808396-39370000019e2f9ac8ee0a23b491_1080_1440.jpg?w=640&amp;h=640")</f>
        <v>https://si.geilicdn.com/open1839115443-252808396-39370000019e2f9ac8ee0a23b491_1080_1440.jpg?w=640&amp;h=640</v>
      </c>
      <c r="F55" t="inlineStr">
        <is>
          <t>T-Shirts</t>
        </is>
      </c>
      <c r="G55" t="inlineStr">
        <is>
          <t xml:space="preserve"> Balenciaga</t>
        </is>
      </c>
      <c r="H55">
        <v>244</v>
      </c>
      <c r="I55">
        <v>35.36</v>
      </c>
      <c r="J55" t="inlineStr">
        <is>
          <t>{"id":"resp_0ad308a5fe45d3fc016a085934a35c81949f413596cba60b70","object":"chat.completion","created":1778932027,"model":"gpt-5.5","choices":[{"index":0,"message":{"role":"assistant","content":"Balenciaga Black Logo Embroidered Oversized Cotton Tee"},"finish_reason":"stop"}],"usage":{"prompt_tokens":888,"completion_tokens":231,"total_tokens":1119}}</t>
        </is>
      </c>
      <c r="K55" t="inlineStr">
        <is>
          <t>Balenciaga Black Logo Embroidered Oversized Cotton Tee</t>
        </is>
      </c>
      <c r="L55" t="inlineStr">
        <is>
          <t>{"id":"resp_06b00c61c6ad949b016a085741b3b081968b9d85fc1f13a439","object":"chat.completion","created":1778931524,"model":"gpt-5.5","choices":[{"index":0,"message":{"role":"assistant","content":"Balenciaga black cotton short sleeve T-shirt, embroidered chest and sleeve logo, loose streetwear fit, unisex casual designer tee."},"finish_reason":"stop"}],"usage":{"prompt_tokens":916,"completion_tokens":96,"total_tokens":1012}}</t>
        </is>
      </c>
      <c r="M55" t="inlineStr">
        <is>
          <t>{"alt-svc":"h3=\":443\"; ma=2592000","connection":"close","content-length":"424","content-type":"application/json; charset=utf-8","date":"Sat, 16 May 2026 11:38:44 GMT","referrer-policy":"strict-origin-when-cross-origin","server":"Caddy","strict-transport-security":"max-age=31536000; includeSubDomains; preload","vary":"Accept-Encoding","x-content-type-options":"nosniff","x-frame-options":"DENY","x-new-api-version":"v1.0.0-rc.2","x-oneapi-request-id":"202605161138413668112688268d9d6fXh0mVUJ","x-request-id":"3249a374-3467-4942-a111-7f60aa2343c3"}</t>
        </is>
      </c>
      <c r="N55" t="inlineStr">
        <is>
          <t>Balenciaga black cotton short sleeve T-shirt, embroidered chest and sleeve logo, loose streetwear fit, unisex casual designer tee.</t>
        </is>
      </c>
      <c r="O55" t="inlineStr">
        <is>
          <t>{"id":"resp_05ec8c78142e3853016a085b2b1f8c8195bc1561503618c448","object":"chat.completion","created":1778932531,"model":"gpt-5.5","choices":[{"index":0,"message":{"role":"assistant","content":"Balenciaga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kakobuysheet2026"},"finish_reason":"stop"}],"usage":{"prompt_tokens":813,"completion_tokens":245,"total_tokens":1058}}</t>
        </is>
      </c>
      <c r="P55"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55" t="inlineStr">
        <is>
          <t>Balenciaga, Black, Streetwear, Unisex</t>
        </is>
      </c>
      <c r="R55" t="inlineStr">
        <is>
          <t>recvjLGOf4lxsb</t>
        </is>
      </c>
      <c r="S55" t="inlineStr">
        <is>
          <t>balenciaga-black-logo-embroidered-oversized-cotton-tee-recvjlgof4lxsb</t>
        </is>
      </c>
      <c r="T55"/>
      <c r="U55"/>
      <c r="V55"/>
      <c r="W55" t="inlineStr">
        <is>
          <t>{"id":"resp_0e3164b722a6a60c016a08567107948190a6774966ad99843f","object":"chat.completion","created":1778931317,"model":"gpt-5.5","choices":[{"index":0,"message":{"role":"assistant","content":"巴黎世家Balenciaga黑色短袖T恤，纯棉面料，胸前与袖口小Logo刺绣，宽松街头休闲风，男女同款潮流上衣"},"finish_reason":"stop"}],"usage":{"prompt_tokens":1339,"completion_tokens":168,"total_tokens":1507}}</t>
        </is>
      </c>
      <c r="X55" t="inlineStr">
        <is>
          <t>巴黎世家Balenciaga黑色短袖T恤，纯棉面料，胸前与袖口小Logo刺绣，宽松街头休闲风，男女同款潮流上衣</t>
        </is>
      </c>
    </row>
    <row r="56" ht="25.5" customHeight="1">
      <c r="A56">
        <v>1839115443</v>
      </c>
      <c r="B56">
        <v>7768644326</v>
      </c>
      <c r="C56" s="2" t="str">
        <f>=HYPERLINK("https://weidian.com/item.html?itemID=7768644326", "https://weidian.com/item.html?itemID=7768644326")</f>
        <v>https://weidian.com/item.html?itemID=7768644326</v>
      </c>
      <c r="D56"/>
      <c r="E56" s="2" t="str">
        <f>=HYPERLINK("https://si.geilicdn.com/open1839115443-252808396-3c240000019e2fa2a6980a231226_1080_1080.jpg?w=640&amp;h=640", "https://si.geilicdn.com/open1839115443-252808396-3c240000019e2fa2a6980a231226_1080_1080.jpg?w=640&amp;h=640")</f>
        <v>https://si.geilicdn.com/open1839115443-252808396-3c240000019e2fa2a6980a231226_1080_1080.jpg?w=640&amp;h=640</v>
      </c>
      <c r="F56" t="inlineStr">
        <is>
          <t>T-Shirts</t>
        </is>
      </c>
      <c r="G56" t="inlineStr">
        <is>
          <t xml:space="preserve"> Louis Vuitton</t>
        </is>
      </c>
      <c r="H56">
        <v>88</v>
      </c>
      <c r="I56">
        <v>12.75</v>
      </c>
      <c r="J56" t="inlineStr">
        <is>
          <t>{"id":"resp_08a99e586dff54b5016a0858cfde048196bed868c3d3be799d","object":"chat.completion","created":1778931929,"model":"gpt-5.5","choices":[{"index":0,"message":{"role":"assistant","content":"Louis Vuitton Black Yellow LV Logo Cotton T-Shirt Unisex"},"finish_reason":"stop"}],"usage":{"prompt_tokens":720,"completion_tokens":426,"total_tokens":1146}}</t>
        </is>
      </c>
      <c r="K56" t="inlineStr">
        <is>
          <t>Louis Vuitton Black Yellow LV Logo Cotton T-Shirt Unisex</t>
        </is>
      </c>
      <c r="L56" t="inlineStr">
        <is>
          <t>{"id":"resp_0e67d6eba687d70c016a085778fa9c8198aae3abcf3f88c20b","object":"chat.completion","created":1778931580,"model":"gpt-5.5","choices":[{"index":0,"message":{"role":"assistant","content":"Louis Vuitton black short sleeve T-shirt with yellow LV chest logo, cotton crew neck, relaxed unisex streetwear top for men and women"},"finish_reason":"stop"}],"usage":{"prompt_tokens":736,"completion_tokens":121,"total_tokens":857}}</t>
        </is>
      </c>
      <c r="M56" t="inlineStr">
        <is>
          <t>{"alt-svc":"h3=\":443\"; ma=2592000","connection":"close","content-length":"427","content-type":"application/json; charset=utf-8","date":"Sat, 16 May 2026 11:39:40 GMT","referrer-policy":"strict-origin-when-cross-origin","server":"Caddy","strict-transport-security":"max-age=31536000; includeSubDomains; preload","vary":"Accept-Encoding","x-content-type-options":"nosniff","x-frame-options":"DENY","x-new-api-version":"v1.0.0-rc.2","x-oneapi-request-id":"202605161139366885086618268d9d6CCbB9bkB","x-request-id":"a6302ee8-36f3-4b2d-83c6-a41329deeba7"}</t>
        </is>
      </c>
      <c r="N56" t="inlineStr">
        <is>
          <t>Louis Vuitton black short sleeve T-shirt with yellow LV chest logo, cotton crew neck, relaxed unisex streetwear top for men and women</t>
        </is>
      </c>
      <c r="O56" t="inlineStr">
        <is>
          <t>{"id":"resp_06bad1dd4039f773016a085a4010e8819089d73daeaa75be47","object":"chat.completion","created":1778932293,"model":"gpt-5.5","choices":[{"index":0,"message":{"role":"assistant","content":"Louis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kakobuysheet2026"},"finish_reason":"stop"}],"usage":{"prompt_tokens":644,"completion_tokens":253,"total_tokens":897}}</t>
        </is>
      </c>
      <c r="P56"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56" t="inlineStr">
        <is>
          <t>LV, Black, Yellow, Unisex, Streetwear</t>
        </is>
      </c>
      <c r="R56" t="inlineStr">
        <is>
          <t>recvjLGOf4qcew</t>
        </is>
      </c>
      <c r="S56" t="inlineStr">
        <is>
          <t>louis-vuitton-black-yellow-logo-cotton-tshirt-recvjlgof4qcew</t>
        </is>
      </c>
      <c r="T56"/>
      <c r="U56"/>
      <c r="V56"/>
      <c r="W56" t="inlineStr">
        <is>
          <t>{"id":"resp_0fee394144e553fc016a0855c1dbd4819abd03c50897499056","object":"chat.completion","created":1778931142,"model":"gpt-5.5","choices":[{"index":0,"message":{"role":"assistant","content":"黑色短袖T恤，Louis Vuitton黄色LV胸前标识，棉质圆领休闲版型，男女同款街头潮流上衣"},"finish_reason":"stop"}],"usage":{"prompt_tokens":1167,"completion_tokens":134,"total_tokens":1301}}</t>
        </is>
      </c>
      <c r="X56" t="inlineStr">
        <is>
          <t>黑色短袖T恤，Louis Vuitton黄色LV胸前标识，棉质圆领休闲版型，男女同款街头潮流上衣</t>
        </is>
      </c>
    </row>
    <row r="57" ht="25.5" customHeight="1">
      <c r="A57">
        <v>1839115443</v>
      </c>
      <c r="B57">
        <v>7765324209</v>
      </c>
      <c r="C57" s="2" t="str">
        <f>=HYPERLINK("https://weidian.com/item.html?itemID=7765324209", "https://weidian.com/item.html?itemID=7765324209")</f>
        <v>https://weidian.com/item.html?itemID=7765324209</v>
      </c>
      <c r="D57"/>
      <c r="E57" s="2" t="str">
        <f>=HYPERLINK("https://si.geilicdn.com/open1839115443-252808396-41f30000019e2fa848820aa08239_789_1053.jpg?w=640&amp;h=640", "https://si.geilicdn.com/open1839115443-252808396-41f30000019e2fa848820aa08239_789_1053.jpg?w=640&amp;h=640")</f>
        <v>https://si.geilicdn.com/open1839115443-252808396-41f30000019e2fa848820aa08239_789_1053.jpg?w=640&amp;h=640</v>
      </c>
      <c r="F57" t="inlineStr">
        <is>
          <t>T-Shirts</t>
        </is>
      </c>
      <c r="G57" t="inlineStr">
        <is>
          <t>Versace</t>
        </is>
      </c>
      <c r="H57">
        <v>80</v>
      </c>
      <c r="I57">
        <v>11.59</v>
      </c>
      <c r="J57" t="inlineStr">
        <is>
          <t>{"id":"resp_07702d5ea1361f87016a085931d7648197b3d07acb5aa471be","object":"chat.completion","created":1778932022,"model":"gpt-5.5","choices":[{"index":0,"message":{"role":"assistant","content":"Versace Black Medusa Japanese Logo Cotton T-Shirt Unisex"},"finish_reason":"stop"}],"usage":{"prompt_tokens":882,"completion_tokens":149,"total_tokens":1031}}</t>
        </is>
      </c>
      <c r="K57" t="inlineStr">
        <is>
          <t>Versace Black Medusa Japanese Logo Cotton T-Shirt Unisex</t>
        </is>
      </c>
      <c r="L57" t="inlineStr">
        <is>
          <t>{"id":"resp_08a5e2364de5594c016a085795d0dc81978d2608eddf2d688a","object":"chat.completion","created":1778931608,"model":"gpt-5.5","choices":[{"index":0,"message":{"role":"assistant","content":"Versace black pure cotton T-shirt with Medusa head and Japanese logo print, unisex streetwear short sleeve summer top"},"finish_reason":"stop"}],"usage":{"prompt_tokens":904,"completion_tokens":99,"total_tokens":1003}}</t>
        </is>
      </c>
      <c r="M57" t="inlineStr">
        <is>
          <t>{"alt-svc":"h3=\":443\"; ma=2592000","connection":"close","content-length":"411","content-type":"application/json; charset=utf-8","date":"Sat, 16 May 2026 11:40:08 GMT","referrer-policy":"strict-origin-when-cross-origin","server":"Caddy","strict-transport-security":"max-age=31536000; includeSubDomains; preload","vary":"Accept-Encoding","x-content-type-options":"nosniff","x-frame-options":"DENY","x-new-api-version":"v1.0.0-rc.2","x-oneapi-request-id":"202605161140056025077188268d9d63QZlVzMX","x-request-id":"eaa17aee-86f7-4b47-83bb-e6fbb68b71ec"}</t>
        </is>
      </c>
      <c r="N57" t="inlineStr">
        <is>
          <t>Versace black pure cotton T-shirt with Medusa head and Japanese logo print, unisex streetwear short sleeve summer top</t>
        </is>
      </c>
      <c r="O57" t="inlineStr">
        <is>
          <t>{"id":"resp_09dfbbb4c7f391f8016a085aff2154819aa21ef14d7cbe6907","object":"chat.completion","created":1778932485,"model":"gpt-5.5","choices":[{"index":0,"message":{"role":"assistant","content":"Versace T-Shirts kakobuy, Versace T-Shirts kakebuy2026, Versace T-Shirts kekobuysheet, Versace T-Shirts kakobuysheet2026, Versace T-Shirts 2026kakobuy, Versace T-Shirts kakobuyspreadsheeet, Versace T-Shirts kakobuylink, Versace T-Shirts kakebuylist, Versace T-Shirts Kakobuy MEGA Spreadsheet, Versace T-Shirts kakobuysheetfind, Versace T-Shirts kakobuysheetfind2026, Versace T-Shirts 2026kakobuysheetfind, Versace T-Shirts kakobuysheet2026"},"finish_reason":"stop"}],"usage":{"prompt_tokens":812,"completion_tokens":302,"total_tokens":1114}}</t>
        </is>
      </c>
      <c r="P57" t="inlineStr">
        <is>
          <t>Versace T-Shirts kakobuy, Versace T-Shirts kakebuy2026, Versace T-Shirts kekobuysheet, Versace T-Shirts kakobuysheet2026, Versace T-Shirts 2026kakobuy, Versace T-Shirts kakobuyspreadsheeet, Versace T-Shirts kakobuylink, Versace T-Shirts kakebuylist, Versace T-Shirts Kakobuy MEGA Spreadsheet, Versace T-Shirts kakobuysheetfind, Versace T-Shirts kakobuysheetfind2026, Versace T-Shirts 2026kakobuysheetfind, Versace T-Shirts kakobuysheet2026</t>
        </is>
      </c>
      <c r="Q57" t="inlineStr">
        <is>
          <t>Black, Streetwear, Summer, Unisex</t>
        </is>
      </c>
      <c r="R57" t="inlineStr">
        <is>
          <t>recvjLGOf4XFGH</t>
        </is>
      </c>
      <c r="S57" t="inlineStr">
        <is>
          <t>versace-black-medusa-japanese-logo-cotton-t-shirt-recvjlgof4xfgh</t>
        </is>
      </c>
      <c r="T57"/>
      <c r="U57"/>
      <c r="V57"/>
      <c r="W57" t="inlineStr">
        <is>
          <t>{"id":"resp_0e643bdef7ee55bb016a08561c015c8193bfa3421d1ca94c80","object":"chat.completion","created":1778931230,"model":"gpt-5.5","choices":[{"index":0,"message":{"role":"assistant","content":"范思哲Versace 黑色纯棉短袖T恤，美杜莎头像与日文Logo印花，街头休闲风，男女同款夏季上衣"},"finish_reason":"stop"}],"usage":{"prompt_tokens":1329,"completion_tokens":120,"total_tokens":1449}}</t>
        </is>
      </c>
      <c r="X57" t="inlineStr">
        <is>
          <t>范思哲Versace 黑色纯棉短袖T恤，美杜莎头像与日文Logo印花，街头休闲风，男女同款夏季上衣</t>
        </is>
      </c>
    </row>
    <row r="58" ht="25.5" customHeight="1">
      <c r="A58">
        <v>1839115443</v>
      </c>
      <c r="B58">
        <v>7768611432</v>
      </c>
      <c r="C58" s="2" t="str">
        <f>=HYPERLINK("https://weidian.com/item.html?itemID=7768611432", "https://weidian.com/item.html?itemID=7768611432")</f>
        <v>https://weidian.com/item.html?itemID=7768611432</v>
      </c>
      <c r="D58"/>
      <c r="E58" s="2" t="str">
        <f>=HYPERLINK("https://si.geilicdn.com/open1839115443-252808396-2be80000019e2fa844920a8115c2_1080_1080.jpg?w=640&amp;h=640", "https://si.geilicdn.com/open1839115443-252808396-2be80000019e2fa844920a8115c2_1080_1080.jpg?w=640&amp;h=640")</f>
        <v>https://si.geilicdn.com/open1839115443-252808396-2be80000019e2fa844920a8115c2_1080_1080.jpg?w=640&amp;h=640</v>
      </c>
      <c r="F58" t="inlineStr">
        <is>
          <t>T-Shirts</t>
        </is>
      </c>
      <c r="G58" t="inlineStr">
        <is>
          <t>Arc'teryx</t>
        </is>
      </c>
      <c r="H58">
        <v>80</v>
      </c>
      <c r="I58">
        <v>11.5942028985507</v>
      </c>
      <c r="J58" t="inlineStr">
        <is>
          <t>{"id":"resp_0a005c9b74da94ae016a08589a166081948b2d0182e025b4f8","object":"chat.completion","created":1778931871,"model":"gpt-5.5","choices":[{"index":0,"message":{"role":"assistant","content":"Arc'teryx Rabbit Logo Cotton T-Shirt Black Ice Blue"},"finish_reason":"stop"}],"usage":{"prompt_tokens":726,"completion_tokens":259,"total_tokens":985}}</t>
        </is>
      </c>
      <c r="K58" t="inlineStr">
        <is>
          <t>Arc'teryx Rabbit Logo Cotton T-Shirt Black Ice Blue</t>
        </is>
      </c>
      <c r="L58" t="inlineStr">
        <is>
          <t>{"id":"resp_0d140d8abcb13d85016a085798ac7881908fae8858654b76de","object":"chat.completion","created":1778931612,"model":"gpt-5.5","choices":[{"index":0,"message":{"role":"assistant","content":"Arc'teryx black cotton T-shirt, breathable short sleeve, back rabbit graphic and ice blue logo print, unisex outdoor tech streetwear top"},"finish_reason":"stop"}],"usage":{"prompt_tokens":751,"completion_tokens":133,"total_tokens":884}}</t>
        </is>
      </c>
      <c r="M58" t="inlineStr">
        <is>
          <t>{"alt-svc":"h3=\":443\"; ma=2592000","connection":"close","content-length":"430","content-type":"application/json; charset=utf-8","date":"Sat, 16 May 2026 11:40:12 GMT","referrer-policy":"strict-origin-when-cross-origin","server":"Caddy","strict-transport-security":"max-age=31536000; includeSubDomains; preload","vary":"Accept-Encoding","x-content-type-options":"nosniff","x-frame-options":"DENY","x-new-api-version":"v1.0.0-rc.2","x-oneapi-request-id":"202605161140084928417058268d9d66wKe43Ln","x-request-id":"85bc346e-9408-45c8-ac89-d071d7794c37"}</t>
        </is>
      </c>
      <c r="N58" t="inlineStr">
        <is>
          <t>Arc'teryx black cotton T-shirt, breathable short sleeve, back rabbit graphic and ice blue logo print, unisex outdoor tech streetwear top</t>
        </is>
      </c>
      <c r="O58" t="inlineStr">
        <is>
          <t>{"id":"resp_052cf13633c92ae2016a085b5030d0819791f99bc2ec7f5d7b","object":"chat.completion","created":1778932567,"model":"gpt-5.5","choices":[{"index":0,"message":{"role":"assistant","content":"Arc'teryx T-Shirts kakobuy, Arc'teryx T-Shirts kakebuy2026, Arc'teryx T-Shirts kekobuysheet, Arc'teryx T-Shirts kakobuysheet2026, Arc'teryx T-Shirts 2026kakobuy, Arc'teryx T-Shirts kakobuyspreadsheeet, Arc'teryx T-Shirts kakobuylink, Arc'teryx T-Shirts kakebuylist, Arc'teryx T-Shirts Kakobuy MEGA Spreadsheet, Arc'teryx T-Shirts kakobuysheetfind, Arc'teryx T-Shirts kakobuysheetfind2026, Arc'teryx T-Shirts 2026kakobuysheetfind, Arc'teryx T-Shirts kakobuysheet2026"},"finish_reason":"stop"}],"usage":{"prompt_tokens":646,"completion_tokens":328,"total_tokens":974}}</t>
        </is>
      </c>
      <c r="P58" t="inlineStr">
        <is>
          <t>Arc'teryx T-Shirts kakobuy, Arc'teryx T-Shirts kakebuy2026, Arc'teryx T-Shirts kekobuysheet, Arc'teryx T-Shirts kakobuysheet2026, Arc'teryx T-Shirts 2026kakobuy, Arc'teryx T-Shirts kakobuyspreadsheeet, Arc'teryx T-Shirts kakobuylink, Arc'teryx T-Shirts kakebuylist, Arc'teryx T-Shirts Kakobuy MEGA Spreadsheet, Arc'teryx T-Shirts kakobuysheetfind, Arc'teryx T-Shirts kakobuysheetfind2026, Arc'teryx T-Shirts 2026kakobuysheetfind, Arc'teryx T-Shirts kakobuysheet2026</t>
        </is>
      </c>
      <c r="Q58" t="inlineStr">
        <is>
          <t>Black, Breathable, Unisex, Outdoor, Streetwear</t>
        </is>
      </c>
      <c r="R58" t="inlineStr">
        <is>
          <t>recvjLGOf4hH8s</t>
        </is>
      </c>
      <c r="S58" t="inlineStr">
        <is>
          <t>arcteryx-rabbit-logo-cotton-tshirt-black-ice-blue-recvjlgof4h8s</t>
        </is>
      </c>
      <c r="T58"/>
      <c r="U58"/>
      <c r="V58"/>
      <c r="W58" t="inlineStr">
        <is>
          <t>{"id":"resp_0052eda0cb9bf5f6016a0855ac7fa0819693592c499ae6b576","object":"chat.completion","created":1778931120,"model":"gpt-5.5","choices":[{"index":0,"message":{"role":"assistant","content":"始祖鸟Arc'teryx黑色短袖T恤，棉质透气面料，背部兔子图腾与冰蓝LOGO印花，户外机能街头风男女同款上衣"},"finish_reason":"stop"}],"usage":{"prompt_tokens":1171,"completion_tokens":179,"total_tokens":1350}}</t>
        </is>
      </c>
      <c r="X58" t="inlineStr">
        <is>
          <t>始祖鸟Arc'teryx黑色短袖T恤，棉质透气面料，背部兔子图腾与冰蓝LOGO印花，户外机能街头风男女同款上衣</t>
        </is>
      </c>
    </row>
    <row r="59" ht="25.5" customHeight="1">
      <c r="A59">
        <v>1839115443</v>
      </c>
      <c r="B59">
        <v>7768695932</v>
      </c>
      <c r="C59" s="2" t="str">
        <f>=HYPERLINK("https://weidian.com/item.html?itemID=7768695932", "https://weidian.com/item.html?itemID=7768695932")</f>
        <v>https://weidian.com/item.html?itemID=7768695932</v>
      </c>
      <c r="D59"/>
      <c r="E59" s="2" t="str">
        <f>=HYPERLINK("https://si.geilicdn.com/open1839115443-252808396-41670000019e2fa74b4e0aa08239_1080_1080.jpg?w=640&amp;h=640", "https://si.geilicdn.com/open1839115443-252808396-41670000019e2fa74b4e0aa08239_1080_1080.jpg?w=640&amp;h=640")</f>
        <v>https://si.geilicdn.com/open1839115443-252808396-41670000019e2fa74b4e0aa08239_1080_1080.jpg?w=640&amp;h=640</v>
      </c>
      <c r="F59" t="inlineStr">
        <is>
          <t>T-Shirts</t>
        </is>
      </c>
      <c r="G59" t="inlineStr">
        <is>
          <t>Chanel</t>
        </is>
      </c>
      <c r="H59">
        <v>80</v>
      </c>
      <c r="I59">
        <v>11.59</v>
      </c>
      <c r="J59" t="inlineStr">
        <is>
          <t>{"id":"resp_004454a0a628b01f016a0859106334819791c4e6b1389c16ae","object":"chat.completion","created":1778931988,"model":"gpt-5.5","choices":[{"index":0,"message":{"role":"assistant","content":"Chanel White Cotton Logo T-Shirt Unisex Summer Streetwear"},"finish_reason":"stop"}],"usage":{"prompt_tokens":721,"completion_tokens":129,"total_tokens":850}}</t>
        </is>
      </c>
      <c r="K59" t="inlineStr">
        <is>
          <t>Chanel White Cotton Logo T-Shirt Unisex Summer Streetwear</t>
        </is>
      </c>
      <c r="L59" t="inlineStr">
        <is>
          <t>{"id":"resp_0ec87603a4eba92b016a08571cd33081949cb12705e83f863b","object":"chat.completion","created":1778931487,"model":"gpt-5.5","choices":[{"index":0,"message":{"role":"assistant","content":"Chanel white cotton short sleeve T-shirt, crew neck, black letter and double C logo print, unisex casual streetwear summer top."},"finish_reason":"stop"}],"usage":{"prompt_tokens":748,"completion_tokens":111,"total_tokens":859}}</t>
        </is>
      </c>
      <c r="M59" t="inlineStr">
        <is>
          <t>{"alt-svc":"h3=\":443\"; ma=2592000","connection":"close","content-length":"421","content-type":"application/json; charset=utf-8","date":"Sat, 16 May 2026 11:38:07 GMT","referrer-policy":"strict-origin-when-cross-origin","server":"nginx/1.24.0 (Ubuntu)","strict-transport-security":"max-age=31536000; includeSubDomains; preload","vary":"Accept-Encoding","via":"1.1 Caddy","x-content-type-options":"nosniff","x-frame-options":"DENY","x-new-api-version":"v1.0.0-rc.2","x-oneapi-request-id":"202605161138045680532808268d9d6M1P1bjfO","x-request-id":"3e6af661-034e-4970-954f-cd24d74314c9"}</t>
        </is>
      </c>
      <c r="N59" t="inlineStr">
        <is>
          <t>Chanel white cotton short sleeve T-shirt, crew neck, black letter and double C logo print, unisex casual streetwear summer top.</t>
        </is>
      </c>
      <c r="O59" t="inlineStr">
        <is>
          <t>{"id":"resp_018216d20bc8642b016a085a6423048195a811dba65eba9427","object":"chat.completion","created":1778932329,"model":"gpt-5.5","choices":[{"index":0,"message":{"role":"assistant","content":"Chanel T-Shirts kakobuy, Chanel T-Shirts kakebuy2026, Chanel T-Shirts kekobuysheet, Chanel T-Shirts kakobuysheet2026, Chanel T-Shirts 2026kakobuy, Chanel T-Shirts kakobuyspreadsheeet, Chanel T-Shirts kakobuylink, Chanel T-Shirts kakebuylist, Chanel T-Shirts Kakobuy MEGA Spreadsheet, Chanel T-Shirts kakobuysheetfind, Chanel T-Shirts kakobuysheetfind2026, Chanel T-Shirts 2026kakobuysheetfind, Chanel T-Shirts kakobuysheet2026"},"finish_reason":"stop"}],"usage":{"prompt_tokens":644,"completion_tokens":219,"total_tokens":863}}</t>
        </is>
      </c>
      <c r="P59" t="inlineStr">
        <is>
          <t>Chanel T-Shirts kakobuy, Chanel T-Shirts kakebuy2026, Chanel T-Shirts kekobuysheet, Chanel T-Shirts kakobuysheet2026, Chanel T-Shirts 2026kakobuy, Chanel T-Shirts kakobuyspreadsheeet, Chanel T-Shirts kakobuylink, Chanel T-Shirts kakebuylist, Chanel T-Shirts Kakobuy MEGA Spreadsheet, Chanel T-Shirts kakobuysheetfind, Chanel T-Shirts kakobuysheetfind2026, Chanel T-Shirts 2026kakobuysheetfind, Chanel T-Shirts kakobuysheet2026</t>
        </is>
      </c>
      <c r="Q59" t="inlineStr">
        <is>
          <t>Chanel, White, Streetwear, Summer, Unisex</t>
        </is>
      </c>
      <c r="R59" t="inlineStr">
        <is>
          <t>recvjLGOf4fgp1</t>
        </is>
      </c>
      <c r="S59" t="inlineStr">
        <is>
          <t>chanel-white-cotton-logo-tshirt-recvjlgof4fgp1</t>
        </is>
      </c>
      <c r="T59"/>
      <c r="U59"/>
      <c r="V59"/>
      <c r="W59" t="inlineStr">
        <is>
          <t>{"id":"resp_0301becaaa95c87e016a0855a34484819985637be2590553d6","object":"chat.completion","created":1778931111,"model":"gpt-5.5","choices":[{"index":0,"message":{"role":"assistant","content":"香奈儿Chanel 白色短袖T恤，棉质圆领版型，黑色字母与双C图腾印花，简约休闲街头风，男女同款夏季上衣"},"finish_reason":"stop"}],"usage":{"prompt_tokens":1167,"completion_tokens":129,"total_tokens":1296}}</t>
        </is>
      </c>
      <c r="X59" t="inlineStr">
        <is>
          <t>香奈儿Chanel 白色短袖T恤，棉质圆领版型，黑色字母与双C图腾印花，简约休闲街头风，男女同款夏季上衣</t>
        </is>
      </c>
    </row>
    <row r="60" ht="25.5" customHeight="1">
      <c r="A60">
        <v>1839115443</v>
      </c>
      <c r="B60">
        <v>7768621196</v>
      </c>
      <c r="C60" s="2" t="str">
        <f>=HYPERLINK("https://weidian.com/item.html?itemID=7768621196", "https://weidian.com/item.html?itemID=7768621196")</f>
        <v>https://weidian.com/item.html?itemID=7768621196</v>
      </c>
      <c r="D60"/>
      <c r="E60" s="2" t="str">
        <f>=HYPERLINK("https://si.geilicdn.com/open1839115443-252808396-40000000019e2fa766010a231226_1080_1080.jpg?w=640&amp;h=640", "https://si.geilicdn.com/open1839115443-252808396-40000000019e2fa766010a231226_1080_1080.jpg?w=640&amp;h=640")</f>
        <v>https://si.geilicdn.com/open1839115443-252808396-40000000019e2fa766010a231226_1080_1080.jpg?w=640&amp;h=640</v>
      </c>
      <c r="F60" t="inlineStr">
        <is>
          <t>T-Shirts</t>
        </is>
      </c>
      <c r="G60" t="inlineStr">
        <is>
          <t>Fendi</t>
        </is>
      </c>
      <c r="H60">
        <v>80</v>
      </c>
      <c r="I60">
        <v>11.59</v>
      </c>
      <c r="J60" t="inlineStr">
        <is>
          <t>{"id":"resp_0da5548ca2bbcf57016a0859867bb0819a8f2a1c7ae0416e1b","object":"chat.completion","created":1778932106,"model":"gpt-5.5","choices":[{"index":0,"message":{"role":"assistant","content":"Fendi Roma Logo White Cotton T-Shirt Unisex Streetwear"},"finish_reason":"stop"}],"usage":{"prompt_tokens":731,"completion_tokens":142,"total_tokens":873}}</t>
        </is>
      </c>
      <c r="K60" t="inlineStr">
        <is>
          <t>Fendi Roma Logo White Cotton T-Shirt Unisex Streetwear</t>
        </is>
      </c>
      <c r="L60" t="inlineStr">
        <is>
          <t>{"id":"resp_0ca5016ae46968e4016a0856ea55e08197ac9ee2c8036d130e","object":"chat.completion","created":1778931439,"model":"gpt-5.5","choices":[{"index":0,"message":{"role":"assistant","content":"Fendi white cotton T-shirt with colorful FENDI ROMA logo print, crew neck relaxed fit, unisex 2020s streetwear short sleeve top."},"finish_reason":"stop"}],"usage":{"prompt_tokens":745,"completion_tokens":121,"total_tokens":866}}</t>
        </is>
      </c>
      <c r="M60" t="inlineStr">
        <is>
          <t>{"alt-svc":"h3=\":443\"; ma=2592000","connection":"close","content-length":"422","content-type":"application/json; charset=utf-8","date":"Sat, 16 May 2026 11:37:19 GMT","referrer-policy":"strict-origin-when-cross-origin","server":"nginx/1.24.0 (Ubuntu)","strict-transport-security":"max-age=31536000; includeSubDomains; preload","vary":"Accept-Encoding","via":"1.1 Caddy","x-content-type-options":"nosniff","x-frame-options":"DENY","x-new-api-version":"v1.0.0-rc.2","x-oneapi-request-id":"202605161137141663560278268d9d6tR2QI0ds","x-request-id":"1d76d347-5a6b-40ce-a539-5bdd8ab78cd1"}</t>
        </is>
      </c>
      <c r="N60" t="inlineStr">
        <is>
          <t>Fendi white cotton T-shirt with colorful FENDI ROMA logo print, crew neck relaxed fit, unisex 2020s streetwear short sleeve top.</t>
        </is>
      </c>
      <c r="O60" t="inlineStr">
        <is>
          <t>{"id":"resp_06a5f13549ced0df016a085a91490c8195bb284ebbd97131c0","object":"chat.completion","created":1778932375,"model":"gpt-5.5","choices":[{"index":0,"message":{"role":"assistant","content":"Fendi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kakobuysheet2026"},"finish_reason":"stop"}],"usage":{"prompt_tokens":644,"completion_tokens":254,"total_tokens":898}}</t>
        </is>
      </c>
      <c r="P60" t="inlineStr">
        <is>
          <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t>
        </is>
      </c>
      <c r="Q60" t="inlineStr">
        <is>
          <t>White, Streetwear, Unisex</t>
        </is>
      </c>
      <c r="R60" t="inlineStr">
        <is>
          <t>recvjLGOf4GGZu</t>
        </is>
      </c>
      <c r="S60" t="inlineStr">
        <is>
          <t>fendi-roma-logo-white-cotton-t-shirt-recvjlgof4ggzu</t>
        </is>
      </c>
      <c r="T60"/>
      <c r="U60"/>
      <c r="V60"/>
      <c r="W60" t="inlineStr">
        <is>
          <t>{"id":"resp_0cd94d8344ddf2d9016a0855db6134819b8dd4f3a53d5e0259","object":"chat.completion","created":1778931167,"model":"gpt-5.5","choices":[{"index":0,"message":{"role":"assistant","content":"芬迪Fendi白色短袖T恤，彩色FENDI ROMA字母Logo印花，棉质圆领休闲版型，男女同款，2020年代街头潮流上衣。"},"finish_reason":"stop"}],"usage":{"prompt_tokens":1161,"completion_tokens":187,"total_tokens":1348}}</t>
        </is>
      </c>
      <c r="X60" t="inlineStr">
        <is>
          <t>芬迪Fendi白色短袖T恤，彩色FENDI ROMA字母Logo印花，棉质圆领休闲版型，男女同款，2020年代街头潮流上衣。</t>
        </is>
      </c>
    </row>
    <row r="61" ht="25.5" customHeight="1">
      <c r="A61">
        <v>1839115443</v>
      </c>
      <c r="B61">
        <v>7765619425</v>
      </c>
      <c r="C61" s="2" t="str">
        <f>=HYPERLINK("https://weidian.com/item.html?itemID=7765619425", "https://weidian.com/item.html?itemID=7765619425")</f>
        <v>https://weidian.com/item.html?itemID=7765619425</v>
      </c>
      <c r="D61"/>
      <c r="E61" s="2" t="str">
        <f>=HYPERLINK("https://si.geilicdn.com/open1839115443-252808396-484b0000019e2faa065f0a23b491_799_1066.jpg?w=640&amp;h=640", "https://si.geilicdn.com/open1839115443-252808396-484b0000019e2faa065f0a23b491_799_1066.jpg?w=640&amp;h=640")</f>
        <v>https://si.geilicdn.com/open1839115443-252808396-484b0000019e2faa065f0a23b491_799_1066.jpg?w=640&amp;h=640</v>
      </c>
      <c r="F61" t="inlineStr">
        <is>
          <t>T-Shirts</t>
        </is>
      </c>
      <c r="G61" t="inlineStr">
        <is>
          <t>Moncler</t>
        </is>
      </c>
      <c r="H61">
        <v>80</v>
      </c>
      <c r="I61">
        <v>11.59</v>
      </c>
      <c r="J61" t="inlineStr">
        <is>
          <t>{"id":"resp_03b3663d521235e7016a08592dc2cc8197a69de4d0a4246021","object":"chat.completion","created":1778932018,"model":"gpt-5.5","choices":[{"index":0,"message":{"role":"assistant","content":"Moncler Black Cotton Logo Graphic Crew Neck T-Shirt"},"finish_reason":"stop"}],"usage":{"prompt_tokens":885,"completion_tokens":141,"total_tokens":1026}}</t>
        </is>
      </c>
      <c r="K61" t="inlineStr">
        <is>
          <t>Moncler Black Cotton Logo Graphic Crew Neck T-Shirt</t>
        </is>
      </c>
      <c r="L61" t="inlineStr">
        <is>
          <t>{"id":"resp_0672d2a97043dab9016a0857ac4b1c81958f918798617e9594","object":"chat.completion","created":1778931631,"model":"gpt-5.5","choices":[{"index":0,"message":{"role":"assistant","content":"Moncler Black Cotton T-Shirt, breathable short sleeve crew neck with white logo graphic print, unisex summer casual streetwear top."},"finish_reason":"stop"}],"usage":{"prompt_tokens":917,"completion_tokens":128,"total_tokens":1045}}</t>
        </is>
      </c>
      <c r="M61" t="inlineStr">
        <is>
          <t>{"alt-svc":"h3=\":443\"; ma=2592000","connection":"close","content-length":"426","content-type":"application/json; charset=utf-8","date":"Sat, 16 May 2026 11:40:31 GMT","referrer-policy":"strict-origin-when-cross-origin","server":"nginx/1.24.0 (Ubuntu)","strict-transport-security":"max-age=31536000; includeSubDomains; preload","vary":"Accept-Encoding","via":"1.1 Caddy","x-content-type-options":"nosniff","x-frame-options":"DENY","x-new-api-version":"v1.0.0-rc.2","x-oneapi-request-id":"20260516114028692196638268d9d6sBqddnS7","x-request-id":"eff82a97-0f48-431d-aeff-f6bd71140487"}</t>
        </is>
      </c>
      <c r="N61" t="inlineStr">
        <is>
          <t>Moncler Black Cotton T-Shirt, breathable short sleeve crew neck with white logo graphic print, unisex summer casual streetwear top.</t>
        </is>
      </c>
      <c r="O61" t="inlineStr">
        <is>
          <t>{"id":"resp_066e578adcbf9306016a085affb16c81988adff4251e30c2ee","object":"chat.completion","created":1778932489,"model":"gpt-5.5","choices":[{"index":0,"message":{"role":"assistant","content":"Moncler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2026kakobuysheetfind"},"finish_reason":"stop"}],"usage":{"prompt_tokens":812,"completion_tokens":449,"total_tokens":1261}}</t>
        </is>
      </c>
      <c r="P61" t="inlineStr">
        <is>
          <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t>
        </is>
      </c>
      <c r="Q61" t="inlineStr">
        <is>
          <t>Black, Breathable, Summer, Streetwear, Unisex</t>
        </is>
      </c>
      <c r="R61" t="inlineStr">
        <is>
          <t>recvjLGOf4Yk4u</t>
        </is>
      </c>
      <c r="S61" t="inlineStr">
        <is>
          <t>moncler-black-cotton-logo-graphic-crew-neck-t-shirt-recvjlgof4yk4u</t>
        </is>
      </c>
      <c r="T61"/>
      <c r="U61"/>
      <c r="V61"/>
      <c r="W61" t="inlineStr">
        <is>
          <t>{"id":"resp_0911eea6495c4241016a0856774cb08197a691380bee2a69ed","object":"chat.completion","created":1778931325,"model":"gpt-5.5","choices":[{"index":0,"message":{"role":"assistant","content":"盟可睐（Moncler）黑色短袖T恤，纯棉舒适透气，胸前白色经典Logo图腾印花，圆领休闲街头风，男女同款夏季上衣。"},"finish_reason":"stop"}],"usage":{"prompt_tokens":1333,"completion_tokens":166,"total_tokens":1499}}</t>
        </is>
      </c>
      <c r="X61" t="inlineStr">
        <is>
          <t>盟可睐（Moncler）黑色短袖T恤，纯棉舒适透气，胸前白色经典Logo图腾印花，圆领休闲街头风，男女同款夏季上衣。</t>
        </is>
      </c>
    </row>
    <row r="62" ht="25.5" customHeight="1">
      <c r="A62">
        <v>1839115443</v>
      </c>
      <c r="B62">
        <v>7768709746</v>
      </c>
      <c r="C62" s="2" t="str">
        <f>=HYPERLINK("https://weidian.com/item.html?itemID=7768709746", "https://weidian.com/item.html?itemID=7768709746")</f>
        <v>https://weidian.com/item.html?itemID=7768709746</v>
      </c>
      <c r="D62"/>
      <c r="E62" s="2" t="str">
        <f>=HYPERLINK("https://si.geilicdn.com/open1839115443-252808396-26750000019e2faa86290a8133b0_799_1066.jpg?w=640&amp;h=640", "https://si.geilicdn.com/open1839115443-252808396-26750000019e2faa86290a8133b0_799_1066.jpg?w=640&amp;h=640")</f>
        <v>https://si.geilicdn.com/open1839115443-252808396-26750000019e2faa86290a8133b0_799_1066.jpg?w=640&amp;h=640</v>
      </c>
      <c r="F62" t="inlineStr">
        <is>
          <t>T-Shirts</t>
        </is>
      </c>
      <c r="G62" t="inlineStr">
        <is>
          <t xml:space="preserve"> Balenciaga</t>
        </is>
      </c>
      <c r="H62">
        <v>88</v>
      </c>
      <c r="I62">
        <v>12.75</v>
      </c>
      <c r="J62" t="inlineStr">
        <is>
          <t>{"id":"resp_07fbb1b190c55977016a085896c7a48198a58a1312f1f87bd8","object":"chat.completion","created":1778931864,"model":"gpt-5.5","choices":[{"index":0,"message":{"role":"assistant","content":"Balenciaga White Pink Logo Cotton T-Shirt Unisex Streetwear"},"finish_reason":"stop"}],"usage":{"prompt_tokens":892,"completion_tokens":14,"total_tokens":906}}</t>
        </is>
      </c>
      <c r="K62" t="inlineStr">
        <is>
          <t>Balenciaga White Pink Logo Cotton T-Shirt Unisex Streetwear</t>
        </is>
      </c>
      <c r="L62" t="inlineStr">
        <is>
          <t>{"id":"resp_074650843300ca1e016a0856ce7aa48196ad7e7424a75b8dbb","object":"chat.completion","created":1778931409,"model":"gpt-5.5","choices":[{"index":0,"message":{"role":"assistant","content":"Balenciaga white cotton T-shirt with pink letter logo print, crew neck, short sleeve, relaxed unisex streetwear top for casual fashion."},"finish_reason":"stop"}],"usage":{"prompt_tokens":910,"completion_tokens":99,"total_tokens":1009}}</t>
        </is>
      </c>
      <c r="M62" t="inlineStr">
        <is>
          <t>{"alt-svc":"h3=\":443\"; ma=2592000","connection":"close","content-length":"429","content-type":"application/json; charset=utf-8","date":"Sat, 16 May 2026 11:36:49 GMT","referrer-policy":"strict-origin-when-cross-origin","server":"nginx/1.24.0 (Ubuntu)","strict-transport-security":"max-age=31536000; includeSubDomains; preload","vary":"Accept-Encoding","via":"1.1 Caddy","x-content-type-options":"nosniff","x-frame-options":"DENY","x-new-api-version":"v1.0.0-rc.2","x-oneapi-request-id":"202605161136461621997848268d9d6UBYSUe0B","x-request-id":"818801ff-79e3-4341-b21b-66bf747a8330"}</t>
        </is>
      </c>
      <c r="N62" t="inlineStr">
        <is>
          <t>Balenciaga white cotton T-shirt with pink letter logo print, crew neck, short sleeve, relaxed unisex streetwear top for casual fashion.</t>
        </is>
      </c>
      <c r="O62" t="inlineStr">
        <is>
          <t>{"id":"resp_0ae1644a2dd88afe016a085ab6546881958bae68e1dab3a1a0","object":"chat.completion","created":1778932413,"model":"gpt-5.5","choices":[{"index":0,"message":{"role":"assistant","content":"Balenciaga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kakobuysheet2026"},"finish_reason":"stop"}],"usage":{"prompt_tokens":813,"completion_tokens":311,"total_tokens":1124}}</t>
        </is>
      </c>
      <c r="P62" t="inlineStr">
        <is>
          <t>Balenciaga T-Shirts kakobuy, Balenciaga T-Shirts kakebuy2026, Balenciaga T-Shirts kekobuysheet, Balenciaga T-Shirts kakobuysheet2026, Balenciaga T-Shirts 2026kakobuy, Balenciaga T-Shirts kakobuyspreadsheeet, Balenciaga T-Shirts kakobuylink, Balenciaga T-Shirts kakebuylist, Balenciaga T-Shirts Kakobuy MEGA Spreadsheet, Balenciaga T-Shirts kakobuysheetfind, Balenciaga T-Shirts kakobuysheetfind2026, Balenciaga T-Shirts 2026kakobuysheetfind, Balenciaga T-Shirts kakobuysheet2026</t>
        </is>
      </c>
      <c r="Q62" t="inlineStr">
        <is>
          <t>Balenciaga, White, Streetwear, Unisex, Summer</t>
        </is>
      </c>
      <c r="R62" t="inlineStr">
        <is>
          <t>recvjLGOf4lcmU</t>
        </is>
      </c>
      <c r="S62" t="inlineStr">
        <is>
          <t>balenciaga-white-pink-logo-cotton-t-shirt-recvjLGOf4lcmU</t>
        </is>
      </c>
      <c r="T62"/>
      <c r="U62"/>
      <c r="V62"/>
      <c r="W62" t="inlineStr">
        <is>
          <t>{"id":"resp_0a18e7439c71f98d016a08560a40588198818a3dcb6cf2492e","object":"chat.completion","created":1778931214,"model":"gpt-5.5","choices":[{"index":0,"message":{"role":"assistant","content":"巴黎世家 Balenciaga 白色短袖T恤，粉色字母Logo印花，纯棉圆领休闲宽松版型，男女同款街头潮流上衣"},"finish_reason":"stop"}],"usage":{"prompt_tokens":1333,"completion_tokens":115,"total_tokens":1448}}</t>
        </is>
      </c>
      <c r="X62" t="inlineStr">
        <is>
          <t>巴黎世家 Balenciaga 白色短袖T恤，粉色字母Logo印花，纯棉圆领休闲宽松版型，男女同款街头潮流上衣</t>
        </is>
      </c>
    </row>
    <row r="63" ht="25.5" customHeight="1">
      <c r="A63">
        <v>1839115443</v>
      </c>
      <c r="B63">
        <v>7768692058</v>
      </c>
      <c r="C63" s="2" t="str">
        <f>=HYPERLINK("https://weidian.com/item.html?itemID=7768692058", "https://weidian.com/item.html?itemID=7768692058")</f>
        <v>https://weidian.com/item.html?itemID=7768692058</v>
      </c>
      <c r="D63"/>
      <c r="E63" s="2" t="str">
        <f>=HYPERLINK("https://si.geilicdn.com/open1839115443-252808396-4df90000019e2faa2d950a22d249_1074_1074.jpg?w=640&amp;h=640", "https://si.geilicdn.com/open1839115443-252808396-4df90000019e2faa2d950a22d249_1074_1074.jpg?w=640&amp;h=640")</f>
        <v>https://si.geilicdn.com/open1839115443-252808396-4df90000019e2faa2d950a22d249_1074_1074.jpg?w=640&amp;h=640</v>
      </c>
      <c r="F63" t="inlineStr">
        <is>
          <t>T-Shirts</t>
        </is>
      </c>
      <c r="G63" t="inlineStr">
        <is>
          <t>Gucci</t>
        </is>
      </c>
      <c r="H63">
        <v>88</v>
      </c>
      <c r="I63">
        <v>12.75</v>
      </c>
      <c r="J63" t="inlineStr">
        <is>
          <t>{"id":"resp_031ab3285acade5b016a0858f2426c8194a58bacd994b37f8b","object":"chat.completion","created":1778931956,"model":"gpt-5.5","choices":[{"index":0,"message":{"role":"assistant","content":"Gucci Black Cotton Sneaker Graphic Unisex T-Shirt"},"finish_reason":"stop"}],"usage":{"prompt_tokens":723,"completion_tokens":58,"total_tokens":781}}</t>
        </is>
      </c>
      <c r="K63" t="inlineStr">
        <is>
          <t>Gucci Black Cotton Sneaker Graphic Unisex T-Shirt</t>
        </is>
      </c>
      <c r="L63" t="inlineStr">
        <is>
          <t>{"id":"resp_010797135c87b445016a085758569881938079a108246bac39","object":"chat.completion","created":1778931547,"model":"gpt-5.5","choices":[{"index":0,"message":{"role":"assistant","content":"Gucci black cotton T-shirt with white GU C letters and sneaker graphic, soft short sleeve unisex streetwear casual top for men and women."},"finish_reason":"stop"}],"usage":{"prompt_tokens":746,"completion_tokens":104,"total_tokens":850}}</t>
        </is>
      </c>
      <c r="M63" t="inlineStr">
        <is>
          <t>{"alt-svc":"h3=\":443\"; ma=2592000","connection":"close","content-length":"431","content-type":"application/json; charset=utf-8","date":"Sat, 16 May 2026 11:39:07 GMT","referrer-policy":"strict-origin-when-cross-origin","server":"nginx/1.24.0 (Ubuntu)","strict-transport-security":"max-age=31536000; includeSubDomains; preload","vary":"Accept-Encoding","via":"1.1 Caddy","x-content-type-options":"nosniff","x-frame-options":"DENY","x-new-api-version":"v1.0.0-rc.2","x-oneapi-request-id":"202605161139036318747418268d9d6Ux478d47","x-request-id":"e06b5280-2071-4f61-a650-9f56899b6a0f"}</t>
        </is>
      </c>
      <c r="N63" t="inlineStr">
        <is>
          <t>Gucci black cotton T-shirt with white GU C letters and sneaker graphic, soft short sleeve unisex streetwear casual top for men and women.</t>
        </is>
      </c>
      <c r="O63" t="inlineStr">
        <is>
          <t>{"id":"resp_08c5f05df641e559016a085a5d69fc8190b4f54a0496812c70","object":"chat.completion","created":1778932324,"model":"gpt-5.5","choices":[{"index":0,"message":{"role":"assistant","content":"Gucci T-Shirts kakobuy, Gucci T-Shirts kakebuy2026, Gucci T-Shirts kekobuysheet, Gucci T-Shirts kakobuysheet2026, Gucci T-Shirts 2026kakobuy, Gucci T-Shirts kakobuyspreadsheeet, Gucci T-Shirts kakobuylink, Gucci T-Shirts kakebuylist, Gucci T-Shirts Kakobuy MEGA Spreadsheet, Gucci T-Shirts kakobuysheetfind, Gucci T-Shirts kakobuysheetfind2026, Gucci T-Shirts 2026kakobuysheetfind, Gucci T-Shirts kakobuysheet2026"},"finish_reason":"stop"}],"usage":{"prompt_tokens":644,"completion_tokens":339,"total_tokens":983}}</t>
        </is>
      </c>
      <c r="P63" t="inlineStr">
        <is>
          <t>Gucci T-Shirts kakobuy, Gucci T-Shirts kakebuy2026, Gucci T-Shirts kekobuysheet, Gucci T-Shirts kakobuysheet2026, Gucci T-Shirts 2026kakobuy, Gucci T-Shirts kakobuyspreadsheeet, Gucci T-Shirts kakobuylink, Gucci T-Shirts kakebuylist, Gucci T-Shirts Kakobuy MEGA Spreadsheet, Gucci T-Shirts kakobuysheetfind, Gucci T-Shirts kakobuysheetfind2026, Gucci T-Shirts 2026kakobuysheetfind, Gucci T-Shirts kakobuysheet2026</t>
        </is>
      </c>
      <c r="Q63" t="inlineStr">
        <is>
          <t>Black, Streetwear, Unisex</t>
        </is>
      </c>
      <c r="R63" t="inlineStr">
        <is>
          <t>recvjLGOf4ELk6</t>
        </is>
      </c>
      <c r="S63" t="inlineStr">
        <is>
          <t>gucci-black-cotton-graphic-t-shirt-recvjlgof4elk6</t>
        </is>
      </c>
      <c r="T63"/>
      <c r="U63"/>
      <c r="V63"/>
      <c r="W63" t="inlineStr">
        <is>
          <t>{"id":"resp_0b94610ec706bba3016a0855e4d63c819995d8bd0f4dccba58","object":"chat.completion","created":1778931176,"model":"gpt-5.5","choices":[{"index":0,"message":{"role":"assistant","content":"古驰黑色短袖T恤，柔软棉质面料，胸前白色GU C字母与球鞋图腾印花，简约街头休闲风男女同款上衣。"},"finish_reason":"stop"}],"usage":{"prompt_tokens":1167,"completion_tokens":125,"total_tokens":1292}}</t>
        </is>
      </c>
      <c r="X63" t="inlineStr">
        <is>
          <t>古驰黑色短袖T恤，柔软棉质面料，胸前白色GU C字母与球鞋图腾印花，简约街头休闲风男女同款上衣。</t>
        </is>
      </c>
    </row>
    <row r="64" ht="25.5" customHeight="1">
      <c r="A64">
        <v>1839115443</v>
      </c>
      <c r="B64">
        <v>7765612885</v>
      </c>
      <c r="C64" s="2" t="str">
        <f>=HYPERLINK("https://weidian.com/item.html?itemID=7765612885", "https://weidian.com/item.html?itemID=7765612885")</f>
        <v>https://weidian.com/item.html?itemID=7765612885</v>
      </c>
      <c r="D64"/>
      <c r="E64" s="2" t="str">
        <f>=HYPERLINK("https://si.geilicdn.com/open1839115443-252808396-476d0000019e2faa4f200a23b4de_960_1279.jpg?w=640&amp;h=640", "https://si.geilicdn.com/open1839115443-252808396-476d0000019e2faa4f200a23b4de_960_1279.jpg?w=640&amp;h=640")</f>
        <v>https://si.geilicdn.com/open1839115443-252808396-476d0000019e2faa4f200a23b4de_960_1279.jpg?w=640&amp;h=640</v>
      </c>
      <c r="F64" t="inlineStr">
        <is>
          <t>T-Shirts</t>
        </is>
      </c>
      <c r="G64" t="inlineStr">
        <is>
          <t>Versace</t>
        </is>
      </c>
      <c r="H64">
        <v>80</v>
      </c>
      <c r="I64">
        <v>11.59</v>
      </c>
      <c r="J64" t="inlineStr">
        <is>
          <t>{"id":"resp_09a0a092f1767cf7016a08592bc4d88193bb58498f6325793e","object":"chat.completion","created":1778932015,"model":"gpt-5.5","choices":[{"index":0,"message":{"role":"assistant","content":"Versace Black Cotton Logo Safety Pin Crew Neck T-Shirt"},"finish_reason":"stop"}],"usage":{"prompt_tokens":887,"completion_tokens":178,"total_tokens":1065}}</t>
        </is>
      </c>
      <c r="K64" t="inlineStr">
        <is>
          <t>Versace Black Cotton Logo Safety Pin Crew Neck T-Shirt</t>
        </is>
      </c>
      <c r="L64" t="inlineStr">
        <is>
          <t>{"id":"resp_007bdab85fdb949d016a0857b4bbf0819a8ea106c6b1f1714b","object":"chat.completion","created":1778931639,"model":"gpt-5.5","choices":[{"index":0,"message":{"role":"assistant","content":"Versace black cotton crew neck short sleeve T-shirt with white logo lettering and gold safety pin motif, unisex casual streetwear top."},"finish_reason":"stop"}],"usage":{"prompt_tokens":911,"completion_tokens":93,"total_tokens":1004}}</t>
        </is>
      </c>
      <c r="M64" t="inlineStr">
        <is>
          <t>{"alt-svc":"h3=\":443\"; ma=2592000","connection":"close","content-length":"428","content-type":"application/json; charset=utf-8","date":"Sat, 16 May 2026 11:40:39 GMT","referrer-policy":"strict-origin-when-cross-origin","server":"Caddy","strict-transport-security":"max-age=31536000; includeSubDomains; preload","vary":"Accept-Encoding","x-content-type-options":"nosniff","x-frame-options":"DENY","x-new-api-version":"v1.0.0-rc.2","x-oneapi-request-id":"202605161140363904999998268d9d6HadRB8mZ","x-request-id":"69f2f03b-10c9-49ae-9fd4-680f8a2c73c6"}</t>
        </is>
      </c>
      <c r="N64" t="inlineStr">
        <is>
          <t>Versace black cotton crew neck short sleeve T-shirt with white logo lettering and gold safety pin motif, unisex casual streetwear top.</t>
        </is>
      </c>
      <c r="O64" t="inlineStr">
        <is>
          <t>{"id":"resp_05447429f8150af8016a085a89db188197928c27d61d960b58","object":"chat.completion","created":1778932370,"model":"gpt-5.5","choices":[{"index":0,"message":{"role":"assistant","content":"Versace,T-Shirts,kakobuy,kakebuy2026,kekobuysheet,kakobuysheet2026,2026kakobuy,kakobuyspreadsheeet,kakobuylink,kakebuylist,Kakobuy MEGA Spreadsheet,kakobuysheetfind,kakobuysheetfind2026,2026kakobuysheetfind,kakobuysheet2026"},"finish_reason":"stop"}],"usage":{"prompt_tokens":812,"completion_tokens":183,"total_tokens":995}}</t>
        </is>
      </c>
      <c r="P64" t="inlineStr">
        <is>
          <t>Versace,T-Shirts,kakobuy,kakebuy2026,kekobuysheet,kakobuysheet2026,2026kakobuy,kakobuyspreadsheeet,kakobuylink,kakebuylist,Kakobuy MEGA Spreadsheet,kakobuysheetfind,kakobuysheetfind2026,2026kakobuysheetfind,kakobuysheet2026</t>
        </is>
      </c>
      <c r="Q64" t="inlineStr">
        <is>
          <t>Black, Streetwear, Unisex, Summer</t>
        </is>
      </c>
      <c r="R64" t="inlineStr">
        <is>
          <t>recvjLGOf4V14c</t>
        </is>
      </c>
      <c r="S64" t="inlineStr">
        <is>
          <t>versace-black-cotton-logo-safety-pin-crew-neck-t-shirt-recvjlgof4v14c</t>
        </is>
      </c>
      <c r="T64"/>
      <c r="U64"/>
      <c r="V64"/>
      <c r="W64" t="inlineStr">
        <is>
          <t>{"id":"resp_046ce4f8d515c1e2016a08567610e48194aadce0a7d4b1b873","object":"chat.completion","created":1778931321,"model":"gpt-5.5","choices":[{"index":0,"message":{"role":"assistant","content":"范思哲Versace黑色棉质圆领短袖T恤，白色品牌字母Logo搭配金色别针图腾，休闲街头风男女同款上衣。"},"finish_reason":"stop"}],"usage":{"prompt_tokens":1335,"completion_tokens":141,"total_tokens":1476}}</t>
        </is>
      </c>
      <c r="X64" t="inlineStr">
        <is>
          <t>范思哲Versace黑色棉质圆领短袖T恤，白色品牌字母Logo搭配金色别针图腾，休闲街头风男女同款上衣。</t>
        </is>
      </c>
    </row>
    <row r="65" ht="25.5" customHeight="1">
      <c r="A65">
        <v>1839115443</v>
      </c>
      <c r="B65">
        <v>7768623234</v>
      </c>
      <c r="C65" s="2" t="str">
        <f>=HYPERLINK("https://weidian.com/item.html?itemID=7768623234", "https://weidian.com/item.html?itemID=7768623234")</f>
        <v>https://weidian.com/item.html?itemID=7768623234</v>
      </c>
      <c r="D65"/>
      <c r="E65" s="2" t="str">
        <f>=HYPERLINK("https://si.geilicdn.com/open1839115443-252808396-49250000019e2fab2b6e0a23b491_1080_1440.jpg?w=640&amp;h=640", "https://si.geilicdn.com/open1839115443-252808396-49250000019e2fab2b6e0a23b491_1080_1440.jpg?w=640&amp;h=640")</f>
        <v>https://si.geilicdn.com/open1839115443-252808396-49250000019e2fab2b6e0a23b491_1080_1440.jpg?w=640&amp;h=640</v>
      </c>
      <c r="F65" t="inlineStr">
        <is>
          <t>T-Shirts</t>
        </is>
      </c>
      <c r="G65" t="inlineStr">
        <is>
          <t>Miu Miu</t>
        </is>
      </c>
      <c r="H65">
        <v>80</v>
      </c>
      <c r="I65">
        <v>11.59</v>
      </c>
      <c r="J65" t="inlineStr">
        <is>
          <t>{"id":"resp_015effad8a8af3d2016a0858e0ee588199bf23729beeab3ae0","object":"chat.completion","created":1778931939,"model":"gpt-5.5","choices":[{"index":0,"message":{"role":"assistant","content":"Miu Miu White Cotton Logo T-Shirt Unisex Summer Tee"},"finish_reason":"stop"}],"usage":{"prompt_tokens":891,"completion_tokens":98,"total_tokens":989}}</t>
        </is>
      </c>
      <c r="K65" t="inlineStr">
        <is>
          <t>Miu Miu White Cotton Logo T-Shirt Unisex Summer Tee</t>
        </is>
      </c>
      <c r="L65" t="inlineStr">
        <is>
          <t>{"id":"resp_01a2c767bce33b0d016a0856ce712481909b089be6160d61fa","object":"chat.completion","created":1778931410,"model":"gpt-5.5","choices":[{"index":0,"message":{"role":"assistant","content":"Miu Miu white cotton short sleeve T-shirt, crew neck unisex summer top with metallic double logo print, minimalist casual designer tee."},"finish_reason":"stop"}],"usage":{"prompt_tokens":919,"completion_tokens":120,"total_tokens":1039}}</t>
        </is>
      </c>
      <c r="M65" t="inlineStr">
        <is>
          <t>{"alt-svc":"h3=\":443\"; ma=2592000","connection":"close","content-length":"430","content-type":"application/json; charset=utf-8","date":"Sat, 16 May 2026 11:36:50 GMT","referrer-policy":"strict-origin-when-cross-origin","server":"Caddy","strict-transport-security":"max-age=31536000; includeSubDomains; preload","vary":"Accept-Encoding","x-content-type-options":"nosniff","x-frame-options":"DENY","x-new-api-version":"v1.0.0-rc.2","x-oneapi-request-id":"202605161136461996072828268d9d6ayVgQvUS","x-request-id":"26444942-0fad-48c3-81c8-ac1fe1bac352"}</t>
        </is>
      </c>
      <c r="N65" t="inlineStr">
        <is>
          <t>Miu Miu white cotton short sleeve T-shirt, crew neck unisex summer top with metallic double logo print, minimalist casual designer tee.</t>
        </is>
      </c>
      <c r="O65" t="inlineStr">
        <is>
          <t>{"id":"resp_06d85bf8dd9ace3a016a085ab2a14881939c083b079047ef1b","object":"chat.completion","created":1778932410,"model":"gpt-5.5","choices":[{"index":0,"message":{"role":"assistant","content":"Miu Miu T-Shirts kakobuy, Miu Miu T-Shirts kakebuy2026, Miu Miu T-Shirts kekobuysheet, Miu Miu T-Shirts kakobuysheet2026, Miu Miu T-Shirts 2026kakobuy, Miu Miu T-Shirts kakobuyspreadsheeet, Miu Miu T-Shirts kakobuylink, Miu Miu T-Shirts kakebuylist, Miu Miu T-Shirts Kakobuy MEGA Spreadsheet, Miu Miu T-Shirts kakobuysheetfind, Miu Miu T-Shirts kakobuysheetfind2026, Miu Miu T-Shirts 2026kakobuysheetfind, Miu Miu T-Shirts kakobuysheet2026"},"finish_reason":"stop"}],"usage":{"prompt_tokens":814,"completion_tokens":346,"total_tokens":1160}}</t>
        </is>
      </c>
      <c r="P65" t="inlineStr">
        <is>
          <t>Miu Miu T-Shirts kakobuy, Miu Miu T-Shirts kakebuy2026, Miu Miu T-Shirts kekobuysheet, Miu Miu T-Shirts kakobuysheet2026, Miu Miu T-Shirts 2026kakobuy, Miu Miu T-Shirts kakobuyspreadsheeet, Miu Miu T-Shirts kakobuylink, Miu Miu T-Shirts kakebuylist, Miu Miu T-Shirts Kakobuy MEGA Spreadsheet, Miu Miu T-Shirts kakobuysheetfind, Miu Miu T-Shirts kakobuysheetfind2026, Miu Miu T-Shirts 2026kakobuysheetfind, Miu Miu T-Shirts kakobuysheet2026</t>
        </is>
      </c>
      <c r="Q65" t="inlineStr">
        <is>
          <t>White, Minimalist, Summer, Unisex</t>
        </is>
      </c>
      <c r="R65" t="inlineStr">
        <is>
          <t>recvjLGOf4t4iY</t>
        </is>
      </c>
      <c r="S65" t="inlineStr">
        <is>
          <t>miu-miu-white-cotton-logo-tee-recvjLGOf4t4iY</t>
        </is>
      </c>
      <c r="T65"/>
      <c r="U65"/>
      <c r="V65"/>
      <c r="W65" t="inlineStr">
        <is>
          <t>{"id":"resp_0f86c2c2b7619235016a08563b412081989f0ec8eda46012fb","object":"chat.completion","created":1778931263,"model":"gpt-5.5","choices":[{"index":0,"message":{"role":"assistant","content":"缪缪 Miu Miu 白色短袖T恤，棉质圆领版型，胸前金属感双层Logo印花，简约休闲风，男女同款夏季上衣。"},"finish_reason":"stop"}],"usage":{"prompt_tokens":1341,"completion_tokens":173,"total_tokens":1514}}</t>
        </is>
      </c>
      <c r="X65" t="inlineStr">
        <is>
          <t>缪缪 Miu Miu 白色短袖T恤，棉质圆领版型，胸前金属感双层Logo印花，简约休闲风，男女同款夏季上衣。</t>
        </is>
      </c>
    </row>
    <row r="66" ht="25.5" customHeight="1">
      <c r="A66">
        <v>1839115443</v>
      </c>
      <c r="B66">
        <v>7765628777</v>
      </c>
      <c r="C66" s="2" t="str">
        <f>=HYPERLINK("https://weidian.com/item.html?itemID=7765628777", "https://weidian.com/item.html?itemID=7765628777")</f>
        <v>https://weidian.com/item.html?itemID=7765628777</v>
      </c>
      <c r="D66"/>
      <c r="E66" s="2" t="str">
        <f>=HYPERLINK("https://si.geilicdn.com/open1839115443-252808396-482d0000019e2fab422c0a23b4de_1080_1080.jpg?w=640&amp;h=640", "https://si.geilicdn.com/open1839115443-252808396-482d0000019e2fab422c0a23b4de_1080_1080.jpg?w=640&amp;h=640")</f>
        <v>https://si.geilicdn.com/open1839115443-252808396-482d0000019e2fab422c0a23b4de_1080_1080.jpg?w=640&amp;h=640</v>
      </c>
      <c r="F66" t="inlineStr">
        <is>
          <t>T-Shirts</t>
        </is>
      </c>
      <c r="G66" t="inlineStr">
        <is>
          <t xml:space="preserve"> Louis Vuitton</t>
        </is>
      </c>
      <c r="H66">
        <v>80</v>
      </c>
      <c r="I66">
        <v>11.59</v>
      </c>
      <c r="J66" t="inlineStr">
        <is>
          <t>{"id":"resp_07a7099e01d18927016a085946cf20819bb831628cfcca1857","object":"chat.completion","created":1778932042,"model":"gpt-5.5","choices":[{"index":0,"message":{"role":"assistant","content":"Louis Vuitton Black LV Letter Logo Cotton T-Shirt Unisex"},"finish_reason":"stop"}],"usage":{"prompt_tokens":712,"completion_tokens":174,"total_tokens":886}}</t>
        </is>
      </c>
      <c r="K66" t="inlineStr">
        <is>
          <t>Louis Vuitton Black LV Letter Logo Cotton T-Shirt Unisex</t>
        </is>
      </c>
      <c r="L66" t="inlineStr">
        <is>
          <t>{"id":"resp_0213a1b8a52e550c016a0857863f2c8197980ccd8988bcfd18","object":"chat.completion","created":1778931591,"model":"gpt-5.5","choices":[{"index":0,"message":{"role":"assistant","content":"Louis Vuitton black cotton crew neck T-shirt with colorful letter collage LV logo, streetwear casual unisex short sleeve top"},"finish_reason":"stop"}],"usage":{"prompt_tokens":749,"completion_tokens":24,"total_tokens":773}}</t>
        </is>
      </c>
      <c r="M66" t="inlineStr">
        <is>
          <t>{"alt-svc":"h3=\":443\"; ma=2592000","connection":"close","content-length":"417","content-type":"application/json; charset=utf-8","date":"Sat, 16 May 2026 11:39:51 GMT","referrer-policy":"strict-origin-when-cross-origin","server":"Caddy","strict-transport-security":"max-age=31536000; includeSubDomains; preload","vary":"Accept-Encoding","x-content-type-options":"nosniff","x-frame-options":"DENY","x-new-api-version":"v1.0.0-rc.2","x-oneapi-request-id":"20260516113950743047088268d9d6Rz1yaiZl","x-request-id":"a8c3324c-2329-4286-9261-c21049f06cca"}</t>
        </is>
      </c>
      <c r="N66" t="inlineStr">
        <is>
          <t>Louis Vuitton black cotton crew neck T-shirt with colorful letter collage LV logo, streetwear casual unisex short sleeve top</t>
        </is>
      </c>
      <c r="O66" t="inlineStr">
        <is>
          <t>{"id":"resp_0a37fbd538c08e3a016a085b4fe7908197b1625063348cc876","object":"chat.completion","created":1778932565,"model":"gpt-5.5","choices":[{"index":0,"message":{"role":"assistant","content":"Louis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kakobuysheet2026"},"finish_reason":"stop"}],"usage":{"prompt_tokens":644,"completion_tokens":225,"total_tokens":869}}</t>
        </is>
      </c>
      <c r="P66"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66" t="inlineStr">
        <is>
          <t>LV, Black, Colorful, Streetwear, Unisex</t>
        </is>
      </c>
      <c r="R66" t="inlineStr">
        <is>
          <t>recvjLGOf4PRdS</t>
        </is>
      </c>
      <c r="S66" t="inlineStr">
        <is>
          <t>louis-vuitton-black-lv-letter-logo-cotton-t-shirt-recvjlgof4prds</t>
        </is>
      </c>
      <c r="T66"/>
      <c r="U66"/>
      <c r="V66"/>
      <c r="W66" t="inlineStr">
        <is>
          <t>{"id":"resp_0d03f9d876fbf8a2016a08556a08ec81959046b7a398ce4eb5","object":"chat.completion","created":1778931055,"model":"gpt-5.5","choices":[{"index":0,"message":{"role":"assistant","content":"路易威登黑色短袖T恤，棉质圆领版型，正面彩色字母拼贴LV标志图腾，街头潮流风格，男女同款休闲上衣"},"finish_reason":"stop"}],"usage":{"prompt_tokens":1169,"completion_tokens":209,"total_tokens":1378}}</t>
        </is>
      </c>
      <c r="X66" t="inlineStr">
        <is>
          <t>路易威登黑色短袖T恤，棉质圆领版型，正面彩色字母拼贴LV标志图腾，街头潮流风格，男女同款休闲上衣</t>
        </is>
      </c>
    </row>
    <row r="67" ht="25.5" customHeight="1">
      <c r="A67">
        <v>1839115443</v>
      </c>
      <c r="B67">
        <v>7768725634</v>
      </c>
      <c r="C67" s="2" t="str">
        <f>=HYPERLINK("https://weidian.com/item.html?itemID=7768725634", "https://weidian.com/item.html?itemID=7768725634")</f>
        <v>https://weidian.com/item.html?itemID=7768725634</v>
      </c>
      <c r="D67"/>
      <c r="E67" s="2" t="str">
        <f>=HYPERLINK("https://si.geilicdn.com/open1839115443-252808396-271f0000019e2fab47440a8133b0_799_1066.jpg?w=640&amp;h=640", "https://si.geilicdn.com/open1839115443-252808396-271f0000019e2fab47440a8133b0_799_1066.jpg?w=640&amp;h=640")</f>
        <v>https://si.geilicdn.com/open1839115443-252808396-271f0000019e2fab47440a8133b0_799_1066.jpg?w=640&amp;h=640</v>
      </c>
      <c r="F67" t="inlineStr">
        <is>
          <t>Hoodies</t>
        </is>
      </c>
      <c r="G67" t="inlineStr">
        <is>
          <t xml:space="preserve"> Moncler</t>
        </is>
      </c>
      <c r="H67">
        <v>490</v>
      </c>
      <c r="I67">
        <v>71.01</v>
      </c>
      <c r="J67" t="inlineStr">
        <is>
          <t>{"id":"resp_025e8e0251272335016a085878e96881989a3cbf673e5d247e","object":"chat.completion","created":1778931836,"model":"gpt-5.5","choices":[{"index":0,"message":{"role":"assistant","content":"Moncler Black Hooded Nylon Windbreaker Jacket Unisex"},"finish_reason":"stop"}],"usage":{"prompt_tokens":895,"completion_tokens":127,"total_tokens":1022}}</t>
        </is>
      </c>
      <c r="K67" t="inlineStr">
        <is>
          <t>Moncler Black Hooded Nylon Windbreaker Jacket Unisex</t>
        </is>
      </c>
      <c r="L67" t="inlineStr">
        <is>
          <t>{"id":"resp_060b175a05706878016a0857b790548195a29545005423c92a","object":"chat.completion","created":1778931642,"model":"gpt-5.5","choices":[{"index":0,"message":{"role":"assistant","content":"Moncler black hooded windbreaker, lightweight nylon zip jacket with drawstring hood, sleeve logo patch, casual outdoor unisex coat for men and women"},"finish_reason":"stop"}],"usage":{"prompt_tokens":912,"completion_tokens":85,"total_tokens":997}}</t>
        </is>
      </c>
      <c r="M67" t="inlineStr">
        <is>
          <t>{"alt-svc":"h3=\":443\"; ma=2592000","connection":"close","content-length":"441","content-type":"application/json; charset=utf-8","date":"Sat, 16 May 2026 11:40:42 GMT","referrer-policy":"strict-origin-when-cross-origin","server":"nginx/1.24.0 (Ubuntu)","strict-transport-security":"max-age=31536000; includeSubDomains; preload","vary":"Accept-Encoding","via":"1.1 Caddy","x-content-type-options":"nosniff","x-frame-options":"DENY","x-new-api-version":"v1.0.0-rc.2","x-oneapi-request-id":"202605161140393348527828268d9d6F6gd5rlZ","x-request-id":"413b8b2c-99b1-4c96-9a8d-e0edf115e249"}</t>
        </is>
      </c>
      <c r="N67" t="inlineStr">
        <is>
          <t>Moncler black hooded windbreaker, lightweight nylon zip jacket with drawstring hood, sleeve logo patch, casual outdoor unisex coat for men and women</t>
        </is>
      </c>
      <c r="O67" t="inlineStr">
        <is>
          <t>{"id":"resp_0d63114932ccde76016a085adb59b481979bed6a46a375d634","object":"chat.completion","created":1778932453,"model":"gpt-5.5","choices":[{"index":0,"message":{"role":"assistant","content":"Moncler Hoodies kakobuy, Moncler Hoodies kakebuy2026, Moncler Hoodies kekobuysheet, Moncler Hoodies kakobuysheet2026, Moncler Hoodies 2026kakobuy, Moncler Hoodies kakobuyspreadsheeet, Moncler Hoodies kakobuylink, Moncler Hoodies kakebuylist, Moncler Hoodies Kakobuy MEGA Spreadsheet, Moncler Hoodies kakobuysheetfind, Moncler Hoodies kakobuysheetfind2026, Moncler Hoodies 2026kakobuysheetfind, Moncler Hoodies kakobuysheet2026"},"finish_reason":"stop"}],"usage":{"prompt_tokens":813,"completion_tokens":380,"total_tokens":1193}}</t>
        </is>
      </c>
      <c r="P67" t="inlineStr">
        <is>
          <t>Moncler Hoodies kakobuy, Moncler Hoodies kakebuy2026, Moncler Hoodies kekobuysheet, Moncler Hoodies kakobuysheet2026, Moncler Hoodies 2026kakobuy, Moncler Hoodies kakobuyspreadsheeet, Moncler Hoodies kakobuylink, Moncler Hoodies kakebuylist, Moncler Hoodies Kakobuy MEGA Spreadsheet, Moncler Hoodies kakobuysheetfind, Moncler Hoodies kakobuysheetfind2026, Moncler Hoodies 2026kakobuysheetfind, Moncler Hoodies kakobuysheet2026</t>
        </is>
      </c>
      <c r="Q67" t="inlineStr">
        <is>
          <t>Black, Windproof, Lightweight, Nylon, Unisex</t>
        </is>
      </c>
      <c r="R67" t="inlineStr">
        <is>
          <t>recvjLGOf4rQlT</t>
        </is>
      </c>
      <c r="S67" t="inlineStr">
        <is>
          <t>moncler-black-hooded-nylon-windbreaker-recvjlgof4rqlT</t>
        </is>
      </c>
      <c r="T67"/>
      <c r="U67"/>
      <c r="V67"/>
      <c r="W67" t="inlineStr">
        <is>
          <t>{"id":"resp_0f4ff32b0f16d6f2016a0855cb4c18819892e2c058c0279895","object":"chat.completion","created":1778931151,"model":"gpt-5.5","choices":[{"index":0,"message":{"role":"assistant","content":"蒙口Moncler黑色连帽防风夹克，轻薄尼龙材质，拉链抽绳设计，袖标徽章点缀，休闲户外男女同款外套"},"finish_reason":"stop"}],"usage":{"prompt_tokens":1334,"completion_tokens":150,"total_tokens":1484}}</t>
        </is>
      </c>
      <c r="X67" t="inlineStr">
        <is>
          <t>蒙口Moncler黑色连帽防风夹克，轻薄尼龙材质，拉链抽绳设计，袖标徽章点缀，休闲户外男女同款外套</t>
        </is>
      </c>
    </row>
    <row r="68" ht="25.5" customHeight="1">
      <c r="A68">
        <v>1839115443</v>
      </c>
      <c r="B68">
        <v>7765187039</v>
      </c>
      <c r="C68" s="2" t="str">
        <f>=HYPERLINK("https://weidian.com/item.html?itemID=7765187039", "https://weidian.com/item.html?itemID=7765187039")</f>
        <v>https://weidian.com/item.html?itemID=7765187039</v>
      </c>
      <c r="D68"/>
      <c r="E68" s="2" t="str">
        <f>=HYPERLINK("https://si.geilicdn.com/open1839115443-252808396-48170000019e2fab2ad30a23b4de_1080_1080.jpg?w=640&amp;h=640", "https://si.geilicdn.com/open1839115443-252808396-48170000019e2fab2ad30a23b4de_1080_1080.jpg?w=640&amp;h=640")</f>
        <v>https://si.geilicdn.com/open1839115443-252808396-48170000019e2fab2ad30a23b4de_1080_1080.jpg?w=640&amp;h=640</v>
      </c>
      <c r="F68" t="inlineStr">
        <is>
          <t>T-Shirts</t>
        </is>
      </c>
      <c r="G68" t="inlineStr">
        <is>
          <t>Loewe</t>
        </is>
      </c>
      <c r="H68">
        <v>88</v>
      </c>
      <c r="I68">
        <v>12.75</v>
      </c>
      <c r="J68" t="inlineStr">
        <is>
          <t>{"id":"resp_04bb0ccd18a28b77016a0859a30940819aaecba316c355d1ee","object":"chat.completion","created":1778932135,"model":"gpt-5.5","choices":[{"index":0,"message":{"role":"assistant","content":"Loewe White LOVE Anagram Embroidered Cotton T-Shirt"},"finish_reason":"stop"}],"usage":{"prompt_tokens":727,"completion_tokens":126,"total_tokens":853}}</t>
        </is>
      </c>
      <c r="K68" t="inlineStr">
        <is>
          <t>Loewe White LOVE Anagram Embroidered Cotton T-Shirt</t>
        </is>
      </c>
      <c r="L68" t="inlineStr">
        <is>
          <t>{"id":"resp_098d375882f621a8016a0857729dd8819584b43234aea336ca","object":"chat.completion","created":1778931574,"model":"gpt-5.5","choices":[{"index":0,"message":{"role":"assistant","content":"Loewe white cotton crew neck T-shirt with colorful LOVE letter and Anagram logo embroidery print, Jonathan Anderson casual streetwear unisex short sleeve top"},"finish_reason":"stop"}],"usage":{"prompt_tokens":751,"completion_tokens":117,"total_tokens":868}}</t>
        </is>
      </c>
      <c r="M68" t="inlineStr">
        <is>
          <t>{"alt-svc":"h3=\":443\"; ma=2592000","connection":"close","content-length":"451","content-type":"application/json; charset=utf-8","date":"Sat, 16 May 2026 11:39:34 GMT","referrer-policy":"strict-origin-when-cross-origin","server":"Caddy","strict-transport-security":"max-age=31536000; includeSubDomains; preload","vary":"Accept-Encoding","x-content-type-options":"nosniff","x-frame-options":"DENY","x-new-api-version":"v1.0.0-rc.2","x-oneapi-request-id":"202605161139303081004878268d9d6vC2qSwo7","x-request-id":"b21dc3e5-ce04-4363-b6e4-0a5885358ade"}</t>
        </is>
      </c>
      <c r="N68" t="inlineStr">
        <is>
          <t>Loewe white cotton crew neck T-shirt with colorful LOVE letter and Anagram logo embroidery print, Jonathan Anderson casual streetwear unisex short sleeve top</t>
        </is>
      </c>
      <c r="O68" t="inlineStr">
        <is>
          <t>{"id":"resp_085df9701f36689f016a085b98f264819483959d45900b7ae2","object":"chat.completion","created":1778932639,"model":"gpt-5.5","choices":[{"index":0,"message":{"role":"assistant","content":"Loewe, T-Shirts, kakobuy, kakebuy2026, kekobuysheet, kakobuysheet2026, 2026kakobuy, kakobuyspreadsheeet, kakobuylink, kakebuylist, Kakobuy MEGA Spreadsheet, kakobuysheetfind, kakobuysheetfind2026, 2026kakobuysheetfind, kakobuysheet2026"},"finish_reason":"stop"}],"usage":{"prompt_tokens":645,"completion_tokens":234,"total_tokens":879}}</t>
        </is>
      </c>
      <c r="P68" t="inlineStr">
        <is>
          <t>Loewe, T-Shirts, kakobuy, kakebuy2026, kekobuysheet, kakobuysheet2026, 2026kakobuy, kakobuyspreadsheeet, kakobuylink, kakebuylist, Kakobuy MEGA Spreadsheet, kakobuysheetfind, kakobuysheetfind2026, 2026kakobuysheetfind, kakobuysheet2026</t>
        </is>
      </c>
      <c r="Q68" t="inlineStr">
        <is>
          <t>White, Streetwear, Unisex, Summer</t>
        </is>
      </c>
      <c r="R68" t="inlineStr">
        <is>
          <t>recvjLGOf4roko</t>
        </is>
      </c>
      <c r="S68" t="inlineStr">
        <is>
          <t>loewe-white-love-anagram-embroidered-cotton-t-shirt-recvjlgof4roko</t>
        </is>
      </c>
      <c r="T68"/>
      <c r="U68"/>
      <c r="V68"/>
      <c r="W68" t="inlineStr">
        <is>
          <t>{"id":"resp_03d4772b120ed823016a0855c0ca6c8198ac9eb75589003131","object":"chat.completion","created":1778931141,"model":"gpt-5.5","choices":[{"index":0,"message":{"role":"assistant","content":"罗意威Loewe白色短袖T恤，棉质圆领版型，胸前彩色LOVE字母与Anagram图腾刺绣印花，Jonathan Anderson休闲潮流男女款上衣。"},"finish_reason":"stop"}],"usage":{"prompt_tokens":1169,"completion_tokens":167,"total_tokens":1336}}</t>
        </is>
      </c>
      <c r="X68" t="inlineStr">
        <is>
          <t>罗意威Loewe白色短袖T恤，棉质圆领版型，胸前彩色LOVE字母与Anagram图腾刺绣印花，Jonathan Anderson休闲潮流男女款上衣。</t>
        </is>
      </c>
    </row>
    <row r="69" ht="25.5" customHeight="1">
      <c r="A69">
        <v>1839115443</v>
      </c>
      <c r="B69">
        <v>7765644501</v>
      </c>
      <c r="C69" s="2" t="str">
        <f>=HYPERLINK("https://weidian.com/item.html?itemID=7765644501", "https://weidian.com/item.html?itemID=7765644501")</f>
        <v>https://weidian.com/item.html?itemID=7765644501</v>
      </c>
      <c r="D69"/>
      <c r="E69" s="2" t="str">
        <f>=HYPERLINK("https://si.geilicdn.com/open1839115443-252808396-23130000019e2fa5e3400a8133b0_1080_1080.jpg?w=640&amp;h=640", "https://si.geilicdn.com/open1839115443-252808396-23130000019e2fa5e3400a8133b0_1080_1080.jpg?w=640&amp;h=640")</f>
        <v>https://si.geilicdn.com/open1839115443-252808396-23130000019e2fa5e3400a8133b0_1080_1080.jpg?w=640&amp;h=640</v>
      </c>
      <c r="F69" t="inlineStr">
        <is>
          <t>T-Shirts</t>
        </is>
      </c>
      <c r="G69" t="inlineStr">
        <is>
          <t xml:space="preserve"> Louis Vuitton</t>
        </is>
      </c>
      <c r="H69">
        <v>78</v>
      </c>
      <c r="I69">
        <v>11.3043478260869</v>
      </c>
      <c r="J69" t="inlineStr">
        <is>
          <t>{"id":"resp_0315f153cccc6355016a0858768b308199901b7d2c30808402","object":"chat.completion","created":1778931834,"model":"gpt-5.5","choices":[{"index":0,"message":{"role":"assistant","content":"Louis Vuitton White Monogram LV Logo Cotton T-Shirt"},"finish_reason":"stop"}],"usage":{"prompt_tokens":719,"completion_tokens":156,"total_tokens":875}}</t>
        </is>
      </c>
      <c r="K69" t="inlineStr">
        <is>
          <t>Louis Vuitton White Monogram LV Logo Cotton T-Shirt</t>
        </is>
      </c>
      <c r="L69" t="inlineStr">
        <is>
          <t>{"id":"resp_01bdde9af3bb35bf016a0856ec03088197b0627d95a61314cf","object":"chat.completion","created":1778931439,"model":"gpt-5.5","choices":[{"index":0,"message":{"role":"assistant","content":"Louis Vuitton white cotton crew neck T-shirt with green geometric Monogram and LV logo print, short sleeve unisex casual streetwear top."},"finish_reason":"stop"}],"usage":{"prompt_tokens":743,"completion_tokens":105,"total_tokens":848}}</t>
        </is>
      </c>
      <c r="M69" t="inlineStr">
        <is>
          <t>{"alt-svc":"h3=\":443\"; ma=2592000","connection":"close","content-length":"430","content-type":"application/json; charset=utf-8","date":"Sat, 16 May 2026 11:37:19 GMT","referrer-policy":"strict-origin-when-cross-origin","server":"nginx/1.24.0 (Ubuntu)","strict-transport-security":"max-age=31536000; includeSubDomains; preload","vary":"Accept-Encoding","via":"1.1 Caddy","x-content-type-options":"nosniff","x-frame-options":"DENY","x-new-api-version":"v1.0.0-rc.2","x-oneapi-request-id":"202605161137158077558438268d9d604j2l3Zc","x-request-id":"db393747-60ce-4080-a1b3-f57539bc1a65"}</t>
        </is>
      </c>
      <c r="N69" t="inlineStr">
        <is>
          <t>Louis Vuitton white cotton crew neck T-shirt with green geometric Monogram and LV logo print, short sleeve unisex casual streetwear top.</t>
        </is>
      </c>
      <c r="O69" t="inlineStr">
        <is>
          <t>{"id":"resp_059f4c01caedc527016a085adeebc8819abdbf4d167759acbe","object":"chat.completion","created":1778932451,"model":"gpt-5.5","choices":[{"index":0,"message":{"role":"assistant","content":"Louis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kakobuysheet2026"},"finish_reason":"stop"}],"usage":{"prompt_tokens":644,"completion_tokens":204,"total_tokens":848}}</t>
        </is>
      </c>
      <c r="P69"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69" t="inlineStr">
        <is>
          <t>LV, White, Streetwear, Unisex</t>
        </is>
      </c>
      <c r="R69" t="inlineStr">
        <is>
          <t>recvjLGOf4Mb0v</t>
        </is>
      </c>
      <c r="S69" t="inlineStr">
        <is>
          <t>louis-vuitton-white-monogram-lv-logo-cotton-t-shirt-recvjlgof4mb0v</t>
        </is>
      </c>
      <c r="T69"/>
      <c r="U69"/>
      <c r="V69"/>
      <c r="W69" t="inlineStr">
        <is>
          <t>{"id":"resp_00aa13774de8fd30016a0855fd6828819abb593456a3fe0a4c","object":"chat.completion","created":1778931201,"model":"gpt-5.5","choices":[{"index":0,"message":{"role":"assistant","content":"路易威登 Louis Vuitton：白色短袖T恤，棉质圆领，绿色几何Monogram与LV标识印花，休闲潮流男女同款上衣"},"finish_reason":"stop"}],"usage":{"prompt_tokens":1169,"completion_tokens":154,"total_tokens":1323}}</t>
        </is>
      </c>
      <c r="X69" t="inlineStr">
        <is>
          <t>路易威登 Louis Vuitton：白色短袖T恤，棉质圆领，绿色几何Monogram与LV标识印花，休闲潮流男女同款上衣</t>
        </is>
      </c>
    </row>
    <row r="70" ht="25.5" customHeight="1">
      <c r="A70">
        <v>1839115443</v>
      </c>
      <c r="B70">
        <v>7768668498</v>
      </c>
      <c r="C70" s="2" t="str">
        <f>=HYPERLINK("https://weidian.com/item.html?itemID=7768668498", "https://weidian.com/item.html?itemID=7768668498")</f>
        <v>https://weidian.com/item.html?itemID=7768668498</v>
      </c>
      <c r="D70"/>
      <c r="E70" s="2" t="str">
        <f>=HYPERLINK("https://si.geilicdn.com/open1839115443-252808396-3f540000019e2fa66bdd0a231226_1080_1080.jpg?w=640&amp;h=640", "https://si.geilicdn.com/open1839115443-252808396-3f540000019e2fa66bdd0a231226_1080_1080.jpg?w=640&amp;h=640")</f>
        <v>https://si.geilicdn.com/open1839115443-252808396-3f540000019e2fa66bdd0a231226_1080_1080.jpg?w=640&amp;h=640</v>
      </c>
      <c r="F70" t="inlineStr">
        <is>
          <t>T-Shirts</t>
        </is>
      </c>
      <c r="G70" t="inlineStr">
        <is>
          <t>Fendi</t>
        </is>
      </c>
      <c r="H70">
        <v>80</v>
      </c>
      <c r="I70">
        <v>11.59</v>
      </c>
      <c r="J70" t="inlineStr">
        <is>
          <t>{"id":"resp_0abbbdfa6939ab42016a08589a7a5c8199af5579ab3d6ae9f2","object":"chat.completion","created":1778931869,"model":"gpt-5.5","choices":[{"index":0,"message":{"role":"assistant","content":"Fendi White Cotton Heart Logo Plaid Graphic T-Shirt"},"finish_reason":"stop"}],"usage":{"prompt_tokens":725,"completion_tokens":131,"total_tokens":856}}</t>
        </is>
      </c>
      <c r="K70" t="inlineStr">
        <is>
          <t>Fendi White Cotton Heart Logo Plaid Graphic T-Shirt</t>
        </is>
      </c>
      <c r="L70" t="inlineStr">
        <is>
          <t>{"id":"resp_091ac3d1d1e2c9f4016a0856ccfca08197ab2b626dea6505a0","object":"chat.completion","created":1778931408,"model":"gpt-5.5","choices":[{"index":0,"message":{"role":"assistant","content":"Fendi white cotton short sleeve T-shirt, crew neck breathable comfort, heart letter print with plaid totem graphic, casual streetwear unisex top."},"finish_reason":"stop"}],"usage":{"prompt_tokens":744,"completion_tokens":106,"total_tokens":850}}</t>
        </is>
      </c>
      <c r="M70" t="inlineStr">
        <is>
          <t>{"alt-svc":"h3=\":443\"; ma=2592000","connection":"close","content-length":"439","content-type":"application/json; charset=utf-8","date":"Sat, 16 May 2026 11:36:48 GMT","referrer-policy":"strict-origin-when-cross-origin","server":"Caddy","strict-transport-security":"max-age=31536000; includeSubDomains; preload","vary":"Accept-Encoding","x-content-type-options":"nosniff","x-frame-options":"DENY","x-new-api-version":"v1.0.0-rc.2","x-oneapi-request-id":"202605161136447756741848268d9d6TdSusInN","x-request-id":"423e5666-67a1-4939-ac2f-ba51ac9318c3"}</t>
        </is>
      </c>
      <c r="N70" t="inlineStr">
        <is>
          <t>Fendi white cotton short sleeve T-shirt, crew neck breathable comfort, heart letter print with plaid totem graphic, casual streetwear unisex top.</t>
        </is>
      </c>
      <c r="O70" t="inlineStr">
        <is>
          <t>{"id":"resp_070764dde7905750016a085b97e13c819499d4784b7cb06e98","object":"chat.completion","created":1778932640,"model":"gpt-5.5","choices":[{"index":0,"message":{"role":"assistant","content":"Fendi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kakobuysheet2026"},"finish_reason":"stop"}],"usage":{"prompt_tokens":644,"completion_tokens":317,"total_tokens":961}}</t>
        </is>
      </c>
      <c r="P70" t="inlineStr">
        <is>
          <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t>
        </is>
      </c>
      <c r="Q70" t="inlineStr">
        <is>
          <t>White, Streetwear, Unisex, Comfort</t>
        </is>
      </c>
      <c r="R70" t="inlineStr">
        <is>
          <t>recvjLGOf4vC7r</t>
        </is>
      </c>
      <c r="S70" t="inlineStr">
        <is>
          <t>fendi-white-cotton-heart-logo-plaid-graphic-t-shirt-recvjlgof4vc7r</t>
        </is>
      </c>
      <c r="T70"/>
      <c r="U70"/>
      <c r="V70"/>
      <c r="W70" t="inlineStr">
        <is>
          <t>{"id":"resp_0f0690cf6d783414016a08560cef5c81989f77c10c5e5b0229","object":"chat.completion","created":1778931217,"model":"gpt-5.5","choices":[{"index":0,"message":{"role":"assistant","content":"芬迪Fendi 白色短袖T恤，纯棉圆领舒适透气，爱心字母印花拼格纹图腾设计，休闲街头风男女同款上衣。"},"finish_reason":"stop"}],"usage":{"prompt_tokens":1165,"completion_tokens":179,"total_tokens":1344}}</t>
        </is>
      </c>
      <c r="X70" t="inlineStr">
        <is>
          <t>芬迪Fendi 白色短袖T恤，纯棉圆领舒适透气，爱心字母印花拼格纹图腾设计，休闲街头风男女同款上衣。</t>
        </is>
      </c>
    </row>
    <row r="71" ht="25.5" customHeight="1">
      <c r="A71">
        <v>1839115443</v>
      </c>
      <c r="B71">
        <v>7765609531</v>
      </c>
      <c r="C71" s="2" t="str">
        <f>=HYPERLINK("https://weidian.com/item.html?itemID=7765609531", "https://weidian.com/item.html?itemID=7765609531")</f>
        <v>https://weidian.com/item.html?itemID=7765609531</v>
      </c>
      <c r="D71"/>
      <c r="E71" s="2" t="str">
        <f>=HYPERLINK("https://si.geilicdn.com/open1839115443-252808396-3f9b0000019e2fa5638d0aa08239_1080_1440.jpg?w=640&amp;h=640", "https://si.geilicdn.com/open1839115443-252808396-3f9b0000019e2fa5638d0aa08239_1080_1440.jpg?w=640&amp;h=640")</f>
        <v>https://si.geilicdn.com/open1839115443-252808396-3f9b0000019e2fa5638d0aa08239_1080_1440.jpg?w=640&amp;h=640</v>
      </c>
      <c r="F71" t="inlineStr">
        <is>
          <t>T-Shirts</t>
        </is>
      </c>
      <c r="G71" t="inlineStr">
        <is>
          <t>Dolce &amp; Gabbana</t>
        </is>
      </c>
      <c r="H71">
        <v>80</v>
      </c>
      <c r="I71">
        <v>11.59</v>
      </c>
      <c r="J71" t="inlineStr">
        <is>
          <t>{"id":"resp_06a0ecabb677906b016a0858cf46908197986407913f51d799","object":"chat.completion","created":1778931924,"model":"gpt-5.5","choices":[{"index":0,"message":{"role":"assistant","content":"Dolce &amp; Gabbana White DG Logo Cotton T-Shirt Unisex"},"finish_reason":"stop"}],"usage":{"prompt_tokens":902,"completion_tokens":135,"total_tokens":1037}}</t>
        </is>
      </c>
      <c r="K71" t="inlineStr">
        <is>
          <t>Dolce &amp; Gabbana White DG Logo Cotton T-Shirt Unisex</t>
        </is>
      </c>
      <c r="L71" t="inlineStr">
        <is>
          <t>{"id":"resp_0d9f09fc66bf5caa016a08575c3cc0819aa85b06b975b41c02","object":"chat.completion","created":1778931551,"model":"gpt-5.5","choices":[{"index":0,"message":{"role":"assistant","content":"Dolce &amp; Gabbana white cotton short sleeve T-shirt, crew neck casual fit, DG logo print, minimalist streetwear unisex top for men and women"},"finish_reason":"stop"}],"usage":{"prompt_tokens":921,"completion_tokens":106,"total_tokens":1027}}</t>
        </is>
      </c>
      <c r="M71" t="inlineStr">
        <is>
          <t>{"alt-svc":"h3=\":443\"; ma=2592000","connection":"close","content-length":"438","content-type":"application/json; charset=utf-8","date":"Sat, 16 May 2026 11:39:11 GMT","referrer-policy":"strict-origin-when-cross-origin","server":"nginx/1.24.0 (Ubuntu)","strict-transport-security":"max-age=31536000; includeSubDomains; preload","vary":"Accept-Encoding","via":"1.1 Caddy","x-content-type-options":"nosniff","x-frame-options":"DENY","x-new-api-version":"v1.0.0-rc.2","x-oneapi-request-id":"202605161139078030943328268d9d6q8gJ11Lf","x-request-id":"e7135eb8-fbdb-482a-a728-8f0b2b2b776d"}</t>
        </is>
      </c>
      <c r="N71" t="inlineStr">
        <is>
          <t>Dolce &amp; Gabbana white cotton short sleeve T-shirt, crew neck casual fit, DG logo print, minimalist streetwear unisex top for men and women</t>
        </is>
      </c>
      <c r="O71" t="inlineStr">
        <is>
          <t>{"id":"resp_0850fcd00dc59167016a085b8217e08197998a864cceb58d74","object":"chat.completion","created":1778932616,"model":"gpt-5.5","choices":[{"index":0,"message":{"role":"assistant","content":"Dolce &amp; Gabbana T-Shirts kakobuy, Dolce &amp; Gabbana T-Shirts kakebuy2026, Dolce &amp; Gabbana T-Shirts kekobuysheet, Dolce &amp; Gabbana T-Shirts kakobuysheet2026, Dolce &amp; Gabbana T-Shirts 2026kakobuy, Dolce &amp; Gabbana T-Shirts kakobuyspreadsheeet, Dolce &amp; Gabbana T-Shirts kakobuylink, Dolce &amp; Gabbana T-Shirts kakebuylist, Dolce &amp; Gabbana T-Shirts Kakobuy MEGA Spreadsheet, Dolce &amp; Gabbana T-Shirts kakobuysheetfind, Dolce &amp; Gabbana T-Shirts kakobuysheetfind2026, Dolce &amp; Gabbana T-Shirts 2026kakobuysheetfind, Dolce &amp; Gabbana T-Shirts kakobuysheet2026"},"finish_reason":"stop"}],"usage":{"prompt_tokens":816,"completion_tokens":270,"total_tokens":1086}}</t>
        </is>
      </c>
      <c r="P71" t="inlineStr">
        <is>
          <t>Dolce &amp; Gabbana T-Shirts kakobuy, Dolce &amp; Gabbana T-Shirts kakebuy2026, Dolce &amp; Gabbana T-Shirts kekobuysheet, Dolce &amp; Gabbana T-Shirts kakobuysheet2026, Dolce &amp; Gabbana T-Shirts 2026kakobuy, Dolce &amp; Gabbana T-Shirts kakobuyspreadsheeet, Dolce &amp; Gabbana T-Shirts kakobuylink, Dolce &amp; Gabbana T-Shirts kakebuylist, Dolce &amp; Gabbana T-Shirts Kakobuy MEGA Spreadsheet, Dolce &amp; Gabbana T-Shirts kakobuysheetfind, Dolce &amp; Gabbana T-Shirts kakobuysheetfind2026, Dolce &amp; Gabbana T-Shirts 2026kakobuysheetfind, Dolce &amp; Gabbana T-Shirts kakobuysheet2026</t>
        </is>
      </c>
      <c r="Q71" t="inlineStr">
        <is>
          <t>White, Minimalist, Streetwear, Unisex</t>
        </is>
      </c>
      <c r="R71" t="inlineStr">
        <is>
          <t>recvjLGOf4xn6Z</t>
        </is>
      </c>
      <c r="S71" t="inlineStr">
        <is>
          <t>dg-white-logo-cotton-tshirt-recvjlgof4xn6z</t>
        </is>
      </c>
      <c r="T71"/>
      <c r="U71"/>
      <c r="V71"/>
      <c r="W71" t="inlineStr">
        <is>
          <t>{"id":"resp_0f7101def28287ad016a0855fa424c819882f06599f14b891c","object":"chat.completion","created":1778931198,"model":"gpt-5.5","choices":[{"index":0,"message":{"role":"assistant","content":"杜嘉班纳 Dolce &amp; Gabbana 白色棉质短袖T恤，圆领休闲版型，胸前DG字母标识印花，简约街头风男女同款上衣"},"finish_reason":"stop"}],"usage":{"prompt_tokens":1347,"completion_tokens":153,"total_tokens":1500}}</t>
        </is>
      </c>
      <c r="X71" t="inlineStr">
        <is>
          <t>杜嘉班纳 Dolce &amp; Gabbana 白色棉质短袖T恤，圆领休闲版型，胸前DG字母标识印花，简约街头风男女同款上衣</t>
        </is>
      </c>
    </row>
    <row r="72" ht="25.5" customHeight="1">
      <c r="A72">
        <v>1839115443</v>
      </c>
      <c r="B72">
        <v>7768099594</v>
      </c>
      <c r="C72" s="2" t="str">
        <f>=HYPERLINK("https://weidian.com/item.html?itemID=7768099594", "https://weidian.com/item.html?itemID=7768099594")</f>
        <v>https://weidian.com/item.html?itemID=7768099594</v>
      </c>
      <c r="D72"/>
      <c r="E72" s="2" t="str">
        <f>=HYPERLINK("https://si.geilicdn.com/open1839115443-252808396-3da10000019e2fabf8580aa08269_960_1280.jpg?w=640&amp;h=640", "https://si.geilicdn.com/open1839115443-252808396-3da10000019e2fabf8580aa08269_960_1280.jpg?w=640&amp;h=640")</f>
        <v>https://si.geilicdn.com/open1839115443-252808396-3da10000019e2fabf8580aa08269_960_1280.jpg?w=640&amp;h=640</v>
      </c>
      <c r="F72" t="inlineStr">
        <is>
          <t>T-Shirts</t>
        </is>
      </c>
      <c r="G72" t="inlineStr">
        <is>
          <t>Versace</t>
        </is>
      </c>
      <c r="H72">
        <v>80</v>
      </c>
      <c r="I72">
        <v>11.59</v>
      </c>
      <c r="J72" t="inlineStr">
        <is>
          <t>{"id":"resp_074160e693df0588016a085983dd80819b9703dcad9451f223","object":"chat.completion","created":1778932106,"model":"gpt-5.5","choices":[{"index":0,"message":{"role":"assistant","content":"Versace White Cotton Baroque Logo Unisex Short Sleeve Tee"},"finish_reason":"stop"}],"usage":{"prompt_tokens":895,"completion_tokens":314,"total_tokens":1209}}</t>
        </is>
      </c>
      <c r="K72" t="inlineStr">
        <is>
          <t>Versace White Cotton Baroque Logo Unisex Short Sleeve Tee</t>
        </is>
      </c>
      <c r="L72" t="inlineStr">
        <is>
          <t>{"id":"resp_0300bf8ac14fc41e016a085747552081978ea3e8841dbdeeb0","object":"chat.completion","created":1778931531,"model":"gpt-5.5","choices":[{"index":0,"message":{"role":"assistant","content":"Versace white cotton short sleeve T-shirt, breathable unisex tee with front letter logo and Baroque print, casual streetwear top for men and women."},"finish_reason":"stop"}],"usage":{"prompt_tokens":915,"completion_tokens":135,"total_tokens":1050}}</t>
        </is>
      </c>
      <c r="M72" t="inlineStr">
        <is>
          <t>{"alt-svc":"h3=\":443\"; ma=2592000","connection":"close","content-length":"442","content-type":"application/json; charset=utf-8","date":"Sat, 16 May 2026 11:38:51 GMT","referrer-policy":"strict-origin-when-cross-origin","server":"nginx/1.24.0 (Ubuntu)","strict-transport-security":"max-age=31536000; includeSubDomains; preload","vary":"Accept-Encoding","via":"1.1 Caddy","x-content-type-options":"nosniff","x-frame-options":"DENY","x-new-api-version":"v1.0.0-rc.2","x-oneapi-request-id":"202605161138471515299028268d9d6eWBkoV51","x-request-id":"219486c9-cd87-4d5a-9d60-0b915daf692e"}</t>
        </is>
      </c>
      <c r="N72" t="inlineStr">
        <is>
          <t>Versace white cotton short sleeve T-shirt, breathable unisex tee with front letter logo and Baroque print, casual streetwear top for men and women.</t>
        </is>
      </c>
      <c r="O72" t="inlineStr">
        <is>
          <t>{"id":"resp_0b85d14755c42e95016a085a3ee3108196a875e9743ba9919d","object":"chat.completion","created":1778932297,"model":"gpt-5.5","choices":[{"index":0,"message":{"role":"assistant","content":"Versace T-Shirts kakobuy, Versace T-Shirts kakebuy2026, Versace T-Shirts kekobuysheet, Versace T-Shirts kakobuysheet2026, Versace T-Shirts 2026kakobuy, Versace T-Shirts kakobuyspreadsheeet, Versace T-Shirts kakobuylink, Versace T-Shirts kakebuylist, Versace T-Shirts Kakobuy MEGA Spreadsheet, Versace T-Shirts kakobuysheetfind, Versace T-Shirts kakobuysheetfind2026, Versace T-Shirts 2026kakobuysheetfind, Versace T-Shirts kakobuysheet2026"},"finish_reason":"stop"}],"usage":{"prompt_tokens":812,"completion_tokens":412,"total_tokens":1224}}</t>
        </is>
      </c>
      <c r="P72" t="inlineStr">
        <is>
          <t>Versace T-Shirts kakobuy, Versace T-Shirts kakebuy2026, Versace T-Shirts kekobuysheet, Versace T-Shirts kakobuysheet2026, Versace T-Shirts 2026kakobuy, Versace T-Shirts kakobuyspreadsheeet, Versace T-Shirts kakobuylink, Versace T-Shirts kakebuylist, Versace T-Shirts Kakobuy MEGA Spreadsheet, Versace T-Shirts kakobuysheetfind, Versace T-Shirts kakobuysheetfind2026, Versace T-Shirts 2026kakobuysheetfind, Versace T-Shirts kakobuysheet2026</t>
        </is>
      </c>
      <c r="Q72" t="inlineStr">
        <is>
          <t>White, Breathable, Streetwear, Unisex</t>
        </is>
      </c>
      <c r="R72" t="inlineStr">
        <is>
          <t>recvjLGOf4Lpn8</t>
        </is>
      </c>
      <c r="S72" t="inlineStr">
        <is>
          <t>versace-baroque-logo-tee-recvjlgof4lpn8</t>
        </is>
      </c>
      <c r="T72"/>
      <c r="U72"/>
      <c r="V72"/>
      <c r="W72" t="inlineStr">
        <is>
          <t>{"id":"resp_0c489d66a6c8509c016a085619d36481989d0bcf7ad7606b94","object":"chat.completion","created":1778931230,"model":"gpt-5.5","choices":[{"index":0,"message":{"role":"assistant","content":"范思哲Versace白色短袖T恤，纯棉舒适透气，胸前字母Logo融合巴洛克图腾印花，休闲街头风格，男女同款潮流上衣。"},"finish_reason":"stop"}],"usage":{"prompt_tokens":1331,"completion_tokens":177,"total_tokens":1508}}</t>
        </is>
      </c>
      <c r="X72" t="inlineStr">
        <is>
          <t>范思哲Versace白色短袖T恤，纯棉舒适透气，胸前字母Logo融合巴洛克图腾印花，休闲街头风格，男女同款潮流上衣。</t>
        </is>
      </c>
    </row>
    <row r="73" ht="25.5" customHeight="1">
      <c r="A73">
        <v>1839115443</v>
      </c>
      <c r="B73">
        <v>7765713857</v>
      </c>
      <c r="C73" s="2" t="str">
        <f>=HYPERLINK("https://weidian.com/item.html?itemID=7765713857", "https://weidian.com/item.html?itemID=7765713857")</f>
        <v>https://weidian.com/item.html?itemID=7765713857</v>
      </c>
      <c r="D73"/>
      <c r="E73" s="2" t="str">
        <f>=HYPERLINK("https://si.geilicdn.com/open1839115443-252808396-48490000019e2fab636e0a23b4de_1080_1080.jpg?w=640&amp;h=640", "https://si.geilicdn.com/open1839115443-252808396-48490000019e2fab636e0a23b4de_1080_1080.jpg?w=640&amp;h=640")</f>
        <v>https://si.geilicdn.com/open1839115443-252808396-48490000019e2fab636e0a23b4de_1080_1080.jpg?w=640&amp;h=640</v>
      </c>
      <c r="F73" t="inlineStr">
        <is>
          <t>T-Shirts</t>
        </is>
      </c>
      <c r="G73" t="inlineStr">
        <is>
          <t xml:space="preserve"> Louis Vuitton</t>
        </is>
      </c>
      <c r="H73">
        <v>88</v>
      </c>
      <c r="I73">
        <v>12.75</v>
      </c>
      <c r="J73" t="inlineStr">
        <is>
          <t>{"id":"resp_072d298d7e3267ce016a0858d3a194819b89ab1af53d1ac4f7","object":"chat.completion","created":1778931927,"model":"gpt-5.5","choices":[{"index":0,"message":{"role":"assistant","content":"Louis Vuitton Pixel LV White Cotton T-Shirt Unisex"},"finish_reason":"stop"}],"usage":{"prompt_tokens":722,"completion_tokens":130,"total_tokens":852}}</t>
        </is>
      </c>
      <c r="K73" t="inlineStr">
        <is>
          <t>Louis Vuitton Pixel LV White Cotton T-Shirt Unisex</t>
        </is>
      </c>
      <c r="L73" t="inlineStr">
        <is>
          <t>{"id":"resp_029260eaff20d0be016a0857bed2cc8194b66d25579c27624d","object":"chat.completion","created":1778931650,"model":"gpt-5.5","choices":[{"index":0,"message":{"role":"assistant","content":"Louis Vuitton white cotton short sleeve T-shirt, crew neck, black pixel LV logo graphic, unisex casual streetwear top for men and women"},"finish_reason":"stop"}],"usage":{"prompt_tokens":742,"completion_tokens":141,"total_tokens":883}}</t>
        </is>
      </c>
      <c r="M73" t="inlineStr">
        <is>
          <t>{"alt-svc":"h3=\":443\"; ma=2592000","connection":"close","content-length":"429","content-type":"application/json; charset=utf-8","date":"Sat, 16 May 2026 11:40:50 GMT","referrer-policy":"strict-origin-when-cross-origin","server":"nginx/1.24.0 (Ubuntu)","strict-transport-security":"max-age=31536000; includeSubDomains; preload","vary":"Accept-Encoding","via":"1.1 Caddy","x-content-type-options":"nosniff","x-frame-options":"DENY","x-new-api-version":"v1.0.0-rc.2","x-oneapi-request-id":"202605161140464514612838268d9d6uXbUolvk","x-request-id":"58d2cca9-e24e-4c4c-958d-2bc54edded97"}</t>
        </is>
      </c>
      <c r="N73" t="inlineStr">
        <is>
          <t>Louis Vuitton white cotton short sleeve T-shirt, crew neck, black pixel LV logo graphic, unisex casual streetwear top for men and women</t>
        </is>
      </c>
      <c r="O73" t="inlineStr">
        <is>
          <t>{"id":"resp_034d6e5f53bd8b6c016a085b8eec04819a9848d3bb8009d842","object":"chat.completion","created":1778932634,"model":"gpt-5.5","choices":[{"index":0,"message":{"role":"assistant","content":"Louis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2026kakobuysheetfind"},"finish_reason":"stop"}],"usage":{"prompt_tokens":644,"completion_tokens":554,"total_tokens":1198}}</t>
        </is>
      </c>
      <c r="P73"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t>
        </is>
      </c>
      <c r="Q73" t="inlineStr">
        <is>
          <t>LV, White, Streetwear, Unisex, Summer</t>
        </is>
      </c>
      <c r="R73" t="inlineStr">
        <is>
          <t>recvjLGOf4PXUV</t>
        </is>
      </c>
      <c r="S73" t="inlineStr">
        <is>
          <t>louis-vuitton-pixel-lv-white-cotton-t-shirt-recvjlgof4pxuv</t>
        </is>
      </c>
      <c r="T73"/>
      <c r="U73"/>
      <c r="V73"/>
      <c r="W73" t="inlineStr">
        <is>
          <t>{"id":"resp_040d09df4e3c92b0016a0855a4129c8196b38207635d7230d2","object":"chat.completion","created":1778931111,"model":"gpt-5.5","choices":[{"index":0,"message":{"role":"assistant","content":"路易威登 白色短袖T恤，柔软棉质圆领设计，黑色像素风LV标识图腾，男女同款休闲街头风上衣"},"finish_reason":"stop"}],"usage":{"prompt_tokens":1167,"completion_tokens":117,"total_tokens":1284}}</t>
        </is>
      </c>
      <c r="X73" t="inlineStr">
        <is>
          <t>路易威登 白色短袖T恤，柔软棉质圆领设计，黑色像素风LV标识图腾，男女同款休闲街头风上衣</t>
        </is>
      </c>
    </row>
    <row r="74" ht="25.5" customHeight="1">
      <c r="A74">
        <v>1839115443</v>
      </c>
      <c r="B74">
        <v>7768674352</v>
      </c>
      <c r="C74" s="2" t="str">
        <f>=HYPERLINK("https://weidian.com/item.html?itemID=7768674352", "https://weidian.com/item.html?itemID=7768674352")</f>
        <v>https://weidian.com/item.html?itemID=7768674352</v>
      </c>
      <c r="D74"/>
      <c r="E74" s="2" t="str">
        <f>=HYPERLINK("https://si.geilicdn.com/open1839115443-252808396-43ac0000019e2fac4d660a231226_1080_1080.jpg?w=640&amp;h=640", "https://si.geilicdn.com/open1839115443-252808396-43ac0000019e2fac4d660a231226_1080_1080.jpg?w=640&amp;h=640")</f>
        <v>https://si.geilicdn.com/open1839115443-252808396-43ac0000019e2fac4d660a231226_1080_1080.jpg?w=640&amp;h=640</v>
      </c>
      <c r="F74" t="inlineStr">
        <is>
          <t>T-Shirts</t>
        </is>
      </c>
      <c r="G74" t="inlineStr">
        <is>
          <t xml:space="preserve"> Louis Vuitton</t>
        </is>
      </c>
      <c r="H74">
        <v>88</v>
      </c>
      <c r="I74">
        <v>12.75</v>
      </c>
      <c r="J74" t="inlineStr">
        <is>
          <t>{"id":"resp_050f2c325155fdb6016a08587e52d48198a49213a434057f9e","object":"chat.completion","created":1778931841,"model":"gpt-5.5","choices":[{"index":0,"message":{"role":"assistant","content":"Louis Vuitton White LV Graffiti Logo Cotton T-Shirt"},"finish_reason":"stop"}],"usage":{"prompt_tokens":719,"completion_tokens":133,"total_tokens":852}}</t>
        </is>
      </c>
      <c r="K74" t="inlineStr">
        <is>
          <t>Louis Vuitton White LV Graffiti Logo Cotton T-Shirt</t>
        </is>
      </c>
      <c r="L74" t="inlineStr">
        <is>
          <t>{"id":"resp_05a7730aabfb2f3d016a085708eb348195ae52316df8ec8d73","object":"chat.completion","created":1778931468,"model":"gpt-5.5","choices":[{"index":0,"message":{"role":"assistant","content":"Louis Vuitton white cotton crew neck T-shirt, relaxed unisex streetwear fit with back LV letter logo, star and cloud graffiti print."},"finish_reason":"stop"}],"usage":{"prompt_tokens":751,"completion_tokens":109,"total_tokens":860}}</t>
        </is>
      </c>
      <c r="M74" t="inlineStr">
        <is>
          <t>{"alt-svc":"h3=\":443\"; ma=2592000","connection":"close","content-length":"426","content-type":"application/json; charset=utf-8","date":"Sat, 16 May 2026 11:37:48 GMT","referrer-policy":"strict-origin-when-cross-origin","server":"nginx/1.24.0 (Ubuntu)","strict-transport-security":"max-age=31536000; includeSubDomains; preload","vary":"Accept-Encoding","via":"1.1 Caddy","x-content-type-options":"nosniff","x-frame-options":"DENY","x-new-api-version":"v1.0.0-rc.2","x-oneapi-request-id":"202605161137447060385398268d9d6zEgsM5vm","x-request-id":"8a74e035-990a-4ff1-aaab-8962af419500"}</t>
        </is>
      </c>
      <c r="N74" t="inlineStr">
        <is>
          <t>Louis Vuitton white cotton crew neck T-shirt, relaxed unisex streetwear fit with back LV letter logo, star and cloud graffiti print.</t>
        </is>
      </c>
      <c r="O74" t="inlineStr">
        <is>
          <t>{"id":"resp_0f07ea99fdf6a8d6016a085a422ff48194a89d35b98a63e421","object":"chat.completion","created":1778932300,"model":"gpt-5.5","choices":[{"index":0,"message":{"role":"assistant","content":"Louis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kakobuysheet2026"},"finish_reason":"stop"}],"usage":{"prompt_tokens":644,"completion_tokens":393,"total_tokens":1037}}</t>
        </is>
      </c>
      <c r="P74"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74" t="inlineStr">
        <is>
          <t>LV, White, Streetwear, Unisex</t>
        </is>
      </c>
      <c r="R74" t="inlineStr">
        <is>
          <t>recvjLGOf47Uis</t>
        </is>
      </c>
      <c r="S74" t="inlineStr">
        <is>
          <t>louis-vuitton-white-lv-graffiti-logo-cotton-t-shirt-recvjlgof47uis</t>
        </is>
      </c>
      <c r="T74"/>
      <c r="U74"/>
      <c r="V74"/>
      <c r="W74" t="inlineStr">
        <is>
          <t>{"id":"resp_0aace1de8b827358016a0855e4bea481998f1dfdf7c42d7dd6","object":"chat.completion","created":1778931176,"model":"gpt-5.5","choices":[{"index":0,"message":{"role":"assistant","content":"路易威登白色短袖T恤，棉质圆领休闲版型，背面Louis Vuitton字母Logo与星星云朵涂鸦图腾设计，男女同款街头潮流上衣"},"finish_reason":"stop"}],"usage":{"prompt_tokens":1165,"completion_tokens":160,"total_tokens":1325}}</t>
        </is>
      </c>
      <c r="X74" t="inlineStr">
        <is>
          <t>路易威登白色短袖T恤，棉质圆领休闲版型，背面Louis Vuitton字母Logo与星星云朵涂鸦图腾设计，男女同款街头潮流上衣</t>
        </is>
      </c>
    </row>
    <row r="75" ht="25.5" customHeight="1">
      <c r="A75">
        <v>1839115443</v>
      </c>
      <c r="B75">
        <v>7768686038</v>
      </c>
      <c r="C75" s="2" t="str">
        <f>=HYPERLINK("https://weidian.com/item.html?itemID=7768686038", "https://weidian.com/item.html?itemID=7768686038")</f>
        <v>https://weidian.com/item.html?itemID=7768686038</v>
      </c>
      <c r="D75"/>
      <c r="E75" s="2" t="str">
        <f>=HYPERLINK("https://si.geilicdn.com/open1839115443-252808396-27a50000019e2fabeef00a8133b0_960_960.jpg?w=640&amp;h=640", "https://si.geilicdn.com/open1839115443-252808396-27a50000019e2fabeef00a8133b0_960_960.jpg?w=640&amp;h=640")</f>
        <v>https://si.geilicdn.com/open1839115443-252808396-27a50000019e2fabeef00a8133b0_960_960.jpg?w=640&amp;h=640</v>
      </c>
      <c r="F75" t="inlineStr">
        <is>
          <t>T-Shirts</t>
        </is>
      </c>
      <c r="G75" t="inlineStr">
        <is>
          <t xml:space="preserve"> Louis Vuitton</t>
        </is>
      </c>
      <c r="H75">
        <v>88</v>
      </c>
      <c r="I75">
        <v>12.75</v>
      </c>
      <c r="J75" t="inlineStr">
        <is>
          <t>{"id":"resp_0b1ad98b7bbfc92b016a0859653540819bba9b8b871814c130","object":"chat.completion","created":1778932073,"model":"gpt-5.5","choices":[{"index":0,"message":{"role":"assistant","content":"Louis Vuitton Black Cotton T-Shirt Blue LV Logo Unisex"},"finish_reason":"stop"}],"usage":{"prompt_tokens":711,"completion_tokens":157,"total_tokens":868}}</t>
        </is>
      </c>
      <c r="K75" t="inlineStr">
        <is>
          <t>Louis Vuitton Black Cotton T-Shirt Blue LV Logo Unisex</t>
        </is>
      </c>
      <c r="L75" t="inlineStr">
        <is>
          <t>{"id":"resp_080868a50c12297c016a0857006ad481939e78fcac848cce59","object":"chat.completion","created":1778931458,"model":"gpt-5.5","choices":[{"index":0,"message":{"role":"assistant","content":"Louis Vuitton black cotton crew neck T-shirt with blue LV logo print, unisex short sleeve casual streetwear top."},"finish_reason":"stop"}],"usage":{"prompt_tokens":740,"completion_tokens":24,"total_tokens":764}}</t>
        </is>
      </c>
      <c r="M75" t="inlineStr">
        <is>
          <t>{"alt-svc":"h3=\":443\"; ma=2592000","connection":"close","content-length":"405","content-type":"application/json; charset=utf-8","date":"Sat, 16 May 2026 11:37:38 GMT","referrer-policy":"strict-origin-when-cross-origin","server":"Caddy","strict-transport-security":"max-age=31536000; includeSubDomains; preload","vary":"Accept-Encoding","x-content-type-options":"nosniff","x-frame-options":"DENY","x-new-api-version":"v1.0.0-rc.2","x-oneapi-request-id":"202605161137361495172098268d9d6SBKlRVVw","x-request-id":"7caaad41-743d-4a2c-8e72-de3dee2fe5a6"}</t>
        </is>
      </c>
      <c r="N75" t="inlineStr">
        <is>
          <t>Louis Vuitton black cotton crew neck T-shirt with blue LV logo print, unisex short sleeve casual streetwear top.</t>
        </is>
      </c>
      <c r="O75" t="inlineStr">
        <is>
          <t>{"id":"resp_0e7855ba72788e1f016a085a6573c08197a7786661e4059149","object":"chat.completion","created":1778932331,"model":"gpt-5.5","choices":[{"index":0,"message":{"role":"assistant","content":"Louis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kakobuysheet2026"},"finish_reason":"stop"}],"usage":{"prompt_tokens":644,"completion_tokens":259,"total_tokens":903}}</t>
        </is>
      </c>
      <c r="P75"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75" t="inlineStr">
        <is>
          <t>LV, Black, Streetwear, Unisex, Summer</t>
        </is>
      </c>
      <c r="R75" t="inlineStr">
        <is>
          <t>recvjLGOf4lHpM</t>
        </is>
      </c>
      <c r="S75" t="inlineStr">
        <is>
          <t>louis-vuitton-black-cotton-tshirt-blue-lv-logo-recvjlgof4lhpM</t>
        </is>
      </c>
      <c r="T75"/>
      <c r="U75"/>
      <c r="V75"/>
      <c r="W75" t="inlineStr">
        <is>
          <t>{"id":"resp_03082672138d173a016a0855c51ac881999948f896ea2d16ca","object":"chat.completion","created":1778931145,"model":"gpt-5.5","choices":[{"index":0,"message":{"role":"assistant","content":"路易威登 Louis Vuitton 黑色短袖T恤，棉质圆领版型，胸前蓝色LV标识印花，男女同款休闲潮流上衣。"},"finish_reason":"stop"}],"usage":{"prompt_tokens":1165,"completion_tokens":150,"total_tokens":1315}}</t>
        </is>
      </c>
      <c r="X75" t="inlineStr">
        <is>
          <t>路易威登 Louis Vuitton 黑色短袖T恤，棉质圆领版型，胸前蓝色LV标识印花，男女同款休闲潮流上衣。</t>
        </is>
      </c>
    </row>
    <row r="76" ht="25.5" customHeight="1">
      <c r="A76">
        <v>1839115443</v>
      </c>
      <c r="B76">
        <v>7765153143</v>
      </c>
      <c r="C76" s="2" t="str">
        <f>=HYPERLINK("https://weidian.com/item.html?itemID=7765153143", "https://weidian.com/item.html?itemID=7765153143")</f>
        <v>https://weidian.com/item.html?itemID=7765153143</v>
      </c>
      <c r="D76"/>
      <c r="E76" s="2" t="str">
        <f>=HYPERLINK("https://si.geilicdn.com/open1839115443-252808396-3a7d0000019e2f9c5baa0a23b491_1080_1080.jpg?w=750&amp;h=750", "https://si.geilicdn.com/open1839115443-252808396-3a7d0000019e2f9c5baa0a23b491_1080_1080.jpg?w=750&amp;h=750")</f>
        <v>https://si.geilicdn.com/open1839115443-252808396-3a7d0000019e2f9c5baa0a23b491_1080_1080.jpg?w=750&amp;h=750</v>
      </c>
      <c r="F76" t="inlineStr">
        <is>
          <t>Pans</t>
        </is>
      </c>
      <c r="G76" t="inlineStr">
        <is>
          <t>Balenciaga</t>
        </is>
      </c>
      <c r="H76">
        <v>474</v>
      </c>
      <c r="I76">
        <v>68.7</v>
      </c>
      <c r="J76" t="inlineStr">
        <is>
          <t>{"id":"resp_0bd13b56b571d55b016a08596e1304819aaad4bcaa4efb4ad1","object":"chat.completion","created":1778932083,"model":"gpt-5.5","choices":[{"index":0,"message":{"role":"assistant","content":"Balenciaga Grey Wide Leg Logo Waist Unisex Sweatpants"},"finish_reason":"stop"}],"usage":{"prompt_tokens":948,"completion_tokens":228,"total_tokens":1176}}</t>
        </is>
      </c>
      <c r="K76" t="inlineStr">
        <is>
          <t>Balenciaga Grey Wide Leg Logo Waist Unisex Sweatpants</t>
        </is>
      </c>
      <c r="L76" t="inlineStr">
        <is>
          <t>{"id":"resp_00aa74188a5b229c016a0856d1b3688193b32ecaf2fb809aab","object":"chat.completion","created":1778931414,"model":"gpt-5.5","choices":[{"index":0,"message":{"role":"assistant","content":"Balenciaga grey loose wide-leg sweatpants, white logo high elastic waist, cotton-blend terry, side pockets, raw hems, Demna streetwear unisex trousers"},"finish_reason":"stop"}],"usage":{"prompt_tokens":970,"completion_tokens":149,"total_tokens":1119}}</t>
        </is>
      </c>
      <c r="M76" t="inlineStr">
        <is>
          <t>{"alt-svc":"h3=\":443\"; ma=2592000","connection":"close","content-length":"445","content-type":"application/json; charset=utf-8","date":"Sat, 16 May 2026 11:36:54 GMT","referrer-policy":"strict-origin-when-cross-origin","server":"nginx/1.24.0 (Ubuntu)","strict-transport-security":"max-age=31536000; includeSubDomains; preload","vary":"Accept-Encoding","via":"1.1 Caddy","x-content-type-options":"nosniff","x-frame-options":"DENY","x-new-api-version":"v1.0.0-rc.2","x-oneapi-request-id":"202605161136495256038318268d9d6TVukD6RU","x-request-id":"15cb80c2-1927-4a0a-9d57-337ed3f66528"}</t>
        </is>
      </c>
      <c r="N76" t="inlineStr">
        <is>
          <t>Balenciaga grey loose wide-leg sweatpants, white logo high elastic waist, cotton-blend terry, side pockets, raw hems, Demna streetwear unisex trousers</t>
        </is>
      </c>
      <c r="O76" t="inlineStr">
        <is>
          <t>{"id":"resp_0215895e098fd5b7016a085b52dd6c8193863a9c083678520d","object":"chat.completion","created":1778932569,"model":"gpt-5.5","choices":[{"index":0,"message":{"role":"assistant","content":"Balenciaga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kakobuysheet2026"},"finish_reason":"stop"}],"usage":{"prompt_tokens":856,"completion_tokens":258,"total_tokens":1114}}</t>
        </is>
      </c>
      <c r="P76"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76" t="inlineStr">
        <is>
          <t>Balenciaga, Grey, Streetwear, Unisex</t>
        </is>
      </c>
      <c r="R76" t="inlineStr">
        <is>
          <t>recvjLGOf4gxeU</t>
        </is>
      </c>
      <c r="S76" t="inlineStr">
        <is>
          <t>balenciaga-grey-wide-leg-logo-waist-sweatpants-recvjlgof4gxeu</t>
        </is>
      </c>
      <c r="T76"/>
      <c r="U76"/>
      <c r="V76"/>
      <c r="W76" t="inlineStr">
        <is>
          <t>{"id":"resp_0e53bbb3e7486936016a085607b03881998af83a545458e0f1","object":"chat.completion","created":1778931212,"model":"gpt-5.5","choices":[{"index":0,"message":{"role":"assistant","content":"巴黎世家Balenciaga灰色宽松阔腿运动裤，白色Logo高腰松紧腰头，棉混纺毛圈面料，侧袋毛边裤脚，Demna街头休闲男女同款长裤"},"finish_reason":"stop"}],"usage":{"prompt_tokens":1388,"completion_tokens":192,"total_tokens":1580}}</t>
        </is>
      </c>
      <c r="X76" t="inlineStr">
        <is>
          <t>巴黎世家Balenciaga灰色宽松阔腿运动裤，白色Logo高腰松紧腰头，棉混纺毛圈面料，侧袋毛边裤脚，Demna街头休闲男女同款长裤</t>
        </is>
      </c>
    </row>
    <row r="77" ht="25.5" customHeight="1">
      <c r="A77">
        <v>1839115443</v>
      </c>
      <c r="B77">
        <v>7768628822</v>
      </c>
      <c r="C77" s="2" t="str">
        <f>=HYPERLINK("https://weidian.com/item.html?itemID=7768628822", "https://weidian.com/item.html?itemID=7768628822")</f>
        <v>https://weidian.com/item.html?itemID=7768628822</v>
      </c>
      <c r="D77"/>
      <c r="E77" s="2" t="str">
        <f>=HYPERLINK("https://si.geilicdn.com/open1839115443-252808396-35710000019e2f9c54dc0aa08239_1080_1080.jpg?w=640&amp;h=640", "https://si.geilicdn.com/open1839115443-252808396-35710000019e2f9c54dc0aa08239_1080_1080.jpg?w=640&amp;h=640")</f>
        <v>https://si.geilicdn.com/open1839115443-252808396-35710000019e2f9c54dc0aa08239_1080_1080.jpg?w=640&amp;h=640</v>
      </c>
      <c r="F77" t="inlineStr">
        <is>
          <t>Pans</t>
        </is>
      </c>
      <c r="G77" t="inlineStr">
        <is>
          <t>Balenciaga</t>
        </is>
      </c>
      <c r="H77">
        <v>444</v>
      </c>
      <c r="I77">
        <v>64.35</v>
      </c>
      <c r="J77" t="inlineStr">
        <is>
          <t>{"id":"resp_0088ca182f4d7069016a0859adee1c81998ecb7420e245481c","object":"chat.completion","created":1778932147,"model":"gpt-5.5","choices":[{"index":0,"message":{"role":"assistant","content":"Balenciaga Grey Wide Leg Cotton Terry Sweatpants"},"finish_reason":"stop"}],"usage":{"prompt_tokens":723,"completion_tokens":138,"total_tokens":861}}</t>
        </is>
      </c>
      <c r="K77" t="inlineStr">
        <is>
          <t>Balenciaga Grey Wide Leg Cotton Terry Sweatpants</t>
        </is>
      </c>
      <c r="L77" t="inlineStr">
        <is>
          <t>{"id":"resp_05583f09aa78bff2016a0857828d1481979187fa4aa9535301","object":"chat.completion","created":1778931588,"model":"gpt-5.5","choices":[{"index":0,"message":{"role":"assistant","content":"Balenciaga grey loose wide-leg sweatpants, cotton terry knit, elastic waist, unisex streetwear casual pants for men and women"},"finish_reason":"stop"}],"usage":{"prompt_tokens":742,"completion_tokens":29,"total_tokens":771}}</t>
        </is>
      </c>
      <c r="M77" t="inlineStr">
        <is>
          <t>{"alt-svc":"h3=\":443\"; ma=2592000","connection":"close","content-length":"418","content-type":"application/json; charset=utf-8","date":"Sat, 16 May 2026 11:39:48 GMT","referrer-policy":"strict-origin-when-cross-origin","server":"nginx/1.24.0 (Ubuntu)","strict-transport-security":"max-age=31536000; includeSubDomains; preload","vary":"Accept-Encoding","via":"1.1 Caddy","x-content-type-options":"nosniff","x-frame-options":"DENY","x-new-api-version":"v1.0.0-rc.2","x-oneapi-request-id":"202605161139462757987978268d9d6h10fqdoA","x-request-id":"3b4c25af-31cf-4429-9995-890297076b1d"}</t>
        </is>
      </c>
      <c r="N77" t="inlineStr">
        <is>
          <t>Balenciaga grey loose wide-leg sweatpants, cotton terry knit, elastic waist, unisex streetwear casual pants for men and women</t>
        </is>
      </c>
      <c r="O77" t="inlineStr">
        <is>
          <t>{"id":"resp_00947ab12153a1ab016a085a93b74c81959483e33dc6e65f9a","object":"chat.completion","created":1778932377,"model":"gpt-5.5","choices":[{"index":0,"message":{"role":"assistant","content":"Balenciaga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kakobuysheet2026"},"finish_reason":"stop"}],"usage":{"prompt_tokens":645,"completion_tokens":218,"total_tokens":863}}</t>
        </is>
      </c>
      <c r="P77"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77" t="inlineStr">
        <is>
          <t>Balenciaga, Grey, Unisex, Streetwear</t>
        </is>
      </c>
      <c r="R77" t="inlineStr">
        <is>
          <t>recvjLGOf4x6Pc</t>
        </is>
      </c>
      <c r="S77" t="inlineStr">
        <is>
          <t>balenciaga-grey-wide-leg-terry-sweatpants-recvjlgof4x6pc</t>
        </is>
      </c>
      <c r="T77"/>
      <c r="U77"/>
      <c r="V77"/>
      <c r="W77" t="inlineStr">
        <is>
          <t>{"id":"resp_0cbfb923c2d7aa28016a08561785a881968493ebb04a841051","object":"chat.completion","created":1778931227,"model":"gpt-5.5","choices":[{"index":0,"message":{"role":"assistant","content":"巴黎世家Balenciaga灰色宽松阔腿运动裤，棉质针织毛圈面料，松紧腰休闲设计，中性街头风男女款长裤"},"finish_reason":"stop"}],"usage":{"prompt_tokens":1169,"completion_tokens":165,"total_tokens":1334}}</t>
        </is>
      </c>
      <c r="X77" t="inlineStr">
        <is>
          <t>巴黎世家Balenciaga灰色宽松阔腿运动裤，棉质针织毛圈面料，松紧腰休闲设计，中性街头风男女款长裤</t>
        </is>
      </c>
    </row>
    <row r="78" ht="25.5" customHeight="1">
      <c r="A78">
        <v>1839115443</v>
      </c>
      <c r="B78">
        <v>7765625061</v>
      </c>
      <c r="C78" s="2" t="str">
        <f>=HYPERLINK("https://weidian.com/item.html?itemID=7765625061", "https://weidian.com/item.html?itemID=7765625061")</f>
        <v>https://weidian.com/item.html?itemID=7765625061</v>
      </c>
      <c r="D78"/>
      <c r="E78" s="2" t="str">
        <f>=HYPERLINK("https://si.geilicdn.com/open1839115443-252808396-354d0000019e2f9c1ec10aa08239_1080_1080.jpg?w=640&amp;h=640", "https://si.geilicdn.com/open1839115443-252808396-354d0000019e2f9c1ec10aa08239_1080_1080.jpg?w=640&amp;h=640")</f>
        <v>https://si.geilicdn.com/open1839115443-252808396-354d0000019e2f9c1ec10aa08239_1080_1080.jpg?w=640&amp;h=640</v>
      </c>
      <c r="F78" t="inlineStr">
        <is>
          <t>Pans</t>
        </is>
      </c>
      <c r="G78" t="inlineStr">
        <is>
          <t>Balenciaga</t>
        </is>
      </c>
      <c r="H78">
        <v>374</v>
      </c>
      <c r="I78">
        <v>54.2</v>
      </c>
      <c r="J78" t="inlineStr">
        <is>
          <t>{"id":"resp_0e8e174c92d180bf016a0858d9f86c819a9149745e5f7ba7cc","object":"chat.completion","created":1778931933,"model":"gpt-5.5","choices":[{"index":0,"message":{"role":"assistant","content":"PansBalenciaga Black Wide Leg Drawstring Sweatpants"},"finish_reason":"stop"}],"usage":{"prompt_tokens":733,"completion_tokens":121,"total_tokens":854}}</t>
        </is>
      </c>
      <c r="K78" t="inlineStr">
        <is>
          <t>PansBalenciaga Black Wide Leg Drawstring Sweatpants</t>
        </is>
      </c>
      <c r="L78" t="inlineStr">
        <is>
          <t>{"id":"resp_0ac937ad5765b90f016a08578668308194bed650832c1f509c","object":"chat.completion","created":1778931594,"model":"gpt-5.5","choices":[{"index":0,"message":{"role":"assistant","content":"PansBalenciaga black loose wide-leg sweatpants, elastic drawstring waist, soft drape fabric, small white logo, unisex streetwear casual track pants"},"finish_reason":"stop"}],"usage":{"prompt_tokens":747,"completion_tokens":139,"total_tokens":886}}</t>
        </is>
      </c>
      <c r="M78" t="inlineStr">
        <is>
          <t>{"alt-svc":"h3=\":443\"; ma=2592000","connection":"close","content-length":"441","content-type":"application/json; charset=utf-8","date":"Sat, 16 May 2026 11:39:54 GMT","referrer-policy":"strict-origin-when-cross-origin","server":"nginx/1.24.0 (Ubuntu)","strict-transport-security":"max-age=31536000; includeSubDomains; preload","vary":"Accept-Encoding","via":"1.1 Caddy","x-content-type-options":"nosniff","x-frame-options":"DENY","x-new-api-version":"v1.0.0-rc.2","x-oneapi-request-id":"202605161139501606895768268d9d64ymeILjZ","x-request-id":"8aed555b-d82e-481d-81fb-b588e2b12324"}</t>
        </is>
      </c>
      <c r="N78" t="inlineStr">
        <is>
          <t>PansBalenciaga black loose wide-leg sweatpants, elastic drawstring waist, soft drape fabric, small white logo, unisex streetwear casual track pants</t>
        </is>
      </c>
      <c r="O78" t="inlineStr">
        <is>
          <t>{"id":"resp_02778051b5e4d2ad016a085adba7d88195ba3ff27041f8b4c6","object":"chat.completion","created":1778932450,"model":"gpt-5.5","choices":[{"index":0,"message":{"role":"assistant","content":"Balenciaga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kakobuysheet2026"},"finish_reason":"stop"}],"usage":{"prompt_tokens":645,"completion_tokens":245,"total_tokens":890}}</t>
        </is>
      </c>
      <c r="P78" t="inlineStr">
        <is>
          <t>Balenciaga pants kakobuy, Balenciaga pants kakebuy2026, Balenciaga pants kekobuysheet, Balenciaga pants kakobuysheet2026, Balenciaga pants 2026kakobuy, Balenciaga pants kakobuyspreadsheeet, Balenciaga pants kakobuylink, Balenciaga pants kakebuylist, Balenciaga pants Kakobuy MEGA Spreadsheet, Balenciaga pants kakobuysheetfind, Balenciaga pants kakobuysheetfind2026, Balenciaga pants 2026kakobuysheetfind, Balenciaga pants kakobuysheet2026</t>
        </is>
      </c>
      <c r="Q78" t="inlineStr">
        <is>
          <t>Balenciaga, Black, Streetwear, Unisex</t>
        </is>
      </c>
      <c r="R78" t="inlineStr">
        <is>
          <t>recvjLGOf4zWYa</t>
        </is>
      </c>
      <c r="S78" t="inlineStr">
        <is>
          <t>balenciaga-black-wide-leg-drawstring-sweatpants-recvjlgof4zwy</t>
        </is>
      </c>
      <c r="T78"/>
      <c r="U78"/>
      <c r="V78"/>
      <c r="W78" t="inlineStr">
        <is>
          <t>{"id":"resp_0c0adbbd6e81da06016a0855bf59a481909d886c15766a9742","object":"chat.completion","created":1778931139,"model":"gpt-5.5","choices":[{"index":0,"message":{"role":"assistant","content":"巴黎世家黑色宽松阔腿运动裤，弹力腰抽绳休闲功能，柔软垂感面料，小白标识设计，男女同款街头潮流长裤"},"finish_reason":"stop"}],"usage":{"prompt_tokens":1171,"completion_tokens":144,"total_tokens":1315}}</t>
        </is>
      </c>
      <c r="X78" t="inlineStr">
        <is>
          <t>巴黎世家黑色宽松阔腿运动裤，弹力腰抽绳休闲功能，柔软垂感面料，小白标识设计，男女同款街头潮流长裤</t>
        </is>
      </c>
    </row>
    <row r="79" ht="25.5" customHeight="1">
      <c r="A79">
        <v>1839115443</v>
      </c>
      <c r="B79">
        <v>7765705789</v>
      </c>
      <c r="C79" s="2" t="str">
        <f>=HYPERLINK("https://weidian.com/item.html?itemID=7765705789", "https://weidian.com/item.html?itemID=7765705789")</f>
        <v>https://weidian.com/item.html?itemID=7765705789</v>
      </c>
      <c r="D79"/>
      <c r="E79" s="2" t="str">
        <f>=HYPERLINK("https://si.geilicdn.com/open1839115443-252808396-209b0000019e2fa33dec0a8133b0_1080_1080.jpg?w=640&amp;h=640", "https://si.geilicdn.com/open1839115443-252808396-209b0000019e2fa33dec0a8133b0_1080_1080.jpg?w=640&amp;h=640")</f>
        <v>https://si.geilicdn.com/open1839115443-252808396-209b0000019e2fa33dec0a8133b0_1080_1080.jpg?w=640&amp;h=640</v>
      </c>
      <c r="F79" t="inlineStr">
        <is>
          <t>T-Shirts</t>
        </is>
      </c>
      <c r="G79" t="inlineStr">
        <is>
          <t xml:space="preserve"> Louis Vuitton</t>
        </is>
      </c>
      <c r="H79">
        <v>80</v>
      </c>
      <c r="I79">
        <v>11.59</v>
      </c>
      <c r="J79" t="inlineStr">
        <is>
          <t>{"id":"resp_02b6133ce3e3ddf4016a085911da548196a92390ea9b955be3","object":"chat.completion","created":1778931991,"model":"gpt-5.5","choices":[{"index":0,"message":{"role":"assistant","content":"Louis Vuitton White LV Totem Cotton Crew Neck T-Shirt"},"finish_reason":"stop"}],"usage":{"prompt_tokens":715,"completion_tokens":172,"total_tokens":887}}</t>
        </is>
      </c>
      <c r="K79" t="inlineStr">
        <is>
          <t>Louis Vuitton White LV Totem Cotton Crew Neck T-Shirt</t>
        </is>
      </c>
      <c r="L79" t="inlineStr">
        <is>
          <t>{"id":"resp_0c9bc284d155e0ca016a0856ea454081978438f5dd2a61187f","object":"chat.completion","created":1778931438,"model":"gpt-5.5","choices":[{"index":0,"message":{"role":"assistant","content":"Louis Vuitton white cotton crew neck T-shirt with black LV letter totem print, short sleeve unisex casual streetwear top."},"finish_reason":"stop"}],"usage":{"prompt_tokens":740,"completion_tokens":152,"total_tokens":892}}</t>
        </is>
      </c>
      <c r="M79" t="inlineStr">
        <is>
          <t>{"alt-svc":"h3=\":443\"; ma=2592000","connection":"close","content-length":"415","content-type":"application/json; charset=utf-8","date":"Sat, 16 May 2026 11:37:18 GMT","referrer-policy":"strict-origin-when-cross-origin","server":"nginx/1.24.0 (Ubuntu)","strict-transport-security":"max-age=31536000; includeSubDomains; preload","vary":"Accept-Encoding","via":"1.1 Caddy","x-content-type-options":"nosniff","x-frame-options":"DENY","x-new-api-version":"v1.0.0-rc.2","x-oneapi-request-id":"202605161137133243808048268d9d65TCyARGX","x-request-id":"cefe654c-3d12-4615-af6a-c2739a4fe586"}</t>
        </is>
      </c>
      <c r="N79" t="inlineStr">
        <is>
          <t>Louis Vuitton white cotton crew neck T-shirt with black LV letter totem print, short sleeve unisex casual streetwear top.</t>
        </is>
      </c>
      <c r="O79" t="inlineStr">
        <is>
          <t>{"id":"resp_0d01eec2de9180f9016a085b75c30081969bd3a0c7d1adb6d5","object":"chat.completion","created":1778932604,"model":"gpt-5.5","choices":[{"index":0,"message":{"role":"assistant","content":"Louis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kakobuysheet2026"},"finish_reason":"stop"}],"usage":{"prompt_tokens":644,"completion_tokens":325,"total_tokens":969}}</t>
        </is>
      </c>
      <c r="P79"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79" t="inlineStr">
        <is>
          <t>LV, White, Streetwear, Unisex</t>
        </is>
      </c>
      <c r="R79" t="inlineStr">
        <is>
          <t>recvjLGOf44y3W</t>
        </is>
      </c>
      <c r="S79" t="inlineStr">
        <is>
          <t>louis-vuitton-white-lv-totem-cotton-crew-neck-t-shirt-recvjlgof44y3w</t>
        </is>
      </c>
      <c r="T79"/>
      <c r="U79"/>
      <c r="V79"/>
      <c r="W79" t="inlineStr">
        <is>
          <t>{"id":"resp_0216e75c03eb606e016a085563ddc48194af1935f5919be684","object":"chat.completion","created":1778931048,"model":"gpt-5.5","choices":[{"index":0,"message":{"role":"assistant","content":"路易威登 Louis Vuitton 白色棉质圆领短袖T恤，黑色LV字母图腾印花，休闲街头风男女同款上衣"},"finish_reason":"stop"}],"usage":{"prompt_tokens":1169,"completion_tokens":126,"total_tokens":1295}}</t>
        </is>
      </c>
      <c r="X79" t="inlineStr">
        <is>
          <t>路易威登 Louis Vuitton 白色棉质圆领短袖T恤，黑色LV字母图腾印花，休闲街头风男女同款上衣</t>
        </is>
      </c>
    </row>
    <row r="80" ht="25.5" customHeight="1">
      <c r="A80">
        <v>1839115443</v>
      </c>
      <c r="B80">
        <v>7768599412</v>
      </c>
      <c r="C80" s="2" t="str">
        <f>=HYPERLINK("https://weidian.com/item.html?itemID=7768599412", "https://weidian.com/item.html?itemID=7768599412")</f>
        <v>https://weidian.com/item.html?itemID=7768599412</v>
      </c>
      <c r="D80"/>
      <c r="E80" s="2" t="str">
        <f>=HYPERLINK("https://si.geilicdn.com/open1839115443-252808396-41a70000019e2fa33c520a23b4de_1080_1080.jpg?w=640&amp;h=640", "https://si.geilicdn.com/open1839115443-252808396-41a70000019e2fa33c520a23b4de_1080_1080.jpg?w=640&amp;h=640")</f>
        <v>https://si.geilicdn.com/open1839115443-252808396-41a70000019e2fa33c520a23b4de_1080_1080.jpg?w=640&amp;h=640</v>
      </c>
      <c r="F80" t="inlineStr">
        <is>
          <t>T-Shirts</t>
        </is>
      </c>
      <c r="G80" t="inlineStr">
        <is>
          <t>Fendi</t>
        </is>
      </c>
      <c r="H80">
        <v>80</v>
      </c>
      <c r="I80">
        <v>11.59</v>
      </c>
      <c r="J80" t="inlineStr">
        <is>
          <t>{"id":"resp_078d034cf1af511b016a08591eec1c8193ae4d9b5e9ad3f5b9","object":"chat.completion","created":1778932003,"model":"gpt-5.5","choices":[{"index":0,"message":{"role":"assistant","content":"Fendi White Cotton T-Shirt Pink Pocket Letter Print Tee"},"finish_reason":"stop"}],"usage":{"prompt_tokens":721,"completion_tokens":161,"total_tokens":882}}</t>
        </is>
      </c>
      <c r="K80" t="inlineStr">
        <is>
          <t>Fendi White Cotton T-Shirt Pink Pocket Letter Print Tee</t>
        </is>
      </c>
      <c r="L80" t="inlineStr">
        <is>
          <t>{"id":"resp_01ada95732ec25a0016a08577c031c8193bb2cb85b4827a943","object":"chat.completion","created":1778931586,"model":"gpt-5.5","choices":[{"index":0,"message":{"role":"assistant","content":"Fendi white cotton short sleeve T-shirt, crew neck, pink pocket totem and letter print, unisex Italian casual streetwear tee."},"finish_reason":"stop"}],"usage":{"prompt_tokens":743,"completion_tokens":136,"total_tokens":879}}</t>
        </is>
      </c>
      <c r="M80" t="inlineStr">
        <is>
          <t>{"alt-svc":"h3=\":443\"; ma=2592000","connection":"close","content-length":"419","content-type":"application/json; charset=utf-8","date":"Sat, 16 May 2026 11:39:46 GMT","referrer-policy":"strict-origin-when-cross-origin","server":"Caddy","strict-transport-security":"max-age=31536000; includeSubDomains; preload","vary":"Accept-Encoding","x-content-type-options":"nosniff","x-frame-options":"DENY","x-new-api-version":"v1.0.0-rc.2","x-oneapi-request-id":"202605161139397606838838268d9d6EPhfrjyz","x-request-id":"23a28e71-20d2-46f2-9eca-0550ba7bc4c7"}</t>
        </is>
      </c>
      <c r="N80" t="inlineStr">
        <is>
          <t>Fendi white cotton short sleeve T-shirt, crew neck, pink pocket totem and letter print, unisex Italian casual streetwear tee.</t>
        </is>
      </c>
      <c r="O80" t="inlineStr">
        <is>
          <t>{"id":"resp_090b7aaca8c67807016a085a41d2688190afda80386797f709","object":"chat.completion","created":1778932295,"model":"gpt-5.5","choices":[{"index":0,"message":{"role":"assistant","content":"Fendi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kakobuysheet2026"},"finish_reason":"stop"}],"usage":{"prompt_tokens":644,"completion_tokens":229,"total_tokens":873}}</t>
        </is>
      </c>
      <c r="P80" t="inlineStr">
        <is>
          <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t>
        </is>
      </c>
      <c r="Q80" t="inlineStr">
        <is>
          <t>White, Streetwear, Unisex</t>
        </is>
      </c>
      <c r="R80" t="inlineStr">
        <is>
          <t>recvjLGOf4aDma</t>
        </is>
      </c>
      <c r="S80" t="inlineStr">
        <is>
          <t>fendi-white-cotton-pink-pocket-letter-print-tee-recvjlgof4adma</t>
        </is>
      </c>
      <c r="T80"/>
      <c r="U80"/>
      <c r="V80"/>
      <c r="W80" t="inlineStr">
        <is>
          <t>{"id":"resp_0b9ade27d97645e7016a0855befdbc8193b9856d94c780839a","object":"chat.completion","created":1778931139,"model":"gpt-5.5","choices":[{"index":0,"message":{"role":"assistant","content":"芬迪Fendi白色短袖T恤，棉质圆领，粉色口袋图腾与字母印花，意式休闲街头风男女同款上衣"},"finish_reason":"stop"}],"usage":{"prompt_tokens":1169,"completion_tokens":183,"total_tokens":1352}}</t>
        </is>
      </c>
      <c r="X80" t="inlineStr">
        <is>
          <t>芬迪Fendi白色短袖T恤，棉质圆领，粉色口袋图腾与字母印花，意式休闲街头风男女同款上衣</t>
        </is>
      </c>
    </row>
    <row r="81" ht="25.5" customHeight="1">
      <c r="A81">
        <v>1839115443</v>
      </c>
      <c r="B81">
        <v>7765702049</v>
      </c>
      <c r="C81" s="2" t="str">
        <f>=HYPERLINK("https://weidian.com/item.html?itemID=7765702049", "https://weidian.com/item.html?itemID=7765702049")</f>
        <v>https://weidian.com/item.html?itemID=7765702049</v>
      </c>
      <c r="D81"/>
      <c r="E81" s="2" t="str">
        <f>=HYPERLINK("https://si.geilicdn.com/open1839115443-252808396-2ca80000019e2fa939060a8115c2_1440_1920.jpg?w=640&amp;h=640", "https://si.geilicdn.com/open1839115443-252808396-2ca80000019e2fa939060a8115c2_1440_1920.jpg?w=640&amp;h=640")</f>
        <v>https://si.geilicdn.com/open1839115443-252808396-2ca80000019e2fa939060a8115c2_1440_1920.jpg?w=640&amp;h=640</v>
      </c>
      <c r="F81" t="inlineStr">
        <is>
          <t>T-Shirts</t>
        </is>
      </c>
      <c r="G81" t="inlineStr">
        <is>
          <t>Louis Vuitton</t>
        </is>
      </c>
      <c r="H81">
        <v>80</v>
      </c>
      <c r="I81">
        <v>11.59</v>
      </c>
      <c r="J81" t="inlineStr">
        <is>
          <t>{"id":"resp_097e03c763f96637016a08595706448199a12ac25e317e39a0","object":"chat.completion","created":1778932059,"model":"gpt-5.5","choices":[{"index":0,"message":{"role":"assistant","content":"Louis Vuitton White Cotton LV Floral Logo T-Shirt"},"finish_reason":"stop"}],"usage":{"prompt_tokens":894,"completion_tokens":161,"total_tokens":1055}}</t>
        </is>
      </c>
      <c r="K81" t="inlineStr">
        <is>
          <t>Louis Vuitton White Cotton LV Floral Logo T-Shirt</t>
        </is>
      </c>
      <c r="L81" t="inlineStr">
        <is>
          <t>{"id":"resp_08cc6bfa88bbe2f9016a0857bda9e48194b6f05d3dedaf30f4","object":"chat.completion","created":1778931691,"model":"gpt-5.5","choices":[{"index":0,"message":{"role":"assistant","content":"Louis Vuitton white cotton crew neck T-shirt with black LV floral logo print, unisex short sleeve summer top, casual streetwear tee for men and women"},"finish_reason":"stop"}],"usage":{"prompt_tokens":911,"completion_tokens":126,"total_tokens":1037}}</t>
        </is>
      </c>
      <c r="M81" t="inlineStr">
        <is>
          <t>{"alt-svc":"h3=\":443\"; ma=2592000","connection":"close","content-length":"444","content-type":"application/json; charset=utf-8","date":"Sat, 16 May 2026 11:41:31 GMT","referrer-policy":"strict-origin-when-cross-origin","server":"Caddy","strict-transport-security":"max-age=31536000; includeSubDomains; preload","vary":"Accept-Encoding","x-content-type-options":"nosniff","x-frame-options":"DENY","x-new-api-version":"v1.0.0-rc.2","x-oneapi-request-id":"202605161140303447186568268d9d6mNd0GGLZ","x-request-id":"9fa5222f-94a1-48cb-9d66-8610e7e384c4"}</t>
        </is>
      </c>
      <c r="N81" t="inlineStr">
        <is>
          <t>Louis Vuitton white cotton crew neck T-shirt with black LV floral logo print, unisex short sleeve summer top, casual streetwear tee for men and women</t>
        </is>
      </c>
      <c r="O81" t="inlineStr">
        <is>
          <t>{"id":"resp_02d432c6e1314228016a085bb41e54819bbb40cdecc3c56c39","object":"chat.completion","created":1778932667,"model":"gpt-5.5","choices":[{"index":0,"message":{"role":"assistant","content":"Louis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kakobuysheet2026"},"finish_reason":"stop"}],"usage":{"prompt_tokens":812,"completion_tokens":212,"total_tokens":1024}}</t>
        </is>
      </c>
      <c r="P81"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81" t="inlineStr">
        <is>
          <t>LV, White, Summer, Streetwear, Unisex</t>
        </is>
      </c>
      <c r="R81" t="inlineStr">
        <is>
          <t>recvjLGOf4UAYO</t>
        </is>
      </c>
      <c r="S81" t="inlineStr">
        <is>
          <t>louis-vuitton-white-cotton-lv-floral-logo-t-shirt-recvjlgof4uayo</t>
        </is>
      </c>
      <c r="T81"/>
      <c r="U81"/>
      <c r="V81"/>
      <c r="W81" t="inlineStr">
        <is>
          <t>{"id":"resp_09e9582042bfdaf1016a08563693e0819abd03bdafd74b19df","object":"chat.completion","created":1778931258,"model":"gpt-5.5","choices":[{"index":0,"message":{"role":"assistant","content":"路易威登白色短袖T恤，棉质圆领，黑色LV花卉Logo印花，简约休闲街头风，男女同款夏季上衣"},"finish_reason":"stop"}],"usage":{"prompt_tokens":1335,"completion_tokens":182,"total_tokens":1517}}</t>
        </is>
      </c>
      <c r="X81" t="inlineStr">
        <is>
          <t>路易威登白色短袖T恤，棉质圆领，黑色LV花卉Logo印花，简约休闲街头风，男女同款夏季上衣</t>
        </is>
      </c>
    </row>
    <row r="82" ht="25.5" customHeight="1">
      <c r="A82">
        <v>1839115443</v>
      </c>
      <c r="B82">
        <v>7765652957</v>
      </c>
      <c r="C82" s="2" t="str">
        <f>=HYPERLINK("https://weidian.com/item.html?itemID=7765652957", "https://weidian.com/item.html?itemID=7765652957")</f>
        <v>https://weidian.com/item.html?itemID=7765652957</v>
      </c>
      <c r="D82"/>
      <c r="E82" s="2" t="str">
        <f>=HYPERLINK("https://si.geilicdn.com/open1839115443-252808396-25450000019e2fa8fce00a8133b0_1080_1440.jpg?w=640&amp;h=640", "https://si.geilicdn.com/open1839115443-252808396-25450000019e2fa8fce00a8133b0_1080_1440.jpg?w=640&amp;h=640")</f>
        <v>https://si.geilicdn.com/open1839115443-252808396-25450000019e2fa8fce00a8133b0_1080_1440.jpg?w=640&amp;h=640</v>
      </c>
      <c r="F82" t="inlineStr">
        <is>
          <t>T-Shirts</t>
        </is>
      </c>
      <c r="G82" t="inlineStr">
        <is>
          <t>Louis Vuitton</t>
        </is>
      </c>
      <c r="H82">
        <v>80</v>
      </c>
      <c r="I82">
        <v>11.59</v>
      </c>
      <c r="J82" t="inlineStr">
        <is>
          <t>{"id":"resp_047819765768b73b016a0858ef79e481909db11c7153f64219","object":"chat.completion","created":1778931957,"model":"gpt-5.5","choices":[{"index":0,"message":{"role":"assistant","content":"Louis Vuitton White Cloud Graffiti Crew Neck T-Shirt"},"finish_reason":"stop"}],"usage":{"prompt_tokens":884,"completion_tokens":299,"total_tokens":1183}}</t>
        </is>
      </c>
      <c r="K82" t="inlineStr">
        <is>
          <t>Louis Vuitton White Cloud Graffiti Crew Neck T-Shirt</t>
        </is>
      </c>
      <c r="L82" t="inlineStr">
        <is>
          <t>{"id":"resp_019f2fe9927ed40f016a0857c97bd8819a92d6d3e178a4eded","object":"chat.completion","created":1778931661,"model":"gpt-5.5","choices":[{"index":0,"message":{"role":"assistant","content":"Louis Vuitton White Cotton Crew Neck T-Shirt, Blue White Vuitton Cloud Graffiti Logo, Unisex Streetwear Casual Short Sleeve Tee"},"finish_reason":"stop"}],"usage":{"prompt_tokens":912,"completion_tokens":142,"total_tokens":1054}}</t>
        </is>
      </c>
      <c r="M82" t="inlineStr">
        <is>
          <t>{"alt-svc":"h3=\":443\"; ma=2592000","connection":"close","content-length":"422","content-type":"application/json; charset=utf-8","date":"Sat, 16 May 2026 11:41:01 GMT","referrer-policy":"strict-origin-when-cross-origin","server":"Caddy","strict-transport-security":"max-age=31536000; includeSubDomains; preload","vary":"Accept-Encoding","x-content-type-options":"nosniff","x-frame-options":"DENY","x-new-api-version":"v1.0.0-rc.2","x-oneapi-request-id":"202605161140571105994798268d9d6DFbKcznP","x-request-id":"daa800aa-85c9-49e9-a059-2003a664d77b"}</t>
        </is>
      </c>
      <c r="N82" t="inlineStr">
        <is>
          <t>Louis Vuitton White Cotton Crew Neck T-Shirt, Blue White Vuitton Cloud Graffiti Logo, Unisex Streetwear Casual Short Sleeve Tee</t>
        </is>
      </c>
      <c r="O82" t="inlineStr">
        <is>
          <t>{"id":"resp_0e9730330b08f51e016a085b9fc648819aa70ad82a709173b4","object":"chat.completion","created":1778932645,"model":"gpt-5.5","choices":[{"index":0,"message":{"role":"assistant","content":"Louis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kakobuysheet2026"},"finish_reason":"stop"}],"usage":{"prompt_tokens":812,"completion_tokens":268,"total_tokens":1080}}</t>
        </is>
      </c>
      <c r="P82"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82" t="inlineStr">
        <is>
          <t>LV, White, Blue, Streetwear, Unisex</t>
        </is>
      </c>
      <c r="R82" t="inlineStr">
        <is>
          <t>recvjLGOf4oXlf</t>
        </is>
      </c>
      <c r="S82" t="inlineStr">
        <is>
          <t>louis-vuitton-white-cloud-graffiti-crew-neck-t-shirt-recvjlgof4oxlf</t>
        </is>
      </c>
      <c r="T82"/>
      <c r="U82"/>
      <c r="V82"/>
      <c r="W82" t="inlineStr">
        <is>
          <t>{"id":"resp_059cd0a9ea36289a016a0856000b048199a03c74227e207ac2","object":"chat.completion","created":1778931205,"model":"gpt-5.5","choices":[{"index":0,"message":{"role":"assistant","content":"路易威登白色短袖T恤，棉质圆领，蓝白Vuitton云朵涂鸦Logo，男女同款街头休闲风潮牌上衣"},"finish_reason":"stop"}],"usage":{"prompt_tokens":1337,"completion_tokens":197,"total_tokens":1534}}</t>
        </is>
      </c>
      <c r="X82" t="inlineStr">
        <is>
          <t>路易威登白色短袖T恤，棉质圆领，蓝白Vuitton云朵涂鸦Logo，男女同款街头休闲风潮牌上衣</t>
        </is>
      </c>
    </row>
    <row r="83" ht="25.5" customHeight="1">
      <c r="A83">
        <v>1839115443</v>
      </c>
      <c r="B83">
        <v>7768314212</v>
      </c>
      <c r="C83" s="2" t="str">
        <f>=HYPERLINK("https://weidian.com/item.html?itemID=7768314212", "https://weidian.com/item.html?itemID=7768314212")</f>
        <v>https://weidian.com/item.html?itemID=7768314212</v>
      </c>
      <c r="D83"/>
      <c r="E83" s="2" t="str">
        <f>=HYPERLINK("https://si.geilicdn.com/open1839115443-252808396-311b0000019e2fb527400a8133b0_1080_1439.jpg?w=640&amp;h=640", "https://si.geilicdn.com/open1839115443-252808396-311b0000019e2fb527400a8133b0_1080_1439.jpg?w=640&amp;h=640")</f>
        <v>https://si.geilicdn.com/open1839115443-252808396-311b0000019e2fb527400a8133b0_1080_1439.jpg?w=640&amp;h=640</v>
      </c>
      <c r="F83" t="inlineStr">
        <is>
          <t>T-Shirts</t>
        </is>
      </c>
      <c r="G83" t="inlineStr">
        <is>
          <t>Louis Vuitton</t>
        </is>
      </c>
      <c r="H83">
        <v>80</v>
      </c>
      <c r="I83">
        <v>11.59</v>
      </c>
      <c r="J83" t="inlineStr">
        <is>
          <t>{"id":"resp_0a1b5097f0ce11dc016a08598ac744819a973626dec88b59de","object":"chat.completion","created":1778932110,"model":"gpt-5.5","choices":[{"index":0,"message":{"role":"assistant","content":"Louis Vuitton White Flame Logo Oversized Cotton T-Shirt"},"finish_reason":"stop"}],"usage":{"prompt_tokens":885,"completion_tokens":147,"total_tokens":1032}}</t>
        </is>
      </c>
      <c r="K83" t="inlineStr">
        <is>
          <t>Louis Vuitton White Flame Logo Oversized Cotton T-Shirt</t>
        </is>
      </c>
      <c r="L83" t="inlineStr">
        <is>
          <t>{"id":"resp_006ebd6ca28ae5e3016a08572c80f08196970bccbf2841b60e","object":"chat.completion","created":1778931504,"model":"gpt-5.5","choices":[{"index":0,"message":{"role":"assistant","content":"Louis Vuitton white cotton short sleeve T-shirt with red flame logo print, oversized streetwear casual unisex tee for men and women."},"finish_reason":"stop"}],"usage":{"prompt_tokens":913,"completion_tokens":134,"total_tokens":1047}}</t>
        </is>
      </c>
      <c r="M83" t="inlineStr">
        <is>
          <t>{"alt-svc":"h3=\":443\"; ma=2592000","connection":"close","content-length":"427","content-type":"application/json; charset=utf-8","date":"Sat, 16 May 2026 11:38:24 GMT","referrer-policy":"strict-origin-when-cross-origin","server":"Caddy","strict-transport-security":"max-age=31536000; includeSubDomains; preload","vary":"Accept-Encoding","x-content-type-options":"nosniff","x-frame-options":"DENY","x-new-api-version":"v1.0.0-rc.2","x-oneapi-request-id":"20260516113820665339298268d9d64QN3vppG","x-request-id":"e76fa9d5-9df4-4c20-a205-ef18ac920e15"}</t>
        </is>
      </c>
      <c r="N83" t="inlineStr">
        <is>
          <t>Louis Vuitton white cotton short sleeve T-shirt with red flame logo print, oversized streetwear casual unisex tee for men and women.</t>
        </is>
      </c>
      <c r="O83" t="inlineStr">
        <is>
          <t>{"id":"resp_038b4ba41cf982d3016a085ab4e0bc819499fc30058732a608","object":"chat.completion","created":1778932415,"model":"gpt-5.5","choices":[{"index":0,"message":{"role":"assistant","content":"Louis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2026kakobuysheetfind"},"finish_reason":"stop"}],"usage":{"prompt_tokens":812,"completion_tokens":532,"total_tokens":1344}}</t>
        </is>
      </c>
      <c r="P83"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t>
        </is>
      </c>
      <c r="Q83" t="inlineStr">
        <is>
          <t>LV, White, Streetwear, Unisex</t>
        </is>
      </c>
      <c r="R83" t="inlineStr">
        <is>
          <t>recvjLGOf4mOKY</t>
        </is>
      </c>
      <c r="S83" t="inlineStr">
        <is>
          <t>louis-vuitton-white-flame-logo-oversized-cotton-t-shirt-recvjlgof4moky</t>
        </is>
      </c>
      <c r="T83"/>
      <c r="U83"/>
      <c r="V83"/>
      <c r="W83" t="inlineStr">
        <is>
          <t>{"id":"resp_03e088a9380eb7ca016a0855fa584c819ba6e90daf602dd290","object":"chat.completion","created":1778931200,"model":"gpt-5.5","choices":[{"index":0,"message":{"role":"assistant","content":"路易威登 Louis Vuitton：白色纯棉短袖T恤，胸前红色火焰徽标印花，宽松街头休闲风，男女同款潮流上衣"},"finish_reason":"stop"}],"usage":{"prompt_tokens":1335,"completion_tokens":303,"total_tokens":1638}}</t>
        </is>
      </c>
      <c r="X83" t="inlineStr">
        <is>
          <t>路易威登 Louis Vuitton：白色纯棉短袖T恤，胸前红色火焰徽标印花，宽松街头休闲风，男女同款潮流上衣</t>
        </is>
      </c>
    </row>
    <row r="84" ht="25.5" customHeight="1">
      <c r="A84">
        <v>1839115443</v>
      </c>
      <c r="B84">
        <v>7768175034</v>
      </c>
      <c r="C84" s="2" t="str">
        <f>=HYPERLINK("https://weidian.com/item.html?itemID=7768175034", "https://weidian.com/item.html?itemID=7768175034")</f>
        <v>https://weidian.com/item.html?itemID=7768175034</v>
      </c>
      <c r="D84"/>
      <c r="E84" s="2" t="str">
        <f>=HYPERLINK("https://si.geilicdn.com/open1839115443-252808396-479b0000019e2fa917e00a23b491_1080_1080.jpg?w=640&amp;h=640", "https://si.geilicdn.com/open1839115443-252808396-479b0000019e2fa917e00a23b491_1080_1080.jpg?w=640&amp;h=640")</f>
        <v>https://si.geilicdn.com/open1839115443-252808396-479b0000019e2fa917e00a23b491_1080_1080.jpg?w=640&amp;h=640</v>
      </c>
      <c r="F84" t="inlineStr">
        <is>
          <t>T-Shirts</t>
        </is>
      </c>
      <c r="G84" t="inlineStr">
        <is>
          <t>Fendi</t>
        </is>
      </c>
      <c r="H84">
        <v>80</v>
      </c>
      <c r="I84">
        <v>11.59</v>
      </c>
      <c r="J84" t="inlineStr">
        <is>
          <t>{"id":"resp_0e9715655899f173016a08587c5e04819b8cab048e1617af73","object":"chat.completion","created":1778931839,"model":"gpt-5.5","choices":[{"index":0,"message":{"role":"assistant","content":"Fendi Black Monster Eyes Gold Splatter Roma T-Shirt"},"finish_reason":"stop"}],"usage":{"prompt_tokens":716,"completion_tokens":132,"total_tokens":848}}</t>
        </is>
      </c>
      <c r="K84" t="inlineStr">
        <is>
          <t>Fendi Black Monster Eyes Gold Splatter Roma T-Shirt</t>
        </is>
      </c>
      <c r="L84" t="inlineStr">
        <is>
          <t>{"id":"resp_0554f5b7188c574a016a08576273f0819aad0c92d19686561d","object":"chat.completion","created":1778931555,"model":"gpt-5.5","choices":[{"index":0,"message":{"role":"assistant","content":"Fendi Black Cotton T-Shirt with Gold Splatter Monster Eyes Logo and ROMA Print, Unisex Short Sleeve Streetwear Top"},"finish_reason":"stop"}],"usage":{"prompt_tokens":743,"completion_tokens":26,"total_tokens":769}}</t>
        </is>
      </c>
      <c r="M84" t="inlineStr">
        <is>
          <t>{"alt-svc":"h3=\":443\"; ma=2592000","connection":"close","content-length":"407","content-type":"application/json; charset=utf-8","date":"Sat, 16 May 2026 11:39:15 GMT","referrer-policy":"strict-origin-when-cross-origin","server":"nginx/1.24.0 (Ubuntu)","strict-transport-security":"max-age=31536000; includeSubDomains; preload","vary":"Accept-Encoding","via":"1.1 Caddy","x-content-type-options":"nosniff","x-frame-options":"DENY","x-new-api-version":"v1.0.0-rc.2","x-oneapi-request-id":"20260516113914336184948268d9d6rhpJoIzt","x-request-id":"262af701-b16b-41a4-8dcc-463b4eefaf15"}</t>
        </is>
      </c>
      <c r="N84" t="inlineStr">
        <is>
          <t>Fendi Black Cotton T-Shirt with Gold Splatter Monster Eyes Logo and ROMA Print, Unisex Short Sleeve Streetwear Top</t>
        </is>
      </c>
      <c r="O84" t="inlineStr">
        <is>
          <t>{"id":"resp_0cb903af03aaba70016a085b78bc448196a27b371fcec60928","object":"chat.completion","created":1778932607,"model":"gpt-5.5","choices":[{"index":0,"message":{"role":"assistant","content":"Fendi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kakobuysheet2026"},"finish_reason":"stop"}],"usage":{"prompt_tokens":644,"completion_tokens":301,"total_tokens":945}}</t>
        </is>
      </c>
      <c r="P84" t="inlineStr">
        <is>
          <t>Fendi T-Shirts kakobuy, Fendi T-Shirts kakebuy2026, Fendi T-Shirts kekobuysheet, Fendi T-Shirts kakobuysheet2026, Fendi T-Shirts 2026kakobuy, Fendi T-Shirts kakobuyspreadsheeet, Fendi T-Shirts kakobuylink, Fendi T-Shirts kakebuylist, Fendi T-Shirts Kakobuy MEGA Spreadsheet, Fendi T-Shirts kakobuysheetfind, Fendi T-Shirts kakobuysheetfind2026, Fendi T-Shirts 2026kakobuysheetfind, Fendi T-Shirts kakobuysheet2026</t>
        </is>
      </c>
      <c r="Q84" t="inlineStr">
        <is>
          <t>Black, Gold, Streetwear, Unisex, Summer, Spring And Summer</t>
        </is>
      </c>
      <c r="R84" t="inlineStr">
        <is>
          <t>recvjLGOf4usCC</t>
        </is>
      </c>
      <c r="S84" t="inlineStr">
        <is>
          <t>fendi-black-monster-eyes-gold-roma-recvjlgof4uscc</t>
        </is>
      </c>
      <c r="T84"/>
      <c r="U84"/>
      <c r="V84"/>
      <c r="W84" t="inlineStr">
        <is>
          <t>{"id":"resp_0264e4e93feab518016a0856385fe481988060779c79e5ab1d","object":"chat.completion","created":1778931259,"model":"gpt-5.5","choices":[{"index":0,"message":{"role":"assistant","content":"芬迪 Fendi 黑色短袖T恤，棉质面料，金色喷溅怪兽眼Logo与ROMA字样，休闲街头风男女同款上衣"},"finish_reason":"stop"}],"usage":{"prompt_tokens":1167,"completion_tokens":139,"total_tokens":1306}}</t>
        </is>
      </c>
      <c r="X84" t="inlineStr">
        <is>
          <t>芬迪 Fendi 黑色短袖T恤，棉质面料，金色喷溅怪兽眼Logo与ROMA字样，休闲街头风男女同款上衣</t>
        </is>
      </c>
    </row>
    <row r="85" ht="25.5" customHeight="1">
      <c r="A85">
        <v>1839115443</v>
      </c>
      <c r="B85">
        <v>7768625204</v>
      </c>
      <c r="C85" s="2" t="str">
        <f>=HYPERLINK("https://weidian.com/item.html?itemID=7768625204", "https://weidian.com/item.html?itemID=7768625204")</f>
        <v>https://weidian.com/item.html?itemID=7768625204</v>
      </c>
      <c r="D85"/>
      <c r="E85" s="2" t="str">
        <f>=HYPERLINK("https://si.geilicdn.com/open1839115443-252808396-466f0000019e2fae272e0aa08239_1080_1440.jpg?w=640&amp;h=640", "https://si.geilicdn.com/open1839115443-252808396-466f0000019e2fae272e0aa08239_1080_1440.jpg?w=640&amp;h=640")</f>
        <v>https://si.geilicdn.com/open1839115443-252808396-466f0000019e2fae272e0aa08239_1080_1440.jpg?w=640&amp;h=640</v>
      </c>
      <c r="F85" t="inlineStr">
        <is>
          <t>T-Shirts</t>
        </is>
      </c>
      <c r="G85" t="inlineStr">
        <is>
          <t>Miu Miu</t>
        </is>
      </c>
      <c r="H85">
        <v>88</v>
      </c>
      <c r="I85">
        <v>12.75</v>
      </c>
      <c r="J85" t="inlineStr">
        <is>
          <t>{"id":"resp_0cca93432c70e0d9016a0858d5136c8199a684e1e0fea76618","object":"chat.completion","created":1778931929,"model":"gpt-5.5","choices":[{"index":0,"message":{"role":"assistant","content":"Miu Miu Black Cotton Logo T-Shirt Unisex Streetwear"},"finish_reason":"stop"}],"usage":{"prompt_tokens":899,"completion_tokens":134,"total_tokens":1033}}</t>
        </is>
      </c>
      <c r="K85" t="inlineStr">
        <is>
          <t>Miu Miu Black Cotton Logo T-Shirt Unisex Streetwear</t>
        </is>
      </c>
      <c r="L85" t="inlineStr">
        <is>
          <t>{"id":"resp_000a7e03186caf0b016a085709f20c81968960ffba3c7697a7","object":"chat.completion","created":1778931469,"model":"gpt-5.5","choices":[{"index":0,"message":{"role":"assistant","content":"Miu Miu black cotton short sleeve T-shirt, pink logo print, crew neck, relaxed unisex fit, casual streetwear top for men and women."},"finish_reason":"stop"}],"usage":{"prompt_tokens":912,"completion_tokens":33,"total_tokens":945}}</t>
        </is>
      </c>
      <c r="M85" t="inlineStr">
        <is>
          <t>{"alt-svc":"h3=\":443\"; ma=2592000","connection":"close","content-length":"424","content-type":"application/json; charset=utf-8","date":"Sat, 16 May 2026 11:37:49 GMT","referrer-policy":"strict-origin-when-cross-origin","server":"nginx/1.24.0 (Ubuntu)","strict-transport-security":"max-age=31536000; includeSubDomains; preload","vary":"Accept-Encoding","via":"1.1 Caddy","x-content-type-options":"nosniff","x-frame-options":"DENY","x-new-api-version":"v1.0.0-rc.2","x-oneapi-request-id":"202605161137457521007738268d9d6mAOpUIvm","x-request-id":"20c45a7c-caa7-4595-9f2f-348e17f115d2"}</t>
        </is>
      </c>
      <c r="N85" t="inlineStr">
        <is>
          <t>Miu Miu black cotton short sleeve T-shirt, pink logo print, crew neck, relaxed unisex fit, casual streetwear top for men and women.</t>
        </is>
      </c>
      <c r="O85" t="inlineStr">
        <is>
          <t>{"id":"resp_01d4ed38dcf3b64e016a085a6112f48190a18c1afe0a956f60","object":"chat.completion","created":1778932326,"model":"gpt-5.5","choices":[{"index":0,"message":{"role":"assistant","content":"Miu Miu, T-Shirts, kakobuy, kakebuy2026, kekobuysheet, kakobuysheet2026, 2026kakobuy, kakobuyspreadsheeet, kakobuylink, kakebuylist, Kakobuy MEGA Spreadsheet, kakobuysheetfind, kakobuysheetfind2026, 2026kakobuysheetfind, kakobuysheet2026"},"finish_reason":"stop"}],"usage":{"prompt_tokens":814,"completion_tokens":166,"total_tokens":980}}</t>
        </is>
      </c>
      <c r="P85" t="inlineStr">
        <is>
          <t>Miu Miu, T-Shirts, kakobuy, kakebuy2026, kekobuysheet, kakobuysheet2026, 2026kakobuy, kakobuyspreadsheeet, kakobuylink, kakebuylist, Kakobuy MEGA Spreadsheet, kakobuysheetfind, kakobuysheetfind2026, 2026kakobuysheetfind, kakobuysheet2026</t>
        </is>
      </c>
      <c r="Q85" t="inlineStr">
        <is>
          <t>Black, Streetwear, Unisex, Men's And Women's</t>
        </is>
      </c>
      <c r="R85" t="inlineStr">
        <is>
          <t>recvjLGOf40oFm</t>
        </is>
      </c>
      <c r="S85" t="inlineStr">
        <is>
          <t>miu-miu-black-cotton-logo-tshirt-recvjlgof40ofm</t>
        </is>
      </c>
      <c r="T85"/>
      <c r="U85"/>
      <c r="V85"/>
      <c r="W85" t="inlineStr">
        <is>
          <t>{"id":"resp_0ca302f975317eda016a0855882fa8819796372eade2c9a963","object":"chat.completion","created":1778931084,"model":"gpt-5.5","choices":[{"index":0,"message":{"role":"assistant","content":"缪缪 Miu Miu 黑色棉质短袖T恤，粉色Logo印花，圆领宽松版型，休闲街头风男女同款上衣。"},"finish_reason":"stop"}],"usage":{"prompt_tokens":1339,"completion_tokens":156,"total_tokens":1495}}</t>
        </is>
      </c>
      <c r="X85" t="inlineStr">
        <is>
          <t>缪缪 Miu Miu 黑色棉质短袖T恤，粉色Logo印花，圆领宽松版型，休闲街头风男女同款上衣。</t>
        </is>
      </c>
    </row>
    <row r="86" ht="25.5" customHeight="1">
      <c r="A86">
        <v>1839115443</v>
      </c>
      <c r="B86">
        <v>7765625403</v>
      </c>
      <c r="C86" s="2" t="str">
        <f>=HYPERLINK("https://weidian.com/item.html?itemID=7765625403", "https://weidian.com/item.html?itemID=7765625403")</f>
        <v>https://weidian.com/item.html?itemID=7765625403</v>
      </c>
      <c r="D86"/>
      <c r="E86" s="2" t="str">
        <f>=HYPERLINK("https://si.geilicdn.com/open1839115443-252808396-4a490000019e2fadff7c0a23b4de_1074_1074.jpg?w=640&amp;h=640", "https://si.geilicdn.com/open1839115443-252808396-4a490000019e2fadff7c0a23b4de_1074_1074.jpg?w=640&amp;h=640")</f>
        <v>https://si.geilicdn.com/open1839115443-252808396-4a490000019e2fadff7c0a23b4de_1074_1074.jpg?w=640&amp;h=640</v>
      </c>
      <c r="F86" t="inlineStr">
        <is>
          <t>T-Shirts</t>
        </is>
      </c>
      <c r="G86" t="inlineStr">
        <is>
          <t>Prada</t>
        </is>
      </c>
      <c r="H86">
        <v>88</v>
      </c>
      <c r="I86">
        <v>12.75</v>
      </c>
      <c r="J86" t="inlineStr">
        <is>
          <t>{"id":"resp_0c6bd58976a5a203016a0858d563dc81959c54263016fe8fe1","object":"chat.completion","created":1778931928,"model":"gpt-5.5","choices":[{"index":0,"message":{"role":"assistant","content":"Prada White Cotton Logo Print Crew Neck T-Shirt"},"finish_reason":"stop"}],"usage":{"prompt_tokens":721,"completion_tokens":62,"total_tokens":783}}</t>
        </is>
      </c>
      <c r="K86" t="inlineStr">
        <is>
          <t>Prada White Cotton Logo Print Crew Neck T-Shirt</t>
        </is>
      </c>
      <c r="L86" t="inlineStr">
        <is>
          <t>{"id":"resp_063b65c4e9c08a70016a0856f01aa88196ba98c412fff60945","object":"chat.completion","created":1778931443,"model":"gpt-5.5","choices":[{"index":0,"message":{"role":"assistant","content":"Prada white cotton short sleeve T-shirt, crew neck relaxed fit, front letter and triangle logo print, unisex streetwear casual top."},"finish_reason":"stop"}],"usage":{"prompt_tokens":747,"completion_tokens":115,"total_tokens":862}}</t>
        </is>
      </c>
      <c r="M86" t="inlineStr">
        <is>
          <t>{"alt-svc":"h3=\":443\"; ma=2592000","connection":"close","content-length":"425","content-type":"application/json; charset=utf-8","date":"Sat, 16 May 2026 11:37:23 GMT","referrer-policy":"strict-origin-when-cross-origin","server":"Caddy","strict-transport-security":"max-age=31536000; includeSubDomains; preload","vary":"Accept-Encoding","x-content-type-options":"nosniff","x-frame-options":"DENY","x-new-api-version":"v1.0.0-rc.2","x-oneapi-request-id":"202605161137199136801538268d9d6KBgYInmm","x-request-id":"ce2d1890-26dd-4d86-ae06-399930520439"}</t>
        </is>
      </c>
      <c r="N86" t="inlineStr">
        <is>
          <t>Prada white cotton short sleeve T-shirt, crew neck relaxed fit, front letter and triangle logo print, unisex streetwear casual top.</t>
        </is>
      </c>
      <c r="O86" t="inlineStr">
        <is>
          <t>{"id":"resp_0bf867d7de28acbd016a085a3fb4b481958e72f1c08addb12d","object":"chat.completion","created":1778932292,"model":"gpt-5.5","choices":[{"index":0,"message":{"role":"assistant","content":"Prada, T-Shirts, kakobuy, kakebuy2026, kekobuysheet, kakobuysheet2026, 2026kakobuy, kakobuyspreadsheeet, kakobuylink, kakebuylist, Kakobuy MEGA Spreadsheet, kakobuysheetfind, kakobuysheetfind2026, 2026kakobuysheetfind, kakobuysheet2026"},"finish_reason":"stop"}],"usage":{"prompt_tokens":644,"completion_tokens":206,"total_tokens":850}}</t>
        </is>
      </c>
      <c r="P86" t="inlineStr">
        <is>
          <t>Prada, T-Shirts, kakobuy, kakebuy2026, kekobuysheet, kakobuysheet2026, 2026kakobuy, kakobuyspreadsheeet, kakobuylink, kakebuylist, Kakobuy MEGA Spreadsheet, kakobuysheetfind, kakobuysheetfind2026, 2026kakobuysheetfind, kakobuysheet2026</t>
        </is>
      </c>
      <c r="Q86" t="inlineStr">
        <is>
          <t>White, Unisex, Streetwear</t>
        </is>
      </c>
      <c r="R86" t="inlineStr">
        <is>
          <t>recvjLGOf4lbBP</t>
        </is>
      </c>
      <c r="S86" t="inlineStr">
        <is>
          <t>prada-white-cotton-logo-print-crew-neck-tshirt-recvjlgof4lbpb</t>
        </is>
      </c>
      <c r="T86"/>
      <c r="U86"/>
      <c r="V86"/>
      <c r="W86" t="inlineStr">
        <is>
          <t>{"id":"resp_09527badcbc383f0016a0855655478819485e40410f8168f46","object":"chat.completion","created":1778931049,"model":"gpt-5.5","choices":[{"index":0,"message":{"role":"assistant","content":"普拉达Prada白色短袖T恤，棉质圆领休闲版型，正面字母与三角Logo图案印花，男女通用街头潮流上衣"},"finish_reason":"stop"}],"usage":{"prompt_tokens":1171,"completion_tokens":152,"total_tokens":1323}}</t>
        </is>
      </c>
      <c r="X86" t="inlineStr">
        <is>
          <t>普拉达Prada白色短袖T恤，棉质圆领休闲版型，正面字母与三角Logo图案印花，男女通用街头潮流上衣</t>
        </is>
      </c>
    </row>
    <row r="87" ht="25.5" customHeight="1">
      <c r="A87">
        <v>1839115443</v>
      </c>
      <c r="B87">
        <v>7765678607</v>
      </c>
      <c r="C87" s="2" t="str">
        <f>=HYPERLINK("https://weidian.com/item.html?itemID=7765678607", "https://weidian.com/item.html?itemID=7765678607")</f>
        <v>https://weidian.com/item.html?itemID=7765678607</v>
      </c>
      <c r="D87"/>
      <c r="E87" s="2" t="str">
        <f>=HYPERLINK("https://si.geilicdn.com/open1839115443-252808396-4a550000019e2fac9afd0a23b491_1074_1074.jpg?w=640&amp;h=640", "https://si.geilicdn.com/open1839115443-252808396-4a550000019e2fac9afd0a23b491_1074_1074.jpg?w=640&amp;h=640")</f>
        <v>https://si.geilicdn.com/open1839115443-252808396-4a550000019e2fac9afd0a23b491_1074_1074.jpg?w=640&amp;h=640</v>
      </c>
      <c r="F87" t="inlineStr">
        <is>
          <t>T-Shirts</t>
        </is>
      </c>
      <c r="G87" t="inlineStr">
        <is>
          <t>Prada</t>
        </is>
      </c>
      <c r="H87">
        <v>80</v>
      </c>
      <c r="I87">
        <v>11.59</v>
      </c>
      <c r="J87" t="inlineStr">
        <is>
          <t>{"id":"resp_0282a9169ea3caa4016a085947cb14819aa4c4d1bfd04a1112","object":"chat.completion","created":1778932043,"model":"gpt-5.5","choices":[{"index":0,"message":{"role":"assistant","content":"Prada White Cotton Chain Logo Unisex Crew Neck T-Shirt"},"finish_reason":"stop"}],"usage":{"prompt_tokens":712,"completion_tokens":177,"total_tokens":889}}</t>
        </is>
      </c>
      <c r="K87" t="inlineStr">
        <is>
          <t>Prada White Cotton Chain Logo Unisex Crew Neck T-Shirt</t>
        </is>
      </c>
      <c r="L87" t="inlineStr">
        <is>
          <t>{"id":"resp_088b71759a9b6307016a08571bd9f48197ab08265d2e8e6e6c","object":"chat.completion","created":1778931487,"model":"gpt-5.5","choices":[{"index":0,"message":{"role":"assistant","content":"Prada white cotton short sleeve T-shirt, chain badge logo print, crew neck unisex casual retro streetwear top"},"finish_reason":"stop"}],"usage":{"prompt_tokens":740,"completion_tokens":100,"total_tokens":840}}</t>
        </is>
      </c>
      <c r="M87" t="inlineStr">
        <is>
          <t>{"alt-svc":"h3=\":443\"; ma=2592000","connection":"close","content-length":"403","content-type":"application/json; charset=utf-8","date":"Sat, 16 May 2026 11:38:07 GMT","referrer-policy":"strict-origin-when-cross-origin","server":"nginx/1.24.0 (Ubuntu)","strict-transport-security":"max-age=31536000; includeSubDomains; preload","vary":"Accept-Encoding","via":"1.1 Caddy","x-content-type-options":"nosniff","x-frame-options":"DENY","x-new-api-version":"v1.0.0-rc.2","x-oneapi-request-id":"202605161138036716115468268d9d6TZeJCv1W","x-request-id":"17365cf8-09d0-4387-a456-1f3d2c097462"}</t>
        </is>
      </c>
      <c r="N87" t="inlineStr">
        <is>
          <t>Prada white cotton short sleeve T-shirt, chain badge logo print, crew neck unisex casual retro streetwear top</t>
        </is>
      </c>
      <c r="O87" t="inlineStr">
        <is>
          <t>{"id":"resp_0aaf006a5cf4d8e7016a085b5b89648193b33ad427958c941f","object":"chat.completion","created":1778932577,"model":"gpt-5.5","choices":[{"index":0,"message":{"role":"assistant","content":"Prada T-Shirts kakobuy, Prada T-Shirts kakebuy2026, Prada T-Shirts kekobuysheet, Prada T-Shirts kakobuysheet2026, Prada T-Shirts 2026kakobuy, Prada T-Shirts kakobuyspreadsheeet, Prada T-Shirts kakobuylink, Prada T-Shirts kakebuylist, Prada T-Shirts Kakobuy MEGA Spreadsheet, Prada T-Shirts kakobuysheetfind, Prada T-Shirts kakobuysheetfind2026, Prada T-Shirts 2026kakobuysheetfind, Prada T-Shirts kakobuysheet2026"},"finish_reason":"stop"}],"usage":{"prompt_tokens":644,"completion_tokens":244,"total_tokens":888}}</t>
        </is>
      </c>
      <c r="P87" t="inlineStr">
        <is>
          <t>Prada T-Shirts kakobuy, Prada T-Shirts kakebuy2026, Prada T-Shirts kekobuysheet, Prada T-Shirts kakobuysheet2026, Prada T-Shirts 2026kakobuy, Prada T-Shirts kakobuyspreadsheeet, Prada T-Shirts kakobuylink, Prada T-Shirts kakebuylist, Prada T-Shirts Kakobuy MEGA Spreadsheet, Prada T-Shirts kakobuysheetfind, Prada T-Shirts kakobuysheetfind2026, Prada T-Shirts 2026kakobuysheetfind, Prada T-Shirts kakobuysheet2026</t>
        </is>
      </c>
      <c r="Q87" t="inlineStr">
        <is>
          <t>White, Unisex, Retro, Streetwear</t>
        </is>
      </c>
      <c r="R87" t="inlineStr">
        <is>
          <t>recvjLGOf4c9t6</t>
        </is>
      </c>
      <c r="S87" t="inlineStr">
        <is>
          <t>prada-white-cotton-chain-logo-tshirt-recvjlgof4c9t6</t>
        </is>
      </c>
      <c r="T87"/>
      <c r="U87"/>
      <c r="V87"/>
      <c r="W87" t="inlineStr">
        <is>
          <t>{"id":"resp_0a4c48a0730d9be6016a085643c638819ab46358859b60bd3c","object":"chat.completion","created":1778931271,"model":"gpt-5.5","choices":[{"index":0,"message":{"role":"assistant","content":"普拉达Prada白色棉质短袖T恤，链条徽章Logo印花，圆领休闲设计，男女同款复古街头风上衣"},"finish_reason":"stop"}],"usage":{"prompt_tokens":1167,"completion_tokens":161,"total_tokens":1328}}</t>
        </is>
      </c>
      <c r="X87" t="inlineStr">
        <is>
          <t>普拉达Prada白色棉质短袖T恤，链条徽章Logo印花，圆领休闲设计，男女同款复古街头风上衣</t>
        </is>
      </c>
    </row>
    <row r="88" ht="25.5" customHeight="1">
      <c r="A88">
        <v>1839115443</v>
      </c>
      <c r="B88">
        <v>7765698059</v>
      </c>
      <c r="C88" s="2" t="str">
        <f>=HYPERLINK("https://weidian.com/item.html?itemID=7765698059", "https://weidian.com/item.html?itemID=7765698059")</f>
        <v>https://weidian.com/item.html?itemID=7765698059</v>
      </c>
      <c r="D88"/>
      <c r="E88" s="2" t="str">
        <f>=HYPERLINK("https://si.geilicdn.com/open1839115443-252808396-4b930000019e2fae68aa0a23b491_1066_1066.jpg?w=750&amp;h=750&amp;cp=1", "https://si.geilicdn.com/open1839115443-252808396-4b930000019e2fae68aa0a23b491_1066_1066.jpg?w=750&amp;h=750&amp;cp=1")</f>
        <v>https://si.geilicdn.com/open1839115443-252808396-4b930000019e2fae68aa0a23b491_1066_1066.jpg?w=750&amp;h=750&amp;cp=1</v>
      </c>
      <c r="F88" t="inlineStr">
        <is>
          <t>T-Shirts</t>
        </is>
      </c>
      <c r="G88" t="inlineStr">
        <is>
          <t>Louis Vuitton</t>
        </is>
      </c>
      <c r="H88">
        <v>88</v>
      </c>
      <c r="I88">
        <v>12.75</v>
      </c>
      <c r="J88" t="inlineStr">
        <is>
          <t>{"id":"resp_0985825d499fd74b016a0858ef98408198ac5528c5b64281f5","object":"chat.completion","created":1778931955,"model":"gpt-5.5","choices":[{"index":0,"message":{"role":"assistant","content":"Louis Vuitton Colorblock LV Logo Cotton Crew Neck T-Shirt"},"finish_reason":"stop"}],"usage":{"prompt_tokens":924,"completion_tokens":126,"total_tokens":1050}}</t>
        </is>
      </c>
      <c r="K88" t="inlineStr">
        <is>
          <t>Louis Vuitton Colorblock LV Logo Cotton Crew Neck T-Shirt</t>
        </is>
      </c>
      <c r="L88" t="inlineStr">
        <is>
          <t>{"id":"resp_07a80e857b156b71016a08572a06dc8190af09272d601165a4","object":"chat.completion","created":1778931502,"model":"gpt-5.5","choices":[{"index":0,"message":{"role":"assistant","content":"Louis Vuitton white cotton crew neck T-shirt with colorblock LV chest logo, unisex short sleeve summer streetwear top."},"finish_reason":"stop"}],"usage":{"prompt_tokens":956,"completion_tokens":143,"total_tokens":1099}}</t>
        </is>
      </c>
      <c r="M88" t="inlineStr">
        <is>
          <t>{"alt-svc":"h3=\":443\"; ma=2592000","connection":"close","content-length":"413","content-type":"application/json; charset=utf-8","date":"Sat, 16 May 2026 11:38:22 GMT","referrer-policy":"strict-origin-when-cross-origin","server":"nginx/1.24.0 (Ubuntu)","strict-transport-security":"max-age=31536000; includeSubDomains; preload","vary":"Accept-Encoding","via":"1.1 Caddy","x-content-type-options":"nosniff","x-frame-options":"DENY","x-new-api-version":"v1.0.0-rc.2","x-oneapi-request-id":"202605161138177480946128268d9d6l9lCpCHD","x-request-id":"6f8c3a45-81f1-4cdc-8ced-0e98235830df"}</t>
        </is>
      </c>
      <c r="N88" t="inlineStr">
        <is>
          <t>Louis Vuitton white cotton crew neck T-shirt with colorblock LV chest logo, unisex short sleeve summer streetwear top.</t>
        </is>
      </c>
      <c r="O88" t="inlineStr">
        <is>
          <t>{"id":"resp_0f7a89d509bf6bcb016a085b9b8a008199a9a946c1f3e50cad","object":"chat.completion","created":1778932640,"model":"gpt-5.5","choices":[{"index":0,"message":{"role":"assistant","content":"Louis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kakobuysheet2026"},"finish_reason":"stop"}],"usage":{"prompt_tokens":855,"completion_tokens":229,"total_tokens":1084}}</t>
        </is>
      </c>
      <c r="P88"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88" t="inlineStr">
        <is>
          <t>LV, White, Unisex, Summer, Streetwear</t>
        </is>
      </c>
      <c r="R88" t="inlineStr">
        <is>
          <t>recvjLGOf4ywmS</t>
        </is>
      </c>
      <c r="S88" t="inlineStr">
        <is>
          <t>louis-vuitton-colorblock-lv-logo-cotton-crew-neck-t-shirt-recvjlgof4ywms</t>
        </is>
      </c>
      <c r="T88"/>
      <c r="U88"/>
      <c r="V88"/>
      <c r="W88" t="inlineStr">
        <is>
          <t>{"id":"resp_077eb0ddd5c0db34016a085587b5348198b2eec672c59a710d","object":"chat.completion","created":1778931082,"model":"gpt-5.5","choices":[{"index":0,"message":{"role":"assistant","content":"Louis Vuitton 白色短袖T恤，棉质圆领休闲款，胸前拼色LV标识图案，男女同款夏季街头潮流上衣"},"finish_reason":"stop"}],"usage":{"prompt_tokens":1388,"completion_tokens":41,"total_tokens":1429}}</t>
        </is>
      </c>
      <c r="X88" t="inlineStr">
        <is>
          <t>Louis Vuitton 白色短袖T恤，棉质圆领休闲款，胸前拼色LV标识图案，男女同款夏季街头潮流上衣</t>
        </is>
      </c>
    </row>
    <row r="89" ht="25.5" customHeight="1">
      <c r="A89">
        <v>1839115443</v>
      </c>
      <c r="B89">
        <v>7768700030</v>
      </c>
      <c r="C89" s="2" t="str">
        <f>=HYPERLINK("https://weidian.com/item.html?itemID=7768700030", "https://weidian.com/item.html?itemID=7768700030")</f>
        <v>https://weidian.com/item.html?itemID=7768700030</v>
      </c>
      <c r="D89"/>
      <c r="E89" s="2" t="str">
        <f>=HYPERLINK("https://si.geilicdn.com/open1839115443-252808396-4fc10000019e2fb0cd3d0a23b491_1080_1080.jpg?w=640&amp;h=640", "https://si.geilicdn.com/open1839115443-252808396-4fc10000019e2fb0cd3d0a23b491_1080_1080.jpg?w=640&amp;h=640")</f>
        <v>https://si.geilicdn.com/open1839115443-252808396-4fc10000019e2fb0cd3d0a23b491_1080_1080.jpg?w=640&amp;h=640</v>
      </c>
      <c r="F89" t="inlineStr">
        <is>
          <t>T-Shirts</t>
        </is>
      </c>
      <c r="G89" t="inlineStr">
        <is>
          <t>Louis Vuitton</t>
        </is>
      </c>
      <c r="H89">
        <v>140</v>
      </c>
      <c r="I89">
        <v>20.29</v>
      </c>
      <c r="J89" t="inlineStr">
        <is>
          <t>{"id":"resp_0d6e9c660357688c016a085898618c819aa7d5d4cea68a62e7","object":"chat.completion","created":1778931868,"model":"gpt-5.5","choices":[{"index":0,"message":{"role":"assistant","content":"Louis Vuitton White V Logo Graffiti Cotton T-Shirt"},"finish_reason":"stop"}],"usage":{"prompt_tokens":714,"completion_tokens":119,"total_tokens":833}}</t>
        </is>
      </c>
      <c r="K89" t="inlineStr">
        <is>
          <t>Louis Vuitton White V Logo Graffiti Cotton T-Shirt</t>
        </is>
      </c>
      <c r="L89" t="inlineStr">
        <is>
          <t>{"id":"resp_0abb6a219f310ba7016a08575f7080819a8a94f29249c1f3bd","object":"chat.completion","created":1778931554,"model":"gpt-5.5","choices":[{"index":0,"message":{"role":"assistant","content":"Louis Vuitton white cotton short sleeve T-shirt with blue orange painted V logo back print, graffiti streetwear unisex casual top"},"finish_reason":"stop"}],"usage":{"prompt_tokens":748,"completion_tokens":119,"total_tokens":867}}</t>
        </is>
      </c>
      <c r="M89" t="inlineStr">
        <is>
          <t>{"alt-svc":"h3=\":443\"; ma=2592000","connection":"close","content-length":"423","content-type":"application/json; charset=utf-8","date":"Sat, 16 May 2026 11:39:14 GMT","referrer-policy":"strict-origin-when-cross-origin","server":"Caddy","strict-transport-security":"max-age=31536000; includeSubDomains; preload","vary":"Accept-Encoding","x-content-type-options":"nosniff","x-frame-options":"DENY","x-new-api-version":"v1.0.0-rc.2","x-oneapi-request-id":"202605161139112295098758268d9d6eYIoOiTp","x-request-id":"9ec8ac59-3941-4894-8795-7f4a30ad597a"}</t>
        </is>
      </c>
      <c r="N89" t="inlineStr">
        <is>
          <t>Louis Vuitton white cotton short sleeve T-shirt with blue orange painted V logo back print, graffiti streetwear unisex casual top</t>
        </is>
      </c>
      <c r="O89" t="inlineStr">
        <is>
          <t>{"id":"resp_0337fb89dca7a3aa016a085b4d25c481958e7ca8be12f83c4b","object":"chat.completion","created":1778932563,"model":"gpt-5.5","choices":[{"index":0,"message":{"role":"assistant","content":"Louis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kakobuysheet2026"},"finish_reason":"stop"}],"usage":{"prompt_tokens":644,"completion_tokens":260,"total_tokens":904}}</t>
        </is>
      </c>
      <c r="P89"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89" t="inlineStr">
        <is>
          <t>LV, White, Streetwear, Unisex</t>
        </is>
      </c>
      <c r="R89" t="inlineStr">
        <is>
          <t>recvjLGOf42aPv</t>
        </is>
      </c>
      <c r="S89" t="inlineStr">
        <is>
          <t>louis-vuitton-white-v-logo-graffiti-cotton-t-shirt-recvjlgof42apv</t>
        </is>
      </c>
      <c r="T89"/>
      <c r="U89"/>
      <c r="V89"/>
      <c r="W89" t="inlineStr">
        <is>
          <t>{"id":"resp_0cf63d5fc80b01b7016a085672346481968a07cf605e2ac570","object":"chat.completion","created":1778931318,"model":"gpt-5.5","choices":[{"index":0,"message":{"role":"assistant","content":"路易威登白色短袖T恤，棉质面料，背部蓝橙刷漆V字Logo印花，街头涂鸦风男女同款休闲上衣"},"finish_reason":"stop"}],"usage":{"prompt_tokens":1171,"completion_tokens":148,"total_tokens":1319}}</t>
        </is>
      </c>
      <c r="X89" t="inlineStr">
        <is>
          <t>路易威登白色短袖T恤，棉质面料，背部蓝橙刷漆V字Logo印花，街头涂鸦风男女同款休闲上衣</t>
        </is>
      </c>
    </row>
    <row r="90" ht="25.5" customHeight="1">
      <c r="A90">
        <v>1839115443</v>
      </c>
      <c r="B90">
        <v>7765633387</v>
      </c>
      <c r="C90" s="2" t="str">
        <f>=HYPERLINK("https://weidian.com/item.html?itemID=7765633387", "https://weidian.com/item.html?itemID=7765633387")</f>
        <v>https://weidian.com/item.html?itemID=7765633387</v>
      </c>
      <c r="D90"/>
      <c r="E90" s="2" t="str">
        <f>=HYPERLINK("https://si.geilicdn.com/open1839115443-252808396-55a50000019e2fb0e0370a22d249_1279_1283.jpg?w=640&amp;h=640", "https://si.geilicdn.com/open1839115443-252808396-55a50000019e2fb0e0370a22d249_1279_1283.jpg?w=640&amp;h=640")</f>
        <v>https://si.geilicdn.com/open1839115443-252808396-55a50000019e2fb0e0370a22d249_1279_1283.jpg?w=640&amp;h=640</v>
      </c>
      <c r="F90" t="inlineStr">
        <is>
          <t>T-Shirts</t>
        </is>
      </c>
      <c r="G90" t="inlineStr">
        <is>
          <t>Louis Vuitton</t>
        </is>
      </c>
      <c r="H90">
        <v>140</v>
      </c>
      <c r="I90">
        <v>20.29</v>
      </c>
      <c r="J90" t="inlineStr">
        <is>
          <t>{"id":"resp_0a0704dd817a096c016a0858ee900c8198831c38bbd53ad586","object":"chat.completion","created":1778931954,"model":"gpt-5.5","choices":[{"index":0,"message":{"role":"assistant","content":"Louis Vuitton White Bugs Bunny Graphic Cotton T-Shirt"},"finish_reason":"stop"}],"usage":{"prompt_tokens":742,"completion_tokens":130,"total_tokens":872}}</t>
        </is>
      </c>
      <c r="K90" t="inlineStr">
        <is>
          <t>Louis Vuitton White Bugs Bunny Graphic Cotton T-Shirt</t>
        </is>
      </c>
      <c r="L90" t="inlineStr">
        <is>
          <t>{"id":"resp_0da2d3d2f9fa4ae7016a0857520100819b97b7a29b4ec0128a","object":"chat.completion","created":1778931540,"model":"gpt-5.5","choices":[{"index":0,"message":{"role":"assistant","content":"Louis Vuitton white cotton crew neck T-shirt with Bugs Bunny target graphic and LV letter print, unisex streetwear casual short sleeve top"},"finish_reason":"stop"}],"usage":{"prompt_tokens":771,"completion_tokens":108,"total_tokens":879}}</t>
        </is>
      </c>
      <c r="M90" t="inlineStr">
        <is>
          <t>{"alt-svc":"h3=\":443\"; ma=2592000","connection":"close","content-length":"432","content-type":"application/json; charset=utf-8","date":"Sat, 16 May 2026 11:39:00 GMT","referrer-policy":"strict-origin-when-cross-origin","server":"Caddy","strict-transport-security":"max-age=31536000; includeSubDomains; preload","vary":"Accept-Encoding","x-content-type-options":"nosniff","x-frame-options":"DENY","x-new-api-version":"v1.0.0-rc.2","x-oneapi-request-id":"202605161138576680731338268d9d6YokIXwhq","x-request-id":"4a42c248-8521-4755-b8df-012250d83e61"}</t>
        </is>
      </c>
      <c r="N90" t="inlineStr">
        <is>
          <t>Louis Vuitton white cotton crew neck T-shirt with Bugs Bunny target graphic and LV letter print, unisex streetwear casual short sleeve top</t>
        </is>
      </c>
      <c r="O90" t="inlineStr">
        <is>
          <t>{"id":"resp_05345d316c74f1a6016a085b33b34c8193bd5263d6cabc6652","object":"chat.completion","created":1778932536,"model":"gpt-5.5","choices":[{"index":0,"message":{"role":"assistant","content":"Louis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kakobuysheet2026"},"finish_reason":"stop"}],"usage":{"prompt_tokens":668,"completion_tokens":211,"total_tokens":879}}</t>
        </is>
      </c>
      <c r="P90"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0" t="inlineStr">
        <is>
          <t>LV, White, Streetwear, Unisex</t>
        </is>
      </c>
      <c r="R90" t="inlineStr">
        <is>
          <t>recvjLGOf4MCmk</t>
        </is>
      </c>
      <c r="S90" t="inlineStr">
        <is>
          <t>louis-vuitton-white-bugs-bunny-graphic-cotton-t-shirt-recvjlgof4mcmk</t>
        </is>
      </c>
      <c r="T90"/>
      <c r="U90"/>
      <c r="V90"/>
      <c r="W90" t="inlineStr">
        <is>
          <t>{"id":"resp_0b9c30fb5414d92f016a085679a2b881949378f08dacf85839","object":"chat.completion","created":1778931325,"model":"gpt-5.5","choices":[{"index":0,"message":{"role":"assistant","content":"路易威登白色短袖T恤，棉质圆领版型，兔八哥靶心图案与LV字母印花，男女同款街头休闲潮流上衣"},"finish_reason":"stop"}],"usage":{"prompt_tokens":1193,"completion_tokens":136,"total_tokens":1329}}</t>
        </is>
      </c>
      <c r="X90" t="inlineStr">
        <is>
          <t>路易威登白色短袖T恤，棉质圆领版型，兔八哥靶心图案与LV字母印花，男女同款街头休闲潮流上衣</t>
        </is>
      </c>
    </row>
    <row r="91" ht="25.5" customHeight="1">
      <c r="A91">
        <v>1839115443</v>
      </c>
      <c r="B91">
        <v>7768715820</v>
      </c>
      <c r="C91" s="2" t="str">
        <f>=HYPERLINK("https://weidian.com/item.html?itemID=7768715820", "https://weidian.com/item.html?itemID=7768715820")</f>
        <v>https://weidian.com/item.html?itemID=7768715820</v>
      </c>
      <c r="D91"/>
      <c r="E91" s="2" t="str">
        <f>=HYPERLINK("https://si.geilicdn.com/open1839115443-252808396-56610000019e2fb10d700a22d249_1024_1366.jpg?w=640&amp;h=640", "https://si.geilicdn.com/open1839115443-252808396-56610000019e2fb10d700a22d249_1024_1366.jpg?w=640&amp;h=640")</f>
        <v>https://si.geilicdn.com/open1839115443-252808396-56610000019e2fb10d700a22d249_1024_1366.jpg?w=640&amp;h=640</v>
      </c>
      <c r="F91" t="inlineStr">
        <is>
          <t>T-Shirts</t>
        </is>
      </c>
      <c r="G91" t="inlineStr">
        <is>
          <t>Louis Vuitton</t>
        </is>
      </c>
      <c r="H91">
        <v>140</v>
      </c>
      <c r="I91">
        <v>20.29</v>
      </c>
      <c r="J91" t="inlineStr">
        <is>
          <t>{"id":"resp_0192bd09f6055dd8016a0859664d888199b9179ed35ac05ba2","object":"chat.completion","created":1778932074,"model":"gpt-5.5","choices":[{"index":0,"message":{"role":"assistant","content":"Louis Vuitton White LV Landscape Print Cotton T-Shirt"},"finish_reason":"stop"}],"usage":{"prompt_tokens":882,"completion_tokens":159,"total_tokens":1041}}</t>
        </is>
      </c>
      <c r="K91" t="inlineStr">
        <is>
          <t>Louis Vuitton White LV Landscape Print Cotton T-Shirt</t>
        </is>
      </c>
      <c r="L91" t="inlineStr">
        <is>
          <t>{"id":"resp_0d32f2ecb18b54bf016a08579875048197acf128d63105350f","object":"chat.completion","created":1778931611,"model":"gpt-5.5","choices":[{"index":0,"message":{"role":"assistant","content":"Louis Vuitton white cotton short sleeve T-shirt with LV landscape front print, crew neck relaxed fit, unisex streetwear top"},"finish_reason":"stop"}],"usage":{"prompt_tokens":910,"completion_tokens":96,"total_tokens":1006}}</t>
        </is>
      </c>
      <c r="M91" t="inlineStr">
        <is>
          <t>{"alt-svc":"h3=\":443\"; ma=2592000","connection":"close","content-length":"417","content-type":"application/json; charset=utf-8","date":"Sat, 16 May 2026 11:40:11 GMT","referrer-policy":"strict-origin-when-cross-origin","server":"nginx/1.24.0 (Ubuntu)","strict-transport-security":"max-age=31536000; includeSubDomains; preload","vary":"Accept-Encoding","via":"1.1 Caddy","x-content-type-options":"nosniff","x-frame-options":"DENY","x-new-api-version":"v1.0.0-rc.2","x-oneapi-request-id":"202605161140082757950578268d9d6nEjto0uN","x-request-id":"376c1a06-a929-40f5-8558-38eda60a0cdf"}</t>
        </is>
      </c>
      <c r="N91" t="inlineStr">
        <is>
          <t>Louis Vuitton white cotton short sleeve T-shirt with LV landscape front print, crew neck relaxed fit, unisex streetwear top</t>
        </is>
      </c>
      <c r="O91" t="inlineStr">
        <is>
          <t>{"id":"resp_087077ed49905313016a085ad01f948190baa4ed168c9e2da1","object":"chat.completion","created":1778932437,"model":"gpt-5.5","choices":[{"index":0,"message":{"role":"assistant","content":"Louis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kakobuysheet2026"},"finish_reason":"stop"}],"usage":{"prompt_tokens":812,"completion_tokens":233,"total_tokens":1045}}</t>
        </is>
      </c>
      <c r="P91"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1" t="inlineStr">
        <is>
          <t>LV, White, Unisex, Streetwear</t>
        </is>
      </c>
      <c r="R91" t="inlineStr">
        <is>
          <t>recvjLGOf4bK3q</t>
        </is>
      </c>
      <c r="S91" t="inlineStr">
        <is>
          <t>louis-vuitton-white-landscape-print-cotton-t-shirt-recvjlgof4bk3q</t>
        </is>
      </c>
      <c r="T91"/>
      <c r="U91"/>
      <c r="V91"/>
      <c r="W91" t="inlineStr">
        <is>
          <t>{"id":"resp_051b9c50c0014878016a0855a5cb64819986f3ded960bc336a","object":"chat.completion","created":1778931113,"model":"gpt-5.5","choices":[{"index":0,"message":{"role":"assistant","content":"路易威登Louis Vuitton 白色棉质短袖T恤，前幅LV字母风景印花，圆领休闲版型，男女同款街头潮流上衣"},"finish_reason":"stop"}],"usage":{"prompt_tokens":1333,"completion_tokens":166,"total_tokens":1499}}</t>
        </is>
      </c>
      <c r="X91" t="inlineStr">
        <is>
          <t>路易威登Louis Vuitton 白色棉质短袖T恤，前幅LV字母风景印花，圆领休闲版型，男女同款街头潮流上衣</t>
        </is>
      </c>
    </row>
    <row r="92" ht="25.5" customHeight="1">
      <c r="A92">
        <v>1839115443</v>
      </c>
      <c r="B92">
        <v>7768723840</v>
      </c>
      <c r="C92" s="2" t="str">
        <f>=HYPERLINK("https://weidian.com/item.html?itemID=7768723840", "https://weidian.com/item.html?itemID=7768723840")</f>
        <v>https://weidian.com/item.html?itemID=7768723840</v>
      </c>
      <c r="D92"/>
      <c r="E92" s="2" t="str">
        <f>=HYPERLINK("https://si.geilicdn.com/open1839115443-252808396-45850000019e2fb1b6920aa08269_1200_1200.jpg?w=640&amp;h=640", "https://si.geilicdn.com/open1839115443-252808396-45850000019e2fb1b6920aa08269_1200_1200.jpg?w=640&amp;h=640")</f>
        <v>https://si.geilicdn.com/open1839115443-252808396-45850000019e2fb1b6920aa08269_1200_1200.jpg?w=640&amp;h=640</v>
      </c>
      <c r="F92" t="inlineStr">
        <is>
          <t>T-Shirts</t>
        </is>
      </c>
      <c r="G92" t="inlineStr">
        <is>
          <t>Louis Vuitton</t>
        </is>
      </c>
      <c r="H92">
        <v>140</v>
      </c>
      <c r="I92">
        <v>20.29</v>
      </c>
      <c r="J92" t="inlineStr">
        <is>
          <t>{"id":"resp_01ec10a6b950cb0d016a08598b3178819bbe1d4ccff6619c2f","object":"chat.completion","created":1778932113,"model":"gpt-5.5","choices":[{"index":0,"message":{"role":"assistant","content":"Louis Vuitton White Floral Playing Card Logo T-Shirt"},"finish_reason":"stop"}],"usage":{"prompt_tokens":722,"completion_tokens":116,"total_tokens":838}}</t>
        </is>
      </c>
      <c r="K92" t="inlineStr">
        <is>
          <t>Louis Vuitton White Floral Playing Card Logo T-Shirt</t>
        </is>
      </c>
      <c r="L92" t="inlineStr">
        <is>
          <t>{"id":"resp_072f25c3b66ef14a016a0856ef3e68819795682b2495aaa6d4","object":"chat.completion","created":1778931446,"model":"gpt-5.5","choices":[{"index":0,"message":{"role":"assistant","content":"Louis Vuitton white cotton crew neck T-shirt with logo lettering and floral playing card motif print, casual streetwear short sleeve top for men and women"},"finish_reason":"stop"}],"usage":{"prompt_tokens":744,"completion_tokens":108,"total_tokens":852}}</t>
        </is>
      </c>
      <c r="M92" t="inlineStr">
        <is>
          <t>{"alt-svc":"h3=\":443\"; ma=2592000","connection":"close","content-length":"448","content-type":"application/json; charset=utf-8","date":"Sat, 16 May 2026 11:37:26 GMT","referrer-policy":"strict-origin-when-cross-origin","server":"Caddy","strict-transport-security":"max-age=31536000; includeSubDomains; preload","vary":"Accept-Encoding","x-content-type-options":"nosniff","x-frame-options":"DENY","x-new-api-version":"v1.0.0-rc.2","x-oneapi-request-id":"202605161137189861243678268d9d6gS3maim3","x-request-id":"cd36d619-e2b9-4d84-90da-e42eb2439752"}</t>
        </is>
      </c>
      <c r="N92" t="inlineStr">
        <is>
          <t>Louis Vuitton white cotton crew neck T-shirt with logo lettering and floral playing card motif print, casual streetwear short sleeve top for men and women</t>
        </is>
      </c>
      <c r="O92" t="inlineStr">
        <is>
          <t>{"id":"resp_026adb0ccd0ffd4c016a085b723bb88193a68f82d60017d9f1","object":"chat.completion","created":1778932601,"model":"gpt-5.5","choices":[{"index":0,"message":{"role":"assistant","content":"Louis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kakobuysheet2026"},"finish_reason":"stop"}],"usage":{"prompt_tokens":644,"completion_tokens":322,"total_tokens":966}}</t>
        </is>
      </c>
      <c r="P92"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2" t="inlineStr">
        <is>
          <t>LV, White, Streetwear, Unisex</t>
        </is>
      </c>
      <c r="R92" t="inlineStr">
        <is>
          <t>recvjLGOf40q3t</t>
        </is>
      </c>
      <c r="S92" t="inlineStr">
        <is>
          <t>louis-vuitton-white-floral-playing-card-logo-tshirt-recvjlgof40q3t</t>
        </is>
      </c>
      <c r="T92"/>
      <c r="U92"/>
      <c r="V92"/>
      <c r="W92" t="inlineStr">
        <is>
          <t>{"id":"resp_0721aa5e9e0d7fea016a08561cc7e88196a578380b5bc4753f","object":"chat.completion","created":1778931232,"model":"gpt-5.5","choices":[{"index":0,"message":{"role":"assistant","content":"路易威登白色短袖T恤，棉质圆领版型，前胸Louis Vuitton字母与花朵扑克图腾印花，休闲潮流男女同款上衣"},"finish_reason":"stop"}],"usage":{"prompt_tokens":1165,"completion_tokens":143,"total_tokens":1308}}</t>
        </is>
      </c>
      <c r="X92" t="inlineStr">
        <is>
          <t>路易威登白色短袖T恤，棉质圆领版型，前胸Louis Vuitton字母与花朵扑克图腾印花，休闲潮流男女同款上衣</t>
        </is>
      </c>
    </row>
    <row r="93" ht="25.5" customHeight="1">
      <c r="A93">
        <v>1839115443</v>
      </c>
      <c r="B93">
        <v>7765670805</v>
      </c>
      <c r="C93" s="2" t="str">
        <f>=HYPERLINK("https://weidian.com/item.html?itemID=7765670805", "https://weidian.com/item.html?itemID=7765670805")</f>
        <v>https://weidian.com/item.html?itemID=7765670805</v>
      </c>
      <c r="D93"/>
      <c r="E93" s="2" t="str">
        <f>=HYPERLINK("https://si.geilicdn.com/open1839115443-252808396-471c0000019e2fb054500a231226_1080_1080.jpg?w=640&amp;h=640", "https://si.geilicdn.com/open1839115443-252808396-471c0000019e2fb054500a231226_1080_1080.jpg?w=640&amp;h=640")</f>
        <v>https://si.geilicdn.com/open1839115443-252808396-471c0000019e2fb054500a231226_1080_1080.jpg?w=640&amp;h=640</v>
      </c>
      <c r="F93" t="inlineStr">
        <is>
          <t>T-Shirts</t>
        </is>
      </c>
      <c r="G93" t="inlineStr">
        <is>
          <t>Louis Vuitton</t>
        </is>
      </c>
      <c r="H93">
        <v>148</v>
      </c>
      <c r="I93">
        <v>21.45</v>
      </c>
      <c r="J93" t="inlineStr">
        <is>
          <t>{"id":"resp_0e42d419faa37916016a08594943a48195afea6fa0ceffa942","object":"chat.completion","created":1778932045,"model":"gpt-5.5","choices":[{"index":0,"message":{"role":"assistant","content":"Louis Vuitton White Cotton Silhouette Print Unisex T-Shirt"},"finish_reason":"stop"}],"usage":{"prompt_tokens":722,"completion_tokens":152,"total_tokens":874}}</t>
        </is>
      </c>
      <c r="K93" t="inlineStr">
        <is>
          <t>Louis Vuitton White Cotton Silhouette Print Unisex T-Shirt</t>
        </is>
      </c>
      <c r="L93" t="inlineStr">
        <is>
          <t>{"id":"resp_0200fd1b29b89b3d016a0857415238819798f31fd28750b5bb","object":"chat.completion","created":1778931524,"model":"gpt-5.5","choices":[{"index":0,"message":{"role":"assistant","content":"Louis Vuitton white cotton short sleeve T-shirt, relaxed unisex fit, black silhouette and letter print, casual streetwear top for men and women"},"finish_reason":"stop"}],"usage":{"prompt_tokens":741,"completion_tokens":93,"total_tokens":834}}</t>
        </is>
      </c>
      <c r="M93" t="inlineStr">
        <is>
          <t>{"alt-svc":"h3=\":443\"; ma=2592000","connection":"close","content-length":"436","content-type":"application/json; charset=utf-8","date":"Sat, 16 May 2026 11:38:44 GMT","referrer-policy":"strict-origin-when-cross-origin","server":"nginx/1.24.0 (Ubuntu)","strict-transport-security":"max-age=31536000; includeSubDomains; preload","vary":"Accept-Encoding","via":"1.1 Caddy","x-content-type-options":"nosniff","x-frame-options":"DENY","x-new-api-version":"v1.0.0-rc.2","x-oneapi-request-id":"202605161138411130967578268d9d6l8HCk2KY","x-request-id":"243952b2-a922-437d-ae1f-018634c906d1"}</t>
        </is>
      </c>
      <c r="N93" t="inlineStr">
        <is>
          <t>Louis Vuitton white cotton short sleeve T-shirt, relaxed unisex fit, black silhouette and letter print, casual streetwear top for men and women</t>
        </is>
      </c>
      <c r="O93" t="inlineStr">
        <is>
          <t>{"id":"resp_00f89320f8faf4b9016a085b019b84819a9f766bff7f82cd1b","object":"chat.completion","created":1778932486,"model":"gpt-5.5","choices":[{"index":0,"message":{"role":"assistant","content":"Louis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kakobuysheet2026"},"finish_reason":"stop"}],"usage":{"prompt_tokens":644,"completion_tokens":223,"total_tokens":867}}</t>
        </is>
      </c>
      <c r="P93"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3" t="inlineStr">
        <is>
          <t>LV, White, Streetwear, Unisex</t>
        </is>
      </c>
      <c r="R93" t="inlineStr">
        <is>
          <t>recvjLGOf4PLqu</t>
        </is>
      </c>
      <c r="S93" t="inlineStr">
        <is>
          <t>louis-vuitton-white-cotton-silhouette-print-unisex-t-shirt-recvjlgof4plqu</t>
        </is>
      </c>
      <c r="T93"/>
      <c r="U93"/>
      <c r="V93"/>
      <c r="W93" t="inlineStr">
        <is>
          <t>{"id":"resp_016b60e5e400e4d1016a085640a9a8819b941ef1cf2701d176","object":"chat.completion","created":1778931268,"model":"gpt-5.5","choices":[{"index":0,"message":{"role":"assistant","content":"路易威登 Louis Vuitton 白色短袖T恤，纯棉休闲版型，黑色人物剪影与字母印花设计，男女通用街头潮流上衣"},"finish_reason":"stop"}],"usage":{"prompt_tokens":1163,"completion_tokens":150,"total_tokens":1313}}</t>
        </is>
      </c>
      <c r="X93" t="inlineStr">
        <is>
          <t>路易威登 Louis Vuitton 白色短袖T恤，纯棉休闲版型，黑色人物剪影与字母印花设计，男女通用街头潮流上衣</t>
        </is>
      </c>
    </row>
    <row r="94" ht="25.5" customHeight="1">
      <c r="A94">
        <v>1839115443</v>
      </c>
      <c r="B94">
        <v>7768662814</v>
      </c>
      <c r="C94" s="2" t="str">
        <f>=HYPERLINK("https://weidian.com/item.html?itemID=7768662814", "https://weidian.com/item.html?itemID=7768662814")</f>
        <v>https://weidian.com/item.html?itemID=7768662814</v>
      </c>
      <c r="D94"/>
      <c r="E94" s="2" t="str">
        <f>=HYPERLINK("https://si.geilicdn.com/open1839115443-252808396-4cdf0000019e2fb2333f0aa08239_1280_1280.jpg?w=640&amp;h=640", "https://si.geilicdn.com/open1839115443-252808396-4cdf0000019e2fb2333f0aa08239_1280_1280.jpg?w=640&amp;h=640")</f>
        <v>https://si.geilicdn.com/open1839115443-252808396-4cdf0000019e2fb2333f0aa08239_1280_1280.jpg?w=640&amp;h=640</v>
      </c>
      <c r="F94" t="inlineStr">
        <is>
          <t>T-Shirts</t>
        </is>
      </c>
      <c r="G94" t="inlineStr">
        <is>
          <t>Louis Vuitton</t>
        </is>
      </c>
      <c r="H94">
        <v>140</v>
      </c>
      <c r="I94">
        <v>20.29</v>
      </c>
      <c r="J94" t="inlineStr">
        <is>
          <t>{"id":"resp_032ee07c1ede4399016a08596d3d9c8193a35519b79aef87fd","object":"chat.completion","created":1778932080,"model":"gpt-5.5","choices":[{"index":0,"message":{"role":"assistant","content":"Louis Vuitton Pont Neuf Sunrise White Cotton T-Shirt"},"finish_reason":"stop"}],"usage":{"prompt_tokens":718,"completion_tokens":121,"total_tokens":839}}</t>
        </is>
      </c>
      <c r="K94" t="inlineStr">
        <is>
          <t>Louis Vuitton Pont Neuf Sunrise White Cotton T-Shirt</t>
        </is>
      </c>
      <c r="L94" t="inlineStr">
        <is>
          <t>{"id":"resp_02af5ae69b55fbaf016a0857ca13bc8199bf2736ec24c208d1","object":"chat.completion","created":1778931660,"model":"gpt-5.5","choices":[{"index":0,"message":{"role":"assistant","content":"Louis Vuitton white cotton T-shirt with Pont Neuf sunrise print, blue-yellow graphic, unisex crew neck short sleeve streetwear top"},"finish_reason":"stop"}],"usage":{"prompt_tokens":745,"completion_tokens":92,"total_tokens":837}}</t>
        </is>
      </c>
      <c r="M94" t="inlineStr">
        <is>
          <t>{"alt-svc":"h3=\":443\"; ma=2592000","connection":"close","content-length":"423","content-type":"application/json; charset=utf-8","date":"Sat, 16 May 2026 11:41:00 GMT","referrer-policy":"strict-origin-when-cross-origin","server":"nginx/1.24.0 (Ubuntu)","strict-transport-security":"max-age=31536000; includeSubDomains; preload","vary":"Accept-Encoding","via":"1.1 Caddy","x-content-type-options":"nosniff","x-frame-options":"DENY","x-new-api-version":"v1.0.0-rc.2","x-oneapi-request-id":"202605161140577001677948268d9d6Huc6R1Vl","x-request-id":"2196ed5d-3fe5-464e-a61e-93b55ac687ec"}</t>
        </is>
      </c>
      <c r="N94" t="inlineStr">
        <is>
          <t>Louis Vuitton white cotton T-shirt with Pont Neuf sunrise print, blue-yellow graphic, unisex crew neck short sleeve streetwear top</t>
        </is>
      </c>
      <c r="O94" t="inlineStr">
        <is>
          <t>{"id":"resp_05d99a52990feaa5016a085b8815108196821136a652bfd1a1","object":"chat.completion","created":1778932624,"model":"gpt-5.5","choices":[{"index":0,"message":{"role":"assistant","content":"Louis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kakobuysheet2026"},"finish_reason":"stop"}],"usage":{"prompt_tokens":644,"completion_tokens":351,"total_tokens":995}}</t>
        </is>
      </c>
      <c r="P94"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4" t="inlineStr">
        <is>
          <t>LV, White, Blue, Yellow, Unisex, Streetwear</t>
        </is>
      </c>
      <c r="R94" t="inlineStr">
        <is>
          <t>recvjLGOf4ZghJ</t>
        </is>
      </c>
      <c r="S94" t="inlineStr">
        <is>
          <t>louis-vuitton-pont-neuf-sunrise-white-cotton-t-shirt-recvjlgof4zghj</t>
        </is>
      </c>
      <c r="T94"/>
      <c r="U94"/>
      <c r="V94"/>
      <c r="W94" t="inlineStr">
        <is>
          <t>{"id":"resp_0882a758793704ce016a085566933c8190b33a69af63e116b4","object":"chat.completion","created":1778931052,"model":"gpt-5.5","choices":[{"index":0,"message":{"role":"assistant","content":"路易威登 Louis Vuitton 白色棉质短袖T恤，Pont Neuf桥梁日出印花，蓝黄撞色休闲街头风，男女同款经典圆领上衣"},"finish_reason":"stop"}],"usage":{"prompt_tokens":1167,"completion_tokens":132,"total_tokens":1299}}</t>
        </is>
      </c>
      <c r="X94" t="inlineStr">
        <is>
          <t>路易威登 Louis Vuitton 白色棉质短袖T恤，Pont Neuf桥梁日出印花，蓝黄撞色休闲街头风，男女同款经典圆领上衣</t>
        </is>
      </c>
    </row>
    <row r="95" ht="25.5" customHeight="1">
      <c r="A95">
        <v>1839115443</v>
      </c>
      <c r="B95">
        <v>7765613043</v>
      </c>
      <c r="C95" s="2" t="str">
        <f>=HYPERLINK("https://weidian.com/item.html?itemID=7765613043", "https://weidian.com/item.html?itemID=7765613043")</f>
        <v>https://weidian.com/item.html?itemID=7765613043</v>
      </c>
      <c r="D95"/>
      <c r="E95" s="2" t="str">
        <f>=HYPERLINK("https://si.geilicdn.com/open1839115443-252808396-533d0000019e2fb508fc0a23b491_1080_1080.jpg?w=640&amp;h=640", "https://si.geilicdn.com/open1839115443-252808396-533d0000019e2fb508fc0a23b491_1080_1080.jpg?w=640&amp;h=640")</f>
        <v>https://si.geilicdn.com/open1839115443-252808396-533d0000019e2fb508fc0a23b491_1080_1080.jpg?w=640&amp;h=640</v>
      </c>
      <c r="F95" t="inlineStr">
        <is>
          <t>T-Shirts</t>
        </is>
      </c>
      <c r="G95" t="inlineStr">
        <is>
          <t>Louis Vuitton</t>
        </is>
      </c>
      <c r="H95">
        <v>168</v>
      </c>
      <c r="I95">
        <v>24.35</v>
      </c>
      <c r="J95" t="inlineStr">
        <is>
          <t>{"id":"resp_082fc002ba8c8286016a085925dd388193a66018e79394b0ac","object":"chat.completion","created":1778932010,"model":"gpt-5.5","choices":[{"index":0,"message":{"role":"assistant","content":"Louis Vuitton Black LV Logo Cotton Crew Neck T-Shirt"},"finish_reason":"stop"}],"usage":{"prompt_tokens":722,"completion_tokens":179,"total_tokens":901}}</t>
        </is>
      </c>
      <c r="K95" t="inlineStr">
        <is>
          <t>Louis Vuitton Black LV Logo Cotton Crew Neck T-Shirt</t>
        </is>
      </c>
      <c r="L95" t="inlineStr">
        <is>
          <t>{"id":"resp_0365a589be8f7520016a08578e45948197992dd714c40221b0","object":"chat.completion","created":1778931602,"model":"gpt-5.5","choices":[{"index":0,"message":{"role":"assistant","content":"Louis Vuitton black cotton crew neck T-shirt with LV logo graphic, short sleeve unisex streetwear top for men and women, casual fashion tee"},"finish_reason":"stop"}],"usage":{"prompt_tokens":741,"completion_tokens":99,"total_tokens":840}}</t>
        </is>
      </c>
      <c r="M95" t="inlineStr">
        <is>
          <t>{"alt-svc":"h3=\":443\"; ma=2592000","connection":"close","content-length":"432","content-type":"application/json; charset=utf-8","date":"Sat, 16 May 2026 11:40:02 GMT","referrer-policy":"strict-origin-when-cross-origin","server":"nginx/1.24.0 (Ubuntu)","strict-transport-security":"max-age=31536000; includeSubDomains; preload","vary":"Accept-Encoding","via":"1.1 Caddy","x-content-type-options":"nosniff","x-frame-options":"DENY","x-new-api-version":"v1.0.0-rc.2","x-oneapi-request-id":"20260516113958886902278268d9d6BnG3YyZ3","x-request-id":"eaf571ad-379b-4736-b951-b892e31a5f75"}</t>
        </is>
      </c>
      <c r="N95" t="inlineStr">
        <is>
          <t>Louis Vuitton black cotton crew neck T-shirt with LV logo graphic, short sleeve unisex streetwear top for men and women, casual fashion tee</t>
        </is>
      </c>
      <c r="O95" t="inlineStr">
        <is>
          <t>{"id":"resp_0466345dcf55d8e7016a085a6309ec81949b3b27c7cd3e95b6","object":"chat.completion","created":1778932328,"model":"gpt-5.5","choices":[{"index":0,"message":{"role":"assistant","content":"Louis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kakobuysheet2026"},"finish_reason":"stop"}],"usage":{"prompt_tokens":644,"completion_tokens":221,"total_tokens":865}}</t>
        </is>
      </c>
      <c r="P95"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5" t="inlineStr">
        <is>
          <t>LV, Black, Streetwear, Unisex</t>
        </is>
      </c>
      <c r="R95" t="inlineStr">
        <is>
          <t>recvjLGOf4EQya</t>
        </is>
      </c>
      <c r="S95" t="inlineStr">
        <is>
          <t>louis-vuitton-black-lv-logo-cotton-crew-neck-tshirt-recvjlgof4eqya</t>
        </is>
      </c>
      <c r="T95"/>
      <c r="U95"/>
      <c r="V95"/>
      <c r="W95" t="inlineStr">
        <is>
          <t>{"id":"resp_05873b2d546a1ce4016a085589c7c4819a9c9a4035f5c24a21","object":"chat.completion","created":1778931086,"model":"gpt-5.5","choices":[{"index":0,"message":{"role":"assistant","content":"路易威登 Louis Vuitton 黑色短袖T恤，棉质圆领，LV字母印花图腾，休闲街头风，男女同款潮流上衣。"},"finish_reason":"stop"}],"usage":{"prompt_tokens":1167,"completion_tokens":126,"total_tokens":1293}}</t>
        </is>
      </c>
      <c r="X95" t="inlineStr">
        <is>
          <t>路易威登 Louis Vuitton 黑色短袖T恤，棉质圆领，LV字母印花图腾，休闲街头风，男女同款潮流上衣。</t>
        </is>
      </c>
    </row>
    <row r="96" ht="25.5" customHeight="1">
      <c r="A96">
        <v>1839115443</v>
      </c>
      <c r="B96">
        <v>7765747621</v>
      </c>
      <c r="C96" s="2" t="str">
        <f>=HYPERLINK("https://weidian.com/item.html?itemID=7765747621", "https://weidian.com/item.html?itemID=7765747621")</f>
        <v>https://weidian.com/item.html?itemID=7765747621</v>
      </c>
      <c r="D96"/>
      <c r="E96" s="2" t="str">
        <f>=HYPERLINK("https://si.geilicdn.com/open1839115443-252808396-51190000019e2fb2bbfd0a23b4de_1280_1280.jpg?w=640&amp;h=640", "https://si.geilicdn.com/open1839115443-252808396-51190000019e2fb2bbfd0a23b4de_1280_1280.jpg?w=640&amp;h=640")</f>
        <v>https://si.geilicdn.com/open1839115443-252808396-51190000019e2fb2bbfd0a23b4de_1280_1280.jpg?w=640&amp;h=640</v>
      </c>
      <c r="F96" t="inlineStr">
        <is>
          <t>T-Shirts</t>
        </is>
      </c>
      <c r="G96" t="inlineStr">
        <is>
          <t>Louis Vuitton</t>
        </is>
      </c>
      <c r="H96">
        <v>140</v>
      </c>
      <c r="I96">
        <v>20.29</v>
      </c>
      <c r="J96" t="inlineStr">
        <is>
          <t>{"id":"resp_072f9ad38ec03782016a08596d1018819b9865479250ff6fc0","object":"chat.completion","created":1778932080,"model":"gpt-5.5","choices":[{"index":0,"message":{"role":"assistant","content":"Louis Vuitton Black Spray Paint Graphic Cotton T-Shirt"},"finish_reason":"stop"}],"usage":{"prompt_tokens":721,"completion_tokens":129,"total_tokens":850}}</t>
        </is>
      </c>
      <c r="K96" t="inlineStr">
        <is>
          <t>Louis Vuitton Black Spray Paint Graphic Cotton T-Shirt</t>
        </is>
      </c>
      <c r="L96" t="inlineStr">
        <is>
          <t>{"id":"resp_0c76034b0de09523016a08575c8b6c819a986a3456328c6cfd","object":"chat.completion","created":1778931552,"model":"gpt-5.5","choices":[{"index":0,"message":{"role":"assistant","content":"Louis Vuitton black cotton crew neck T-shirt with colorful abstract spray paint chest graphic, relaxed casual fit, unisex streetwear short sleeve top."},"finish_reason":"stop"}],"usage":{"prompt_tokens":748,"completion_tokens":112,"total_tokens":860}}</t>
        </is>
      </c>
      <c r="M96" t="inlineStr">
        <is>
          <t>{"alt-svc":"h3=\":443\"; ma=2592000","connection":"close","content-length":"444","content-type":"application/json; charset=utf-8","date":"Sat, 16 May 2026 11:39:12 GMT","referrer-policy":"strict-origin-when-cross-origin","server":"nginx/1.24.0 (Ubuntu)","strict-transport-security":"max-age=31536000; includeSubDomains; preload","vary":"Accept-Encoding","via":"1.1 Caddy","x-content-type-options":"nosniff","x-frame-options":"DENY","x-new-api-version":"v1.0.0-rc.2","x-oneapi-request-id":"20260516113908569184718268d9d6dDDVF5Jp","x-request-id":"9816b83c-a7d8-454f-add2-45d266525126"}</t>
        </is>
      </c>
      <c r="N96" t="inlineStr">
        <is>
          <t>Louis Vuitton black cotton crew neck T-shirt with colorful abstract spray paint chest graphic, relaxed casual fit, unisex streetwear short sleeve top.</t>
        </is>
      </c>
      <c r="O96" t="inlineStr">
        <is>
          <t>{"id":"resp_0d2108e81bf8d52c016a085b83d0a48194a220646a65039bf0","object":"chat.completion","created":1778932617,"model":"gpt-5.5","choices":[{"index":0,"message":{"role":"assistant","content":"Louis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kakobuysheet2026"},"finish_reason":"stop"}],"usage":{"prompt_tokens":644,"completion_tokens":223,"total_tokens":867}}</t>
        </is>
      </c>
      <c r="P96"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6" t="inlineStr">
        <is>
          <t>LV, Black, Colorful, Abstract, Unisex</t>
        </is>
      </c>
      <c r="R96" t="inlineStr">
        <is>
          <t>recvjLGOf4TRmW</t>
        </is>
      </c>
      <c r="S96" t="inlineStr">
        <is>
          <t>louis-vuitton-black-spray-paint-graphic-cotton-t-shirt-recvjlgof4trmw</t>
        </is>
      </c>
      <c r="T96"/>
      <c r="U96"/>
      <c r="V96"/>
      <c r="W96" t="inlineStr">
        <is>
          <t>{"id":"resp_012801e44b287ff8016a085626a2e88193b141736742a12188","object":"chat.completion","created":1778931242,"model":"gpt-5.5","choices":[{"index":0,"message":{"role":"assistant","content":"路易威登 Louis Vuitton 黑色短袖T恤，棉质圆领休闲版型，胸前彩色抽象喷绘图案点缀，男女同款街头潮流上衣。"},"finish_reason":"stop"}],"usage":{"prompt_tokens":1169,"completion_tokens":151,"total_tokens":1320}}</t>
        </is>
      </c>
      <c r="X96" t="inlineStr">
        <is>
          <t>路易威登 Louis Vuitton 黑色短袖T恤，棉质圆领休闲版型，胸前彩色抽象喷绘图案点缀，男女同款街头潮流上衣。</t>
        </is>
      </c>
    </row>
    <row r="97" ht="25.5" customHeight="1">
      <c r="A97">
        <v>1839115443</v>
      </c>
      <c r="B97">
        <v>7768654892</v>
      </c>
      <c r="C97" s="2" t="str">
        <f>=HYPERLINK("https://weidian.com/item.html?itemID=7768654892", "https://weidian.com/item.html?itemID=7768654892")</f>
        <v>https://weidian.com/item.html?itemID=7768654892</v>
      </c>
      <c r="D97"/>
      <c r="E97" s="2" t="str">
        <f>=HYPERLINK("https://si.geilicdn.com/open1839115443-252808396-2f8f0000019e2fb1efc60a8133b0_1080_1080.jpg?w=640&amp;h=640", "https://si.geilicdn.com/open1839115443-252808396-2f8f0000019e2fb1efc60a8133b0_1080_1080.jpg?w=640&amp;h=640")</f>
        <v>https://si.geilicdn.com/open1839115443-252808396-2f8f0000019e2fb1efc60a8133b0_1080_1080.jpg?w=640&amp;h=640</v>
      </c>
      <c r="F97" t="inlineStr">
        <is>
          <t>T-Shirts</t>
        </is>
      </c>
      <c r="G97" t="inlineStr">
        <is>
          <t>Louis Vuitton</t>
        </is>
      </c>
      <c r="H97">
        <v>140</v>
      </c>
      <c r="I97">
        <v>20.29</v>
      </c>
      <c r="J97" t="inlineStr">
        <is>
          <t>{"id":"resp_0115daf1ca949b8f016a08597acc448193bee459802d78bcdf","object":"chat.completion","created":1778932094,"model":"gpt-5.5","choices":[{"index":0,"message":{"role":"assistant","content":"Louis Vuitton White Monogram Logo Cotton T-Shirt Unisex"},"finish_reason":"stop"}],"usage":{"prompt_tokens":724,"completion_tokens":154,"total_tokens":878}}</t>
        </is>
      </c>
      <c r="K97" t="inlineStr">
        <is>
          <t>Louis Vuitton White Monogram Logo Cotton T-Shirt Unisex</t>
        </is>
      </c>
      <c r="L97" t="inlineStr">
        <is>
          <t>{"id":"resp_0436c427708695af016a08574f5af8819aae732e1c4ade1395","object":"chat.completion","created":1778931538,"model":"gpt-5.5","choices":[{"index":0,"message":{"role":"assistant","content":"Louis Vuitton white cotton T-shirt, unisex short sleeve top with colorful letter logo and Monogram print, streetwear casual tee for men and women"},"finish_reason":"stop"}],"usage":{"prompt_tokens":742,"completion_tokens":106,"total_tokens":848}}</t>
        </is>
      </c>
      <c r="M97" t="inlineStr">
        <is>
          <t>{"alt-svc":"h3=\":443\"; ma=2592000","connection":"close","content-length":"439","content-type":"application/json; charset=utf-8","date":"Sat, 16 May 2026 11:38:58 GMT","referrer-policy":"strict-origin-when-cross-origin","server":"Caddy","strict-transport-security":"max-age=31536000; includeSubDomains; preload","vary":"Accept-Encoding","x-content-type-options":"nosniff","x-frame-options":"DENY","x-new-api-version":"v1.0.0-rc.2","x-oneapi-request-id":"202605161138551447166608268d9d61Yu82hYg","x-request-id":"135e80cc-c85c-43a9-bc86-74a763c3230a"}</t>
        </is>
      </c>
      <c r="N97" t="inlineStr">
        <is>
          <t>Louis Vuitton white cotton T-shirt, unisex short sleeve top with colorful letter logo and Monogram print, streetwear casual tee for men and women</t>
        </is>
      </c>
      <c r="O97" t="inlineStr">
        <is>
          <t>{"id":"resp_0d2854273bc783a8016a085ba276b081948f94bad65c8fe24f","object":"chat.completion","created":1778932647,"model":"gpt-5.5","choices":[{"index":0,"message":{"role":"assistant","content":"Louis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kakobuysheet2026"},"finish_reason":"stop"}],"usage":{"prompt_tokens":644,"completion_tokens":215,"total_tokens":859}}</t>
        </is>
      </c>
      <c r="P97"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7" t="inlineStr">
        <is>
          <t>LV, White, Streetwear, Unisex</t>
        </is>
      </c>
      <c r="R97" t="inlineStr">
        <is>
          <t>recvjLGOf4dLaH</t>
        </is>
      </c>
      <c r="S97" t="inlineStr">
        <is>
          <t>louis-vuitton-white-monogram-logo-cotton-t-shirt-recvjlgof4dlah</t>
        </is>
      </c>
      <c r="T97"/>
      <c r="U97"/>
      <c r="V97"/>
      <c r="W97" t="inlineStr">
        <is>
          <t>{"id":"resp_0a0ec4651bd85742016a085587d378819b9d57dcda4f4931c3","object":"chat.completion","created":1778931084,"model":"gpt-5.5","choices":[{"index":0,"message":{"role":"assistant","content":"路易威登 Louis Vuitton 白色纯棉短袖T恤，多彩字母Logo与Monogram图腾印花，男女同款街头休闲上衣"},"finish_reason":"stop"}],"usage":{"prompt_tokens":1175,"completion_tokens":170,"total_tokens":1345}}</t>
        </is>
      </c>
      <c r="X97" t="inlineStr">
        <is>
          <t>路易威登 Louis Vuitton 白色纯棉短袖T恤，多彩字母Logo与Monogram图腾印花，男女同款街头休闲上衣</t>
        </is>
      </c>
    </row>
    <row r="98" ht="25.5" customHeight="1">
      <c r="A98">
        <v>1839115443</v>
      </c>
      <c r="B98">
        <v>7768709970</v>
      </c>
      <c r="C98" s="2" t="str">
        <f>=HYPERLINK("https://weidian.com/item.html?itemID=7768709970", "https://weidian.com/item.html?itemID=7768709970")</f>
        <v>https://weidian.com/item.html?itemID=7768709970</v>
      </c>
      <c r="D98"/>
      <c r="E98" s="2" t="str">
        <f>=HYPERLINK("https://si.geilicdn.com/open1839115443-252808396-521b0000019e2fb293950a23b491_1080_1080.jpg?w=640&amp;h=640", "https://si.geilicdn.com/open1839115443-252808396-521b0000019e2fb293950a23b491_1080_1080.jpg?w=640&amp;h=640")</f>
        <v>https://si.geilicdn.com/open1839115443-252808396-521b0000019e2fb293950a23b491_1080_1080.jpg?w=640&amp;h=640</v>
      </c>
      <c r="F98" t="inlineStr">
        <is>
          <t>T-Shirts</t>
        </is>
      </c>
      <c r="G98" t="inlineStr">
        <is>
          <t>Louis Vuitton</t>
        </is>
      </c>
      <c r="H98">
        <v>140</v>
      </c>
      <c r="I98">
        <v>20.29</v>
      </c>
      <c r="J98" t="inlineStr">
        <is>
          <t>{"id":"resp_0d0b20bc9eb49def016a08596202688195b696fc3cde0e6a3a","object":"chat.completion","created":1778932069,"model":"gpt-5.5","choices":[{"index":0,"message":{"role":"assistant","content":"Louis Vuitton White Monogram Floral Cotton T-Shirt Unisex"},"finish_reason":"stop"}],"usage":{"prompt_tokens":725,"completion_tokens":125,"total_tokens":850}}</t>
        </is>
      </c>
      <c r="K98" t="inlineStr">
        <is>
          <t>Louis Vuitton White Monogram Floral Cotton T-Shirt Unisex</t>
        </is>
      </c>
      <c r="L98" t="inlineStr">
        <is>
          <t>{"id":"resp_03ec42e605c1c09d016a08573c3878819bac1783e8b077a381","object":"chat.completion","created":1778931519,"model":"gpt-5.5","choices":[{"index":0,"message":{"role":"assistant","content":"Louis Vuitton white cotton crew neck T-shirt, unisex casual fit, black Monogram floral print, short sleeve streetwear top for men and women."},"finish_reason":"stop"}],"usage":{"prompt_tokens":742,"completion_tokens":113,"total_tokens":855}}</t>
        </is>
      </c>
      <c r="M98" t="inlineStr">
        <is>
          <t>{"alt-svc":"h3=\":443\"; ma=2592000","connection":"close","content-length":"434","content-type":"application/json; charset=utf-8","date":"Sat, 16 May 2026 11:38:39 GMT","referrer-policy":"strict-origin-when-cross-origin","server":"Caddy","strict-transport-security":"max-age=31536000; includeSubDomains; preload","vary":"Accept-Encoding","x-content-type-options":"nosniff","x-frame-options":"DENY","x-new-api-version":"v1.0.0-rc.2","x-oneapi-request-id":"2026051611383614616528268d9d6K0PrfIXJ","x-request-id":"5ee7992a-e73c-4734-8a8f-a752e96ee371"}</t>
        </is>
      </c>
      <c r="N98" t="inlineStr">
        <is>
          <t>Louis Vuitton white cotton crew neck T-shirt, unisex casual fit, black Monogram floral print, short sleeve streetwear top for men and women.</t>
        </is>
      </c>
      <c r="O98" t="inlineStr">
        <is>
          <t>{"id":"resp_00ce8e9779a17c3f016a085a602d448197845c9e9526fd9645","object":"chat.completion","created":1778932329,"model":"gpt-5.5","choices":[{"index":0,"message":{"role":"assistant","content":"Louis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kakobuysheet2026"},"finish_reason":"stop"}],"usage":{"prompt_tokens":644,"completion_tokens":190,"total_tokens":834}}</t>
        </is>
      </c>
      <c r="P98"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8" t="inlineStr">
        <is>
          <t>LV, White, Unisex, Streetwear</t>
        </is>
      </c>
      <c r="R98" t="inlineStr">
        <is>
          <t>recvjLGOf4gYiN</t>
        </is>
      </c>
      <c r="S98" t="inlineStr">
        <is>
          <t>louis-vuitton-white-monogram-floral-cotton-t-shirt-recvjlgof4gyin</t>
        </is>
      </c>
      <c r="T98"/>
      <c r="U98"/>
      <c r="V98"/>
      <c r="W98" t="inlineStr">
        <is>
          <t>{"id":"resp_05147308547c1f1f016a08566e83008196993f0f0fc79d797a","object":"chat.completion","created":1778931314,"model":"gpt-5.5","choices":[{"index":0,"message":{"role":"assistant","content":"路易威登白色短袖T恤，棉质圆领休闲版型，黑色Monogram花卉图腾印花，男女同款街头潮流上衣。"},"finish_reason":"stop"}],"usage":{"prompt_tokens":1165,"completion_tokens":177,"total_tokens":1342}}</t>
        </is>
      </c>
      <c r="X98" t="inlineStr">
        <is>
          <t>路易威登白色短袖T恤，棉质圆领休闲版型，黑色Monogram花卉图腾印花，男女同款街头潮流上衣。</t>
        </is>
      </c>
    </row>
    <row r="99" ht="25.5" customHeight="1">
      <c r="A99">
        <v>1839115443</v>
      </c>
      <c r="B99">
        <v>7768692266</v>
      </c>
      <c r="C99" s="2" t="str">
        <f>=HYPERLINK("https://weidian.com/item.html?itemID=7768692266", "https://weidian.com/item.html?itemID=7768692266")</f>
        <v>https://weidian.com/item.html?itemID=7768692266</v>
      </c>
      <c r="D99"/>
      <c r="E99" s="2" t="str">
        <f>=HYPERLINK("https://si.geilicdn.com/open1839115443-252808396-47c70000019e2fb01d590aa08239_1066_1066.jpg?w=640&amp;h=640", "https://si.geilicdn.com/open1839115443-252808396-47c70000019e2fb01d590aa08239_1066_1066.jpg?w=640&amp;h=640")</f>
        <v>https://si.geilicdn.com/open1839115443-252808396-47c70000019e2fb01d590aa08239_1066_1066.jpg?w=640&amp;h=640</v>
      </c>
      <c r="F99" t="inlineStr">
        <is>
          <t>T-Shirts</t>
        </is>
      </c>
      <c r="G99" t="inlineStr">
        <is>
          <t>Louis Vuitton</t>
        </is>
      </c>
      <c r="H99">
        <v>148</v>
      </c>
      <c r="I99">
        <v>21.45</v>
      </c>
      <c r="J99" t="inlineStr">
        <is>
          <t>{"id":"resp_0d6ba78a265cfa7a016a085954c18c81988b48905d3de9cf99","object":"chat.completion","created":1778932060,"model":"gpt-5.5","choices":[{"index":0,"message":{"role":"assistant","content":"Louis Vuitton Black Logo Cotton T-Shirt Unisex Streetwear"},"finish_reason":"stop"}],"usage":{"prompt_tokens":727,"completion_tokens":231,"total_tokens":958}}</t>
        </is>
      </c>
      <c r="K99" t="inlineStr">
        <is>
          <t>Louis Vuitton Black Logo Cotton T-Shirt Unisex Streetwear</t>
        </is>
      </c>
      <c r="L99" t="inlineStr">
        <is>
          <t>{"id":"resp_07da95348813f55e016a085735eca481909328ca82586fa17e","object":"chat.completion","created":1778931513,"model":"gpt-5.5","choices":[{"index":0,"message":{"role":"assistant","content":"Louis Vuitton black cotton T-shirt with colorful letter logo print, crew neck, loose unisex fit, casual streetwear short sleeve top for men and women."},"finish_reason":"stop"}],"usage":{"prompt_tokens":742,"completion_tokens":114,"total_tokens":856}}</t>
        </is>
      </c>
      <c r="M99" t="inlineStr">
        <is>
          <t>{"alt-svc":"h3=\":443\"; ma=2592000","connection":"close","content-length":"444","content-type":"application/json; charset=utf-8","date":"Sat, 16 May 2026 11:38:33 GMT","referrer-policy":"strict-origin-when-cross-origin","server":"nginx/1.24.0 (Ubuntu)","strict-transport-security":"max-age=31536000; includeSubDomains; preload","vary":"Accept-Encoding","via":"1.1 Caddy","x-content-type-options":"nosniff","x-frame-options":"DENY","x-new-api-version":"v1.0.0-rc.2","x-oneapi-request-id":"202605161138297224918578268d9d6ucuGSn2d","x-request-id":"0be3fbec-8cd6-427d-bcff-73a1d48ff9af"}</t>
        </is>
      </c>
      <c r="N99" t="inlineStr">
        <is>
          <t>Louis Vuitton black cotton T-shirt with colorful letter logo print, crew neck, loose unisex fit, casual streetwear short sleeve top for men and women.</t>
        </is>
      </c>
      <c r="O99" t="inlineStr">
        <is>
          <t>{"id":"resp_0eb2a3f4bef812e7016a085aff3ed481989b57c9860f979e37","object":"chat.completion","created":1778932484,"model":"gpt-5.5","choices":[{"index":0,"message":{"role":"assistant","content":"Louis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kakobuysheet2026"},"finish_reason":"stop"}],"usage":{"prompt_tokens":644,"completion_tokens":225,"total_tokens":869}}</t>
        </is>
      </c>
      <c r="P99" t="inlineStr">
        <is>
          <t>Louis Vuitton T-Shirts kakobuy, Louis Vuitton T-Shirts kakebuy2026, Louis Vuitton T-Shirts kekobuysheet, Louis Vuitton T-Shirts kakobuysheet2026, Louis Vuitton T-Shirts 2026kakobuy, Louis Vuitton T-Shirts kakobuyspreadsheeet, Louis Vuitton T-Shirts kakobuylink, Louis Vuitton T-Shirts kakebuylist, Louis Vuitton T-Shirts Kakobuy MEGA Spreadsheet, Louis Vuitton T-Shirts kakobuysheetfind, Louis Vuitton T-Shirts kakobuysheetfind2026, Louis Vuitton T-Shirts 2026kakobuysheetfind, Louis Vuitton T-Shirts kakobuysheet2026</t>
        </is>
      </c>
      <c r="Q99" t="inlineStr">
        <is>
          <t>LV, Black, Colorful, Streetwear, Unisex</t>
        </is>
      </c>
      <c r="R99" t="inlineStr">
        <is>
          <t>recvjLGOf4fnpc</t>
        </is>
      </c>
      <c r="S99" t="inlineStr">
        <is>
          <t>louis-vuitton-black-logo-cotton-t-shirt-recvjlgof4fnpc</t>
        </is>
      </c>
      <c r="T99"/>
      <c r="U99"/>
      <c r="V99"/>
      <c r="W99" t="inlineStr">
        <is>
          <t>{"id":"resp_091f66ae3a0c87c3016a0855685e208197af253d3ed6700edb","object":"chat.completion","created":1778931052,"model":"gpt-5.5","choices":[{"index":0,"message":{"role":"assistant","content":"路易威登 Louis Vuitton 黑色纯棉短袖T恤，彩色字母Logo印花，圆领宽松休闲版型，男女同款街头潮流上衣。"},"finish_reason":"stop"}],"usage":{"prompt_tokens":1165,"completion_tokens":173,"total_tokens":1338}}</t>
        </is>
      </c>
      <c r="X99" t="inlineStr">
        <is>
          <t>路易威登 Louis Vuitton 黑色纯棉短袖T恤，彩色字母Logo印花，圆领宽松休闲版型，男女同款街头潮流上衣。</t>
        </is>
      </c>
    </row>
    <row r="100" ht="25.5" customHeight="1">
      <c r="A100">
        <v>1839115443</v>
      </c>
      <c r="B100">
        <v>7765631515</v>
      </c>
      <c r="C100" s="2" t="str">
        <f>=HYPERLINK("https://weidian.com/item.html?itemID=7765631515", "https://weidian.com/item.html?itemID=7765631515")</f>
        <v>https://weidian.com/item.html?itemID=7765631515</v>
      </c>
      <c r="D100"/>
      <c r="E100" s="2" t="str">
        <f>=HYPERLINK("https://si.geilicdn.com/open1839115443-252808396-311b0000019e2fb527400a8133b0_1080_1439.jpg?w=640&amp;h=640", "https://si.geilicdn.com/open1839115443-252808396-311b0000019e2fb527400a8133b0_1080_1439.jpg?w=640&amp;h=640")</f>
        <v>https://si.geilicdn.com/open1839115443-252808396-311b0000019e2fb527400a8133b0_1080_1439.jpg?w=640&amp;h=640</v>
      </c>
      <c r="F100" t="inlineStr">
        <is>
          <t>T-Shirts</t>
        </is>
      </c>
      <c r="G100" t="inlineStr">
        <is>
          <t>Loewe</t>
        </is>
      </c>
      <c r="H100">
        <v>140</v>
      </c>
      <c r="I100">
        <v>20.29</v>
      </c>
      <c r="J100" t="inlineStr">
        <is>
          <t>{"id":"resp_0671796dc3afe011016a0858f33e48819abbbd956b2ad3c39f","object":"chat.completion","created":1778931957,"model":"gpt-5.5","choices":[{"index":0,"message":{"role":"assistant","content":"LOEWE White Flame Logo Oversized T-Shirt Unisex"},"finish_reason":"stop"}],"usage":{"prompt_tokens":885,"completion_tokens":13,"total_tokens":898}}</t>
        </is>
      </c>
      <c r="K100" t="inlineStr">
        <is>
          <t>LOEWE White Flame Logo Oversized T-Shirt Unisex</t>
        </is>
      </c>
      <c r="L100" t="inlineStr">
        <is>
          <t>{"id":"resp_00271705516332cb016a0857621080819bae693fbf1dd8b6e8","object":"chat.completion","created":1778931556,"model":"gpt-5.5","choices":[{"index":0,"message":{"role":"assistant","content":"LOEWE white oversized cotton T-shirt with red flame logo print, unisex short sleeve streetwear top for men and women"},"finish_reason":"stop"}],"usage":{"prompt_tokens":912,"completion_tokens":82,"total_tokens":994}}</t>
        </is>
      </c>
      <c r="M100" t="inlineStr">
        <is>
          <t>{"alt-svc":"h3=\":443\"; ma=2592000","connection":"close","content-length":"409","content-type":"application/json; charset=utf-8","date":"Sat, 16 May 2026 11:39:16 GMT","referrer-policy":"strict-origin-when-cross-origin","server":"nginx/1.24.0 (Ubuntu)","strict-transport-security":"max-age=31536000; includeSubDomains; preload","vary":"Accept-Encoding","via":"1.1 Caddy","x-content-type-options":"nosniff","x-frame-options":"DENY","x-new-api-version":"v1.0.0-rc.2","x-oneapi-request-id":"202605161139134865207528268d9d6g5drDdLM","x-request-id":"b1337cc8-3694-4cd7-a110-5c3d11f1c320"}</t>
        </is>
      </c>
      <c r="N100" t="inlineStr">
        <is>
          <t>LOEWE white oversized cotton T-shirt with red flame logo print, unisex short sleeve streetwear top for men and women</t>
        </is>
      </c>
      <c r="O100" t="inlineStr">
        <is>
          <t>{"id":"resp_00eda9a90f6bd406016a085abe20ac81969a0d11315a9835dd","object":"chat.completion","created":1778932420,"model":"gpt-5.5","choices":[{"index":0,"message":{"role":"assistant","content":"Loewe T-Shirts kakobuy, Loewe T-Shirts kakebuy2026, Loewe T-Shirts kekobuysheet, Loewe T-Shirts kakobuysheet2026, Loewe T-Shirts 2026kakobuy, Loewe T-Shirts kakobuyspreadsheeet, Loewe T-Shirts kakobuylink, Loewe T-Shirts kakebuylist, Loewe T-Shirts Kakobuy MEGA Spreadsheet, Loewe T-Shirts kakobuysheetfind, Loewe T-Shirts kakobuysheetfind2026, Loewe T-Shirts 2026kakobuysheetfind, Loewe T-Shirts kakobuysheet2026"},"finish_reason":"stop"}],"usage":{"prompt_tokens":813,"completion_tokens":281,"total_tokens":1094}}</t>
        </is>
      </c>
      <c r="P100" t="inlineStr">
        <is>
          <t>Loewe T-Shirts kakobuy, Loewe T-Shirts kakebuy2026, Loewe T-Shirts kekobuysheet, Loewe T-Shirts kakobuysheet2026, Loewe T-Shirts 2026kakobuy, Loewe T-Shirts kakobuyspreadsheeet, Loewe T-Shirts kakobuylink, Loewe T-Shirts kakebuylist, Loewe T-Shirts Kakobuy MEGA Spreadsheet, Loewe T-Shirts kakobuysheetfind, Loewe T-Shirts kakobuysheetfind2026, Loewe T-Shirts 2026kakobuysheetfind, Loewe T-Shirts kakobuysheet2026</t>
        </is>
      </c>
      <c r="Q100" t="inlineStr">
        <is>
          <t>White, Streetwear, Unisex, Summer</t>
        </is>
      </c>
      <c r="R100" t="inlineStr">
        <is>
          <t>recvjLGOf4wGHJ</t>
        </is>
      </c>
      <c r="S100" t="inlineStr">
        <is>
          <t>loewe-white-flame-logo-oversized-t-shirt-recvjlgof4wghj</t>
        </is>
      </c>
      <c r="T100"/>
      <c r="U100"/>
      <c r="V100"/>
      <c r="W100" t="inlineStr">
        <is>
          <t>{"id":"resp_086ab99612fb80ec016a08562470a08190906c46cb0d906c54","object":"chat.completion","created":1778931240,"model":"gpt-5.5","choices":[{"index":0,"message":{"role":"assistant","content":"罗意威LOEWE 白色宽松短袖T恤，棉质面料，胸前红色火焰Logo印花，休闲街头风男女同款上衣"},"finish_reason":"stop"}],"usage":{"prompt_tokens":1337,"completion_tokens":146,"total_tokens":1483}}</t>
        </is>
      </c>
      <c r="X100" t="inlineStr">
        <is>
          <t>罗意威LOEWE 白色宽松短袖T恤，棉质面料，胸前红色火焰Logo印花，休闲街头风男女同款上衣</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