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fansbuy上品 05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s>
  <sheetData>
    <row r="1" ht="13" customHeight="1">
      <c r="A1" s="1" t="inlineStr">
        <is>
          <t>微店 ID</t>
        </is>
      </c>
      <c r="B1" s="1" t="inlineStr">
        <is>
          <t>微店商品 ID</t>
        </is>
      </c>
      <c r="C1" s="1" t="inlineStr">
        <is>
          <t>微店商品链接</t>
        </is>
      </c>
      <c r="D1" s="1" t="inlineStr">
        <is>
          <t>共享货源URL</t>
        </is>
      </c>
      <c r="E1" s="1" t="inlineStr">
        <is>
          <t>SKU图片地址</t>
        </is>
      </c>
      <c r="F1" s="1" t="inlineStr">
        <is>
          <t>品类</t>
        </is>
      </c>
      <c r="G1" s="1" t="inlineStr">
        <is>
          <t>品牌</t>
        </is>
      </c>
      <c r="H1" s="1" t="inlineStr">
        <is>
          <t>人民币</t>
        </is>
      </c>
      <c r="I1" s="1" t="inlineStr">
        <is>
          <t>美元</t>
        </is>
      </c>
      <c r="J1" s="1" t="inlineStr">
        <is>
          <t>跑Tittle 的 ai</t>
        </is>
      </c>
      <c r="K1" s="1" t="inlineStr">
        <is>
          <t>Tittle</t>
        </is>
      </c>
      <c r="L1" s="1" t="inlineStr">
        <is>
          <t>跑Description 的 ai</t>
        </is>
      </c>
      <c r="M1" s="1" t="inlineStr">
        <is>
          <t>Description.响应头</t>
        </is>
      </c>
      <c r="N1" s="1" t="inlineStr">
        <is>
          <t>Description</t>
        </is>
      </c>
      <c r="O1" s="1" t="inlineStr">
        <is>
          <t>Keyword 跑 ai</t>
        </is>
      </c>
      <c r="P1" s="1" t="inlineStr">
        <is>
          <t>Keyword</t>
        </is>
      </c>
      <c r="Q1" s="1" t="inlineStr">
        <is>
          <t>TAG</t>
        </is>
      </c>
      <c r="R1" s="1" t="inlineStr">
        <is>
          <t>文本</t>
        </is>
      </c>
      <c r="S1" s="1" t="inlineStr">
        <is>
          <t>SLUG</t>
        </is>
      </c>
      <c r="T1" s="1" t="inlineStr">
        <is>
          <t>共享货源微信</t>
        </is>
      </c>
      <c r="U1" s="1" t="inlineStr">
        <is>
          <t>1688商品编码</t>
        </is>
      </c>
      <c r="V1" s="1" t="inlineStr">
        <is>
          <t>1688型号编码</t>
        </is>
      </c>
      <c r="W1" s="1" t="inlineStr">
        <is>
          <t>中文描述</t>
        </is>
      </c>
      <c r="X1" s="1" t="inlineStr">
        <is>
          <t>中文描述.提取值1</t>
        </is>
      </c>
    </row>
    <row r="2" ht="25.5" customHeight="1">
      <c r="A2">
        <v>1839115443</v>
      </c>
      <c r="B2">
        <v>7768987492</v>
      </c>
      <c r="C2" s="2" t="str">
        <f>=HYPERLINK("https://weidian.com/item.html?itemID=7768987492", "https://weidian.com/item.html?itemID=7768987492")</f>
        <v>https://weidian.com/item.html?itemID=7768987492</v>
      </c>
      <c r="D2"/>
      <c r="E2" s="2" t="str">
        <f>=HYPERLINK("https://si.geilicdn.com/open1839115443-252808396-6b0c0000019e33eeccef0a22d249_1280_1280.jpg?w=640&amp;h=640", "https://si.geilicdn.com/open1839115443-252808396-6b0c0000019e33eeccef0a22d249_1280_1280.jpg?w=640&amp;h=640")</f>
        <v>https://si.geilicdn.com/open1839115443-252808396-6b0c0000019e33eeccef0a22d249_1280_1280.jpg?w=640&amp;h=640</v>
      </c>
      <c r="F2" t="inlineStr">
        <is>
          <t>T-Shirts</t>
        </is>
      </c>
      <c r="G2" t="inlineStr">
        <is>
          <t>Loewe</t>
        </is>
      </c>
      <c r="H2">
        <v>109</v>
      </c>
      <c r="I2">
        <v>15.8</v>
      </c>
      <c r="J2" t="inlineStr">
        <is>
          <t>{"id":"resp_0a2c66cc1c6eb01e016a0ab5ab7ad08195b767af142d51bbc1","object":"chat.completion","created":1779086768,"model":"gpt-5.5","choices":[{"index":0,"message":{"role":"assistant","content":"Loewe Dark Gray Embroidered Logo Cotton Crew Neck T-Shirt"},"finish_reason":"stop"}],"usage":{"prompt_tokens":727,"completion_tokens":175,"total_tokens":902}}</t>
        </is>
      </c>
      <c r="K2" t="inlineStr">
        <is>
          <t>Loewe Dark Gray Embroidered Logo Cotton Crew Neck T-Shirt</t>
        </is>
      </c>
      <c r="L2" t="inlineStr">
        <is>
          <t>{"id":"resp_0948b604f351cc6e016a0ab57972b8819a90f9c3e3da4e7804","object":"chat.completion","created":1779086716,"model":"gpt-5.5","choices":[{"index":0,"message":{"role":"assistant","content":"Loewe dark gray crew neck short sleeve T-shirt, soft cotton, embroidered chest logo, minimalist unisex casual top, spring summer versatile basic tee"},"finish_reason":"stop"}],"usage":{"prompt_tokens":751,"completion_tokens":103,"total_tokens":854}}</t>
        </is>
      </c>
      <c r="M2" t="inlineStr">
        <is>
          <t>{"alt-svc":"h3=\":443\"; ma=2592000","connection":"close","content-length":"442","content-type":"application/json; charset=utf-8","date":"Mon, 18 May 2026 06:45:16 GMT","referrer-policy":"strict-origin-when-cross-origin","server":"nginx/1.24.0 (Ubuntu)","strict-transport-security":"max-age=31536000; includeSubDomains; preload","vary":"Accept-Encoding","via":"1.1 Caddy","x-content-type-options":"nosniff","x-frame-options":"DENY","x-new-api-version":"v1.0.0-rc.2","x-oneapi-request-id":"202605180645129664064678268d9d6DyyiYsyN","x-request-id":"aa6dcdee-cee7-425d-bf0d-31948b856308"}</t>
        </is>
      </c>
      <c r="N2" t="inlineStr">
        <is>
          <t>Loewe dark gray crew neck short sleeve T-shirt, soft cotton, embroidered chest logo, minimalist unisex casual top, spring summer versatile basic tee</t>
        </is>
      </c>
      <c r="O2" t="inlineStr">
        <is>
          <t>{"id":"resp_0097834139dd1d1f016a0ab86466e4819ab2e56eda7979777f","object":"chat.completion","created":1779087465,"model":"gpt-5.5","choices":[{"index":0,"message":{"role":"assistant","content":"Loewe T-Shirts kakobuy, Loewe T-Shirts kakebuy2026, Loewe T-Shirts kekobuysheet, Loewe T-Shirts kakobuysheet2026, Loewe T-Shirts 2026kakobuy, Loewe T-Shirts kakobuyspreadsheeet, Loewe T-Shirts kakobuylink, Loewe T-Shirts kakebuylist, Loewe T-Shirts Kakobuy MEGA Spreadsheet, Loewe T-Shirts kakobuysheetfind, Loewe T-Shirts kakobuysheetfind2026, Loewe T-Shirts 2026kakobuysheetfind, Loewe T-Shirts kakobuysheet2026"},"finish_reason":"stop"}],"usage":{"prompt_tokens":645,"completion_tokens":240,"total_tokens":885}}</t>
        </is>
      </c>
      <c r="P2" t="inlineStr">
        <is>
          <t>Loewe T-Shirts kakobuy, Loewe T-Shirts kakebuy2026, Loewe T-Shirts kekobuysheet, Loewe T-Shirts kakobuysheet2026, Loewe T-Shirts 2026kakobuy, Loewe T-Shirts kakobuyspreadsheeet, Loewe T-Shirts kakobuylink, Loewe T-Shirts kakebuylist, Loewe T-Shirts Kakobuy MEGA Spreadsheet, Loewe T-Shirts kakobuysheetfind, Loewe T-Shirts kakobuysheetfind2026, Loewe T-Shirts 2026kakobuysheetfind, Loewe T-Shirts kakobuysheet2026</t>
        </is>
      </c>
      <c r="Q2" t="inlineStr">
        <is>
          <t>Grey, Minimalist, Unisex, Spring And Summer</t>
        </is>
      </c>
      <c r="R2" t="inlineStr">
        <is>
          <t>recvjR8MZ7LtIq</t>
        </is>
      </c>
      <c r="S2" t="inlineStr">
        <is>
          <t>loewe-dark-gray-embroidered-logo-cotton-crew-neck-t-shirt-recvjr8mz7ltiq</t>
        </is>
      </c>
      <c r="T2"/>
      <c r="U2"/>
      <c r="V2"/>
      <c r="W2" t="inlineStr">
        <is>
          <t>{"id":"resp_0e6858b76f5138b8016a0ab2c716008199b1785724e9653636","object":"chat.completion","created":1779086030,"model":"gpt-5.5","choices":[{"index":0,"message":{"role":"assistant","content":"罗意威Loewe深灰色圆领短袖T恤，棉质亲肤面料，胸前刺绣Logo，简约休闲男女同款，春夏百搭基础款上衣"},"finish_reason":"stop"}],"usage":{"prompt_tokens":1173,"completion_tokens":354,"total_tokens":1527}}</t>
        </is>
      </c>
      <c r="X2" t="inlineStr">
        <is>
          <t>罗意威Loewe深灰色圆领短袖T恤，棉质亲肤面料，胸前刺绣Logo，简约休闲男女同款，春夏百搭基础款上衣</t>
        </is>
      </c>
    </row>
    <row r="3" ht="25.5" customHeight="1">
      <c r="A3">
        <v>1839115443</v>
      </c>
      <c r="B3">
        <v>7769083922</v>
      </c>
      <c r="C3" s="2" t="str">
        <f>=HYPERLINK("https://weidian.com/item.html?itemID=7769083922", "https://weidian.com/item.html?itemID=7769083922")</f>
        <v>https://weidian.com/item.html?itemID=7769083922</v>
      </c>
      <c r="D3"/>
      <c r="E3" s="2" t="str">
        <f>=HYPERLINK("https://si.geilicdn.com/open1839115443-252808396-59260000019e33efd4c30aa08269_1500_1500.jpg?w=640&amp;h=640", "https://si.geilicdn.com/open1839115443-252808396-59260000019e33efd4c30aa08269_1500_1500.jpg?w=640&amp;h=640")</f>
        <v>https://si.geilicdn.com/open1839115443-252808396-59260000019e33efd4c30aa08269_1500_1500.jpg?w=640&amp;h=640</v>
      </c>
      <c r="F3" t="inlineStr">
        <is>
          <t>T-Shirts</t>
        </is>
      </c>
      <c r="G3" t="inlineStr">
        <is>
          <t>Loewe</t>
        </is>
      </c>
      <c r="H3">
        <v>135</v>
      </c>
      <c r="I3">
        <v>19.5797101449275</v>
      </c>
      <c r="J3" t="inlineStr">
        <is>
          <t>{"id":"resp_0e22e5ece719aebd016a0ab698336081989a2510df03a6fb64","object":"chat.completion","created":1779087004,"model":"gpt-5.5","choices":[{"index":0,"message":{"role":"assistant","content":"Loewe White Cotton Anagram Embroidered Crew Neck T-Shirt"},"finish_reason":"stop"}],"usage":{"prompt_tokens":723,"completion_tokens":148,"total_tokens":871}}</t>
        </is>
      </c>
      <c r="K3" t="inlineStr">
        <is>
          <t>Loewe White Cotton Anagram Embroidered Crew Neck T-Shirt</t>
        </is>
      </c>
      <c r="L3" t="inlineStr">
        <is>
          <t>{"id":"resp_055dd6106b15b4cd016a0ab518d2ac81948ed460c6cff32921","object":"chat.completion","created":1779086619,"model":"gpt-5.5","choices":[{"index":0,"message":{"role":"assistant","content":"Loewe white cotton crew neck T-shirt with black Anagram embroidery, relaxed unisex short sleeve tee for casual streetwear and daily wear"},"finish_reason":"stop"}],"usage":{"prompt_tokens":746,"completion_tokens":91,"total_tokens":837}}</t>
        </is>
      </c>
      <c r="M3" t="inlineStr">
        <is>
          <t>{"alt-svc":"h3=\":443\"; ma=2592000","connection":"close","content-length":"429","content-type":"application/json; charset=utf-8","date":"Mon, 18 May 2026 06:43:39 GMT","referrer-policy":"strict-origin-when-cross-origin","server":"Caddy","strict-transport-security":"max-age=31536000; includeSubDomains; preload","vary":"Accept-Encoding","x-content-type-options":"nosniff","x-frame-options":"DENY","x-new-api-version":"v1.0.0-rc.2","x-oneapi-request-id":"202605180643365356486628268d9d646DVyQJb","x-request-id":"16ba9a75-1dfb-4a8b-b03d-a143cad93556"}</t>
        </is>
      </c>
      <c r="N3" t="inlineStr">
        <is>
          <t>Loewe white cotton crew neck T-shirt with black Anagram embroidery, relaxed unisex short sleeve tee for casual streetwear and daily wear</t>
        </is>
      </c>
      <c r="O3" t="inlineStr">
        <is>
          <t>{"id":"resp_0c8bbacba2e77073016a0ab71d95608196afe65e5f348adfc2","object":"chat.completion","created":1779087144,"model":"gpt-5.5","choices":[{"index":0,"message":{"role":"assistant","content":"Loewe T-Shirts kakobuy, Loewe T-Shirts kakebuy2026, Loewe T-Shirts kekobuysheet, Loewe T-Shirts kakobuysheet2026, Loewe T-Shirts 2026kakobuy, Loewe T-Shirts kakobuyspreadsheeet, Loewe T-Shirts kakobuylink, Loewe T-Shirts kakebuylist, Loewe T-Shirts Kakobuy MEGA Spreadsheet, Loewe T-Shirts kakobuysheetfind, Loewe T-Shirts kakobuysheetfind2026, Loewe T-Shirts 2026kakobuysheetfind, Loewe T-Shirts kakobuysheet2026"},"finish_reason":"stop"}],"usage":{"prompt_tokens":645,"completion_tokens":417,"total_tokens":1062}}</t>
        </is>
      </c>
      <c r="P3" t="inlineStr">
        <is>
          <t>Loewe T-Shirts kakobuy, Loewe T-Shirts kakebuy2026, Loewe T-Shirts kekobuysheet, Loewe T-Shirts kakobuysheet2026, Loewe T-Shirts 2026kakobuy, Loewe T-Shirts kakobuyspreadsheeet, Loewe T-Shirts kakobuylink, Loewe T-Shirts kakebuylist, Loewe T-Shirts Kakobuy MEGA Spreadsheet, Loewe T-Shirts kakobuysheetfind, Loewe T-Shirts kakobuysheetfind2026, Loewe T-Shirts 2026kakobuysheetfind, Loewe T-Shirts kakobuysheet2026</t>
        </is>
      </c>
      <c r="Q3" t="inlineStr">
        <is>
          <t>White, Streetwear, Unisex</t>
        </is>
      </c>
      <c r="R3" t="inlineStr">
        <is>
          <t>recvjR8RzVxxHY</t>
        </is>
      </c>
      <c r="S3" t="inlineStr">
        <is>
          <t>loewe-white-cotton-anagram-embroidered-crew-neck-t-shirt-recvjr8rzvxxhy</t>
        </is>
      </c>
      <c r="T3"/>
      <c r="U3"/>
      <c r="V3"/>
      <c r="W3" t="inlineStr">
        <is>
          <t>{"id":"resp_0b7cd9cd0ea377e4016a0ab32be2088199a4967344e0bc72aa","object":"chat.completion","created":1779086127,"model":"gpt-5.5","choices":[{"index":0,"message":{"role":"assistant","content":"罗意威Loewe 白色短袖T恤，纯棉圆领休闲版型，胸前黑色Anagram标识刺绣，简约男女同款街头日常上衣"},"finish_reason":"stop"}],"usage":{"prompt_tokens":1165,"completion_tokens":140,"total_tokens":1305}}</t>
        </is>
      </c>
      <c r="X3" t="inlineStr">
        <is>
          <t>罗意威Loewe 白色短袖T恤，纯棉圆领休闲版型，胸前黑色Anagram标识刺绣，简约男女同款街头日常上衣</t>
        </is>
      </c>
    </row>
    <row r="4" ht="25.5" customHeight="1">
      <c r="A4">
        <v>1839115443</v>
      </c>
      <c r="B4">
        <v>7766019115</v>
      </c>
      <c r="C4" s="2" t="str">
        <f>=HYPERLINK("https://weidian.com/item.html?itemID=7766019115", "https://weidian.com/item.html?itemID=7766019115")</f>
        <v>https://weidian.com/item.html?itemID=7766019115</v>
      </c>
      <c r="D4"/>
      <c r="E4" s="2" t="str">
        <f>=HYPERLINK("https://si.geilicdn.com/open1839115443-252808396-64f80000019e33f104930a23b4de_1024_1024.jpg?w=640&amp;h=640", "https://si.geilicdn.com/open1839115443-252808396-64f80000019e33f104930a23b4de_1024_1024.jpg?w=640&amp;h=640")</f>
        <v>https://si.geilicdn.com/open1839115443-252808396-64f80000019e33f104930a23b4de_1024_1024.jpg?w=640&amp;h=640</v>
      </c>
      <c r="F4" t="inlineStr">
        <is>
          <t>T-Shirts</t>
        </is>
      </c>
      <c r="G4" t="inlineStr">
        <is>
          <t>Ralph Lauren</t>
        </is>
      </c>
      <c r="H4">
        <v>68</v>
      </c>
      <c r="I4">
        <v>9.8695652173913</v>
      </c>
      <c r="J4" t="inlineStr">
        <is>
          <t>{"id":"resp_0f192a65b935d0ea016a0ab5ecd72c819aa31d3d215955601e","object":"chat.completion","created":1779086832,"model":"gpt-5.5","choices":[{"index":0,"message":{"role":"assistant","content":"Ralph Lauren Women's White Slim Fit Pony Logo T-Shirt"},"finish_reason":"stop"}],"usage":{"prompt_tokens":723,"completion_tokens":138,"total_tokens":861}}</t>
        </is>
      </c>
      <c r="K4" t="inlineStr">
        <is>
          <t>Ralph Lauren Women's White Slim Fit Pony Logo T-Shirt</t>
        </is>
      </c>
      <c r="L4" t="inlineStr">
        <is>
          <t>{"id":"resp_0006f272e27ba826016a0ab4a83144819a8e6afb0f1dd2e7ac","object":"chat.completion","created":1779086508,"model":"gpt-5.5","choices":[{"index":0,"message":{"role":"assistant","content":"Ralph Lauren Women's White Cotton Crew Neck T-Shirt, Slim Fit Short Sleeve Tee with Classic Pony Embroidery Logo, Casual Basic American Vintage Top"},"finish_reason":"stop"}],"usage":{"prompt_tokens":747,"completion_tokens":99,"total_tokens":846}}</t>
        </is>
      </c>
      <c r="M4" t="inlineStr">
        <is>
          <t>{"alt-svc":"h3=\":443\"; ma=2592000","connection":"close","content-length":"440","content-type":"application/json; charset=utf-8","date":"Mon, 18 May 2026 06:41:48 GMT","referrer-policy":"strict-origin-when-cross-origin","server":"nginx/1.24.0 (Ubuntu)","strict-transport-security":"max-age=31536000; includeSubDomains; preload","vary":"Accept-Encoding","via":"1.1 Caddy","x-content-type-options":"nosniff","x-frame-options":"DENY","x-new-api-version":"v1.0.0-rc.2","x-oneapi-request-id":"202605180641435753744288268d9d6To5MDYfZ","x-request-id":"83c3cd19-9620-444f-ac68-f4855a8987a4"}</t>
        </is>
      </c>
      <c r="N4" t="inlineStr">
        <is>
          <t>Ralph Lauren Women's White Cotton Crew Neck T-Shirt, Slim Fit Short Sleeve Tee with Classic Pony Embroidery Logo, Casual Basic American Vintage Top</t>
        </is>
      </c>
      <c r="O4" t="inlineStr">
        <is>
          <t>{"id":"resp_011a73ebb8609d40016a0ab7d8c43881999f9cd0be557e3dde","object":"chat.completion","created":1779087326,"model":"gpt-5.5","choices":[{"index":0,"message":{"role":"assistant","content":"Ralph Lauren T-Shirts kakobuy, Ralph Lauren T-Shirts kakebuy2026, Ralph Lauren T-Shirts kekobuysheet, Ralph Lauren T-Shirts kakobuysheet2026, Ralph Lauren T-Shirts 2026kakobuy, Ralph Lauren T-Shirts kakobuyspreadsheeet, Ralph Lauren T-Shirts kakobuylink, Ralph Lauren T-Shirts kakebuylist, Ralph Lauren T-Shirts Kakobuy MEGA Spreadsheet, Ralph Lauren T-Shirts kakobuysheetfind, Ralph Lauren T-Shirts kakobuysheetfind2026, Ralph Lauren T-Shirts 2026kakobuysheetfind, Ralph Lauren T-Shirts kakobuysheet2026"},"finish_reason":"stop"}],"usage":{"prompt_tokens":645,"completion_tokens":199,"total_tokens":844}}</t>
        </is>
      </c>
      <c r="P4" t="inlineStr">
        <is>
          <t>Ralph Lauren T-Shirts kakobuy, Ralph Lauren T-Shirts kakebuy2026, Ralph Lauren T-Shirts kekobuysheet, Ralph Lauren T-Shirts kakobuysheet2026, Ralph Lauren T-Shirts 2026kakobuy, Ralph Lauren T-Shirts kakobuyspreadsheeet, Ralph Lauren T-Shirts kakobuylink, Ralph Lauren T-Shirts kakebuylist, Ralph Lauren T-Shirts Kakobuy MEGA Spreadsheet, Ralph Lauren T-Shirts kakobuysheetfind, Ralph Lauren T-Shirts kakobuysheetfind2026, Ralph Lauren T-Shirts 2026kakobuysheetfind, Ralph Lauren T-Shirts kakobuysheet2026</t>
        </is>
      </c>
      <c r="Q4" t="inlineStr">
        <is>
          <t>Women, White, Basic Style, Vintage</t>
        </is>
      </c>
      <c r="R4" t="inlineStr">
        <is>
          <t>recvjR8RzVZ0Qp</t>
        </is>
      </c>
      <c r="S4" t="inlineStr">
        <is>
          <t>ralph-lauren-women-white-slim-fit-pony-logo-tshirt-recvjr8rzvz0qp</t>
        </is>
      </c>
      <c r="T4"/>
      <c r="U4"/>
      <c r="V4"/>
      <c r="W4" t="inlineStr">
        <is>
          <t>{"id":"resp_0a09642ad982e7fb016a0ab2894980819b97b968d7401e930b","object":"chat.completion","created":1779085964,"model":"gpt-5.5","choices":[{"index":0,"message":{"role":"assistant","content":"拉夫劳伦 Ralph Lauren 白色纯棉圆领短袖T恤，经典小马刺绣Logo，修身休闲女款基础上衣，简约百搭美式复古风"},"finish_reason":"stop"}],"usage":{"prompt_tokens":1169,"completion_tokens":124,"total_tokens":1293}}</t>
        </is>
      </c>
      <c r="X4" t="inlineStr">
        <is>
          <t>拉夫劳伦 Ralph Lauren 白色纯棉圆领短袖T恤，经典小马刺绣Logo，修身休闲女款基础上衣，简约百搭美式复古风</t>
        </is>
      </c>
    </row>
    <row r="5" ht="25.5" customHeight="1">
      <c r="A5">
        <v>1839115443</v>
      </c>
      <c r="B5">
        <v>7769028522</v>
      </c>
      <c r="C5" s="2" t="str">
        <f>=HYPERLINK("https://weidian.com/item.html?itemID=7769028522", "https://weidian.com/item.html?itemID=7769028522")</f>
        <v>https://weidian.com/item.html?itemID=7769028522</v>
      </c>
      <c r="D5"/>
      <c r="E5" s="2" t="str">
        <f>=HYPERLINK("https://si.geilicdn.com/open1839115443-252808396-64530000019e33f16b710aa08239_1440_1440.jpg?w=640&amp;h=640", "https://si.geilicdn.com/open1839115443-252808396-64530000019e33f16b710aa08239_1440_1440.jpg?w=640&amp;h=640")</f>
        <v>https://si.geilicdn.com/open1839115443-252808396-64530000019e33f16b710aa08239_1440_1440.jpg?w=640&amp;h=640</v>
      </c>
      <c r="F5" t="inlineStr">
        <is>
          <t>T-Shirts</t>
        </is>
      </c>
      <c r="G5" t="inlineStr">
        <is>
          <t>Ralph Lauren</t>
        </is>
      </c>
      <c r="H5">
        <v>96</v>
      </c>
      <c r="I5">
        <v>13.91</v>
      </c>
      <c r="J5" t="inlineStr">
        <is>
          <t>{"id":"resp_009ab03a17681f82016a0ab694a1208198887f19995b2e1599","object":"chat.completion","created":1779087000,"model":"gpt-5.5","choices":[{"index":0,"message":{"role":"assistant","content":"Ralph Lauren Men's Navy Cotton Polo Shirt Pony Logo"},"finish_reason":"stop"}],"usage":{"prompt_tokens":717,"completion_tokens":154,"total_tokens":871}}</t>
        </is>
      </c>
      <c r="K5" t="inlineStr">
        <is>
          <t>Ralph Lauren Men's Navy Cotton Polo Shirt Pony Logo</t>
        </is>
      </c>
      <c r="L5" t="inlineStr">
        <is>
          <t>{"id":"resp_073ad4fdfbff5e73016a0ab49fe5848198a56dbeb34a39ffdd","object":"chat.completion","created":1779086497,"model":"gpt-5.5","choices":[{"index":0,"message":{"role":"assistant","content":"Ralph Lauren men's navy polo shirt, breathable cotton short sleeve, classic collar, embroidered pony logo, retro American casual T-shirt"},"finish_reason":"stop"}],"usage":{"prompt_tokens":745,"completion_tokens":26,"total_tokens":771}}</t>
        </is>
      </c>
      <c r="M5" t="inlineStr">
        <is>
          <t>{"alt-svc":"h3=\":443\"; ma=2592000","connection":"close","content-length":"429","content-type":"application/json; charset=utf-8","date":"Mon, 18 May 2026 06:41:37 GMT","referrer-policy":"strict-origin-when-cross-origin","server":"Caddy","strict-transport-security":"max-age=31536000; includeSubDomains; preload","vary":"Accept-Encoding","x-content-type-options":"nosniff","x-frame-options":"DENY","x-new-api-version":"v1.0.0-rc.2","x-oneapi-request-id":"202605180641355896315498268d9d6zh9SJosH","x-request-id":"1e9ef950-e4cf-4f25-9c54-9b5f17d2869e"}</t>
        </is>
      </c>
      <c r="N5" t="inlineStr">
        <is>
          <t>Ralph Lauren men's navy polo shirt, breathable cotton short sleeve, classic collar, embroidered pony logo, retro American casual T-shirt</t>
        </is>
      </c>
      <c r="O5" t="inlineStr">
        <is>
          <t>{"id":"resp_0b7de79ef6bda98d016a0ab747f254819a805e167e116141c8","object":"chat.completion","created":1779087181,"model":"gpt-5.5","choices":[{"index":0,"message":{"role":"assistant","content":"Ralph Lauren T-Shirts kakobuy, Ralph Lauren T-Shirts kakebuy2026, Ralph Lauren T-Shirts kekobuysheet, Ralph Lauren T-Shirts kakobuysheet2026, Ralph Lauren T-Shirts 2026kakobuy, Ralph Lauren T-Shirts kakobuyspreadsheeet, Ralph Lauren T-Shirts kakobuylink, Ralph Lauren T-Shirts kakebuylist, Ralph Lauren T-Shirts Kakobuy MEGA Spreadsheet, Ralph Lauren T-Shirts kakobuysheetfind, Ralph Lauren T-Shirts kakobuysheetfind2026, Ralph Lauren T-Shirts 2026kakobuysheetfind, Ralph Lauren T-Shirts kakobuysheet2026"},"finish_reason":"stop"}],"usage":{"prompt_tokens":645,"completion_tokens":178,"total_tokens":823}}</t>
        </is>
      </c>
      <c r="P5" t="inlineStr">
        <is>
          <t>Ralph Lauren T-Shirts kakobuy, Ralph Lauren T-Shirts kakebuy2026, Ralph Lauren T-Shirts kekobuysheet, Ralph Lauren T-Shirts kakobuysheet2026, Ralph Lauren T-Shirts 2026kakobuy, Ralph Lauren T-Shirts kakobuyspreadsheeet, Ralph Lauren T-Shirts kakobuylink, Ralph Lauren T-Shirts kakebuylist, Ralph Lauren T-Shirts Kakobuy MEGA Spreadsheet, Ralph Lauren T-Shirts kakobuysheetfind, Ralph Lauren T-Shirts kakobuysheetfind2026, Ralph Lauren T-Shirts 2026kakobuysheetfind, Ralph Lauren T-Shirts kakobuysheet2026</t>
        </is>
      </c>
      <c r="Q5" t="inlineStr">
        <is>
          <t>Navy, Breathable, Classic, Retro, Men</t>
        </is>
      </c>
      <c r="R5" t="inlineStr">
        <is>
          <t>recvjR8RzVSlEf</t>
        </is>
      </c>
      <c r="S5" t="inlineStr">
        <is>
          <t>ralph-lauren-navy-cotton-polo-pony-recvjr8rzvsl</t>
        </is>
      </c>
      <c r="T5"/>
      <c r="U5"/>
      <c r="V5"/>
      <c r="W5" t="inlineStr">
        <is>
          <t>{"id":"resp_0a347267005eb509016a0ab22ddcb081989de98a762f90d662","object":"chat.completion","created":1779085874,"model":"gpt-5.5","choices":[{"index":0,"message":{"role":"assistant","content":"拉夫劳伦Ralph Lauren经典海军蓝Polo衫，棉质透气短袖翻领，胸前刺绣小马标，男士休闲复古美式T恤"},"finish_reason":"stop"}],"usage":{"prompt_tokens":1165,"completion_tokens":155,"total_tokens":1320}}</t>
        </is>
      </c>
      <c r="X5" t="inlineStr">
        <is>
          <t>拉夫劳伦Ralph Lauren经典海军蓝Polo衫，棉质透气短袖翻领，胸前刺绣小马标，男士休闲复古美式T恤</t>
        </is>
      </c>
    </row>
    <row r="6" ht="25.5" customHeight="1">
      <c r="A6">
        <v>1839115443</v>
      </c>
      <c r="B6">
        <v>7769017038</v>
      </c>
      <c r="C6" s="2" t="str">
        <f>=HYPERLINK("https://weidian.com/item.html?itemID=7769017038", "https://weidian.com/item.html?itemID=7769017038")</f>
        <v>https://weidian.com/item.html?itemID=7769017038</v>
      </c>
      <c r="D6"/>
      <c r="E6" s="2" t="str">
        <f>=HYPERLINK("https://si.geilicdn.com/open1839115443-252808396-4b690000019e33f3c0750a8133b0_800_800.jpg?w=640&amp;h=640", "https://si.geilicdn.com/open1839115443-252808396-4b690000019e33f3c0750a8133b0_800_800.jpg?w=640&amp;h=640")</f>
        <v>https://si.geilicdn.com/open1839115443-252808396-4b690000019e33f3c0750a8133b0_800_800.jpg?w=640&amp;h=640</v>
      </c>
      <c r="F6" t="inlineStr">
        <is>
          <t>Pans</t>
        </is>
      </c>
      <c r="G6" t="inlineStr">
        <is>
          <t>Ralph Lauren</t>
        </is>
      </c>
      <c r="H6">
        <v>108</v>
      </c>
      <c r="I6">
        <v>15.65</v>
      </c>
      <c r="J6" t="inlineStr">
        <is>
          <t>{"id":"resp_0f167cbbade96342016a0ab67c547c81999ac9aae994d3b1d3","object":"chat.completion","created":1779086975,"model":"gpt-5.5","choices":[{"index":0,"message":{"role":"assistant","content":"Polo Ralph Lauren Gray Pony Jogger Sweatpants"},"finish_reason":"stop"}],"usage":{"prompt_tokens":723,"completion_tokens":72,"total_tokens":795}}</t>
        </is>
      </c>
      <c r="K6" t="inlineStr">
        <is>
          <t>Polo Ralph Lauren Gray Pony Jogger Sweatpants</t>
        </is>
      </c>
      <c r="L6" t="inlineStr">
        <is>
          <t>{"id":"resp_010b80b4d18d9aa5016a0ab52132f4819ab38b8eae41e9473c","object":"chat.completion","created":1779086627,"model":"gpt-5.5","choices":[{"index":0,"message":{"role":"assistant","content":"Polo Ralph Lauren gray cotton jogger sweatpants, drawstring waist, elastic cuffs, pony logo embroidery, unisex vintage casual sports pants"},"finish_reason":"stop"}],"usage":{"prompt_tokens":744,"completion_tokens":29,"total_tokens":773}}</t>
        </is>
      </c>
      <c r="M6" t="inlineStr">
        <is>
          <t>{"alt-svc":"h3=\":443\"; ma=2592000","connection":"close","content-length":"431","content-type":"application/json; charset=utf-8","date":"Mon, 18 May 2026 06:43:47 GMT","referrer-policy":"strict-origin-when-cross-origin","server":"nginx/1.24.0 (Ubuntu)","strict-transport-security":"max-age=31536000; includeSubDomains; preload","vary":"Accept-Encoding","via":"1.1 Caddy","x-content-type-options":"nosniff","x-frame-options":"DENY","x-new-api-version":"v1.0.0-rc.2","x-oneapi-request-id":"202605180643418559683508268d9d66wjhHB0G","x-request-id":"92297cc7-3e2a-494b-850a-3bd5ed1029a8"}</t>
        </is>
      </c>
      <c r="N6" t="inlineStr">
        <is>
          <t>Polo Ralph Lauren gray cotton jogger sweatpants, drawstring waist, elastic cuffs, pony logo embroidery, unisex vintage casual sports pants</t>
        </is>
      </c>
      <c r="O6" t="inlineStr">
        <is>
          <t>{"id":"resp_02170babdf2e1125016a0ab885d7c4819b9d9bf823c548867b","object":"chat.completion","created":1779087499,"model":"gpt-5.5","choices":[{"index":0,"message":{"role":"assistant","content":"Ralph Lauren Pants kakobuy, Ralph Lauren Pants kakebuy2026, Ralph Lauren Pants kekobuysheet, Ralph Lauren Pants kakobuysheet2026, Ralph Lauren Pants 2026kakobuy, Ralph Lauren Pants kakobuyspreadsheeet, Ralph Lauren Pants kakobuylink, Ralph Lauren Pants kakebuylist, Ralph Lauren Pants Kakobuy MEGA Spreadsheet, Ralph Lauren Pants kakobuysheetfind, Ralph Lauren Pants kakobuysheetfind2026, Ralph Lauren Pants 2026kakobuysheetfind, Ralph Lauren Pants kakobuysheet2026"},"finish_reason":"stop"}],"usage":{"prompt_tokens":645,"completion_tokens":273,"total_tokens":918}}</t>
        </is>
      </c>
      <c r="P6" t="inlineStr">
        <is>
          <t>Ralph Lauren Pants kakobuy, Ralph Lauren Pants kakebuy2026, Ralph Lauren Pants kekobuysheet, Ralph Lauren Pants kakobuysheet2026, Ralph Lauren Pants 2026kakobuy, Ralph Lauren Pants kakobuyspreadsheeet, Ralph Lauren Pants kakobuylink, Ralph Lauren Pants kakebuylist, Ralph Lauren Pants Kakobuy MEGA Spreadsheet, Ralph Lauren Pants kakobuysheetfind, Ralph Lauren Pants kakobuysheetfind2026, Ralph Lauren Pants 2026kakobuysheetfind, Ralph Lauren Pants kakobuysheet2026</t>
        </is>
      </c>
      <c r="Q6" t="inlineStr">
        <is>
          <t>Grey, Vintage, Unisex, Joggers</t>
        </is>
      </c>
      <c r="R6" t="inlineStr">
        <is>
          <t>recvjR8RzVhREP</t>
        </is>
      </c>
      <c r="S6" t="inlineStr">
        <is>
          <t>polo-ralph-lauren-gray-pony-jogger-sweatpants-recvjr8rzvhrep</t>
        </is>
      </c>
      <c r="T6"/>
      <c r="U6"/>
      <c r="V6"/>
      <c r="W6" t="inlineStr">
        <is>
          <t>{"id":"resp_05bad8888d2c637e016a0ab22db348819992d3bf01885e93f3","object":"chat.completion","created":1779085874,"model":"gpt-5.5","choices":[{"index":0,"message":{"role":"assistant","content":"拉夫劳伦Ralph Lauren灰色抽绳束脚运动裤，棉质休闲面料，小马刺绣标识，男女通用美式复古卫裤品类"},"finish_reason":"stop"}],"usage":{"prompt_tokens":1169,"completion_tokens":158,"total_tokens":1327}}</t>
        </is>
      </c>
      <c r="X6" t="inlineStr">
        <is>
          <t>拉夫劳伦Ralph Lauren灰色抽绳束脚运动裤，棉质休闲面料，小马刺绣标识，男女通用美式复古卫裤品类</t>
        </is>
      </c>
    </row>
    <row r="7" ht="25.5" customHeight="1">
      <c r="A7">
        <v>1839115443</v>
      </c>
      <c r="B7">
        <v>7766056475</v>
      </c>
      <c r="C7" s="2" t="str">
        <f>=HYPERLINK("https://weidian.com/item.html?itemID=7766056475", "https://weidian.com/item.html?itemID=7766056475")</f>
        <v>https://weidian.com/item.html?itemID=7766056475</v>
      </c>
      <c r="D7"/>
      <c r="E7" s="2" t="str">
        <f>=HYPERLINK("https://si.geilicdn.com/open1839115443-252808396-610c0000019e33dd456c0a23b4de_790_1160.jpg?w=640&amp;h=640", "https://si.geilicdn.com/open1839115443-252808396-610c0000019e33dd456c0a23b4de_790_1160.jpg?w=640&amp;h=640")</f>
        <v>https://si.geilicdn.com/open1839115443-252808396-610c0000019e33dd456c0a23b4de_790_1160.jpg?w=640&amp;h=640</v>
      </c>
      <c r="F7" t="inlineStr">
        <is>
          <t>T-Shirts</t>
        </is>
      </c>
      <c r="G7" t="inlineStr">
        <is>
          <t>Ralph Lauren</t>
        </is>
      </c>
      <c r="H7">
        <v>117</v>
      </c>
      <c r="I7">
        <v>16.96</v>
      </c>
      <c r="J7" t="inlineStr">
        <is>
          <t>{"id":"resp_0a284065806540e1016a0ab6bbcae0819b9edef072254e63d1","object":"chat.completion","created":1779087038,"model":"gpt-5.5","choices":[{"index":0,"message":{"role":"assistant","content":"Ralph Lauren Mustard Polo Rider Cotton T-Shirt"},"finish_reason":"stop"}],"usage":{"prompt_tokens":958,"completion_tokens":54,"total_tokens":1012}}</t>
        </is>
      </c>
      <c r="K7" t="inlineStr">
        <is>
          <t>Ralph Lauren Mustard Polo Rider Cotton T-Shirt</t>
        </is>
      </c>
      <c r="L7" t="inlineStr">
        <is>
          <t>{"id":"resp_04dc2ef918702a2b016a0ab5257adc819aa62703b3bb6a8346","object":"chat.completion","created":1779086633,"model":"gpt-5.5","choices":[{"index":0,"message":{"role":"assistant","content":"Ralph Lauren Urban Luxury mustard yellow short sleeve T-shirt, breathable cotton, embroidered Polo rider logo, unisex casual versatile tee."},"finish_reason":"stop"}],"usage":{"prompt_tokens":984,"completion_tokens":105,"total_tokens":1089}}</t>
        </is>
      </c>
      <c r="M7" t="inlineStr">
        <is>
          <t>{"alt-svc":"h3=\":443\"; ma=2592000","connection":"close","content-length":"434","content-type":"application/json; charset=utf-8","date":"Mon, 18 May 2026 06:43:53 GMT","referrer-policy":"strict-origin-when-cross-origin","server":"nginx/1.24.0 (Ubuntu)","strict-transport-security":"max-age=31536000; includeSubDomains; preload","vary":"Accept-Encoding","via":"1.1 Caddy","x-content-type-options":"nosniff","x-frame-options":"DENY","x-new-api-version":"v1.0.0-rc.2","x-oneapi-request-id":"202605180643461300551918268d9d6ZvZXpbRD","x-request-id":"bc4bf8d6-f6c0-47cf-8d5e-a6aa527f32ad"}</t>
        </is>
      </c>
      <c r="N7" t="inlineStr">
        <is>
          <t>Ralph Lauren Urban Luxury mustard yellow short sleeve T-shirt, breathable cotton, embroidered Polo rider logo, unisex casual versatile tee.</t>
        </is>
      </c>
      <c r="O7" t="inlineStr">
        <is>
          <t>{"id":"resp_04471dafeb667cbe016a0ab722d2908199b7b786a1ee3fa876","object":"chat.completion","created":1779087147,"model":"gpt-5.5","choices":[{"index":0,"message":{"role":"assistant","content":"Ralph Lauren T-Shirts kakobuy, Ralph Lauren T-Shirts kakebuy2026, Ralph Lauren T-Shirts kekobuysheet, Ralph Lauren T-Shirts kakobuysheet2026, Ralph Lauren T-Shirts 2026kakobuy, Ralph Lauren T-Shirts kakobuyspreadsheeet, Ralph Lauren T-Shirts kakobuylink, Ralph Lauren T-Shirts kakebuylist, Ralph Lauren T-Shirts Kakobuy MEGA Spreadsheet, Ralph Lauren T-Shirts kakobuysheetfind, Ralph Lauren T-Shirts kakobuysheetfind2026, Ralph Lauren T-Shirts 2026kakobuysheetfind, Ralph Lauren T-Shirts kakobuysheet2026"},"finish_reason":"stop"}],"usage":{"prompt_tokens":885,"completion_tokens":444,"total_tokens":1329}}</t>
        </is>
      </c>
      <c r="P7" t="inlineStr">
        <is>
          <t>Ralph Lauren T-Shirts kakobuy, Ralph Lauren T-Shirts kakebuy2026, Ralph Lauren T-Shirts kekobuysheet, Ralph Lauren T-Shirts kakobuysheet2026, Ralph Lauren T-Shirts 2026kakobuy, Ralph Lauren T-Shirts kakobuyspreadsheeet, Ralph Lauren T-Shirts kakobuylink, Ralph Lauren T-Shirts kakebuylist, Ralph Lauren T-Shirts Kakobuy MEGA Spreadsheet, Ralph Lauren T-Shirts kakobuysheetfind, Ralph Lauren T-Shirts kakobuysheetfind2026, Ralph Lauren T-Shirts 2026kakobuysheetfind, Ralph Lauren T-Shirts kakobuysheet2026</t>
        </is>
      </c>
      <c r="Q7" t="inlineStr">
        <is>
          <t>Mustard, Breathable, Unisex, Versatile</t>
        </is>
      </c>
      <c r="R7" t="inlineStr">
        <is>
          <t>recvjR8RzVRfDn</t>
        </is>
      </c>
      <c r="S7" t="inlineStr">
        <is>
          <t>ralph-lauren-mustard-polo-rider-cotton-t-shirt-recvjr8rzvrfdn</t>
        </is>
      </c>
      <c r="T7"/>
      <c r="U7"/>
      <c r="V7"/>
      <c r="W7" t="inlineStr">
        <is>
          <t>{"id":"resp_0b9563fb0bd222da016a0ab32971f8819889951de226831142","object":"chat.completion","created":1779086126,"model":"gpt-5.5","choices":[{"index":0,"message":{"role":"assistant","content":"拉夫劳伦Ralph Lauren都市奢享系列姜黄色短袖T恤，棉质透气面料，刺绣Polo骑士Logo，男女休闲百搭款"},"finish_reason":"stop"}],"usage":{"prompt_tokens":1409,"completion_tokens":157,"total_tokens":1566}}</t>
        </is>
      </c>
      <c r="X7" t="inlineStr">
        <is>
          <t>拉夫劳伦Ralph Lauren都市奢享系列姜黄色短袖T恤，棉质透气面料，刺绣Polo骑士Logo，男女休闲百搭款</t>
        </is>
      </c>
    </row>
    <row r="8" ht="25.5" customHeight="1">
      <c r="A8">
        <v>1839115443</v>
      </c>
      <c r="B8">
        <v>7765981521</v>
      </c>
      <c r="C8" s="2" t="str">
        <f>=HYPERLINK("https://weidian.com/item.html?itemID=7765981521", "https://weidian.com/item.html?itemID=7765981521")</f>
        <v>https://weidian.com/item.html?itemID=7765981521</v>
      </c>
      <c r="D8"/>
      <c r="E8" s="2" t="str">
        <f>=HYPERLINK("https://si.geilicdn.com/open1839115443-252808396-47250000019e2fb531ba0aa08269_1080_1620.jpg?w=640&amp;h=640", "https://si.geilicdn.com/open1839115443-252808396-47250000019e2fb531ba0aa08269_1080_1620.jpg?w=640&amp;h=640")</f>
        <v>https://si.geilicdn.com/open1839115443-252808396-47250000019e2fb531ba0aa08269_1080_1620.jpg?w=640&amp;h=640</v>
      </c>
      <c r="F8" t="inlineStr">
        <is>
          <t>T-Shirts</t>
        </is>
      </c>
      <c r="G8" t="inlineStr">
        <is>
          <t>Loewe</t>
        </is>
      </c>
      <c r="H8">
        <v>210</v>
      </c>
      <c r="I8">
        <v>30.43</v>
      </c>
      <c r="J8" t="inlineStr">
        <is>
          <t>{"id":"resp_0a356d8ccdc8d2ac016a0ab5da967481988030db75f9ec5f13","object":"chat.completion","created":1779086819,"model":"gpt-5.5","choices":[{"index":0,"message":{"role":"assistant","content":"Loewe Black Anagram Embroidered Cotton Crewneck Sweatshirt"},"finish_reason":"stop"}],"usage":{"prompt_tokens":969,"completion_tokens":115,"total_tokens":1084}}</t>
        </is>
      </c>
      <c r="K8" t="inlineStr">
        <is>
          <t>Loewe Black Anagram Embroidered Cotton Crewneck Sweatshirt</t>
        </is>
      </c>
      <c r="L8" t="inlineStr">
        <is>
          <t>{"id":"resp_06d23741a5bd6836016a0ab56e7600819ba8042e1f970f20d3","object":"chat.completion","created":1779086704,"model":"gpt-5.5","choices":[{"index":0,"message":{"role":"assistant","content":"Loewe black cotton crewneck sweatshirt, relaxed unisex fit, embroidered Anagram chest logo, streetwear long sleeve pullover top for men and women"},"finish_reason":"stop"}],"usage":{"prompt_tokens":983,"completion_tokens":32,"total_tokens":1015}}</t>
        </is>
      </c>
      <c r="M8" t="inlineStr">
        <is>
          <t>{"alt-svc":"h3=\":443\"; ma=2592000","connection":"close","content-length":"439","content-type":"application/json; charset=utf-8","date":"Mon, 18 May 2026 06:45:04 GMT","referrer-policy":"strict-origin-when-cross-origin","server":"nginx/1.24.0 (Ubuntu)","strict-transport-security":"max-age=31536000; includeSubDomains; preload","vary":"Accept-Encoding","via":"1.1 Caddy","x-content-type-options":"nosniff","x-frame-options":"DENY","x-new-api-version":"v1.0.0-rc.2","x-oneapi-request-id":"202605180645018896593498268d9d6l8pwj43j","x-request-id":"038359a4-58a5-4248-8774-adc4b3c2876a"}</t>
        </is>
      </c>
      <c r="N8" t="inlineStr">
        <is>
          <t>Loewe black cotton crewneck sweatshirt, relaxed unisex fit, embroidered Anagram chest logo, streetwear long sleeve pullover top for men and women</t>
        </is>
      </c>
      <c r="O8" t="inlineStr">
        <is>
          <t>{"id":"resp_047a5e5c51c8d9f4016a0ab767e278819ba549cfeb3e5c014b","object":"chat.completion","created":1779087216,"model":"gpt-5.5","choices":[{"index":0,"message":{"role":"assistant","content":"Loewe, T-Shirts, kakobuy\nLoewe, T-Shirts, kakebuy2026\nLoewe, T-Shirts, kekobuysheet\nLoewe, T-Shirts, kakobuysheet2026\nLoewe, T-Shirts, 2026kakobuy\nLoewe, T-Shirts, kakobuyspreadsheeet\nLoewe, T-Shirts, kakobuylink\nLoewe, T-Shirts, kakebuylist\nLoewe, T-Shirts, Kakobuy MEGA Spreadsheet\nLoewe, T-Shirts, kakobuysheetfind\nLoewe, T-Shirts, kakobuysheetfind2026\nLoewe, T-Shirts, 2026kakobuysheetfind\nLoewe, T-Shirts, kakobuysheet2026"},"finish_reason":"stop"}],"usage":{"prompt_tokens":885,"completion_tokens":418,"total_tokens":1303}}</t>
        </is>
      </c>
      <c r="P8" t="inlineStr">
        <is>
          <t>Loewe, T-Shirts, kakobuy
Loewe, T-Shirts, kakebuy2026
Loewe, T-Shirts, kekobuysheet
Loewe, T-Shirts, kakobuysheet2026
Loewe, T-Shirts, 2026kakobuy
Loewe, T-Shirts, kakobuyspreadsheeet
Loewe, T-Shirts, kakobuylink
Loewe, T-Shirts, kakebuylist
Loewe, T-Shirts, Kakobuy MEGA Spreadsheet
Loewe, T-Shirts, kakobuysheetfind
Loewe, T-Shirts, kakobuysheetfind2026
Loewe, T-Shirts, 2026kakobuysheetfind
Loewe, T-Shirts, kakobuysheet2026</t>
        </is>
      </c>
      <c r="Q8" t="inlineStr">
        <is>
          <t>Black, Streetwear, Unisex, Men's And Women's</t>
        </is>
      </c>
      <c r="R8" t="inlineStr">
        <is>
          <t>recvjR8RzVIo3M</t>
        </is>
      </c>
      <c r="S8" t="inlineStr">
        <is>
          <t>loewe-black-anagram-embroidered-cotton-crewneck-sweatshirt-recvjr8rzvio3m</t>
        </is>
      </c>
      <c r="T8"/>
      <c r="U8"/>
      <c r="V8"/>
      <c r="W8" t="inlineStr">
        <is>
          <t>{"id":"resp_0777214e07906145016a0ab2daeedc819b8d2be7043aa445b9","object":"chat.completion","created":1779086056,"model":"gpt-5.5","choices":[{"index":0,"message":{"role":"assistant","content":"罗意威Loewe 黑色圆领卫衣，棉质休闲版型，胸前刺绣Anagram标识图腾，男女同款街头潮流长袖上衣"},"finish_reason":"stop"}],"usage":{"prompt_tokens":1405,"completion_tokens":137,"total_tokens":1542}}</t>
        </is>
      </c>
      <c r="X8" t="inlineStr">
        <is>
          <t>罗意威Loewe 黑色圆领卫衣，棉质休闲版型，胸前刺绣Anagram标识图腾，男女同款街头潮流长袖上衣</t>
        </is>
      </c>
    </row>
    <row r="9" ht="25.5" customHeight="1">
      <c r="A9">
        <v>1839115443</v>
      </c>
      <c r="B9">
        <v>7769064288</v>
      </c>
      <c r="C9" s="2" t="str">
        <f>=HYPERLINK("https://weidian.com/item.html?itemID=7769064288", "https://weidian.com/item.html?itemID=7769064288")</f>
        <v>https://weidian.com/item.html?itemID=7769064288</v>
      </c>
      <c r="D9"/>
      <c r="E9" s="2" t="str">
        <f>=HYPERLINK("https://si.geilicdn.com/open1839115443-252808396-68c00000019e33dfd2f60a22d249_790_1108.jpg?w=640&amp;h=640", "https://si.geilicdn.com/open1839115443-252808396-68c00000019e33dfd2f60a22d249_790_1108.jpg?w=640&amp;h=640")</f>
        <v>https://si.geilicdn.com/open1839115443-252808396-68c00000019e33dfd2f60a22d249_790_1108.jpg?w=640&amp;h=640</v>
      </c>
      <c r="F9" t="inlineStr">
        <is>
          <t>T-Shirts</t>
        </is>
      </c>
      <c r="G9" t="inlineStr">
        <is>
          <t>Ralph Lauren</t>
        </is>
      </c>
      <c r="H9">
        <v>116</v>
      </c>
      <c r="I9">
        <v>16.81</v>
      </c>
      <c r="J9" t="inlineStr">
        <is>
          <t>{"id":"resp_05c369cf5cb4ae9b016a0ab63fb7808196936e2837fef469a2","object":"chat.completion","created":1779086912,"model":"gpt-5.5","choices":[{"index":0,"message":{"role":"assistant","content":"Ralph Lauren White Cotton Crew Neck T-Shirt"},"finish_reason":"stop"}],"usage":{"prompt_tokens":943,"completion_tokens":10,"total_tokens":953}}</t>
        </is>
      </c>
      <c r="K9" t="inlineStr">
        <is>
          <t>Ralph Lauren White Cotton Crew Neck T-Shirt</t>
        </is>
      </c>
      <c r="L9" t="inlineStr">
        <is>
          <t>{"id":"resp_0af8550c1f3ebf6a016a0ab4b554f8819b95aad9323338c49e","object":"chat.completion","created":1779086520,"model":"gpt-5.5","choices":[{"index":0,"message":{"role":"assistant","content":"Ralph Lauren white crew neck T-shirt, soft breathable cotton, Polo pony embroidery, lightweight short sleeve casual top for men and women, classic versatile tee"},"finish_reason":"stop"}],"usage":{"prompt_tokens":966,"completion_tokens":104,"total_tokens":1070}}</t>
        </is>
      </c>
      <c r="M9" t="inlineStr">
        <is>
          <t>{"alt-svc":"h3=\":443\"; ma=2592000","connection":"close","content-length":"455","content-type":"application/json; charset=utf-8","date":"Mon, 18 May 2026 06:42:00 GMT","referrer-policy":"strict-origin-when-cross-origin","server":"Caddy","strict-transport-security":"max-age=31536000; includeSubDomains; preload","vary":"Accept-Encoding","x-content-type-options":"nosniff","x-frame-options":"DENY","x-new-api-version":"v1.0.0-rc.2","x-oneapi-request-id":"202605180641568426036018268d9d6fFU3ZFqU","x-request-id":"e992598d-adb8-4090-a0d2-115688c190b4"}</t>
        </is>
      </c>
      <c r="N9" t="inlineStr">
        <is>
          <t>Ralph Lauren white crew neck T-shirt, soft breathable cotton, Polo pony embroidery, lightweight short sleeve casual top for men and women, classic versatile tee</t>
        </is>
      </c>
      <c r="O9" t="inlineStr">
        <is>
          <t>{"id":"resp_0e2d21daf1d88417016a0ab74e0ea08199b0fc08368cb570b5","object":"chat.completion","created":1779087193,"model":"gpt-5.5","choices":[{"index":0,"message":{"role":"assistant","content":"Ralph Lauren T-Shirts kakobuy, Ralph Lauren T-Shirts kakebuy2026, Ralph Lauren T-Shirts kekobuysheet, Ralph Lauren T-Shirts kakobuysheet2026, Ralph Lauren T-Shirts 2026kakobuy, Ralph Lauren T-Shirts kakobuyspreadsheeet, Ralph Lauren T-Shirts kakobuylink, Ralph Lauren T-Shirts kakebuylist, Ralph Lauren T-Shirts Kakobuy MEGA Spreadsheet, Ralph Lauren T-Shirts kakobuysheetfind, Ralph Lauren T-Shirts kakobuysheetfind2026, Ralph Lauren T-Shirts 2026kakobuysheetfind, Ralph Lauren T-Shirts kakobuysheet2026"},"finish_reason":"stop"}],"usage":{"prompt_tokens":861,"completion_tokens":554,"total_tokens":1415}}</t>
        </is>
      </c>
      <c r="P9" t="inlineStr">
        <is>
          <t>Ralph Lauren T-Shirts kakobuy, Ralph Lauren T-Shirts kakebuy2026, Ralph Lauren T-Shirts kekobuysheet, Ralph Lauren T-Shirts kakobuysheet2026, Ralph Lauren T-Shirts 2026kakobuy, Ralph Lauren T-Shirts kakobuyspreadsheeet, Ralph Lauren T-Shirts kakobuylink, Ralph Lauren T-Shirts kakebuylist, Ralph Lauren T-Shirts Kakobuy MEGA Spreadsheet, Ralph Lauren T-Shirts kakobuysheetfind, Ralph Lauren T-Shirts kakobuysheetfind2026, Ralph Lauren T-Shirts 2026kakobuysheetfind, Ralph Lauren T-Shirts kakobuysheet2026</t>
        </is>
      </c>
      <c r="Q9" t="inlineStr">
        <is>
          <t>White, Breathable, Lightweight, Classic, Men's And Women's</t>
        </is>
      </c>
      <c r="R9" t="inlineStr">
        <is>
          <t>recvjR8RzVJSGf</t>
        </is>
      </c>
      <c r="S9" t="inlineStr">
        <is>
          <t>ralph-lauren-white-cotton-crew-neck-t-shirt-recvjr8rzvjsgf</t>
        </is>
      </c>
      <c r="T9"/>
      <c r="U9"/>
      <c r="V9"/>
      <c r="W9" t="inlineStr">
        <is>
          <t>{"id":"resp_072ddb4e6fcaf6b1016a0ab22545748198a516f06640bd1818","object":"chat.completion","created":1779085866,"model":"gpt-5.5","choices":[{"index":0,"message":{"role":"assistant","content":"拉夫劳伦Ralph Lauren 白色经典圆领T恤，轻盈透气亲肤棉质，胸前Polo骑士刺绣标识，简约休闲男女百搭短袖上衣"},"finish_reason":"stop"}],"usage":{"prompt_tokens":1385,"completion_tokens":179,"total_tokens":1564}}</t>
        </is>
      </c>
      <c r="X9" t="inlineStr">
        <is>
          <t>拉夫劳伦Ralph Lauren 白色经典圆领T恤，轻盈透气亲肤棉质，胸前Polo骑士刺绣标识，简约休闲男女百搭短袖上衣</t>
        </is>
      </c>
    </row>
    <row r="10" ht="25.5" customHeight="1">
      <c r="A10">
        <v>1839115443</v>
      </c>
      <c r="B10">
        <v>7769079940</v>
      </c>
      <c r="C10" s="2" t="str">
        <f>=HYPERLINK("https://weidian.com/item.html?itemID=7769079940", "https://weidian.com/item.html?itemID=7769079940")</f>
        <v>https://weidian.com/item.html?itemID=7769079940</v>
      </c>
      <c r="D10"/>
      <c r="E10" s="2" t="str">
        <f>=HYPERLINK("https://si.geilicdn.com/open1839115443-252808396-69980000019e33e36db60a22d249_790_883.jpg?w=640&amp;h=640", "https://si.geilicdn.com/open1839115443-252808396-69980000019e33e36db60a22d249_790_883.jpg?w=640&amp;h=640")</f>
        <v>https://si.geilicdn.com/open1839115443-252808396-69980000019e33e36db60a22d249_790_883.jpg?w=640&amp;h=640</v>
      </c>
      <c r="F10" t="inlineStr">
        <is>
          <t>T-Shirts</t>
        </is>
      </c>
      <c r="G10" t="inlineStr">
        <is>
          <t>Ralph Lauren</t>
        </is>
      </c>
      <c r="H10">
        <v>103</v>
      </c>
      <c r="I10">
        <v>14.93</v>
      </c>
      <c r="J10" t="inlineStr">
        <is>
          <t>{"id":"resp_0a5fc87bdaca0168016a0ab60564348196bf08031fe6645190","object":"chat.completion","created":1779086856,"model":"gpt-5.5","choices":[{"index":0,"message":{"role":"assistant","content":"Ralph Lauren Light Green Men's Cotton Polo Shirt"},"finish_reason":"stop"}],"usage":{"prompt_tokens":792,"completion_tokens":112,"total_tokens":904}}</t>
        </is>
      </c>
      <c r="K10" t="inlineStr">
        <is>
          <t>Ralph Lauren Light Green Men's Cotton Polo Shirt</t>
        </is>
      </c>
      <c r="L10" t="inlineStr">
        <is>
          <t>{"id":"resp_00b3bd4436d0b6ee016a0ab57e0ae081999adfa05e14e9678d","object":"chat.completion","created":1779086722,"model":"gpt-5.5","choices":[{"index":0,"message":{"role":"assistant","content":"Ralph Lauren light green men's polo shirt, breathable cotton, gold embroidered crest, contrast tipped collar, short sleeve business casual T-shirt."},"finish_reason":"stop"}],"usage":{"prompt_tokens":814,"completion_tokens":103,"total_tokens":917}}</t>
        </is>
      </c>
      <c r="M10" t="inlineStr">
        <is>
          <t>{"alt-svc":"h3=\":443\"; ma=2592000","connection":"close","content-length":"441","content-type":"application/json; charset=utf-8","date":"Mon, 18 May 2026 06:45:22 GMT","referrer-policy":"strict-origin-when-cross-origin","server":"Caddy","strict-transport-security":"max-age=31536000; includeSubDomains; preload","vary":"Accept-Encoding","x-content-type-options":"nosniff","x-frame-options":"DENY","x-new-api-version":"v1.0.0-rc.2","x-oneapi-request-id":"202605180645173372362168268d9d6HQqLOe6Y","x-request-id":"1e6611c3-e43c-4e8a-be22-1d876347cc49"}</t>
        </is>
      </c>
      <c r="N10" t="inlineStr">
        <is>
          <t>Ralph Lauren light green men's polo shirt, breathable cotton, gold embroidered crest, contrast tipped collar, short sleeve business casual T-shirt.</t>
        </is>
      </c>
      <c r="O10" t="inlineStr">
        <is>
          <t>{"id":"resp_030e138a4156dbe0016a0ab7e9bc1c8199929092b446cb493f","object":"chat.completion","created":1779087344,"model":"gpt-5.5","choices":[{"index":0,"message":{"role":"assistant","content":"Ralph Lauren T-Shirts kakobuy, Ralph Lauren T-Shirts kakebuy2026, Ralph Lauren T-Shirts kekobuysheet, Ralph Lauren T-Shirts kakobuysheet2026, Ralph Lauren T-Shirts 2026kakobuy, Ralph Lauren T-Shirts kakobuyspreadsheeet, Ralph Lauren T-Shirts kakobuylink, Ralph Lauren T-Shirts kakebuylist, Ralph Lauren T-Shirts Kakobuy MEGA Spreadsheet, Ralph Lauren T-Shirts kakobuysheetfind, Ralph Lauren T-Shirts kakobuysheetfind2026, Ralph Lauren T-Shirts 2026kakobuysheetfind, Ralph Lauren T-Shirts kakobuysheet2026"},"finish_reason":"stop"}],"usage":{"prompt_tokens":717,"completion_tokens":278,"total_tokens":995}}</t>
        </is>
      </c>
      <c r="P10" t="inlineStr">
        <is>
          <t>Ralph Lauren T-Shirts kakobuy, Ralph Lauren T-Shirts kakebuy2026, Ralph Lauren T-Shirts kekobuysheet, Ralph Lauren T-Shirts kakobuysheet2026, Ralph Lauren T-Shirts 2026kakobuy, Ralph Lauren T-Shirts kakobuyspreadsheeet, Ralph Lauren T-Shirts kakobuylink, Ralph Lauren T-Shirts kakebuylist, Ralph Lauren T-Shirts Kakobuy MEGA Spreadsheet, Ralph Lauren T-Shirts kakobuysheetfind, Ralph Lauren T-Shirts kakobuysheetfind2026, Ralph Lauren T-Shirts 2026kakobuysheetfind, Ralph Lauren T-Shirts kakobuysheet2026</t>
        </is>
      </c>
      <c r="Q10" t="inlineStr">
        <is>
          <t>Green, Breathable, Business Casual, Men, Summer</t>
        </is>
      </c>
      <c r="R10" t="inlineStr">
        <is>
          <t>recvjR8RzVBcSZ</t>
        </is>
      </c>
      <c r="S10" t="inlineStr">
        <is>
          <t>ralph-lauren-light-green-cotton-polo-recvjr8rzvbcsz</t>
        </is>
      </c>
      <c r="T10"/>
      <c r="U10"/>
      <c r="V10"/>
      <c r="W10" t="inlineStr">
        <is>
          <t>{"id":"resp_059fb9ed62b6b95b016a0ab253b3e081988bfd126c1eb307ac","object":"chat.completion","created":1779085911,"model":"gpt-5.5","choices":[{"index":0,"message":{"role":"assistant","content":"浅绿色Ralph Lauren翻领Polo衫，棉质透气面料，金色刺绣图腾与撞色领边设计，商务休闲男士短袖T恤。"},"finish_reason":"stop"}],"usage":{"prompt_tokens":1235,"completion_tokens":135,"total_tokens":1370}}</t>
        </is>
      </c>
      <c r="X10" t="inlineStr">
        <is>
          <t>浅绿色Ralph Lauren翻领Polo衫，棉质透气面料，金色刺绣图腾与撞色领边设计，商务休闲男士短袖T恤。</t>
        </is>
      </c>
    </row>
    <row r="11" ht="25.5" customHeight="1">
      <c r="A11">
        <v>1839115443</v>
      </c>
      <c r="B11">
        <v>7769048580</v>
      </c>
      <c r="C11" s="2" t="str">
        <f>=HYPERLINK("https://weidian.com/item.html?itemID=7769048580", "https://weidian.com/item.html?itemID=7769048580")</f>
        <v>https://weidian.com/item.html?itemID=7769048580</v>
      </c>
      <c r="D11"/>
      <c r="E11" s="2" t="str">
        <f>=HYPERLINK("https://si.geilicdn.com/open1839115443-252808396-63ee0000019e33e3f1e20a23b491_790_1108.jpg?w=640&amp;h=640", "https://si.geilicdn.com/open1839115443-252808396-63ee0000019e33e3f1e20a23b491_790_1108.jpg?w=640&amp;h=640")</f>
        <v>https://si.geilicdn.com/open1839115443-252808396-63ee0000019e33e3f1e20a23b491_790_1108.jpg?w=640&amp;h=640</v>
      </c>
      <c r="F11" t="inlineStr">
        <is>
          <t>T-Shirts</t>
        </is>
      </c>
      <c r="G11" t="inlineStr">
        <is>
          <t>Ralph Lauren</t>
        </is>
      </c>
      <c r="H11">
        <v>115</v>
      </c>
      <c r="I11">
        <v>16.67</v>
      </c>
      <c r="J11" t="inlineStr">
        <is>
          <t>{"id":"resp_0a690d4f560b2730016a0ab6081b708198bbe1c535a380ad36","object":"chat.completion","created":1779086862,"model":"gpt-5.5","choices":[{"index":0,"message":{"role":"assistant","content":"Ralph Lauren Green Embroidered Crewneck Cotton T-Shirt"},"finish_reason":"stop"}],"usage":{"prompt_tokens":943,"completion_tokens":263,"total_tokens":1206}}</t>
        </is>
      </c>
      <c r="K11" t="inlineStr">
        <is>
          <t>Ralph Lauren Green Embroidered Crewneck Cotton T-Shirt</t>
        </is>
      </c>
      <c r="L11" t="inlineStr">
        <is>
          <t>{"id":"resp_05f9a3078e084387016a0ab5088b5c8199976413f8f1cf5282","object":"chat.completion","created":1779086604,"model":"gpt-5.5","choices":[{"index":0,"message":{"role":"assistant","content":"Ralph Lauren Green Classic Crewneck T-Shirt, lightweight breathable soft cotton, chest embroidered logo, casual versatile unisex short sleeve top for men and women"},"finish_reason":"stop"}],"usage":{"prompt_tokens":961,"completion_tokens":152,"total_tokens":1113}}</t>
        </is>
      </c>
      <c r="M11" t="inlineStr">
        <is>
          <t>{"alt-svc":"h3=\":443\"; ma=2592000","connection":"close","content-length":"458","content-type":"application/json; charset=utf-8","date":"Mon, 18 May 2026 06:43:24 GMT","referrer-policy":"strict-origin-when-cross-origin","server":"Caddy","strict-transport-security":"max-age=31536000; includeSubDomains; preload","vary":"Accept-Encoding","x-content-type-options":"nosniff","x-frame-options":"DENY","x-new-api-version":"v1.0.0-rc.2","x-oneapi-request-id":"202605180643203265853678268d9d6fQCsT0qD","x-request-id":"8119319a-a3f7-405b-956b-0d59b9876dc5"}</t>
        </is>
      </c>
      <c r="N11" t="inlineStr">
        <is>
          <t>Ralph Lauren Green Classic Crewneck T-Shirt, lightweight breathable soft cotton, chest embroidered logo, casual versatile unisex short sleeve top for men and women</t>
        </is>
      </c>
      <c r="O11" t="inlineStr">
        <is>
          <t>{"id":"resp_039bd190104014d7016a0ab72a3770819988c0661a4a2611b0","object":"chat.completion","created":1779087152,"model":"gpt-5.5","choices":[{"index":0,"message":{"role":"assistant","content":"Ralph Lauren T-Shirts kakobuy, Ralph Lauren T-Shirts kakebuy2026, Ralph Lauren T-Shirts kekobuysheet, Ralph Lauren T-Shirts kakobuysheet2026, Ralph Lauren T-Shirts 2026kakobuy, Ralph Lauren T-Shirts kakobuyspreadsheeet, Ralph Lauren T-Shirts kakobuylink, Ralph Lauren T-Shirts kakebuylist, Ralph Lauren T-Shirts Kakobuy MEGA Spreadsheet, Ralph Lauren T-Shirts kakobuysheetfind, Ralph Lauren T-Shirts kakobuysheetfind2026, Ralph Lauren T-Shirts 2026kakobuysheetfind, Ralph Lauren T-Shirts kakobuysheet2026"},"finish_reason":"stop"}],"usage":{"prompt_tokens":861,"completion_tokens":267,"total_tokens":1128}}</t>
        </is>
      </c>
      <c r="P11" t="inlineStr">
        <is>
          <t>Ralph Lauren T-Shirts kakobuy, Ralph Lauren T-Shirts kakebuy2026, Ralph Lauren T-Shirts kekobuysheet, Ralph Lauren T-Shirts kakobuysheet2026, Ralph Lauren T-Shirts 2026kakobuy, Ralph Lauren T-Shirts kakobuyspreadsheeet, Ralph Lauren T-Shirts kakobuylink, Ralph Lauren T-Shirts kakebuylist, Ralph Lauren T-Shirts Kakobuy MEGA Spreadsheet, Ralph Lauren T-Shirts kakobuysheetfind, Ralph Lauren T-Shirts kakobuysheetfind2026, Ralph Lauren T-Shirts 2026kakobuysheetfind, Ralph Lauren T-Shirts kakobuysheet2026</t>
        </is>
      </c>
      <c r="Q11" t="inlineStr">
        <is>
          <t>Lightweight, Breathable, Versatile, Unisex</t>
        </is>
      </c>
      <c r="R11" t="inlineStr">
        <is>
          <t>recvjR8RzVFBt2</t>
        </is>
      </c>
      <c r="S11" t="inlineStr">
        <is>
          <t>ralph-lauren-green-embroidered-crewneck-cotton-t-shirt-recvjr8rzvfb</t>
        </is>
      </c>
      <c r="T11"/>
      <c r="U11"/>
      <c r="V11"/>
      <c r="W11" t="inlineStr">
        <is>
          <t>{"id":"resp_0a080a428a3d8fc4016a0ab2c43468819bbf64d255fe4913db","object":"chat.completion","created":1779086026,"model":"gpt-5.5","choices":[{"index":0,"message":{"role":"assistant","content":"拉夫劳伦 Ralph Lauren 绿色经典圆领T恤，轻盈透气亲肤棉质，胸前刺绣图腾，休闲百搭男女款短袖上衣"},"finish_reason":"stop"}],"usage":{"prompt_tokens":1387,"completion_tokens":246,"total_tokens":1633}}</t>
        </is>
      </c>
      <c r="X11" t="inlineStr">
        <is>
          <t>拉夫劳伦 Ralph Lauren 绿色经典圆领T恤，轻盈透气亲肤棉质，胸前刺绣图腾，休闲百搭男女款短袖上衣</t>
        </is>
      </c>
    </row>
    <row r="12" ht="25.5" customHeight="1">
      <c r="A12">
        <v>1839115443</v>
      </c>
      <c r="B12">
        <v>7766025041</v>
      </c>
      <c r="C12" s="2" t="str">
        <f>=HYPERLINK("https://weidian.com/item.html?itemID=7766025041", "https://weidian.com/item.html?itemID=7766025041")</f>
        <v>https://weidian.com/item.html?itemID=7766025041</v>
      </c>
      <c r="D12"/>
      <c r="E12" s="2" t="str">
        <f>=HYPERLINK("https://si.geilicdn.com/open1839115443-252808396-62a60000019e33e43e940a23b4de_800_800.jpg?w=750&amp;h=750&amp;cp=1", "https://si.geilicdn.com/open1839115443-252808396-62a60000019e33e43e940a23b4de_800_800.jpg?w=750&amp;h=750&amp;cp=1")</f>
        <v>https://si.geilicdn.com/open1839115443-252808396-62a60000019e33e43e940a23b4de_800_800.jpg?w=750&amp;h=750&amp;cp=1</v>
      </c>
      <c r="F12" t="inlineStr">
        <is>
          <t>T-Shirts</t>
        </is>
      </c>
      <c r="G12" t="inlineStr">
        <is>
          <t>Ralph Lauren</t>
        </is>
      </c>
      <c r="H12">
        <v>110</v>
      </c>
      <c r="I12">
        <v>15.94</v>
      </c>
      <c r="J12" t="inlineStr">
        <is>
          <t>{"id":"resp_03082c23f1cfb782016a0ab60ae090819abbda31d7af4ab7fb","object":"chat.completion","created":1779086862,"model":"gpt-5.5","choices":[{"index":0,"message":{"role":"assistant","content":"Ralph Lauren Navy Men's Cotton Pique Polo Shirt"},"finish_reason":"stop"}],"usage":{"prompt_tokens":936,"completion_tokens":100,"total_tokens":1036}}</t>
        </is>
      </c>
      <c r="K12" t="inlineStr">
        <is>
          <t>Ralph Lauren Navy Men's Cotton Pique Polo Shirt</t>
        </is>
      </c>
      <c r="L12" t="inlineStr">
        <is>
          <t>{"id":"resp_06f658888710e847016a0ab50cf264819b906cd2015e9a5d20","object":"chat.completion","created":1779086608,"model":"gpt-5.5","choices":[{"index":0,"message":{"role":"assistant","content":"Ralph Lauren Navy Men's Polo Shirt, Cotton Pique Short Sleeve, Turn-Down Collar, Red Horse Embroidery, Business Casual Summer T-Shirt"},"finish_reason":"stop"}],"usage":{"prompt_tokens":962,"completion_tokens":99,"total_tokens":1061}}</t>
        </is>
      </c>
      <c r="M12" t="inlineStr">
        <is>
          <t>{"alt-svc":"h3=\":443\"; ma=2592000","connection":"close","content-length":"427","content-type":"application/json; charset=utf-8","date":"Mon, 18 May 2026 06:43:28 GMT","referrer-policy":"strict-origin-when-cross-origin","server":"Caddy","strict-transport-security":"max-age=31536000; includeSubDomains; preload","vary":"Accept-Encoding","x-content-type-options":"nosniff","x-frame-options":"DENY","x-new-api-version":"v1.0.0-rc.2","x-oneapi-request-id":"202605180643244693208498268d9d61SPNifVQ","x-request-id":"5a13b5d7-fc31-4ef6-bbba-9e733c9bf9b6"}</t>
        </is>
      </c>
      <c r="N12" t="inlineStr">
        <is>
          <t>Ralph Lauren Navy Men's Polo Shirt, Cotton Pique Short Sleeve, Turn-Down Collar, Red Horse Embroidery, Business Casual Summer T-Shirt</t>
        </is>
      </c>
      <c r="O12" t="inlineStr">
        <is>
          <t>{"id":"resp_082185a0e42a9c58016a0ab7985fb0819bb01166d79c93bc5c","object":"chat.completion","created":1779087265,"model":"gpt-5.5","choices":[{"index":0,"message":{"role":"assistant","content":"Ralph Lauren T-Shirts kakobuy, Ralph Lauren T-Shirts kakebuy2026, Ralph Lauren T-Shirts kekobuysheet, Ralph Lauren T-Shirts kakobuysheet2026, Ralph Lauren T-Shirts 2026kakobuy, Ralph Lauren T-Shirts kakobuyspreadsheeet, Ralph Lauren T-Shirts kakobuylink, Ralph Lauren T-Shirts kakebuylist, Ralph Lauren T-Shirts Kakobuy MEGA Spreadsheet, Ralph Lauren T-Shirts kakobuysheetfind, Ralph Lauren T-Shirts kakobuysheetfind2026, Ralph Lauren T-Shirts 2026kakobuysheetfind, Ralph Lauren T-Shirts kakobuysheet2026"},"finish_reason":"stop"}],"usage":{"prompt_tokens":856,"completion_tokens":439,"total_tokens":1295}}</t>
        </is>
      </c>
      <c r="P12" t="inlineStr">
        <is>
          <t>Ralph Lauren T-Shirts kakobuy, Ralph Lauren T-Shirts kakebuy2026, Ralph Lauren T-Shirts kekobuysheet, Ralph Lauren T-Shirts kakobuysheet2026, Ralph Lauren T-Shirts 2026kakobuy, Ralph Lauren T-Shirts kakobuyspreadsheeet, Ralph Lauren T-Shirts kakobuylink, Ralph Lauren T-Shirts kakebuylist, Ralph Lauren T-Shirts Kakobuy MEGA Spreadsheet, Ralph Lauren T-Shirts kakobuysheetfind, Ralph Lauren T-Shirts kakobuysheetfind2026, Ralph Lauren T-Shirts 2026kakobuysheetfind, Ralph Lauren T-Shirts kakobuysheet2026</t>
        </is>
      </c>
      <c r="Q12" t="inlineStr">
        <is>
          <t>Navy, Business Casual, Summer, Men</t>
        </is>
      </c>
      <c r="R12" t="inlineStr">
        <is>
          <t>recvjR8RzV2wOK</t>
        </is>
      </c>
      <c r="S12" t="inlineStr">
        <is>
          <t>ralph-lauren-navy-cotton-pique-polo-recvjr8rzv2wok</t>
        </is>
      </c>
      <c r="T12"/>
      <c r="U12"/>
      <c r="V12"/>
      <c r="W12" t="inlineStr">
        <is>
          <t>{"id":"resp_0c9298ce2e3b2636016a0ab267c19c81948a819ce3cd2b9351","object":"chat.completion","created":1779085931,"model":"gpt-5.5","choices":[{"index":0,"message":{"role":"assistant","content":"深蓝色Ralph Lauren风Polo衫，翻领短袖，棉质珠地面料，红色骑马刺绣图腾，商务休闲男士夏季T恤衫"},"finish_reason":"stop"}],"usage":{"prompt_tokens":1386,"completion_tokens":137,"total_tokens":1523}}</t>
        </is>
      </c>
      <c r="X12" t="inlineStr">
        <is>
          <t>深蓝色Ralph Lauren风Polo衫，翻领短袖，棉质珠地面料，红色骑马刺绣图腾，商务休闲男士夏季T恤衫</t>
        </is>
      </c>
    </row>
    <row r="13" ht="25.5" customHeight="1">
      <c r="A13">
        <v>1839115443</v>
      </c>
      <c r="B13">
        <v>7766072399</v>
      </c>
      <c r="C13" s="2" t="str">
        <f>=HYPERLINK("https://weidian.com/item.html?itemID=7766072399", "https://weidian.com/item.html?itemID=7766072399")</f>
        <v>https://weidian.com/item.html?itemID=7766072399</v>
      </c>
      <c r="D13"/>
      <c r="E13" s="2" t="str">
        <f>=HYPERLINK("https://si.geilicdn.com/open1839115443-252808396-57e60000019e33e52fa30aa08269_790_1018.jpg?w=640&amp;h=640", "https://si.geilicdn.com/open1839115443-252808396-57e60000019e33e52fa30aa08269_790_1018.jpg?w=640&amp;h=640")</f>
        <v>https://si.geilicdn.com/open1839115443-252808396-57e60000019e33e52fa30aa08269_790_1018.jpg?w=640&amp;h=640</v>
      </c>
      <c r="F13" t="inlineStr">
        <is>
          <t>T-Shirts</t>
        </is>
      </c>
      <c r="G13" t="inlineStr">
        <is>
          <t>Ralph Lauren</t>
        </is>
      </c>
      <c r="H13">
        <v>116</v>
      </c>
      <c r="I13">
        <v>16.81</v>
      </c>
      <c r="J13" t="inlineStr">
        <is>
          <t>{"id":"resp_02ee766fbb4cdb2f016a0ab62b42a48195806ba4cfc7707cc0","object":"chat.completion","created":1779086899,"model":"gpt-5.5","choices":[{"index":0,"message":{"role":"assistant","content":"Ralph Lauren Deep Navy V-Neck Cotton T-Shirt Gold Polo Logo"},"finish_reason":"stop"}],"usage":{"prompt_tokens":879,"completion_tokens":388,"total_tokens":1267}}</t>
        </is>
      </c>
      <c r="K13" t="inlineStr">
        <is>
          <t>Ralph Lauren Deep Navy V-Neck Cotton T-Shirt Gold Polo Logo</t>
        </is>
      </c>
      <c r="L13" t="inlineStr">
        <is>
          <t>{"id":"resp_0e8bc138fbd835e2016a0ab522f780819aba27ccffa3e5a709","object":"chat.completion","created":1779086631,"model":"gpt-5.5","choices":[{"index":0,"message":{"role":"assistant","content":"Ralph Lauren deep navy V-neck T-shirt, soft cotton-feel slim fit with gold Polo rider embroidery, unisex casual summer top for work, commute and daily wear"},"finish_reason":"stop"}],"usage":{"prompt_tokens":894,"completion_tokens":116,"total_tokens":1010}}</t>
        </is>
      </c>
      <c r="M13" t="inlineStr">
        <is>
          <t>{"alt-svc":"h3=\":443\"; ma=2592000","connection":"close","content-length":"450","content-type":"application/json; charset=utf-8","date":"Mon, 18 May 2026 06:43:51 GMT","referrer-policy":"strict-origin-when-cross-origin","server":"Caddy","strict-transport-security":"max-age=31536000; includeSubDomains; preload","vary":"Accept-Encoding","x-content-type-options":"nosniff","x-frame-options":"DENY","x-new-api-version":"v1.0.0-rc.2","x-oneapi-request-id":"202605180643465480719258268d9d6aISI3GX2","x-request-id":"5c7905fc-5984-4630-bd99-4990453761b8"}</t>
        </is>
      </c>
      <c r="N13" t="inlineStr">
        <is>
          <t>Ralph Lauren deep navy V-neck T-shirt, soft cotton-feel slim fit with gold Polo rider embroidery, unisex casual summer top for work, commute and daily wear</t>
        </is>
      </c>
      <c r="O13" t="inlineStr">
        <is>
          <t>{"id":"resp_018b88aaca4cc99e016a0ab80bc0588198bc81ab311a9bf648","object":"chat.completion","created":1779087377,"model":"gpt-5.5","choices":[{"index":0,"message":{"role":"assistant","content":"Ralph Lauren T-Shirts kakobuy, Ralph Lauren T-Shirts kakebuy2026, Ralph Lauren T-Shirts kekobuysheet, Ralph Lauren T-Shirts kakobuysheet2026, Ralph Lauren T-Shirts 2026kakobuy, Ralph Lauren T-Shirts kakobuyspreadsheeet, Ralph Lauren T-Shirts kakobuylink, Ralph Lauren T-Shirts kakebuylist, Ralph Lauren T-Shirts Kakobuy MEGA Spreadsheet, Ralph Lauren T-Shirts kakobuysheetfind, Ralph Lauren T-Shirts kakobuysheetfind2026, Ralph Lauren T-Shirts 2026kakobuysheetfind, Ralph Lauren T-Shirts kakobuysheet2026"},"finish_reason":"stop"}],"usage":{"prompt_tokens":789,"completion_tokens":252,"total_tokens":1041}}</t>
        </is>
      </c>
      <c r="P13" t="inlineStr">
        <is>
          <t>Ralph Lauren T-Shirts kakobuy, Ralph Lauren T-Shirts kakebuy2026, Ralph Lauren T-Shirts kekobuysheet, Ralph Lauren T-Shirts kakobuysheet2026, Ralph Lauren T-Shirts 2026kakobuy, Ralph Lauren T-Shirts kakobuyspreadsheeet, Ralph Lauren T-Shirts kakobuylink, Ralph Lauren T-Shirts kakebuylist, Ralph Lauren T-Shirts Kakobuy MEGA Spreadsheet, Ralph Lauren T-Shirts kakobuysheetfind, Ralph Lauren T-Shirts kakobuysheetfind2026, Ralph Lauren T-Shirts 2026kakobuysheetfind, Ralph Lauren T-Shirts kakobuysheet2026</t>
        </is>
      </c>
      <c r="Q13" t="inlineStr">
        <is>
          <t>Navy, Summer, Unisex, Gold</t>
        </is>
      </c>
      <c r="R13" t="inlineStr">
        <is>
          <t>recvjR8RzVtUtA</t>
        </is>
      </c>
      <c r="S13" t="inlineStr">
        <is>
          <t>ralph-lauren-deep-navy-v-neck-cotton-t-shirt-gold-polo-logo-recvjr8rzvtuta</t>
        </is>
      </c>
      <c r="T13"/>
      <c r="U13"/>
      <c r="V13"/>
      <c r="W13" t="inlineStr">
        <is>
          <t>{"id":"resp_0cfa49e07e4653b3016a0ab20b3ad0819bbd5119ee24a5e650","object":"chat.completion","created":1779085841,"model":"gpt-5.5","choices":[{"index":0,"message":{"role":"assistant","content":"拉夫劳伦Ralph Lauren深海蓝短袖T恤，柔软亲肤棉感面料，V领修身设计，金色Polo骑士刺绣，男女休闲通勤夏季上衣"},"finish_reason":"stop"}],"usage":{"prompt_tokens":1309,"completion_tokens":243,"total_tokens":1552}}</t>
        </is>
      </c>
      <c r="X13" t="inlineStr">
        <is>
          <t>拉夫劳伦Ralph Lauren深海蓝短袖T恤，柔软亲肤棉感面料，V领修身设计，金色Polo骑士刺绣，男女休闲通勤夏季上衣</t>
        </is>
      </c>
    </row>
    <row r="14" ht="25.5" customHeight="1">
      <c r="A14">
        <v>1839115443</v>
      </c>
      <c r="B14">
        <v>7766042835</v>
      </c>
      <c r="C14" s="2" t="str">
        <f>=HYPERLINK("https://weidian.com/item.html?itemID=7766042835", "https://weidian.com/item.html?itemID=7766042835")</f>
        <v>https://weidian.com/item.html?itemID=7766042835</v>
      </c>
      <c r="D14"/>
      <c r="E14" s="2" t="str">
        <f>=HYPERLINK("https://si.geilicdn.com/open1839115443-252808396-69c60000019e33e46bc80a22d249_790_1108.jpg?w=640&amp;h=640", "https://si.geilicdn.com/open1839115443-252808396-69c60000019e33e46bc80a22d249_790_1108.jpg?w=640&amp;h=640")</f>
        <v>https://si.geilicdn.com/open1839115443-252808396-69c60000019e33e46bc80a22d249_790_1108.jpg?w=640&amp;h=640</v>
      </c>
      <c r="F14" t="inlineStr">
        <is>
          <t>T-Shirts</t>
        </is>
      </c>
      <c r="G14" t="inlineStr">
        <is>
          <t>Polo</t>
        </is>
      </c>
      <c r="H14">
        <v>117</v>
      </c>
      <c r="I14">
        <v>16.96</v>
      </c>
      <c r="J14" t="inlineStr">
        <is>
          <t>{"id":"resp_014b47eaca1bb6fe016a0ab63d633c819a9c7bd05133c09587","object":"chat.completion","created":1779086911,"model":"gpt-5.5","choices":[{"index":0,"message":{"role":"assistant","content":"GADLINS Light Blue Unisex Stretch Polo Shirt"},"finish_reason":"stop"}],"usage":{"prompt_tokens":944,"completion_tokens":81,"total_tokens":1025}}</t>
        </is>
      </c>
      <c r="K14" t="inlineStr">
        <is>
          <t>GADLINS Light Blue Unisex Stretch Polo Shirt</t>
        </is>
      </c>
      <c r="L14" t="inlineStr">
        <is>
          <t>{"id":"resp_0e25b3c1a0a41f02016a0ab56ce4dc819ba3de5b2929d00716","object":"chat.completion","created":1779086704,"model":"gpt-5.5","choices":[{"index":0,"message":{"role":"assistant","content":"GADLINS Classic Light Blue Polo Shirt, breathable soft stretch fabric, embroidered logo, button collar, unisex casual T-shirt for work and everyday wear"},"finish_reason":"stop"}],"usage":{"prompt_tokens":959,"completion_tokens":148,"total_tokens":1107}}</t>
        </is>
      </c>
      <c r="M14" t="inlineStr">
        <is>
          <t>{"alt-svc":"h3=\":443\"; ma=2592000","connection":"close","content-length":"447","content-type":"application/json; charset=utf-8","date":"Mon, 18 May 2026 06:45:04 GMT","referrer-policy":"strict-origin-when-cross-origin","server":"Caddy","strict-transport-security":"max-age=31536000; includeSubDomains; preload","vary":"Accept-Encoding","x-content-type-options":"nosniff","x-frame-options":"DENY","x-new-api-version":"v1.0.0-rc.2","x-oneapi-request-id":"202605180645003638137718268d9d6ONjk3nhT","x-request-id":"774163f0-88b0-4899-97e1-8bda1f03c9f3"}</t>
        </is>
      </c>
      <c r="N14" t="inlineStr">
        <is>
          <t>GADLINS Classic Light Blue Polo Shirt, breathable soft stretch fabric, embroidered logo, button collar, unisex casual T-shirt for work and everyday wear</t>
        </is>
      </c>
      <c r="O14" t="inlineStr">
        <is>
          <t>{"id":"resp_0b7a182facca7b7d016a0ab7adeb10819bbd5211db7eb0c8f8","object":"chat.completion","created":1779087290,"model":"gpt-5.5","choices":[{"index":0,"message":{"role":"assistant","content":"Gadlins, T-Shirts Polo, kakobuy\nGadlins, T-Shirts Polo, kakebuy2026\nGadlins, T-Shirts Polo, kekobuysheet\nGadlins, T-Shirts Polo, kakobuysheet2026\nGadlins, T-Shirts Polo, 2026kakobuy\nGadlins, T-Shirts Polo, kakobuyspreadsheeet\nGadlins, T-Shirts Polo, kakobuylink\nGadlins, T-Shirts Polo, kakebuylist\nGadlins, T-Shirts Polo, Kakobuy MEGA Spreadsheet\nGadlins, T-Shirts Polo, kakobuysheetfind\nGadlins, T-Shirts Polo, kakobuysheetfind2026\nGadlins, T-Shirts Polo, 2026kakobuysheetfind\nGadlins, T-Shirts Polo, kakobuysheet2026"},"finish_reason":"stop"}],"usage":{"prompt_tokens":860,"completion_tokens":528,"total_tokens":1388}}</t>
        </is>
      </c>
      <c r="P14" t="inlineStr">
        <is>
          <t>Gadlins, T-Shirts Polo, kakobuy
Gadlins, T-Shirts Polo, kakebuy2026
Gadlins, T-Shirts Polo, kekobuysheet
Gadlins, T-Shirts Polo, kakobuysheet2026
Gadlins, T-Shirts Polo, 2026kakobuy
Gadlins, T-Shirts Polo, kakobuyspreadsheeet
Gadlins, T-Shirts Polo, kakobuylink
Gadlins, T-Shirts Polo, kakebuylist
Gadlins, T-Shirts Polo, Kakobuy MEGA Spreadsheet
Gadlins, T-Shirts Polo, kakobuysheetfind
Gadlins, T-Shirts Polo, kakobuysheetfind2026
Gadlins, T-Shirts Polo, 2026kakobuysheetfind
Gadlins, T-Shirts Polo, kakobuysheet2026</t>
        </is>
      </c>
      <c r="Q14" t="inlineStr">
        <is>
          <t>Breathable, Stretch, Unisex, All Seasons</t>
        </is>
      </c>
      <c r="R14" t="inlineStr">
        <is>
          <t>recvjR8RzVThVa</t>
        </is>
      </c>
      <c r="S14" t="inlineStr">
        <is>
          <t>gadlins-light-blue-stretch-polo-shirt-recvjr8rzvthva</t>
        </is>
      </c>
      <c r="T14"/>
      <c r="U14"/>
      <c r="V14"/>
      <c r="W14" t="inlineStr">
        <is>
          <t>{"id":"resp_02911e6b81abe53f016a0ab2308878819a819876ec98279325","object":"chat.completion","created":1779085876,"model":"gpt-5.5","choices":[{"index":0,"message":{"role":"assistant","content":"GADLINS经典浅蓝POLO衫，轻盈透气柔韧亲肤面料，翻领纽扣刺绣标识，男女通勤休闲百搭T恤"},"finish_reason":"stop"}],"usage":{"prompt_tokens":1381,"completion_tokens":166,"total_tokens":1547}}</t>
        </is>
      </c>
      <c r="X14" t="inlineStr">
        <is>
          <t>GADLINS经典浅蓝POLO衫，轻盈透气柔韧亲肤面料，翻领纽扣刺绣标识，男女通勤休闲百搭T恤</t>
        </is>
      </c>
    </row>
    <row r="15" ht="25.5" customHeight="1">
      <c r="A15">
        <v>1839115443</v>
      </c>
      <c r="B15">
        <v>7768975554</v>
      </c>
      <c r="C15" s="2" t="str">
        <f>=HYPERLINK("https://weidian.com/item.html?itemID=7768975554", "https://weidian.com/item.html?itemID=7768975554")</f>
        <v>https://weidian.com/item.html?itemID=7768975554</v>
      </c>
      <c r="D15"/>
      <c r="E15" s="2" t="str">
        <f>=HYPERLINK("https://si.geilicdn.com/open1839115443-252808396-65260000019e33ec8a430a23b491_1500_1500.jpg?w=640&amp;h=640", "https://si.geilicdn.com/open1839115443-252808396-65260000019e33ec8a430a23b491_1500_1500.jpg?w=640&amp;h=640")</f>
        <v>https://si.geilicdn.com/open1839115443-252808396-65260000019e33ec8a430a23b491_1500_1500.jpg?w=640&amp;h=640</v>
      </c>
      <c r="F15" t="inlineStr">
        <is>
          <t>T-Shirts</t>
        </is>
      </c>
      <c r="G15" t="inlineStr">
        <is>
          <t>Ralph Lauren</t>
        </is>
      </c>
      <c r="H15">
        <v>115</v>
      </c>
      <c r="I15">
        <v>16.67</v>
      </c>
      <c r="J15" t="inlineStr">
        <is>
          <t>{"id":"resp_0afd114a3b902df9016a0ab5f9575c8196b3f042ddf229de1d","object":"chat.completion","created":1779086845,"model":"gpt-5.5","choices":[{"index":0,"message":{"role":"assistant","content":"Ralph Lauren Black Waffle Knit Cotton Slim T-Shirt"},"finish_reason":"stop"}],"usage":{"prompt_tokens":725,"completion_tokens":161,"total_tokens":886}}</t>
        </is>
      </c>
      <c r="K15" t="inlineStr">
        <is>
          <t>Ralph Lauren Black Waffle Knit Cotton Slim T-Shirt</t>
        </is>
      </c>
      <c r="L15" t="inlineStr">
        <is>
          <t>{"id":"resp_02aa0856b907c77c016a0ab5621c90819ab0162f4928102ace","object":"chat.completion","created":1779086693,"model":"gpt-5.5","choices":[{"index":0,"message":{"role":"assistant","content":"Ralph Lauren black waffle knit T-shirt, breathable cotton, slim fit crew neck, short sleeves, embroidered pony logo, unisex casual vintage top"},"finish_reason":"stop"}],"usage":{"prompt_tokens":751,"completion_tokens":110,"total_tokens":861}}</t>
        </is>
      </c>
      <c r="M15" t="inlineStr">
        <is>
          <t>{"alt-svc":"h3=\":443\"; ma=2592000","connection":"close","content-length":"436","content-type":"application/json; charset=utf-8","date":"Mon, 18 May 2026 06:44:53 GMT","referrer-policy":"strict-origin-when-cross-origin","server":"Caddy","strict-transport-security":"max-age=31536000; includeSubDomains; preload","vary":"Accept-Encoding","x-content-type-options":"nosniff","x-frame-options":"DENY","x-new-api-version":"v1.0.0-rc.2","x-oneapi-request-id":"202605180644496082416208268d9d6xu4hajll","x-request-id":"924d1d73-9d43-457b-8e54-d9fbab28a103"}</t>
        </is>
      </c>
      <c r="N15" t="inlineStr">
        <is>
          <t>Ralph Lauren black waffle knit T-shirt, breathable cotton, slim fit crew neck, short sleeves, embroidered pony logo, unisex casual vintage top</t>
        </is>
      </c>
      <c r="O15" t="inlineStr">
        <is>
          <t>{"id":"resp_08c9951e6f11b7fa016a0ab7c0d640819aa08f7305cd7f3a09","object":"chat.completion","created":1779087302,"model":"gpt-5.5","choices":[{"index":0,"message":{"role":"assistant","content":"Ralph Lauren, T-Shirts, kakobuy, kakebuy2026, kekobuysheet, kakobuysheet2026, 2026kakobuy, kakobuyspreadsheeet, kakobuylink, kakebuylist, Kakobuy MEGA Spreadsheet, kakobuysheetfind, kakobuysheetfind2026, 2026kakobuysheetfind, kakobuysheet2026"},"finish_reason":"stop"}],"usage":{"prompt_tokens":645,"completion_tokens":215,"total_tokens":860}}</t>
        </is>
      </c>
      <c r="P15" t="inlineStr">
        <is>
          <t>Ralph Lauren, T-Shirts, kakobuy, kakebuy2026, kekobuysheet, kakobuysheet2026, 2026kakobuy, kakobuyspreadsheeet, kakobuylink, kakebuylist, Kakobuy MEGA Spreadsheet, kakobuysheetfind, kakobuysheetfind2026, 2026kakobuysheetfind, kakobuysheet2026</t>
        </is>
      </c>
      <c r="Q15" t="inlineStr">
        <is>
          <t>Black, Breathable, Unisex, Vintage</t>
        </is>
      </c>
      <c r="R15" t="inlineStr">
        <is>
          <t>recvjR8RzVp2fV</t>
        </is>
      </c>
      <c r="S15" t="inlineStr">
        <is>
          <t>ralph-lauren-black-waffle-knit-cotton-slim-t-shirt-recvjr8rzvp2fv</t>
        </is>
      </c>
      <c r="T15"/>
      <c r="U15"/>
      <c r="V15"/>
      <c r="W15" t="inlineStr">
        <is>
          <t>{"id":"resp_0039c9d32a02ee7b016a0ab22919bc819a8b4b467e100ba970","object":"chat.completion","created":1779085871,"model":"gpt-5.5","choices":[{"index":0,"message":{"role":"assistant","content":"拉夫劳伦（Ralph Lauren）黑色华夫格短袖T恤，棉质透气面料，圆领修身设计，胸前小马刺绣Logo，男女休闲复古百搭款"},"finish_reason":"stop"}],"usage":{"prompt_tokens":1167,"completion_tokens":236,"total_tokens":1403}}</t>
        </is>
      </c>
      <c r="X15" t="inlineStr">
        <is>
          <t>拉夫劳伦（Ralph Lauren）黑色华夫格短袖T恤，棉质透气面料，圆领修身设计，胸前小马刺绣Logo，男女休闲复古百搭款</t>
        </is>
      </c>
    </row>
    <row r="16" ht="25.5" customHeight="1">
      <c r="A16">
        <v>1839115443</v>
      </c>
      <c r="B16">
        <v>7766029041</v>
      </c>
      <c r="C16" s="2" t="str">
        <f>=HYPERLINK("https://weidian.com/item.html?itemID=7766029041", "https://weidian.com/item.html?itemID=7766029041")</f>
        <v>https://weidian.com/item.html?itemID=7766029041</v>
      </c>
      <c r="D16"/>
      <c r="E16" s="2" t="str">
        <f>=HYPERLINK("https://si.geilicdn.com/open1839115443-252808396-57db0000019e33f661c00a8115c2_1279_1279.jpg?w=640&amp;h=640", "https://si.geilicdn.com/open1839115443-252808396-57db0000019e33f661c00a8115c2_1279_1279.jpg?w=640&amp;h=640")</f>
        <v>https://si.geilicdn.com/open1839115443-252808396-57db0000019e33f661c00a8115c2_1279_1279.jpg?w=640&amp;h=640</v>
      </c>
      <c r="F16" t="inlineStr">
        <is>
          <t>T-Shirts</t>
        </is>
      </c>
      <c r="G16" t="inlineStr">
        <is>
          <t>Ralph Lauren</t>
        </is>
      </c>
      <c r="H16">
        <v>68</v>
      </c>
      <c r="I16">
        <v>9.85507246376811</v>
      </c>
      <c r="J16" t="inlineStr">
        <is>
          <t>{"id":"resp_098b5e9478f40d9b016a0ab66bba60819ab2cf23bcd78bd09f","object":"chat.completion","created":1779086959,"model":"gpt-5.5","choices":[{"index":0,"message":{"role":"assistant","content":"Ralph Lauren Khaki Cotton Pony Logo Crew Neck T-Shirt"},"finish_reason":"stop"}],"usage":{"prompt_tokens":733,"completion_tokens":131,"total_tokens":864}}</t>
        </is>
      </c>
      <c r="K16" t="inlineStr">
        <is>
          <t>Ralph Lauren Khaki Cotton Pony Logo Crew Neck T-Shirt</t>
        </is>
      </c>
      <c r="L16" t="inlineStr">
        <is>
          <t>{"id":"resp_0ba2385962e51a04016a0ab4849a44819ab1911a3841e918b3","object":"chat.completion","created":1779086470,"model":"gpt-5.5","choices":[{"index":0,"message":{"role":"assistant","content":"Ralph Lauren Khaki 100% Cotton Short Sleeve T-Shirt, Crew Neck Relaxed Fit, Pony Embroidered Logo, Unisex Summer Casual American College Tee"},"finish_reason":"stop"}],"usage":{"prompt_tokens":749,"completion_tokens":34,"total_tokens":783}}</t>
        </is>
      </c>
      <c r="M16" t="inlineStr">
        <is>
          <t>{"alt-svc":"h3=\":443\"; ma=2592000","connection":"close","content-length":"433","content-type":"application/json; charset=utf-8","date":"Mon, 18 May 2026 06:41:10 GMT","referrer-policy":"strict-origin-when-cross-origin","server":"Caddy","strict-transport-security":"max-age=31536000; includeSubDomains; preload","vary":"Accept-Encoding","x-content-type-options":"nosniff","x-frame-options":"DENY","x-new-api-version":"v1.0.0-rc.2","x-oneapi-request-id":"202605180641082380596148268d9d69pdWAEuF","x-request-id":"758db991-0a69-4b8a-8527-ce40503f903a"}</t>
        </is>
      </c>
      <c r="N16" t="inlineStr">
        <is>
          <t>Ralph Lauren Khaki 100% Cotton Short Sleeve T-Shirt, Crew Neck Relaxed Fit, Pony Embroidered Logo, Unisex Summer Casual American College Tee</t>
        </is>
      </c>
      <c r="O16" t="inlineStr">
        <is>
          <t>{"id":"resp_00a74cfdd902f878016a0ab79c2cb4819b9a809436172afc96","object":"chat.completion","created":1779087265,"model":"gpt-5.5","choices":[{"index":0,"message":{"role":"assistant","content":"Ralph Lauren T-Shirts kakobuy, Ralph Lauren T-Shirts kakebuy2026, Ralph Lauren T-Shirts kekobuysheet, Ralph Lauren T-Shirts kakobuysheet2026, Ralph Lauren T-Shirts 2026kakobuy, Ralph Lauren T-Shirts kakobuyspreadsheeet, Ralph Lauren T-Shirts kakobuylink, Ralph Lauren T-Shirts kakebuylist, Ralph Lauren T-Shirts Kakobuy MEGA Spreadsheet, Ralph Lauren T-Shirts kakobuysheetfind, Ralph Lauren T-Shirts kakobuysheetfind2026, Ralph Lauren T-Shirts 2026kakobuysheetfind, Ralph Lauren T-Shirts kakobuysheet2026"},"finish_reason":"stop"}],"usage":{"prompt_tokens":645,"completion_tokens":270,"total_tokens":915}}</t>
        </is>
      </c>
      <c r="P16" t="inlineStr">
        <is>
          <t>Ralph Lauren T-Shirts kakobuy, Ralph Lauren T-Shirts kakebuy2026, Ralph Lauren T-Shirts kekobuysheet, Ralph Lauren T-Shirts kakobuysheet2026, Ralph Lauren T-Shirts 2026kakobuy, Ralph Lauren T-Shirts kakobuyspreadsheeet, Ralph Lauren T-Shirts kakobuylink, Ralph Lauren T-Shirts kakebuylist, Ralph Lauren T-Shirts Kakobuy MEGA Spreadsheet, Ralph Lauren T-Shirts kakobuysheetfind, Ralph Lauren T-Shirts kakobuysheetfind2026, Ralph Lauren T-Shirts 2026kakobuysheetfind, Ralph Lauren T-Shirts kakobuysheet2026</t>
        </is>
      </c>
      <c r="Q16" t="inlineStr">
        <is>
          <t>Summer, Unisex</t>
        </is>
      </c>
      <c r="R16" t="inlineStr">
        <is>
          <t>recvjR8RzV2Dqh</t>
        </is>
      </c>
      <c r="S16" t="inlineStr">
        <is>
          <t>ralph-lauren-khaki-cotton-pony-logo-crew-neck-t-shirt-recvjr8rzv2dqh</t>
        </is>
      </c>
      <c r="T16"/>
      <c r="U16"/>
      <c r="V16"/>
      <c r="W16" t="inlineStr">
        <is>
          <t>{"id":"resp_0ad50c570e901a20016a0ab2640408819baf7c17c1c87697cf","object":"chat.completion","created":1779085928,"model":"gpt-5.5","choices":[{"index":0,"message":{"role":"assistant","content":"拉夫劳伦 Ralph Lauren 卡其色纯棉短袖T恤，圆领休闲版型，小马刺绣Logo，男女通用基础款，夏季百搭美式学院风上衣"},"finish_reason":"stop"}],"usage":{"prompt_tokens":1171,"completion_tokens":164,"total_tokens":1335}}</t>
        </is>
      </c>
      <c r="X16" t="inlineStr">
        <is>
          <t>拉夫劳伦 Ralph Lauren 卡其色纯棉短袖T恤，圆领休闲版型，小马刺绣Logo，男女通用基础款，夏季百搭美式学院风上衣</t>
        </is>
      </c>
    </row>
    <row r="17" ht="25.5" customHeight="1">
      <c r="A17">
        <v>1839115443</v>
      </c>
      <c r="B17">
        <v>7769074212</v>
      </c>
      <c r="C17" s="2" t="str">
        <f>=HYPERLINK("https://weidian.com/item.html?itemID=7769074212", "https://weidian.com/item.html?itemID=7769074212")</f>
        <v>https://weidian.com/item.html?itemID=7769074212</v>
      </c>
      <c r="D17"/>
      <c r="E17" s="2" t="str">
        <f>=HYPERLINK("https://si.geilicdn.com/open1839115443-252808396-71930000019e33f826ce0a231226_800_800.jpg?w=640&amp;h=640", "https://si.geilicdn.com/open1839115443-252808396-71930000019e33f826ce0a231226_800_800.jpg?w=640&amp;h=640")</f>
        <v>https://si.geilicdn.com/open1839115443-252808396-71930000019e33f826ce0a231226_800_800.jpg?w=640&amp;h=640</v>
      </c>
      <c r="F17" t="inlineStr">
        <is>
          <t>Hoodies</t>
        </is>
      </c>
      <c r="G17" t="inlineStr">
        <is>
          <t>Comme des Garçons Play</t>
        </is>
      </c>
      <c r="H17">
        <v>164</v>
      </c>
      <c r="I17">
        <v>23.77</v>
      </c>
      <c r="J17" t="inlineStr">
        <is>
          <t>{"id":"resp_02bb2deb479b9b70016a0ab5ac0134819885ba689ee89a3611","object":"chat.completion","created":1779086769,"model":"gpt-5.5","choices":[{"index":0,"message":{"role":"assistant","content":"Comme des Garçons PLAY Black Zip Cotton Hoodie Red Heart"},"finish_reason":"stop"}],"usage":{"prompt_tokens":731,"completion_tokens":274,"total_tokens":1005}}</t>
        </is>
      </c>
      <c r="K17" t="inlineStr">
        <is>
          <t>Comme des Garçons PLAY Black Zip Cotton Hoodie Red Heart</t>
        </is>
      </c>
      <c r="L17" t="inlineStr">
        <is>
          <t>{"id":"resp_0509b7c71d545a0e016a0ab48a2f4481959275f26255fbe072","object":"chat.completion","created":1779086478,"model":"gpt-5.5","choices":[{"index":0,"message":{"role":"assistant","content":"Comme des Garçons PLAY black zip hoodie, cotton casual jacket with red heart embroidered logo, drawstring hood, kangaroo pockets, unisex streetwear."},"finish_reason":"stop"}],"usage":{"prompt_tokens":747,"completion_tokens":104,"total_tokens":851}}</t>
        </is>
      </c>
      <c r="M17" t="inlineStr">
        <is>
          <t>{"alt-svc":"h3=\":443\"; ma=2592000","connection":"close","content-length":"443","content-type":"application/json; charset=utf-8","date":"Mon, 18 May 2026 06:41:18 GMT","referrer-policy":"strict-origin-when-cross-origin","server":"Caddy","strict-transport-security":"max-age=31536000; includeSubDomains; preload","vary":"Accept-Encoding","x-content-type-options":"nosniff","x-frame-options":"DENY","x-new-api-version":"v1.0.0-rc.2","x-oneapi-request-id":"202605180641138208151638268d9d6JZrIGjco","x-request-id":"bb3c21e5-f8f0-4e41-b52b-81bb59d5b1f1"}</t>
        </is>
      </c>
      <c r="N17" t="inlineStr">
        <is>
          <t>Comme des Garçons PLAY black zip hoodie, cotton casual jacket with red heart embroidered logo, drawstring hood, kangaroo pockets, unisex streetwear.</t>
        </is>
      </c>
      <c r="O17" t="inlineStr">
        <is>
          <t>{"id":"resp_0589d73201b41454016a0ab88e948481999361f2dbe0a8b14a","object":"chat.completion","created":1779087510,"model":"gpt-5.5","choices":[{"index":0,"message":{"role":"assistant","content":"Comme des Garçons Play Hoodies kakobuy, Comme des Garçons Play Hoodies kakebuy2026, Comme des Garçons Play Hoodies kekobuysheet, Comme des Garçons Play Hoodies kakobuysheet2026, Comme des Garçons Play Hoodies 2026kakobuy, Comme des Garçons Play Hoodies kakobuyspreadsheeet, Comme des Garçons Play Hoodies kakobuylink, Comme des Garçons Play Hoodies kakebuylist, Comme des Garçons Play Hoodies Kakobuy MEGA Spreadsheet, Comme des Garçons Play Hoodies kakobuysheetfind, Comme des Garçons Play Hoodies kakobuysheetfind2026, Comme des Garçons Play Hoodies 2026kakobuysheetfind, Comme des Garçons Play Hoodies kakobuysheet2026"},"finish_reason":"stop"}],"usage":{"prompt_tokens":648,"completion_tokens":326,"total_tokens":974}}</t>
        </is>
      </c>
      <c r="P17" t="inlineStr">
        <is>
          <t>Comme des Garçons Play Hoodies kakobuy, Comme des Garçons Play Hoodies kakebuy2026, Comme des Garçons Play Hoodies kekobuysheet, Comme des Garçons Play Hoodies kakobuysheet2026, Comme des Garçons Play Hoodies 2026kakobuy, Comme des Garçons Play Hoodies kakobuyspreadsheeet, Comme des Garçons Play Hoodies kakobuylink, Comme des Garçons Play Hoodies kakebuylist, Comme des Garçons Play Hoodies Kakobuy MEGA Spreadsheet, Comme des Garçons Play Hoodies kakobuysheetfind, Comme des Garçons Play Hoodies kakobuysheetfind2026, Comme des Garçons Play Hoodies 2026kakobuysheetfind, Comme des Garçons Play Hoodies kakobuysheet2026</t>
        </is>
      </c>
      <c r="Q17" t="inlineStr">
        <is>
          <t>Black, Unisex, Streetwear</t>
        </is>
      </c>
      <c r="R17" t="inlineStr">
        <is>
          <t>recvjR8RzVgPzz</t>
        </is>
      </c>
      <c r="S17" t="inlineStr">
        <is>
          <t>comme-des-garcons-play-black-zip-cotton-hoodie-red-heart-recvjr8rzvgpzz</t>
        </is>
      </c>
      <c r="T17"/>
      <c r="U17"/>
      <c r="V17"/>
      <c r="W17" t="inlineStr">
        <is>
          <t>{"id":"resp_01c7bbde1b97d3cb016a0ab2b4449c8193901097b832c7b45b","object":"chat.completion","created":1779086007,"model":"gpt-5.5","choices":[{"index":0,"message":{"role":"assistant","content":"川久保玲PLAY黑色拉链连帽卫衣，棉质休闲面料，红心刺绣Logo，抽绳帽袋鼠袋设计，男女同款街头潮流外套"},"finish_reason":"stop"}],"usage":{"prompt_tokens":1166,"completion_tokens":117,"total_tokens":1283}}</t>
        </is>
      </c>
      <c r="X17" t="inlineStr">
        <is>
          <t>川久保玲PLAY黑色拉链连帽卫衣，棉质休闲面料，红心刺绣Logo，抽绳帽袋鼠袋设计，男女同款街头潮流外套</t>
        </is>
      </c>
    </row>
    <row r="18" ht="25.5" customHeight="1">
      <c r="A18">
        <v>1839115443</v>
      </c>
      <c r="B18">
        <v>7766005361</v>
      </c>
      <c r="C18" s="2" t="str">
        <f>=HYPERLINK("https://weidian.com/item.html?itemID=7766005361", "https://weidian.com/item.html?itemID=7766005361")</f>
        <v>https://weidian.com/item.html?itemID=7766005361</v>
      </c>
      <c r="D18"/>
      <c r="E18" s="2" t="str">
        <f>=HYPERLINK("https://si.geilicdn.com/open1839115443-252808396-6c480000019e33f3be2a0a23b4de_1080_1080.jpg?w=750&amp;h=750&amp;cp=1", "https://si.geilicdn.com/open1839115443-252808396-6c480000019e33f3be2a0a23b4de_1080_1080.jpg?w=750&amp;h=750&amp;cp=1")</f>
        <v>https://si.geilicdn.com/open1839115443-252808396-6c480000019e33f3be2a0a23b4de_1080_1080.jpg?w=750&amp;h=750&amp;cp=1</v>
      </c>
      <c r="F18" t="inlineStr">
        <is>
          <t>Hoodies</t>
        </is>
      </c>
      <c r="G18" t="inlineStr">
        <is>
          <t>Ralph Lauren</t>
        </is>
      </c>
      <c r="H18">
        <v>116</v>
      </c>
      <c r="I18">
        <v>16.81</v>
      </c>
      <c r="J18" t="inlineStr">
        <is>
          <t>{"id":"resp_028a5e4cbc63865f016a0ab5a8e078819984eaa3f5963b4475","object":"chat.completion","created":1779086765,"model":"gpt-5.5","choices":[{"index":0,"message":{"role":"assistant","content":"Ralph Lauren Navy Full Zip Fleece Hoodie Jacket"},"finish_reason":"stop"}],"usage":{"prompt_tokens":943,"completion_tokens":106,"total_tokens":1049}}</t>
        </is>
      </c>
      <c r="K18" t="inlineStr">
        <is>
          <t>Ralph Lauren Navy Full Zip Fleece Hoodie Jacket</t>
        </is>
      </c>
      <c r="L18" t="inlineStr">
        <is>
          <t>{"id":"resp_088b6b9c468e634d016a0ab5056e00819ba4610be1331b78e2","object":"chat.completion","created":1779086600,"model":"gpt-5.5","choices":[{"index":0,"message":{"role":"assistant","content":"Ralph Lauren navy full-zip hoodie, cotton-blend fleece, embroidered pony logo, drawstring hood, kangaroo pocket, warm unisex casual sweatshirt jacket"},"finish_reason":"stop"}],"usage":{"prompt_tokens":972,"completion_tokens":77,"total_tokens":1049}}</t>
        </is>
      </c>
      <c r="M18" t="inlineStr">
        <is>
          <t>{"alt-svc":"h3=\":443\"; ma=2592000","connection":"close","content-length":"443","content-type":"application/json; charset=utf-8","date":"Mon, 18 May 2026 06:43:20 GMT","referrer-policy":"strict-origin-when-cross-origin","server":"nginx/1.24.0 (Ubuntu)","strict-transport-security":"max-age=31536000; includeSubDomains; preload","vary":"Accept-Encoding","via":"1.1 Caddy","x-content-type-options":"nosniff","x-frame-options":"DENY","x-new-api-version":"v1.0.0-rc.2","x-oneapi-request-id":"202605180643171614805368268d9d65axliQ9l","x-request-id":"f6c1fbe2-3f38-46a2-8231-b86171627fd6"}</t>
        </is>
      </c>
      <c r="N18" t="inlineStr">
        <is>
          <t>Ralph Lauren navy full-zip hoodie, cotton-blend fleece, embroidered pony logo, drawstring hood, kangaroo pocket, warm unisex casual sweatshirt jacket</t>
        </is>
      </c>
      <c r="O18" t="inlineStr">
        <is>
          <t>{"id":"resp_05be1e37263e8d20016a0ab823bedc819a944ad3ab2bee30e6","object":"chat.completion","created":1779087402,"model":"gpt-5.5","choices":[{"index":0,"message":{"role":"assistant","content":"Ralph Lauren Hoodies kakobuy, Ralph Lauren Hoodies kakebuy2026, Ralph Lauren Hoodies kekobuysheet, Ralph Lauren Hoodies kakobuysheet2026, Ralph Lauren Hoodies 2026kakobuy, Ralph Lauren Hoodies kakobuyspreadsheeet, Ralph Lauren Hoodies kakobuylink, Ralph Lauren Hoodies kakebuylist, Ralph Lauren Hoodies Kakobuy MEGA Spreadsheet, Ralph Lauren Hoodies kakobuysheetfind, Ralph Lauren Hoodies kakobuysheetfind2026, Ralph Lauren Hoodies 2026kakobuysheetfind, Ralph Lauren Hoodies kakobuysheet2026"},"finish_reason":"stop"}],"usage":{"prompt_tokens":857,"completion_tokens":256,"total_tokens":1113}}</t>
        </is>
      </c>
      <c r="P18" t="inlineStr">
        <is>
          <t>Ralph Lauren Hoodies kakobuy, Ralph Lauren Hoodies kakebuy2026, Ralph Lauren Hoodies kekobuysheet, Ralph Lauren Hoodies kakobuysheet2026, Ralph Lauren Hoodies 2026kakobuy, Ralph Lauren Hoodies kakobuyspreadsheeet, Ralph Lauren Hoodies kakobuylink, Ralph Lauren Hoodies kakebuylist, Ralph Lauren Hoodies Kakobuy MEGA Spreadsheet, Ralph Lauren Hoodies kakobuysheetfind, Ralph Lauren Hoodies kakobuysheetfind2026, Ralph Lauren Hoodies 2026kakobuysheetfind, Ralph Lauren Hoodies kakobuysheet2026</t>
        </is>
      </c>
      <c r="Q18" t="inlineStr">
        <is>
          <t>Navy, Unisex, Fleece-Lined, Winter</t>
        </is>
      </c>
      <c r="R18" t="inlineStr">
        <is>
          <t>recvjR8RzVQ9QQ</t>
        </is>
      </c>
      <c r="S18" t="inlineStr">
        <is>
          <t>ralph-lauren-navy-zip-fleece-hoodie-recvjr8rzvq9qq</t>
        </is>
      </c>
      <c r="T18"/>
      <c r="U18"/>
      <c r="V18"/>
      <c r="W18" t="inlineStr">
        <is>
          <t>{"id":"resp_01d69bc0e6e1b185016a0ab287f784819bb8b7fda484b87b0f","object":"chat.completion","created":1779085964,"model":"gpt-5.5","choices":[{"index":0,"message":{"role":"assistant","content":"拉夫劳伦Ralph Lauren海军蓝全拉链连帽卫衣，棉质混纺舒适保暖，胸前刺绣小马Logo，袋鼠兜设计，经典休闲男女通用外套"},"finish_reason":"stop"}],"usage":{"prompt_tokens":1395,"completion_tokens":172,"total_tokens":1567}}</t>
        </is>
      </c>
      <c r="X18" t="inlineStr">
        <is>
          <t>拉夫劳伦Ralph Lauren海军蓝全拉链连帽卫衣，棉质混纺舒适保暖，胸前刺绣小马Logo，袋鼠兜设计，经典休闲男女通用外套</t>
        </is>
      </c>
    </row>
    <row r="19" ht="25.5" customHeight="1">
      <c r="A19">
        <v>1839115443</v>
      </c>
      <c r="B19">
        <v>7766048781</v>
      </c>
      <c r="C19" s="2" t="str">
        <f>=HYPERLINK("https://weidian.com/item.html?itemID=7766048781", "https://weidian.com/item.html?itemID=7766048781")</f>
        <v>https://weidian.com/item.html?itemID=7766048781</v>
      </c>
      <c r="D19"/>
      <c r="E19" s="2" t="str">
        <f>=HYPERLINK("https://si.geilicdn.com/open1839115443-252808396-42f70000019e33ee4aae0a8133b0_1500_1500.jpg?w=640&amp;h=640", "https://si.geilicdn.com/open1839115443-252808396-42f70000019e33ee4aae0a8133b0_1500_1500.jpg?w=640&amp;h=640")</f>
        <v>https://si.geilicdn.com/open1839115443-252808396-42f70000019e33ee4aae0a8133b0_1500_1500.jpg?w=640&amp;h=640</v>
      </c>
      <c r="F19" t="inlineStr">
        <is>
          <t>T-Shirts</t>
        </is>
      </c>
      <c r="G19" t="inlineStr">
        <is>
          <t>On Running</t>
        </is>
      </c>
      <c r="H19">
        <v>135</v>
      </c>
      <c r="I19">
        <v>19.5797101449275</v>
      </c>
      <c r="J19" t="inlineStr">
        <is>
          <t>{"id":"resp_055c0cce9f6082d7016a0ab6422664819982f9c26f56df77f3","object":"chat.completion","created":1779086919,"model":"gpt-5.5","choices":[{"index":0,"message":{"role":"assistant","content":"On Running White Quick Dry Short Sleeve Running T-Shirt"},"finish_reason":"stop"}],"usage":{"prompt_tokens":726,"completion_tokens":218,"total_tokens":944}}</t>
        </is>
      </c>
      <c r="K19" t="inlineStr">
        <is>
          <t>On Running White Quick Dry Short Sleeve Running T-Shirt</t>
        </is>
      </c>
      <c r="L19" t="inlineStr">
        <is>
          <t>{"id":"resp_06629110fb44a805016a0ab4694c6c819b992d50ced9f90108","object":"chat.completion","created":1779086445,"model":"gpt-5.5","choices":[{"index":0,"message":{"role":"assistant","content":"On Running white short sleeve T-shirt, lightweight quick-dry crew neck, unisex relaxed sport fit with chest graphic and reflective logo for summer running training"},"finish_reason":"stop"}],"usage":{"prompt_tokens":752,"completion_tokens":113,"total_tokens":865}}</t>
        </is>
      </c>
      <c r="M19" t="inlineStr">
        <is>
          <t>{"alt-svc":"h3=\":443\"; ma=2592000","connection":"close","content-length":"457","content-type":"application/json; charset=utf-8","date":"Mon, 18 May 2026 06:40:45 GMT","referrer-policy":"strict-origin-when-cross-origin","server":"Caddy","strict-transport-security":"max-age=31536000; includeSubDomains; preload","vary":"Accept-Encoding","x-content-type-options":"nosniff","x-frame-options":"DENY","x-new-api-version":"v1.0.0-rc.2","x-oneapi-request-id":"202605180640407940933148268d9d6qC5mnEjO","x-request-id":"f2827612-82b4-4b03-985b-b063db387781"}</t>
        </is>
      </c>
      <c r="N19" t="inlineStr">
        <is>
          <t>On Running white short sleeve T-shirt, lightweight quick-dry crew neck, unisex relaxed sport fit with chest graphic and reflective logo for summer running training</t>
        </is>
      </c>
      <c r="O19" t="inlineStr">
        <is>
          <t>{"id":"resp_0d31eca1d87cfe6f016a0ab7b8af488198b236bdb163d711f6","object":"chat.completion","created":1779087296,"model":"gpt-5.5","choices":[{"index":0,"message":{"role":"assistant","content":"On Running T-Shirts kakobuy, On Running T-Shirts kakebuy2026, On Running T-Shirts kekobuysheet, On Running T-Shirts kakobuysheet2026, On Running T-Shirts 2026kakobuy, On Running T-Shirts kakobuyspreadsheeet, On Running T-Shirts kakobuylink, On Running T-Shirts kakebuylist, On Running T-Shirts Kakobuy MEGA Spreadsheet, On Running T-Shirts kakobuysheetfind, On Running T-Shirts kakobuysheetfind2026, On Running T-Shirts 2026kakobuysheetfind, On Running T-Shirts kakobuysheet2026"},"finish_reason":"stop"}],"usage":{"prompt_tokens":644,"completion_tokens":255,"total_tokens":899}}</t>
        </is>
      </c>
      <c r="P19" t="inlineStr">
        <is>
          <t>On Running T-Shirts kakobuy, On Running T-Shirts kakebuy2026, On Running T-Shirts kekobuysheet, On Running T-Shirts kakobuysheet2026, On Running T-Shirts 2026kakobuy, On Running T-Shirts kakobuyspreadsheeet, On Running T-Shirts kakobuylink, On Running T-Shirts kakebuylist, On Running T-Shirts Kakobuy MEGA Spreadsheet, On Running T-Shirts kakobuysheetfind, On Running T-Shirts kakobuysheetfind2026, On Running T-Shirts 2026kakobuysheetfind, On Running T-Shirts kakobuysheet2026</t>
        </is>
      </c>
      <c r="Q19" t="inlineStr">
        <is>
          <t>Lightweight, Quick Dry, Reflective, Summer, Unisex, Sporty</t>
        </is>
      </c>
      <c r="R19" t="inlineStr">
        <is>
          <t>recvjR8RzV5kbC</t>
        </is>
      </c>
      <c r="S19" t="inlineStr">
        <is>
          <t>on-running-white-quick-dry-short-sleeve-running-t-shirt-recvjr8rzv5kbc</t>
        </is>
      </c>
      <c r="T19"/>
      <c r="U19"/>
      <c r="V19"/>
      <c r="W19" t="inlineStr">
        <is>
          <t>{"id":"resp_0350a7135e8d73ff016a0ab221d4a08199832bcd972f819e1d","object":"chat.completion","created":1779085862,"model":"gpt-5.5","choices":[{"index":0,"message":{"role":"assistant","content":"昂跑On Running 白色短袖T恤，轻量速干面料，圆领休闲运动版型，胸前小众图腾与反光Logo点缀，男女同款夏季跑步训练上衣"},"finish_reason":"stop"}],"usage":{"prompt_tokens":1169,"completion_tokens":159,"total_tokens":1328}}</t>
        </is>
      </c>
      <c r="X19" t="inlineStr">
        <is>
          <t>昂跑On Running 白色短袖T恤，轻量速干面料，圆领休闲运动版型，胸前小众图腾与反光Logo点缀，男女同款夏季跑步训练上衣</t>
        </is>
      </c>
    </row>
    <row r="20" ht="25.5" customHeight="1">
      <c r="A20">
        <v>1839115443</v>
      </c>
      <c r="B20">
        <v>7766101787</v>
      </c>
      <c r="C20" s="2" t="str">
        <f>=HYPERLINK("https://weidian.com/item.html?itemID=7766101787", "https://weidian.com/item.html?itemID=7766101787")</f>
        <v>https://weidian.com/item.html?itemID=7766101787</v>
      </c>
      <c r="D20"/>
      <c r="E20" s="2" t="str">
        <f>=HYPERLINK("https://si.geilicdn.com/open1839115443-252808396-65420000019e33ee2dff0a23b491_1440_1920.jpg?w=640&amp;h=640", "https://si.geilicdn.com/open1839115443-252808396-65420000019e33ee2dff0a23b491_1440_1920.jpg?w=640&amp;h=640")</f>
        <v>https://si.geilicdn.com/open1839115443-252808396-65420000019e33ee2dff0a23b491_1440_1920.jpg?w=640&amp;h=640</v>
      </c>
      <c r="F20" t="inlineStr">
        <is>
          <t>T-Shirts</t>
        </is>
      </c>
      <c r="G20" t="inlineStr">
        <is>
          <t>On Running</t>
        </is>
      </c>
      <c r="H20">
        <v>135</v>
      </c>
      <c r="I20">
        <v>19.5797101449275</v>
      </c>
      <c r="J20" t="inlineStr">
        <is>
          <t>{"id":"resp_033a32fb4a66e839016a0ab687e634819a9937b0a889718a5d","object":"chat.completion","created":1779086988,"model":"gpt-5.5","choices":[{"index":0,"message":{"role":"assistant","content":"On Running Gray Quick-Dry Loose Back Print T-Shirt"},"finish_reason":"stop"}],"usage":{"prompt_tokens":900,"completion_tokens":138,"total_tokens":1038}}</t>
        </is>
      </c>
      <c r="K20" t="inlineStr">
        <is>
          <t>On Running Gray Quick-Dry Loose Back Print T-Shirt</t>
        </is>
      </c>
      <c r="L20" t="inlineStr">
        <is>
          <t>{"id":"resp_0918a34e2562fcc4016a0ab4684014819bac651bd90ec53496","object":"chat.completion","created":1779086444,"model":"gpt-5.5","choices":[{"index":0,"message":{"role":"assistant","content":"On Running gray breathable quick-dry short sleeve T-shirt, lightweight sport fabric, abstract back logo print, loose street running style, 2020s unisex top"},"finish_reason":"stop"}],"usage":{"prompt_tokens":915,"completion_tokens":142,"total_tokens":1057}}</t>
        </is>
      </c>
      <c r="M20" t="inlineStr">
        <is>
          <t>{"alt-svc":"h3=\":443\"; ma=2592000","connection":"close","content-length":"450","content-type":"application/json; charset=utf-8","date":"Mon, 18 May 2026 06:40:44 GMT","referrer-policy":"strict-origin-when-cross-origin","server":"nginx/1.24.0 (Ubuntu)","strict-transport-security":"max-age=31536000; includeSubDomains; preload","vary":"Accept-Encoding","via":"1.1 Caddy","x-content-type-options":"nosniff","x-frame-options":"DENY","x-new-api-version":"v1.0.0-rc.2","x-oneapi-request-id":"202605180640399233162118268d9d6x4VyuHn7","x-request-id":"cdce08e7-6d20-4c7a-b519-090acdd2dfe1"}</t>
        </is>
      </c>
      <c r="N20" t="inlineStr">
        <is>
          <t>On Running gray breathable quick-dry short sleeve T-shirt, lightweight sport fabric, abstract back logo print, loose street running style, 2020s unisex top</t>
        </is>
      </c>
      <c r="O20" t="inlineStr">
        <is>
          <t>{"id":"resp_0be0084e71aa379f016a0ab7c42650819aa04701a53b134c85","object":"chat.completion","created":1779087305,"model":"gpt-5.5","choices":[{"index":0,"message":{"role":"assistant","content":"On Running T-Shirts kakobuy, On Running T-Shirts kakebuy2026, On Running T-Shirts kekobuysheet, On Running T-Shirts kakobuysheet2026, On Running T-Shirts 2026kakobuy, On Running T-Shirts kakobuyspreadsheeet, On Running T-Shirts kakobuylink, On Running T-Shirts kakebuylist, On Running T-Shirts Kakobuy MEGA Spreadsheet, On Running T-Shirts kakobuysheetfind, On Running T-Shirts kakobuysheetfind2026, On Running T-Shirts 2026kakobuysheetfind, On Running T-Shirts kakobuysheet2026"},"finish_reason":"stop"}],"usage":{"prompt_tokens":812,"completion_tokens":194,"total_tokens":1006}}</t>
        </is>
      </c>
      <c r="P20" t="inlineStr">
        <is>
          <t>On Running T-Shirts kakobuy, On Running T-Shirts kakebuy2026, On Running T-Shirts kekobuysheet, On Running T-Shirts kakobuysheet2026, On Running T-Shirts 2026kakobuy, On Running T-Shirts kakobuyspreadsheeet, On Running T-Shirts kakobuylink, On Running T-Shirts kakebuylist, On Running T-Shirts Kakobuy MEGA Spreadsheet, On Running T-Shirts kakobuysheetfind, On Running T-Shirts kakobuysheetfind2026, On Running T-Shirts 2026kakobuysheetfind, On Running T-Shirts kakobuysheet2026</t>
        </is>
      </c>
      <c r="Q20"/>
      <c r="R20" t="inlineStr">
        <is>
          <t>recvjR8RzVCaSx</t>
        </is>
      </c>
      <c r="S20" t="inlineStr">
        <is>
          <t>on-running-gray-quick-dry-loose-back-print-t-shirt-recvjr8rzvcasx</t>
        </is>
      </c>
      <c r="T20"/>
      <c r="U20"/>
      <c r="V20"/>
      <c r="W20" t="inlineStr">
        <is>
          <t>{"id":"resp_0122237159de7fcc016a0ab29d0828819bb5cc1e5e1cc33f57","object":"chat.completion","created":1779085986,"model":"gpt-5.5","choices":[{"index":0,"message":{"role":"assistant","content":"昂跑On Running 灰色透气速干短袖T恤，轻量运动面料，背部抽象Logo印花，宽松街头跑步风，2020年代男女同款上衣"},"finish_reason":"stop"}],"usage":{"prompt_tokens":1335,"completion_tokens":222,"total_tokens":1557}}</t>
        </is>
      </c>
      <c r="X20" t="inlineStr">
        <is>
          <t>昂跑On Running 灰色透气速干短袖T恤，轻量运动面料，背部抽象Logo印花，宽松街头跑步风，2020年代男女同款上衣</t>
        </is>
      </c>
    </row>
    <row r="21" ht="25.5" customHeight="1">
      <c r="A21">
        <v>1839115443</v>
      </c>
      <c r="B21">
        <v>7769019010</v>
      </c>
      <c r="C21" s="2" t="str">
        <f>=HYPERLINK("https://weidian.com/item.html?itemID=7769019010", "https://weidian.com/item.html?itemID=7769019010")</f>
        <v>https://weidian.com/item.html?itemID=7769019010</v>
      </c>
      <c r="D21"/>
      <c r="E21" s="2" t="str">
        <f>=HYPERLINK("https://si.geilicdn.com/open1839115443-252808396-49ed0000019e33ee252e0a8115c2_1440_1920.jpg?w=640&amp;h=640", "https://si.geilicdn.com/open1839115443-252808396-49ed0000019e33ee252e0a8115c2_1440_1920.jpg?w=640&amp;h=640")</f>
        <v>https://si.geilicdn.com/open1839115443-252808396-49ed0000019e33ee252e0a8115c2_1440_1920.jpg?w=640&amp;h=640</v>
      </c>
      <c r="F21" t="inlineStr">
        <is>
          <t>T-Shirts</t>
        </is>
      </c>
      <c r="G21" t="inlineStr">
        <is>
          <t>On Running</t>
        </is>
      </c>
      <c r="H21">
        <v>155</v>
      </c>
      <c r="I21">
        <v>22.46</v>
      </c>
      <c r="J21" t="inlineStr">
        <is>
          <t>{"id":"resp_0985ab8ed8ae3398016a0ab6a950288199b175e4f61ce195a3","object":"chat.completion","created":1779087020,"model":"gpt-5.5","choices":[{"index":0,"message":{"role":"assistant","content":"On Running Men's Green Splatter Quick-Dry T-Shirt"},"finish_reason":"stop"}],"usage":{"prompt_tokens":889,"completion_tokens":111,"total_tokens":1000}}</t>
        </is>
      </c>
      <c r="K21" t="inlineStr">
        <is>
          <t>On Running Men's Green Splatter Quick-Dry T-Shirt</t>
        </is>
      </c>
      <c r="L21" t="inlineStr">
        <is>
          <t>{"id":"resp_0ac67f6e0869266b016a0ab4a7f3788199a87e0b86dfaccb82","object":"chat.completion","created":1779086506,"model":"gpt-5.5","choices":[{"index":0,"message":{"role":"assistant","content":"On Running men's green gradient splatter T-shirt, breathable quick-dry athletic fabric, crew neck loose fit for running training and casual wear."},"finish_reason":"stop"}],"usage":{"prompt_tokens":909,"completion_tokens":86,"total_tokens":995}}</t>
        </is>
      </c>
      <c r="M21" t="inlineStr">
        <is>
          <t>{"alt-svc":"h3=\":443\"; ma=2592000","connection":"close","content-length":"438","content-type":"application/json; charset=utf-8","date":"Mon, 18 May 2026 06:41:46 GMT","referrer-policy":"strict-origin-when-cross-origin","server":"Caddy","strict-transport-security":"max-age=31536000; includeSubDomains; preload","vary":"Accept-Encoding","x-content-type-options":"nosniff","x-frame-options":"DENY","x-new-api-version":"v1.0.0-rc.2","x-oneapi-request-id":"202605180641436311484338268d9d6gDP4cqh6","x-request-id":"fc6d4a81-5910-4f5c-b099-7b9c66d1a4b7"}</t>
        </is>
      </c>
      <c r="N21" t="inlineStr">
        <is>
          <t>On Running men's green gradient splatter T-shirt, breathable quick-dry athletic fabric, crew neck loose fit for running training and casual wear.</t>
        </is>
      </c>
      <c r="O21" t="inlineStr">
        <is>
          <t>{"id":"resp_07d157df4483cd47016a0ab74e82bc8199874a91283426dfe0","object":"chat.completion","created":1779087189,"model":"gpt-5.5","choices":[{"index":0,"message":{"role":"assistant","content":"On Running T-Shirts kakobuy, On Running T-Shirts kakebuy2026, On Running T-Shirts kekobuysheet, On Running T-Shirts kakobuysheet2026, On Running T-Shirts 2026kakobuy, On Running T-Shirts kakobuyspreadsheeet, On Running T-Shirts kakobuylink, On Running T-Shirts kakebuylist, On Running T-Shirts Kakobuy MEGA Spreadsheet, On Running T-Shirts kakobuysheetfind, On Running T-Shirts kakobuysheetfind2026, On Running T-Shirts 2026kakobuysheetfind, On Running T-Shirts kakobuysheet2026"},"finish_reason":"stop"}],"usage":{"prompt_tokens":812,"completion_tokens":296,"total_tokens":1108}}</t>
        </is>
      </c>
      <c r="P21" t="inlineStr">
        <is>
          <t>On Running T-Shirts kakobuy, On Running T-Shirts kakebuy2026, On Running T-Shirts kekobuysheet, On Running T-Shirts kakobuysheet2026, On Running T-Shirts 2026kakobuy, On Running T-Shirts kakobuyspreadsheeet, On Running T-Shirts kakobuylink, On Running T-Shirts kakebuylist, On Running T-Shirts Kakobuy MEGA Spreadsheet, On Running T-Shirts kakobuysheetfind, On Running T-Shirts kakobuysheetfind2026, On Running T-Shirts 2026kakobuysheetfind, On Running T-Shirts kakobuysheet2026</t>
        </is>
      </c>
      <c r="Q21" t="inlineStr">
        <is>
          <t>Athletic, Breathable, Quick Dry, Green, Gradient, Men</t>
        </is>
      </c>
      <c r="R21" t="inlineStr">
        <is>
          <t>recvjR8RzVxp3k</t>
        </is>
      </c>
      <c r="S21" t="inlineStr">
        <is>
          <t>on-running-green-splatter-quick-dry-t-shirt-recvjr8rzvxp3k</t>
        </is>
      </c>
      <c r="T21"/>
      <c r="U21"/>
      <c r="V21"/>
      <c r="W21" t="inlineStr">
        <is>
          <t>{"id":"resp_0d281f426cfd5362016a0ab26e1854819aa6ff82aaf533cd38","object":"chat.completion","created":1779085939,"model":"gpt-5.5","choices":[{"index":0,"message":{"role":"assistant","content":"昂跑On Running 绿色渐变泼墨短袖T恤，透气速干运动面料，圆领宽松设计，男士跑步训练休闲上衣。"},"finish_reason":"stop"}],"usage":{"prompt_tokens":1337,"completion_tokens":146,"total_tokens":1483}}</t>
        </is>
      </c>
      <c r="X21" t="inlineStr">
        <is>
          <t>昂跑On Running 绿色渐变泼墨短袖T恤，透气速干运动面料，圆领宽松设计，男士跑步训练休闲上衣。</t>
        </is>
      </c>
    </row>
    <row r="22" ht="25.5" customHeight="1">
      <c r="A22">
        <v>1839115443</v>
      </c>
      <c r="B22">
        <v>7766025105</v>
      </c>
      <c r="C22" s="2" t="str">
        <f>=HYPERLINK("https://weidian.com/item.html?itemID=7766025105", "https://weidian.com/item.html?itemID=7766025105")</f>
        <v>https://weidian.com/item.html?itemID=7766025105</v>
      </c>
      <c r="D22"/>
      <c r="E22" s="2" t="str">
        <f>=HYPERLINK("https://si.geilicdn.com/open1839115443-252808396-572f0000019e33fbb0090a8133b0_800_800.jpg?w=640&amp;h=640", "https://si.geilicdn.com/open1839115443-252808396-572f0000019e33fbb0090a8133b0_800_800.jpg?w=640&amp;h=640")</f>
        <v>https://si.geilicdn.com/open1839115443-252808396-572f0000019e33fbb0090a8133b0_800_800.jpg?w=640&amp;h=640</v>
      </c>
      <c r="F22" t="inlineStr">
        <is>
          <t>Hoodies</t>
        </is>
      </c>
      <c r="G22" t="inlineStr">
        <is>
          <t>Essentials</t>
        </is>
      </c>
      <c r="H22">
        <v>199</v>
      </c>
      <c r="I22">
        <v>28.84</v>
      </c>
      <c r="J22" t="inlineStr">
        <is>
          <t>{"id":"resp_06d344b7331c0f49016a0ab69d4a808199bea97a2a7df27014","object":"chat.completion","created":1779087008,"model":"gpt-5.5","choices":[{"index":0,"message":{"role":"assistant","content":"Essentials Light Beige Logo Fleece Pullover Hoodie"},"finish_reason":"stop"}],"usage":{"prompt_tokens":724,"completion_tokens":113,"total_tokens":837}}</t>
        </is>
      </c>
      <c r="K22" t="inlineStr">
        <is>
          <t>Essentials Light Beige Logo Fleece Pullover Hoodie</t>
        </is>
      </c>
      <c r="L22" t="inlineStr">
        <is>
          <t>{"id":"resp_0a2404c4e04e8cf7016a0ab4a1006c81939f5fa7840077d757","object":"chat.completion","created":1779086501,"model":"gpt-5.5","choices":[{"index":0,"message":{"role":"assistant","content":"Essentials light beige hoodie, soft cotton-blend fleece, black back logo print, relaxed streetwear pullover sweatshirt, unisex casual fashion."},"finish_reason":"stop"}],"usage":{"prompt_tokens":748,"completion_tokens":149,"total_tokens":897}}</t>
        </is>
      </c>
      <c r="M22" t="inlineStr">
        <is>
          <t>{"alt-svc":"h3=\":443\"; ma=2592000","connection":"close","content-length":"436","content-type":"application/json; charset=utf-8","date":"Mon, 18 May 2026 06:41:41 GMT","referrer-policy":"strict-origin-when-cross-origin","server":"Caddy","strict-transport-security":"max-age=31536000; includeSubDomains; preload","vary":"Accept-Encoding","x-content-type-options":"nosniff","x-frame-options":"DENY","x-new-api-version":"v1.0.0-rc.2","x-oneapi-request-id":"202605180641366770689448268d9d6mP9yyeVu","x-request-id":"7d69a85e-8751-4951-b427-cdbefccf1d93"}</t>
        </is>
      </c>
      <c r="N22" t="inlineStr">
        <is>
          <t>Essentials light beige hoodie, soft cotton-blend fleece, black back logo print, relaxed streetwear pullover sweatshirt, unisex casual fashion.</t>
        </is>
      </c>
      <c r="O22" t="inlineStr">
        <is>
          <t>{"id":"resp_073639368502d219016a0ab7952410819ba00001f9b97d4fa6","object":"chat.completion","created":1779087258,"model":"gpt-5.5","choices":[{"index":0,"message":{"role":"assistant","content":"Essentials Hoodies kakobuy, Essentials Hoodies kakebuy2026, Essentials Hoodies kekobuysheet, Essentials Hoodies kakobuysheet2026, Essentials Hoodies 2026kakobuy, Essentials Hoodies kakobuyspreadsheeet, Essentials Hoodies kakobuylink, Essentials Hoodies kakebuylist, Essentials Hoodies Kakobuy MEGA Spreadsheet, Essentials Hoodies kakobuysheetfind, Essentials Hoodies kakobuysheetfind2026, Essentials Hoodies 2026kakobuysheetfind, Essentials Hoodies kakobuysheet2026"},"finish_reason":"stop"}],"usage":{"prompt_tokens":645,"completion_tokens":254,"total_tokens":899}}</t>
        </is>
      </c>
      <c r="P22" t="inlineStr">
        <is>
          <t>Essentials Hoodies kakobuy, Essentials Hoodies kakebuy2026, Essentials Hoodies kekobuysheet, Essentials Hoodies kakobuysheet2026, Essentials Hoodies 2026kakobuy, Essentials Hoodies kakobuyspreadsheeet, Essentials Hoodies kakobuylink, Essentials Hoodies kakebuylist, Essentials Hoodies Kakobuy MEGA Spreadsheet, Essentials Hoodies kakobuysheetfind, Essentials Hoodies kakobuysheetfind2026, Essentials Hoodies 2026kakobuysheetfind, Essentials Hoodies kakobuysheet2026</t>
        </is>
      </c>
      <c r="Q22" t="inlineStr">
        <is>
          <t>Beige, Streetwear, Unisex, Fleece-Lined</t>
        </is>
      </c>
      <c r="R22" t="inlineStr">
        <is>
          <t>recvjR8RzVDocp</t>
        </is>
      </c>
      <c r="S22" t="inlineStr">
        <is>
          <t>essentials-light-beige-logo-fleece-pullover-hoodie-recvjr8rzvdocp</t>
        </is>
      </c>
      <c r="T22"/>
      <c r="U22"/>
      <c r="V22"/>
      <c r="W22" t="inlineStr">
        <is>
          <t>{"id":"resp_089d597a7ac4b795016a0ab32614c08193a82f7feaec09c0b0","object":"chat.completion","created":1779086121,"model":"gpt-5.5","choices":[{"index":0,"message":{"role":"assistant","content":"浅米色Essentials连帽卫衣，柔软棉混纺抓绒面料，背部黑色LOGO印花，宽松街头休闲风，男女同款潮流帽衫。"},"finish_reason":"stop"}],"usage":{"prompt_tokens":1166,"completion_tokens":148,"total_tokens":1314}}</t>
        </is>
      </c>
      <c r="X22" t="inlineStr">
        <is>
          <t>浅米色Essentials连帽卫衣，柔软棉混纺抓绒面料，背部黑色LOGO印花，宽松街头休闲风，男女同款潮流帽衫。</t>
        </is>
      </c>
    </row>
    <row r="23" ht="25.5" customHeight="1">
      <c r="A23">
        <v>1839115443</v>
      </c>
      <c r="B23">
        <v>7769032896</v>
      </c>
      <c r="C23" s="2" t="str">
        <f>=HYPERLINK("https://weidian.com/item.html?itemID=7769032896", "https://weidian.com/item.html?itemID=7769032896")</f>
        <v>https://weidian.com/item.html?itemID=7769032896</v>
      </c>
      <c r="D23"/>
      <c r="E23" s="2" t="str">
        <f>=HYPERLINK("https://si.geilicdn.com/open1839115443-252808396-56a90000019e33f91e220a8133b0_800_800.jpg?w=640&amp;h=640", "https://si.geilicdn.com/open1839115443-252808396-56a90000019e33f91e220a8133b0_800_800.jpg?w=640&amp;h=640")</f>
        <v>https://si.geilicdn.com/open1839115443-252808396-56a90000019e33f91e220a8133b0_800_800.jpg?w=640&amp;h=640</v>
      </c>
      <c r="F23" t="inlineStr">
        <is>
          <t>Jackets</t>
        </is>
      </c>
      <c r="G23" t="inlineStr">
        <is>
          <t>Mammut</t>
        </is>
      </c>
      <c r="H23">
        <v>163.5</v>
      </c>
      <c r="I23">
        <v>23.695652173913</v>
      </c>
      <c r="J23" t="inlineStr">
        <is>
          <t>{"id":"resp_001bdfc8402704ed016a0ab6c7b0f08193924efab3db32d046","object":"chat.completion","created":1779087050,"model":"gpt-5.5","choices":[{"index":0,"message":{"role":"assistant","content":"Mammut Dark Navy Hooded Waterproof Hardshell Jacket"},"finish_reason":"stop"}],"usage":{"prompt_tokens":722,"completion_tokens":111,"total_tokens":833}}</t>
        </is>
      </c>
      <c r="K23" t="inlineStr">
        <is>
          <t>Mammut Dark Navy Hooded Waterproof Hardshell Jacket</t>
        </is>
      </c>
      <c r="L23" t="inlineStr">
        <is>
          <t>{"id":"resp_06614db05c019d59016a0ab54cdf9c8199bfa765e351fa367d","object":"chat.completion","created":1779086671,"model":"gpt-5.5","choices":[{"index":0,"message":{"role":"assistant","content":"Mammut dark navy hooded hardshell jacket, lightweight windproof waterproof outdoor shell with red mammoth logo, unisex hiking rain coat"},"finish_reason":"stop"}],"usage":{"prompt_tokens":741,"completion_tokens":91,"total_tokens":832}}</t>
        </is>
      </c>
      <c r="M23" t="inlineStr">
        <is>
          <t>{"alt-svc":"h3=\":443\"; ma=2592000","connection":"close","content-length":"428","content-type":"application/json; charset=utf-8","date":"Mon, 18 May 2026 06:44:31 GMT","referrer-policy":"strict-origin-when-cross-origin","server":"Caddy","strict-transport-security":"max-age=31536000; includeSubDomains; preload","vary":"Accept-Encoding","x-content-type-options":"nosniff","x-frame-options":"DENY","x-new-api-version":"v1.0.0-rc.2","x-oneapi-request-id":"202605180644282484577488268d9d6DoUDI6Ir","x-request-id":"b79a9241-6044-426c-a4e8-cc1448edb28b"}</t>
        </is>
      </c>
      <c r="N23" t="inlineStr">
        <is>
          <t>Mammut dark navy hooded hardshell jacket, lightweight windproof waterproof outdoor shell with red mammoth logo, unisex hiking rain coat</t>
        </is>
      </c>
      <c r="O23" t="inlineStr">
        <is>
          <t>{"id":"resp_00b2b5d0e9ced203016a0ab7868f7481989a985a017f6077d0","object":"chat.completion","created":1779087248,"model":"gpt-5.5","choices":[{"index":0,"message":{"role":"assistant","content":"Mammut Jackets kakobuy, Mammut Jackets kakebuy2026, Mammut Jackets kekobuysheet, Mammut Jackets kakobuysheet2026, Mammut Jackets 2026kakobuy, Mammut Jackets kakobuyspreadsheeet, Mammut Jackets kakobuylink, Mammut Jackets kakebuylist, Mammut Jackets Kakobuy MEGA Spreadsheet, Mammut Jackets kakobuysheetfind, Mammut Jackets kakobuysheetfind2026, Mammut Jackets 2026kakobuysheetfind"},"finish_reason":"stop"}],"usage":{"prompt_tokens":644,"completion_tokens":426,"total_tokens":1070}}</t>
        </is>
      </c>
      <c r="P23" t="inlineStr">
        <is>
          <t>Mammut Jackets kakobuy, Mammut Jackets kakebuy2026, Mammut Jackets kekobuysheet, Mammut Jackets kakobuysheet2026, Mammut Jackets 2026kakobuy, Mammut Jackets kakobuyspreadsheeet, Mammut Jackets kakobuylink, Mammut Jackets kakebuylist, Mammut Jackets Kakobuy MEGA Spreadsheet, Mammut Jackets kakobuysheetfind, Mammut Jackets kakobuysheetfind2026, Mammut Jackets 2026kakobuysheetfind</t>
        </is>
      </c>
      <c r="Q23" t="inlineStr">
        <is>
          <t>Dark Blue, Windproof, Waterproof, Outdoor, Unisex, Hiking Shoes</t>
        </is>
      </c>
      <c r="R23" t="inlineStr">
        <is>
          <t>recvjR8RzVnHUs</t>
        </is>
      </c>
      <c r="S23" t="inlineStr">
        <is>
          <t>mammut-dark-navy-hooded-waterproof-hardshell-jacket-recvjr8rzvnhus</t>
        </is>
      </c>
      <c r="T23"/>
      <c r="U23"/>
      <c r="V23"/>
      <c r="W23" t="inlineStr">
        <is>
          <t>{"id":"resp_0ea93cfb9bce18cc016a0ab309f57c819b8dfa730aba0ffecb","object":"chat.completion","created":1779086093,"model":"gpt-5.5","choices":[{"index":0,"message":{"role":"assistant","content":"深蓝色Mammut连帽冲锋夹克，轻量防风防水面料，红色猛犸象Logo点缀，户外机能风男女通用外套"},"finish_reason":"stop"}],"usage":{"prompt_tokens":1165,"completion_tokens":167,"total_tokens":1332}}</t>
        </is>
      </c>
      <c r="X23" t="inlineStr">
        <is>
          <t>深蓝色Mammut连帽冲锋夹克，轻量防风防水面料，红色猛犸象Logo点缀，户外机能风男女通用外套</t>
        </is>
      </c>
    </row>
    <row r="24" ht="25.5" customHeight="1">
      <c r="A24">
        <v>1839115443</v>
      </c>
      <c r="B24">
        <v>7769052544</v>
      </c>
      <c r="C24" s="2" t="str">
        <f>=HYPERLINK("https://weidian.com/item.html?itemID=7769052544", "https://weidian.com/item.html?itemID=7769052544")</f>
        <v>https://weidian.com/item.html?itemID=7769052544</v>
      </c>
      <c r="D24"/>
      <c r="E24" s="2" t="str">
        <f>=HYPERLINK("https://si.geilicdn.com/open1839115443-252808396-77720000019e33f8dd590a23b4de_750_750.jpg?w=640&amp;h=640", "https://si.geilicdn.com/open1839115443-252808396-77720000019e33f8dd590a23b4de_750_750.jpg?w=640&amp;h=640")</f>
        <v>https://si.geilicdn.com/open1839115443-252808396-77720000019e33f8dd590a23b4de_750_750.jpg?w=640&amp;h=640</v>
      </c>
      <c r="F24" t="inlineStr">
        <is>
          <t>Hoodies</t>
        </is>
      </c>
      <c r="G24" t="inlineStr">
        <is>
          <t>Comme des Garçons Play</t>
        </is>
      </c>
      <c r="H24">
        <v>161</v>
      </c>
      <c r="I24">
        <v>23.33</v>
      </c>
      <c r="J24" t="inlineStr">
        <is>
          <t>{"id":"resp_007d6f5a8608b173016a0ab6c62c08819a88c84cca4a63d630","object":"chat.completion","created":1779087051,"model":"gpt-5.5","choices":[{"index":0,"message":{"role":"assistant","content":"Comme des Garçons Play Black Heart Zip Hoodie Unisex"},"finish_reason":"stop"}],"usage":{"prompt_tokens":729,"completion_tokens":176,"total_tokens":905}}</t>
        </is>
      </c>
      <c r="K24" t="inlineStr">
        <is>
          <t>Comme des Garçons Play Black Heart Zip Hoodie Unisex</t>
        </is>
      </c>
      <c r="L24" t="inlineStr">
        <is>
          <t>{"id":"resp_09dc76d2ed842869016a0ab4d7781c8196a42020bf3917f512","object":"chat.completion","created":1779086554,"model":"gpt-5.5","choices":[{"index":0,"message":{"role":"assistant","content":"Comme des Garçons Play black zip hoodie, cotton casual fabric, iconic heart eyes logo on back, unisex streetwear jacket for men and women."},"finish_reason":"stop"}],"usage":{"prompt_tokens":747,"completion_tokens":112,"total_tokens":859}}</t>
        </is>
      </c>
      <c r="M24" t="inlineStr">
        <is>
          <t>{"alt-svc":"h3=\":443\"; ma=2592000","connection":"close","content-length":"433","content-type":"application/json; charset=utf-8","date":"Mon, 18 May 2026 06:42:34 GMT","referrer-policy":"strict-origin-when-cross-origin","server":"Caddy","strict-transport-security":"max-age=31536000; includeSubDomains; preload","vary":"Accept-Encoding","x-content-type-options":"nosniff","x-frame-options":"DENY","x-new-api-version":"v1.0.0-rc.2","x-oneapi-request-id":"202605180642312445164118268d9d6zWrm1He9","x-request-id":"c18176d0-cf7b-4241-8baf-a9436e584505"}</t>
        </is>
      </c>
      <c r="N24" t="inlineStr">
        <is>
          <t>Comme des Garçons Play black zip hoodie, cotton casual fabric, iconic heart eyes logo on back, unisex streetwear jacket for men and women.</t>
        </is>
      </c>
      <c r="O24" t="inlineStr">
        <is>
          <t>{"id":"resp_0afe5e82768f9acf016a0ab7a2c6c8819a9fcb54839b15482c","object":"chat.completion","created":1779087274,"model":"gpt-5.5","choices":[{"index":0,"message":{"role":"assistant","content":"Comme des Garçons Play Hoodies kakobuy, Comme des Garçons Play Hoodies kakebuy2026, Comme des Garçons Play Hoodies kekobuysheet, Comme des Garçons Play Hoodies kakobuysheet2026, Comme des Garçons Play Hoodies 2026kakobuy, Comme des Garçons Play Hoodies kakobuyspreadsheeet, Comme des Garçons Play Hoodies kakobuylink, Comme des Garçons Play Hoodies kakebuylist, Comme des Garçons Play Hoodies Kakobuy MEGA Spreadsheet, Comme des Garçons Play Hoodies kakobuysheetfind, Comme des Garçons Play Hoodies kakobuysheetfind2026, Comme des Garçons Play Hoodies 2026kakobuysheetfind, Comme des Garçons Play Hoodies kakobuysheet2026"},"finish_reason":"stop"}],"usage":{"prompt_tokens":648,"completion_tokens":365,"total_tokens":1013}}</t>
        </is>
      </c>
      <c r="P24" t="inlineStr">
        <is>
          <t>Comme des Garçons Play Hoodies kakobuy, Comme des Garçons Play Hoodies kakebuy2026, Comme des Garçons Play Hoodies kekobuysheet, Comme des Garçons Play Hoodies kakobuysheet2026, Comme des Garçons Play Hoodies 2026kakobuy, Comme des Garçons Play Hoodies kakobuyspreadsheeet, Comme des Garçons Play Hoodies kakobuylink, Comme des Garçons Play Hoodies kakebuylist, Comme des Garçons Play Hoodies Kakobuy MEGA Spreadsheet, Comme des Garçons Play Hoodies kakobuysheetfind, Comme des Garçons Play Hoodies kakobuysheetfind2026, Comme des Garçons Play Hoodies 2026kakobuysheetfind, Comme des Garçons Play Hoodies kakobuysheet2026</t>
        </is>
      </c>
      <c r="Q24" t="inlineStr">
        <is>
          <t>Black, Streetwear, Unisex</t>
        </is>
      </c>
      <c r="R24" t="inlineStr">
        <is>
          <t>recvjR8RzVEESu</t>
        </is>
      </c>
      <c r="S24" t="inlineStr">
        <is>
          <t>comme-des-garcons-play-black-heart-zip-hoodie-recvjr8rzveesu</t>
        </is>
      </c>
      <c r="T24"/>
      <c r="U24"/>
      <c r="V24"/>
      <c r="W24" t="inlineStr">
        <is>
          <t>{"id":"resp_04182295e141e162016a0ab2e275cc8198a9c65c424839f7f0","object":"chat.completion","created":1779086054,"model":"gpt-5.5","choices":[{"index":0,"message":{"role":"assistant","content":"川久保玲Comme des Garçons Play黑色连帽卫衣，棉质休闲面料，背部经典爱心眼睛图腾，男女同款街头潮流拉链外套。"},"finish_reason":"stop"}],"usage":{"prompt_tokens":1170,"completion_tokens":139,"total_tokens":1309}}</t>
        </is>
      </c>
      <c r="X24" t="inlineStr">
        <is>
          <t>川久保玲Comme des Garçons Play黑色连帽卫衣，棉质休闲面料，背部经典爱心眼睛图腾，男女同款街头潮流拉链外套。</t>
        </is>
      </c>
    </row>
    <row r="25" ht="25.5" customHeight="1">
      <c r="A25">
        <v>1839115443</v>
      </c>
      <c r="B25">
        <v>7766099821</v>
      </c>
      <c r="C25" s="2" t="str">
        <f>=HYPERLINK("https://weidian.com/item.html?itemID=7766099821", "https://weidian.com/item.html?itemID=7766099821")</f>
        <v>https://weidian.com/item.html?itemID=7766099821</v>
      </c>
      <c r="D25"/>
      <c r="E25" s="2" t="str">
        <f>=HYPERLINK("https://si.geilicdn.com/open1839115443-252808396-72490000019e33f945390a231226_1066_1066.jpg?w=640&amp;h=640", "https://si.geilicdn.com/open1839115443-252808396-72490000019e33f945390a231226_1066_1066.jpg?w=640&amp;h=640")</f>
        <v>https://si.geilicdn.com/open1839115443-252808396-72490000019e33f945390a231226_1066_1066.jpg?w=640&amp;h=640</v>
      </c>
      <c r="F25" t="inlineStr">
        <is>
          <t>Hoodies</t>
        </is>
      </c>
      <c r="G25" t="inlineStr">
        <is>
          <t xml:space="preserve"> Lacoste</t>
        </is>
      </c>
      <c r="H25">
        <v>139</v>
      </c>
      <c r="I25">
        <v>20.14</v>
      </c>
      <c r="J25" t="inlineStr">
        <is>
          <t>{"id":"resp_08673e9b65f03fce016a0ab68d1a288198bfc35c48faeb4775","object":"chat.completion","created":1779086997,"model":"gpt-5.5","choices":[{"index":0,"message":{"role":"assistant","content":"Lacoste Off-White Full Zip Cotton Hoodie Crocodile Logo"},"finish_reason":"stop"}],"usage":{"prompt_tokens":725,"completion_tokens":211,"total_tokens":936}}</t>
        </is>
      </c>
      <c r="K25" t="inlineStr">
        <is>
          <t>Lacoste Off-White Full Zip Cotton Hoodie Crocodile Logo</t>
        </is>
      </c>
      <c r="L25" t="inlineStr">
        <is>
          <t>{"id":"resp_05b8117c25faa735016a0ab4f4bcc88199a165ed2bf1ecc311","object":"chat.completion","created":1779086582,"model":"gpt-5.5","choices":[{"index":0,"message":{"role":"assistant","content":"Lacoste off-white full zip hoodie, soft cotton casual sweatshirt, embroidered crocodile logo, kangaroo pocket, relaxed unisex hooded jacket"},"finish_reason":"stop"}],"usage":{"prompt_tokens":746,"completion_tokens":30,"total_tokens":776}}</t>
        </is>
      </c>
      <c r="M25" t="inlineStr">
        <is>
          <t>{"alt-svc":"h3=\":443\"; ma=2592000","connection":"close","content-length":"432","content-type":"application/json; charset=utf-8","date":"Mon, 18 May 2026 06:43:02 GMT","referrer-policy":"strict-origin-when-cross-origin","server":"nginx/1.24.0 (Ubuntu)","strict-transport-security":"max-age=31536000; includeSubDomains; preload","vary":"Accept-Encoding","via":"1.1 Caddy","x-content-type-options":"nosniff","x-frame-options":"DENY","x-new-api-version":"v1.0.0-rc.2","x-oneapi-request-id":"202605180642594684630928268d9d6vEDG2Skm","x-request-id":"d73c665a-e96a-4f05-8ebe-1b531202c017"}</t>
        </is>
      </c>
      <c r="N25" t="inlineStr">
        <is>
          <t>Lacoste off-white full zip hoodie, soft cotton casual sweatshirt, embroidered crocodile logo, kangaroo pocket, relaxed unisex hooded jacket</t>
        </is>
      </c>
      <c r="O25" t="inlineStr">
        <is>
          <t>{"id":"resp_0ab819dfeed89605016a0ab749fc7c819b9ec7b585a39d035d","object":"chat.completion","created":1779087182,"model":"gpt-5.5","choices":[{"index":0,"message":{"role":"assistant","content":"Lacoste Hoodies kakobuy, Lacoste Hoodies kakebuy2026, Lacoste Hoodies kekobuysheet, Lacoste Hoodies kakobuysheet2026, Lacoste Hoodies 2026kakobuy, Lacoste Hoodies kakobuyspreadsheeet, Lacoste Hoodies kakobuylink, Lacoste Hoodies kakebuylist, Lacoste Hoodies Kakobuy MEGA Spreadsheet, Lacoste Hoodies kakobuysheetfind, Lacoste Hoodies kakobuysheetfind2026, Lacoste Hoodies 2026kakobuysheetfind, Lacoste Hoodies kakobuysheet2026"},"finish_reason":"stop"}],"usage":{"prompt_tokens":645,"completion_tokens":217,"total_tokens":862}}</t>
        </is>
      </c>
      <c r="P25" t="inlineStr">
        <is>
          <t>Lacoste Hoodies kakobuy, Lacoste Hoodies kakebuy2026, Lacoste Hoodies kekobuysheet, Lacoste Hoodies kakobuysheet2026, Lacoste Hoodies 2026kakobuy, Lacoste Hoodies kakobuyspreadsheeet, Lacoste Hoodies kakobuylink, Lacoste Hoodies kakebuylist, Lacoste Hoodies Kakobuy MEGA Spreadsheet, Lacoste Hoodies kakobuysheetfind, Lacoste Hoodies kakobuysheetfind2026, Lacoste Hoodies 2026kakobuysheetfind, Lacoste Hoodies kakobuysheet2026</t>
        </is>
      </c>
      <c r="Q25" t="inlineStr">
        <is>
          <t>Unisex, All Seasons</t>
        </is>
      </c>
      <c r="R25" t="inlineStr">
        <is>
          <t>recvjR8RzVkyB8</t>
        </is>
      </c>
      <c r="S25" t="inlineStr">
        <is>
          <t>lacoste-off-white-full-zip-cotton-hoodie-crocodile-logo-recvjr8rzvkyb8</t>
        </is>
      </c>
      <c r="T25"/>
      <c r="U25"/>
      <c r="V25"/>
      <c r="W25" t="inlineStr">
        <is>
          <t>{"id":"resp_0f6ffdbbeff55302016a0ab2ea624081988f9e23f4c00ca979","object":"chat.completion","created":1779086063,"model":"gpt-5.5","choices":[{"index":0,"message":{"role":"assistant","content":"拉科斯特 Lacoste 米白色全拉链连帽卫衣，柔软棉质休闲面料，胸前鳄鱼Logo刺绣，袋鼠兜宽松男女同款外套"},"finish_reason":"stop"}],"usage":{"prompt_tokens":1162,"completion_tokens":195,"total_tokens":1357}}</t>
        </is>
      </c>
      <c r="X25" t="inlineStr">
        <is>
          <t>拉科斯特 Lacoste 米白色全拉链连帽卫衣，柔软棉质休闲面料，胸前鳄鱼Logo刺绣，袋鼠兜宽松男女同款外套</t>
        </is>
      </c>
    </row>
    <row r="26" ht="25.5" customHeight="1">
      <c r="A26">
        <v>1839115443</v>
      </c>
      <c r="B26">
        <v>7766084217</v>
      </c>
      <c r="C26" s="2" t="str">
        <f>=HYPERLINK("https://weidian.com/item.html?itemID=7766084217", "https://weidian.com/item.html?itemID=7766084217")</f>
        <v>https://weidian.com/item.html?itemID=7766084217</v>
      </c>
      <c r="D26"/>
      <c r="E26" s="2" t="str">
        <f>=HYPERLINK("https://si.geilicdn.com/open1839115443-252808396-6d3c0000019e33fbc0270aa08269_1200_1200.jpg?w=640&amp;h=640", "https://si.geilicdn.com/open1839115443-252808396-6d3c0000019e33fbc0270aa08269_1200_1200.jpg?w=640&amp;h=640")</f>
        <v>https://si.geilicdn.com/open1839115443-252808396-6d3c0000019e33fbc0270aa08269_1200_1200.jpg?w=640&amp;h=640</v>
      </c>
      <c r="F26" t="inlineStr">
        <is>
          <t>Sweatshirt</t>
        </is>
      </c>
      <c r="G26" t="inlineStr">
        <is>
          <t xml:space="preserve">Stone Island </t>
        </is>
      </c>
      <c r="H26">
        <v>169</v>
      </c>
      <c r="I26">
        <v>24.49</v>
      </c>
      <c r="J26" t="inlineStr">
        <is>
          <t>{"id":"resp_0b721f78be7a81d5016a0ab67a59c481988e2fc0d057f9f485","object":"chat.completion","created":1779086977,"model":"gpt-5.5","choices":[{"index":0,"message":{"role":"assistant","content":"Stone Island Kids Grey Crewneck Sweatshirt Compass Badge"},"finish_reason":"stop"}],"usage":{"prompt_tokens":724,"completion_tokens":208,"total_tokens":932}}</t>
        </is>
      </c>
      <c r="K26" t="inlineStr">
        <is>
          <t>Stone Island Kids Grey Crewneck Sweatshirt Compass Badge</t>
        </is>
      </c>
      <c r="L26" t="inlineStr">
        <is>
          <t>{"id":"resp_0a9aa5daeb4f2164016a0ab4e103b4819b8dd4969dacdb7551","object":"chat.completion","created":1779086564,"model":"gpt-5.5","choices":[{"index":0,"message":{"role":"assistant","content":"Stone Island grey kids crewneck sweatshirt, cotton fleece pullover with compass sleeve badge, unisex casual sporty fall winter top for boys and girls."},"finish_reason":"stop"}],"usage":{"prompt_tokens":743,"completion_tokens":125,"total_tokens":868}}</t>
        </is>
      </c>
      <c r="M26" t="inlineStr">
        <is>
          <t>{"alt-svc":"h3=\":443\"; ma=2592000","connection":"close","content-length":"444","content-type":"application/json; charset=utf-8","date":"Mon, 18 May 2026 06:42:44 GMT","referrer-policy":"strict-origin-when-cross-origin","server":"Caddy","strict-transport-security":"max-age=31536000; includeSubDomains; preload","vary":"Accept-Encoding","x-content-type-options":"nosniff","x-frame-options":"DENY","x-new-api-version":"v1.0.0-rc.2","x-oneapi-request-id":"202605180642404898611528268d9d6QJrjxmis","x-request-id":"0d3f42df-254f-48d8-83b7-06a37434bcc4"}</t>
        </is>
      </c>
      <c r="N26" t="inlineStr">
        <is>
          <t>Stone Island grey kids crewneck sweatshirt, cotton fleece pullover with compass sleeve badge, unisex casual sporty fall winter top for boys and girls.</t>
        </is>
      </c>
      <c r="O26" t="inlineStr">
        <is>
          <t>{"id":"resp_0ec66febe2c9706c016a0ab7bd109881989f659987a55dd3dd","object":"chat.completion","created":1779087303,"model":"gpt-5.5","choices":[{"index":0,"message":{"role":"assistant","content":"Stone Island Sweatshirt kakobuy, Stone Island Sweatshirt kakebuy2026, Stone Island Sweatshirt kekobuysheet, Stone Island Sweatshirt kakobuysheet2026, Stone Island Sweatshirt 2026kakobuy, Stone Island Sweatshirt kakobuyspreadsheeet, Stone Island Sweatshirt kakobuylink, Stone Island Sweatshirt kakebuylist, Stone Island Sweatshirt Kakobuy MEGA Spreadsheet, Stone Island Sweatshirt kakobuysheetfind, Stone Island Sweatshirt kakobuysheetfind2026, Stone Island Sweatshirt 2026kakobuysheetfind, Stone Island Sweatshirt kakobuysheet2026"},"finish_reason":"stop"}],"usage":{"prompt_tokens":645,"completion_tokens":535,"total_tokens":1180}}</t>
        </is>
      </c>
      <c r="P26" t="inlineStr">
        <is>
          <t>Stone Island Sweatshirt kakobuy, Stone Island Sweatshirt kakebuy2026, Stone Island Sweatshirt kekobuysheet, Stone Island Sweatshirt kakobuysheet2026, Stone Island Sweatshirt 2026kakobuy, Stone Island Sweatshirt kakobuyspreadsheeet, Stone Island Sweatshirt kakobuylink, Stone Island Sweatshirt kakebuylist, Stone Island Sweatshirt Kakobuy MEGA Spreadsheet, Stone Island Sweatshirt kakobuysheetfind, Stone Island Sweatshirt kakobuysheetfind2026, Stone Island Sweatshirt 2026kakobuysheetfind, Stone Island Sweatshirt kakobuysheet2026</t>
        </is>
      </c>
      <c r="Q26" t="inlineStr">
        <is>
          <t>Grey, Unisex, Sporty, Autumn And Winter</t>
        </is>
      </c>
      <c r="R26" t="inlineStr">
        <is>
          <t>recvjR8RzVRqNn</t>
        </is>
      </c>
      <c r="S26" t="inlineStr">
        <is>
          <t>stone-island-kids-grey-crewneck-sweatshirt-compass-badge-recvjr8rzvrqn</t>
        </is>
      </c>
      <c r="T26"/>
      <c r="U26"/>
      <c r="V26"/>
      <c r="W26" t="inlineStr">
        <is>
          <t>{"id":"resp_09b69ffbba32d4ab016a0ab33f3930819896b597d411f4474e","object":"chat.completion","created":1779086147,"model":"gpt-5.5","choices":[{"index":0,"message":{"role":"assistant","content":"灰色Stone Island罗盘臂章圆领卫衣，棉质抓绒面料，简约休闲运动风，男女童通用秋冬套头上衣。"},"finish_reason":"stop"}],"usage":{"prompt_tokens":1170,"completion_tokens":150,"total_tokens":1320}}</t>
        </is>
      </c>
      <c r="X26" t="inlineStr">
        <is>
          <t>灰色Stone Island罗盘臂章圆领卫衣，棉质抓绒面料，简约休闲运动风，男女童通用秋冬套头上衣。</t>
        </is>
      </c>
    </row>
    <row r="27" ht="25.5" customHeight="1">
      <c r="A27">
        <v>1839115443</v>
      </c>
      <c r="B27">
        <v>7766080289</v>
      </c>
      <c r="C27" s="2" t="str">
        <f>=HYPERLINK("https://weidian.com/item.html?itemID=7766080289", "https://weidian.com/item.html?itemID=7766080289")</f>
        <v>https://weidian.com/item.html?itemID=7766080289</v>
      </c>
      <c r="D27"/>
      <c r="E27" s="2" t="str">
        <f>=HYPERLINK("https://si.geilicdn.com/open1839115443-252808396-6d4c0000019e33fc25f50aa08269_800_800.jpg?w=640&amp;h=640", "https://si.geilicdn.com/open1839115443-252808396-6d4c0000019e33fc25f50aa08269_800_800.jpg?w=640&amp;h=640")</f>
        <v>https://si.geilicdn.com/open1839115443-252808396-6d4c0000019e33fc25f50aa08269_800_800.jpg?w=640&amp;h=640</v>
      </c>
      <c r="F27" t="inlineStr">
        <is>
          <t>Sweatshirt</t>
        </is>
      </c>
      <c r="G27" t="inlineStr">
        <is>
          <t>Syna World</t>
        </is>
      </c>
      <c r="H27">
        <v>222</v>
      </c>
      <c r="I27">
        <v>32.17</v>
      </c>
      <c r="J27" t="inlineStr">
        <is>
          <t>{"id":"resp_0670c1089a597125016a0ab5ace6848199a2e6615a06db2a1c","object":"chat.completion","created":1779086768,"model":"gpt-5.5","choices":[{"index":0,"message":{"role":"assistant","content":"Syna World Grey Black Colorblock Embroidered Hoodie"},"finish_reason":"stop"}],"usage":{"prompt_tokens":725,"completion_tokens":128,"total_tokens":853}}</t>
        </is>
      </c>
      <c r="K27" t="inlineStr">
        <is>
          <t>Syna World Grey Black Colorblock Embroidered Hoodie</t>
        </is>
      </c>
      <c r="L27" t="inlineStr">
        <is>
          <t>{"id":"resp_0dfc888aaa76a7fc016a0ab50b297481939047f91797720d79","object":"chat.completion","created":1779086605,"model":"gpt-5.5","choices":[{"index":0,"message":{"role":"assistant","content":"Syna World grey black colorblock hooded sweatshirt, cotton blend, blue logo embroidery, loose streetwear sports hoodie, unisex casual top."},"finish_reason":"stop"}],"usage":{"prompt_tokens":748,"completion_tokens":104,"total_tokens":852}}</t>
        </is>
      </c>
      <c r="M27" t="inlineStr">
        <is>
          <t>{"alt-svc":"h3=\":443\"; ma=2592000","connection":"close","content-length":"432","content-type":"application/json; charset=utf-8","date":"Mon, 18 May 2026 06:43:25 GMT","referrer-policy":"strict-origin-when-cross-origin","server":"Caddy","strict-transport-security":"max-age=31536000; includeSubDomains; preload","vary":"Accept-Encoding","x-content-type-options":"nosniff","x-frame-options":"DENY","x-new-api-version":"v1.0.0-rc.2","x-oneapi-request-id":"202605180643228040932518268d9d6o6au9sBI","x-request-id":"a4d1e300-8a72-430c-a544-0737463cc93f"}</t>
        </is>
      </c>
      <c r="N27" t="inlineStr">
        <is>
          <t>Syna World grey black colorblock hooded sweatshirt, cotton blend, blue logo embroidery, loose streetwear sports hoodie, unisex casual top.</t>
        </is>
      </c>
      <c r="O27" t="inlineStr">
        <is>
          <t>{"id":"resp_01973a381318113b016a0ab770c4048199886eeb14918c7903","object":"chat.completion","created":1779087222,"model":"gpt-5.5","choices":[{"index":0,"message":{"role":"assistant","content":"Syna World Sweatshirt kakobuy, Syna World Sweatshirt kakebuy2026, Syna World Sweatshirt kekobuysheet, Syna World Sweatshirt kakobuysheet2026, Syna World Sweatshirt 2026kakobuy, Syna World Sweatshirt kakobuyspreadsheeet, Syna World Sweatshirt kakobuylink, Syna World Sweatshirt kakebuylist, Syna World Sweatshirt Kakobuy MEGA Spreadsheet, Syna World Sweatshirt kakobuysheetfind, Syna World Sweatshirt kakobuysheetfind2026, Syna World Sweatshirt 2026kakobuysheetfind, Syna World Sweatshirt kakobuysheet2026"},"finish_reason":"stop"}],"usage":{"prompt_tokens":646,"completion_tokens":249,"total_tokens":895}}</t>
        </is>
      </c>
      <c r="P27" t="inlineStr">
        <is>
          <t>Syna World Sweatshirt kakobuy, Syna World Sweatshirt kakebuy2026, Syna World Sweatshirt kekobuysheet, Syna World Sweatshirt kakobuysheet2026, Syna World Sweatshirt 2026kakobuy, Syna World Sweatshirt kakobuyspreadsheeet, Syna World Sweatshirt kakobuylink, Syna World Sweatshirt kakebuylist, Syna World Sweatshirt Kakobuy MEGA Spreadsheet, Syna World Sweatshirt kakobuysheetfind, Syna World Sweatshirt kakobuysheetfind2026, Syna World Sweatshirt 2026kakobuysheetfind, Syna World Sweatshirt kakobuysheet2026</t>
        </is>
      </c>
      <c r="Q27" t="inlineStr">
        <is>
          <t>Color Block, Streetwear, Unisex, Grey</t>
        </is>
      </c>
      <c r="R27" t="inlineStr">
        <is>
          <t>recvjR8RzVUqYP</t>
        </is>
      </c>
      <c r="S27" t="inlineStr">
        <is>
          <t>syna-world-grey-black-colorblock-embroidered-hoodie-recvjr8rzvuqyp</t>
        </is>
      </c>
      <c r="T27"/>
      <c r="U27"/>
      <c r="V27"/>
      <c r="W27" t="inlineStr">
        <is>
          <t>{"id":"resp_0bee036b72aace62016a0ab2cacb2c81959d82fd948b4d1b42","object":"chat.completion","created":1779086033,"model":"gpt-5.5","choices":[{"index":0,"message":{"role":"assistant","content":"英伦潮牌Syna World灰黑拼色连帽卫衣，棉混纺舒适面料，蓝色Logo刺绣，宽松街头运动风，男女同款休闲上衣。"},"finish_reason":"stop"}],"usage":{"prompt_tokens":1168,"completion_tokens":281,"total_tokens":1449}}</t>
        </is>
      </c>
      <c r="X27" t="inlineStr">
        <is>
          <t>英伦潮牌Syna World灰黑拼色连帽卫衣，棉混纺舒适面料，蓝色Logo刺绣，宽松街头运动风，男女同款休闲上衣。</t>
        </is>
      </c>
    </row>
    <row r="28" ht="25.5" customHeight="1">
      <c r="A28">
        <v>1839115443</v>
      </c>
      <c r="B28">
        <v>7768691536</v>
      </c>
      <c r="C28" s="2" t="str">
        <f>=HYPERLINK("https://weidian.com/item.html?itemID=7768691536", "https://weidian.com/item.html?itemID=7768691536")</f>
        <v>https://weidian.com/item.html?itemID=7768691536</v>
      </c>
      <c r="D28"/>
      <c r="E28" s="2" t="str">
        <f>=HYPERLINK("https://si.geilicdn.com/open1839115443-252808396-018f0000019e3406fb2a0a22d249_1200_1200.jpg?w=640&amp;h=640", "https://si.geilicdn.com/open1839115443-252808396-018f0000019e3406fb2a0a22d249_1200_1200.jpg?w=640&amp;h=640")</f>
        <v>https://si.geilicdn.com/open1839115443-252808396-018f0000019e3406fb2a0a22d249_1200_1200.jpg?w=640&amp;h=640</v>
      </c>
      <c r="F28" t="inlineStr">
        <is>
          <t>Pans</t>
        </is>
      </c>
      <c r="G28" t="inlineStr">
        <is>
          <t>Kailas</t>
        </is>
      </c>
      <c r="H28">
        <v>373</v>
      </c>
      <c r="I28">
        <v>54.06</v>
      </c>
      <c r="J28" t="inlineStr">
        <is>
          <t>{"id":"resp_0fae64090aca4db7016a0ab6166358819896a0d9955d1b65f1","object":"chat.completion","created":1779086876,"model":"gpt-5.5","choices":[{"index":0,"message":{"role":"assistant","content":"Kailas Men's Quick Dry Hiking Pants Lightweight Trousers"},"finish_reason":"stop"}],"usage":{"prompt_tokens":667,"completion_tokens":249,"total_tokens":916}}</t>
        </is>
      </c>
      <c r="K28" t="inlineStr">
        <is>
          <t>Kailas Men's Quick Dry Hiking Pants Lightweight Trousers</t>
        </is>
      </c>
      <c r="L28" t="inlineStr">
        <is>
          <t>{"error":{"message":"openai_error","type":"new_api_error","param":"","code":"bad_response_status_code"}}</t>
        </is>
      </c>
      <c r="M28" t="inlineStr">
        <is>
          <t>{"alt-svc":"h3=\":443\"; ma=2592000","connection":"close","content-length":"104","content-type":"application/json; charset=utf-8","date":"Mon, 18 May 2026 06:44:15 GMT","server":"Caddy","x-new-api-version":"v0.0.0","x-oneapi-request-id":"B202605180644059253664088268d9d6YDJCVD4ZSlave1"}</t>
        </is>
      </c>
      <c r="N28"/>
      <c r="O28" t="inlineStr">
        <is>
          <t>{"id":"resp_0067ace30c90fa49016a0ab74a074481998fffaff87f474c7e","object":"chat.completion","created":1779087184,"model":"gpt-5.5","choices":[{"index":0,"message":{"role":"assistant","content":"Kailas pants kakobuy, Kailas pants kakebuy2026, Kailas pants kekobuysheet, Kailas pants kakobuysheet2026, Kailas pants 2026kakobuy, Kailas pants kakobuyspreadsheeet, Kailas pants kakobuylink, Kailas pants kakebuylist, Kailas pants Kakobuy MEGA Spreadsheet, Kailas pants kakobuysheetfind, Kailas pants kakobuysheetfind2026, Kailas pants 2026kakobuysheetfind, Kailas pants kakobuysheet2026"},"finish_reason":"stop"}],"usage":{"prompt_tokens":645,"completion_tokens":278,"total_tokens":923}}</t>
        </is>
      </c>
      <c r="P28" t="inlineStr">
        <is>
          <t>Kailas pants kakobuy, Kailas pants kakebuy2026, Kailas pants kekobuysheet, Kailas pants kakobuysheet2026, Kailas pants 2026kakobuy, Kailas pants kakobuyspreadsheeet, Kailas pants kakobuylink, Kailas pants kakebuylist, Kailas pants Kakobuy MEGA Spreadsheet, Kailas pants kakobuysheetfind, Kailas pants kakobuysheetfind2026, Kailas pants 2026kakobuysheetfind, Kailas pants kakobuysheet2026</t>
        </is>
      </c>
      <c r="Q28"/>
      <c r="R28" t="inlineStr">
        <is>
          <t>recvjR8RzVc2jv</t>
        </is>
      </c>
      <c r="S28" t="inlineStr">
        <is>
          <t>kailas-men-quick-dry-hiking-pants-recvjr8rzvc2jv</t>
        </is>
      </c>
      <c r="T28"/>
      <c r="U28"/>
      <c r="V28"/>
      <c r="W28" t="inlineStr">
        <is>
          <t>{"id":"resp_0458df1e8d462bd2016a0ab3182144819b8041c627fb94471b","object":"chat.completion","created":1779086119,"model":"gpt-5.5","choices":[{"index":0,"message":{"role":"assistant","content":"凯乐石Kailas户外灰色速干冲锋长裤，轻薄耐磨面料，立体剪裁多袋设计，男女通用户外徒步登山休闲裤"},"finish_reason":"stop"}],"usage":{"prompt_tokens":1171,"completion_tokens":210,"total_tokens":1381}}</t>
        </is>
      </c>
      <c r="X28" t="inlineStr">
        <is>
          <t>凯乐石Kailas户外灰色速干冲锋长裤，轻薄耐磨面料，立体剪裁多袋设计，男女通用户外徒步登山休闲裤</t>
        </is>
      </c>
    </row>
    <row r="29" ht="25.5" customHeight="1">
      <c r="A29">
        <v>1839115443</v>
      </c>
      <c r="B29">
        <v>7766060587</v>
      </c>
      <c r="C29" s="2" t="str">
        <f>=HYPERLINK("https://weidian.com/item.html?itemID=7766060587", "https://weidian.com/item.html?itemID=7766060587")</f>
        <v>https://weidian.com/item.html?itemID=7766060587</v>
      </c>
      <c r="D29"/>
      <c r="E29" s="2" t="str">
        <f>=HYPERLINK("https://si.geilicdn.com/open1839115443-252808396-74ed0000019e34066f880a231226_799_799.jpg?w=640&amp;h=640", "https://si.geilicdn.com/open1839115443-252808396-74ed0000019e34066f880a231226_799_799.jpg?w=640&amp;h=640")</f>
        <v>https://si.geilicdn.com/open1839115443-252808396-74ed0000019e34066f880a231226_799_799.jpg?w=640&amp;h=640</v>
      </c>
      <c r="F29" t="inlineStr">
        <is>
          <t>Hoodies</t>
        </is>
      </c>
      <c r="G29" t="inlineStr">
        <is>
          <t>Driplord</t>
        </is>
      </c>
      <c r="H29">
        <v>211</v>
      </c>
      <c r="I29">
        <v>30.58</v>
      </c>
      <c r="J29" t="inlineStr">
        <is>
          <t>{"id":"resp_0c08825202627a06016a0ab5aec95c819a9116ab9a05a4a1d6","object":"chat.completion","created":1779086770,"model":"gpt-5.5","choices":[{"index":0,"message":{"role":"assistant","content":"HoodiesDriplord Leopard Lined Zip Up Hoodie Jacket"},"finish_reason":"stop"}],"usage":{"prompt_tokens":668,"completion_tokens":108,"total_tokens":776}}</t>
        </is>
      </c>
      <c r="K29" t="inlineStr">
        <is>
          <t>HoodiesDriplord Leopard Lined Zip Up Hoodie Jacket</t>
        </is>
      </c>
      <c r="L29" t="inlineStr">
        <is>
          <t>{"error":{"message":"openai_error","type":"new_api_error","param":"","code":"bad_response_status_code"}}</t>
        </is>
      </c>
      <c r="M29" t="inlineStr">
        <is>
          <t>{"alt-svc":"h3=\":443\"; ma=2592000","connection":"close","content-length":"104","content-type":"application/json; charset=utf-8","date":"Mon, 18 May 2026 06:44:06 GMT","via":"1.1 Caddy","x-new-api-version":"v0.0.0","x-oneapi-request-id":"B202605180643563119843518268d9d6DEiyw1yrMaster"}</t>
        </is>
      </c>
      <c r="N29"/>
      <c r="O29" t="inlineStr">
        <is>
          <t>{"id":"resp_0f882b6719ecd272016a0ab853f5c8819a9811f1cde27e97b5","object":"chat.completion","created":1779087449,"model":"gpt-5.5","choices":[{"index":0,"message":{"role":"assistant","content":"HoodiesDriplord, Hoodies, kakobuy, kakebuy2026, kekobuysheet, kakobuysheet2026, 2026kakobuy, kakobuyspreadsheeet, kakobuylink, kakebuylist, Kakobuy MEGA Spreadsheet, kakobuysheetfind, kakobuysheetfind2026, 2026kakobuysheetfind, kakobuysheet2026"},"finish_reason":"stop"}],"usage":{"prompt_tokens":646,"completion_tokens":265,"total_tokens":911}}</t>
        </is>
      </c>
      <c r="P29" t="inlineStr">
        <is>
          <t>HoodiesDriplord, Hoodies, kakobuy, kakebuy2026, kekobuysheet, kakobuysheet2026, 2026kakobuy, kakobuyspreadsheeet, kakobuylink, kakebuylist, Kakobuy MEGA Spreadsheet, kakobuysheetfind, kakobuysheetfind2026, 2026kakobuysheetfind, kakobuysheet2026</t>
        </is>
      </c>
      <c r="Q29"/>
      <c r="R29" t="inlineStr">
        <is>
          <t>recvjR8RzVSmir</t>
        </is>
      </c>
      <c r="S29" t="inlineStr">
        <is>
          <t>hoodiesdriplord-leopard-lined-zip-hoodie-recvjr8rzvsmir</t>
        </is>
      </c>
      <c r="T29"/>
      <c r="U29"/>
      <c r="V29"/>
      <c r="W29" t="inlineStr">
        <is>
          <t>{"id":"resp_0096150b9e342552016a0ab2e37674819b9e180bab90cc825c","object":"chat.completion","created":1779086056,"model":"gpt-5.5","choices":[{"index":0,"message":{"role":"assistant","content":"潮牌Driplord灰色豹纹拼接拉链连帽卫衣，柔软针织棉面料，保暖舒适，抽绳帽袋鼠兜设计，男女同款街头休闲外套"},"finish_reason":"stop"}],"usage":{"prompt_tokens":1162,"completion_tokens":192,"total_tokens":1354}}</t>
        </is>
      </c>
      <c r="X29" t="inlineStr">
        <is>
          <t>潮牌Driplord灰色豹纹拼接拉链连帽卫衣，柔软针织棉面料，保暖舒适，抽绳帽袋鼠兜设计，男女同款街头休闲外套</t>
        </is>
      </c>
    </row>
    <row r="30" ht="25.5" customHeight="1">
      <c r="A30">
        <v>1839115443</v>
      </c>
      <c r="B30">
        <v>7766088027</v>
      </c>
      <c r="C30" s="2" t="str">
        <f>=HYPERLINK("https://weidian.com/item.html?itemID=7766088027", "https://weidian.com/item.html?itemID=7766088027")</f>
        <v>https://weidian.com/item.html?itemID=7766088027</v>
      </c>
      <c r="D30"/>
      <c r="E30" s="2" t="str">
        <f>=HYPERLINK("https://si.geilicdn.com/open1839115443-252808396-6f5c0000019e340647160aa08269_1200_1200.jpg?w=640&amp;h=640", "https://si.geilicdn.com/open1839115443-252808396-6f5c0000019e340647160aa08269_1200_1200.jpg?w=640&amp;h=640")</f>
        <v>https://si.geilicdn.com/open1839115443-252808396-6f5c0000019e340647160aa08269_1200_1200.jpg?w=640&amp;h=640</v>
      </c>
      <c r="F30" t="inlineStr">
        <is>
          <t>T-Shirts</t>
        </is>
      </c>
      <c r="G30" t="inlineStr">
        <is>
          <t xml:space="preserve">Carhartt </t>
        </is>
      </c>
      <c r="H30">
        <v>163</v>
      </c>
      <c r="I30">
        <v>23.62</v>
      </c>
      <c r="J30" t="inlineStr">
        <is>
          <t>{"id":"resp_002fc8bb44ae2c22016a0ab6334cb4819bae7b9a04cd1eceed","object":"chat.completion","created":1779086904,"model":"gpt-5.5","choices":[{"index":0,"message":{"role":"assistant","content":"Carhartt Gray Vintage Washed Cotton C Logo T-Shirt Unisex"},"finish_reason":"stop"}],"usage":{"prompt_tokens":733,"completion_tokens":193,"total_tokens":926}}</t>
        </is>
      </c>
      <c r="K30" t="inlineStr">
        <is>
          <t>Carhartt Gray Vintage Washed Cotton C Logo T-Shirt Unisex</t>
        </is>
      </c>
      <c r="L30" t="inlineStr">
        <is>
          <t>{"id":"resp_0514532523cbf7b3016a0ab55857b48199b8666f4919ea8b60","object":"chat.completion","created":1779086693,"model":"gpt-5.5","choices":[{"index":0,"message":{"role":"assistant","content":"Carhartt gray vintage washed T-shirt, 100% cotton crew neck, loose fit short sleeve with small C embroidered logo, unisex American workwear casual top"},"finish_reason":"stop"}],"usage":{"prompt_tokens":745,"completion_tokens":120,"total_tokens":865}}</t>
        </is>
      </c>
      <c r="M30" t="inlineStr">
        <is>
          <t>{"alt-svc":"h3=\":443\"; ma=2592000","connection":"close","content-length":"444","content-type":"application/json; charset=utf-8","date":"Mon, 18 May 2026 06:44:53 GMT","referrer-policy":"strict-origin-when-cross-origin","server":"nginx/1.24.0 (Ubuntu)","strict-transport-security":"max-age=31536000; includeSubDomains; preload","vary":"Accept-Encoding","via":"1.1 Caddy","x-content-type-options":"nosniff","x-frame-options":"DENY","x-new-api-version":"v1.0.0-rc.2","x-oneapi-request-id":"202605180644396600471828268d9d6x1uZCWjZ","x-request-id":"dc7dc4e0-f452-4d1e-8e19-cee84f83422a"}</t>
        </is>
      </c>
      <c r="N30" t="inlineStr">
        <is>
          <t>Carhartt gray vintage washed T-shirt, 100% cotton crew neck, loose fit short sleeve with small C embroidered logo, unisex American workwear casual top</t>
        </is>
      </c>
      <c r="O30" t="inlineStr">
        <is>
          <t>{"id":"resp_0f7c9244bf4b5668016a0ab80fff6c8196bf61345da1238298","object":"chat.completion","created":1779087384,"model":"gpt-5.5","choices":[{"index":0,"message":{"role":"assistant","content":"Carhartt T-Shirts kakobuy, Carhartt T-Shirts kakebuy2026, Carhartt T-Shirts kekobuysheet, Carhartt T-Shirts kakobuysheet2026, Carhartt T-Shirts 2026kakobuy, Carhartt T-Shirts kakobuyspreadsheeet, Carhartt T-Shirts kakobuylink, Carhartt T-Shirts kakebuylist, Carhartt T-Shirts Kakobuy MEGA Spreadsheet, Carhartt T-Shirts kakobuysheetfind, Carhartt T-Shirts kakobuysheetfind2026, Carhartt T-Shirts 2026kakobuysheetfind"},"finish_reason":"stop"}],"usage":{"prompt_tokens":645,"completion_tokens":432,"total_tokens":1077}}</t>
        </is>
      </c>
      <c r="P30" t="inlineStr">
        <is>
          <t>Carhartt T-Shirts kakobuy, Carhartt T-Shirts kakebuy2026, Carhartt T-Shirts kekobuysheet, Carhartt T-Shirts kakobuysheet2026, Carhartt T-Shirts 2026kakobuy, Carhartt T-Shirts kakobuyspreadsheeet, Carhartt T-Shirts kakobuylink, Carhartt T-Shirts kakebuylist, Carhartt T-Shirts Kakobuy MEGA Spreadsheet, Carhartt T-Shirts kakobuysheetfind, Carhartt T-Shirts kakobuysheetfind2026, Carhartt T-Shirts 2026kakobuysheetfind</t>
        </is>
      </c>
      <c r="Q30" t="inlineStr">
        <is>
          <t>Gray, Vintage, Workwear, Unisex</t>
        </is>
      </c>
      <c r="R30" t="inlineStr">
        <is>
          <t>recvjR8RzVik5q</t>
        </is>
      </c>
      <c r="S30" t="inlineStr">
        <is>
          <t>carhartt-gray-vintage-washed-c-logo-t-shirt-recvjr8rzvik5q</t>
        </is>
      </c>
      <c r="T30"/>
      <c r="U30"/>
      <c r="V30"/>
      <c r="W30" t="inlineStr">
        <is>
          <t>{"id":"resp_05e7f88008e4842d016a0ab24921a88198a6396782c7b9b3ce","object":"chat.completion","created":1779085902,"model":"gpt-5.5","choices":[{"index":0,"message":{"role":"assistant","content":"卡哈特灰色复古水洗短袖T恤，纯棉圆领宽松版型，小C刺绣Logo点缀，男女同款美式工装休闲上衣"},"finish_reason":"stop"}],"usage":{"prompt_tokens":1167,"completion_tokens":165,"total_tokens":1332}}</t>
        </is>
      </c>
      <c r="X30" t="inlineStr">
        <is>
          <t>卡哈特灰色复古水洗短袖T恤，纯棉圆领宽松版型，小C刺绣Logo点缀，男女同款美式工装休闲上衣</t>
        </is>
      </c>
    </row>
    <row r="31" ht="25.5" customHeight="1">
      <c r="A31">
        <v>1839115443</v>
      </c>
      <c r="B31">
        <v>7765803101</v>
      </c>
      <c r="C31" s="2" t="str">
        <f>=HYPERLINK("https://weidian.com/item.html?itemID=7765803101", "https://weidian.com/item.html?itemID=7765803101")</f>
        <v>https://weidian.com/item.html?itemID=7765803101</v>
      </c>
      <c r="D31"/>
      <c r="E31" s="2" t="str">
        <f>=HYPERLINK("https://si.geilicdn.com/open1839115443-252808396-5c2b0000019e34117a120a8133b0_1278_1278.jpg?w=640&amp;h=640", "https://si.geilicdn.com/open1839115443-252808396-5c2b0000019e34117a120a8133b0_1278_1278.jpg?w=640&amp;h=640")</f>
        <v>https://si.geilicdn.com/open1839115443-252808396-5c2b0000019e34117a120a8133b0_1278_1278.jpg?w=640&amp;h=640</v>
      </c>
      <c r="F31" t="inlineStr">
        <is>
          <t>T-Shirts</t>
        </is>
      </c>
      <c r="G31" t="inlineStr">
        <is>
          <t>Miami</t>
        </is>
      </c>
      <c r="H31">
        <v>146</v>
      </c>
      <c r="I31">
        <v>21.16</v>
      </c>
      <c r="J31" t="inlineStr">
        <is>
          <t>{"id":"resp_0e52638411ee0d99016a0ab5d24edc81988acf1004a845817b","object":"chat.completion","created":1779086807,"model":"gpt-5.5","choices":[{"index":0,"message":{"role":"assistant","content":"BAPE Miami White Camo Ape Head Logo Unisex T-Shirt"},"finish_reason":"stop"}],"usage":{"prompt_tokens":722,"completion_tokens":207,"total_tokens":929}}</t>
        </is>
      </c>
      <c r="K31" t="inlineStr">
        <is>
          <t>BAPE Miami White Camo Ape Head Logo Unisex T-Shirt</t>
        </is>
      </c>
      <c r="L31" t="inlineStr">
        <is>
          <t>{"id":"resp_0c142eb010b3ab53016a0ab4eb4af0819bba91f8f7b0717f8b","object":"chat.completion","created":1779086575,"model":"gpt-5.5","choices":[{"index":0,"message":{"role":"assistant","content":"BAPE Miami limited white camo T-shirt, Ape Head and MIAMI logo print, soft cotton unisex streetwear casual short sleeve tee."},"finish_reason":"stop"}],"usage":{"prompt_tokens":746,"completion_tokens":126,"total_tokens":872}}</t>
        </is>
      </c>
      <c r="M31" t="inlineStr">
        <is>
          <t>{"alt-svc":"h3=\":443\"; ma=2592000","connection":"close","content-length":"418","content-type":"application/json; charset=utf-8","date":"Mon, 18 May 2026 06:42:55 GMT","referrer-policy":"strict-origin-when-cross-origin","server":"nginx/1.24.0 (Ubuntu)","strict-transport-security":"max-age=31536000; includeSubDomains; preload","vary":"Accept-Encoding","via":"1.1 Caddy","x-content-type-options":"nosniff","x-frame-options":"DENY","x-new-api-version":"v1.0.0-rc.2","x-oneapi-request-id":"202605180642508738310328268d9d6ixkGsTQo","x-request-id":"aa76577b-fd48-49bf-8538-16552eca416e"}</t>
        </is>
      </c>
      <c r="N31" t="inlineStr">
        <is>
          <t>BAPE Miami limited white camo T-shirt, Ape Head and MIAMI logo print, soft cotton unisex streetwear casual short sleeve tee.</t>
        </is>
      </c>
      <c r="O31" t="inlineStr">
        <is>
          <t>{"id":"resp_0a3482fdfbe6261f016a0ab85f69d88199a610c63a8905b74f","object":"chat.completion","created":1779087463,"model":"gpt-5.5","choices":[{"index":0,"message":{"role":"assistant","content":"BAPE, T-Shirts, Miami, kakobuy, kakebuy2026, kekobuysheet, kakobuysheet2026, 2026kakobuy, kakobuyspreadsheeet, kakobuylink, kakebuylist, Kakobuy MEGA Spreadsheet, kakobuysheetfind, kakobuysheetfind2026, 2026kakobuysheetfind, kakobuysheet2026"},"finish_reason":"stop"}],"usage":{"prompt_tokens":643,"completion_tokens":375,"total_tokens":1018}}</t>
        </is>
      </c>
      <c r="P31" t="inlineStr">
        <is>
          <t>BAPE, T-Shirts, Miami, kakobuy, kakebuy2026, kekobuysheet, kakobuysheet2026, 2026kakobuy, kakobuyspreadsheeet, kakobuylink, kakebuylist, Kakobuy MEGA Spreadsheet, kakobuysheetfind, kakobuysheetfind2026, 2026kakobuysheetfind, kakobuysheet2026</t>
        </is>
      </c>
      <c r="Q31" t="inlineStr">
        <is>
          <t>BAPE, White, Streetwear, Unisex</t>
        </is>
      </c>
      <c r="R31" t="inlineStr">
        <is>
          <t>recvjR8RzV2PpN</t>
        </is>
      </c>
      <c r="S31" t="inlineStr">
        <is>
          <t>bape-miami-white-camo-ape-head-logo-unisex-t-shirt-recvjr8rzv2ppn</t>
        </is>
      </c>
      <c r="T31"/>
      <c r="U31"/>
      <c r="V31"/>
      <c r="W31" t="inlineStr">
        <is>
          <t>{"id":"resp_0d94a9273c242d93016a0ab28437e881939da44ef99321fe36","object":"chat.completion","created":1779085960,"model":"gpt-5.5","choices":[{"index":0,"message":{"role":"assistant","content":"迈阿密限定白色迷彩短袖T恤，BAPE猿人头与MIAMI字母印花，亲肤棉质，男女同款街头休闲潮牌上衣"},"finish_reason":"stop"}],"usage":{"prompt_tokens":1169,"completion_tokens":170,"total_tokens":1339}}</t>
        </is>
      </c>
      <c r="X31" t="inlineStr">
        <is>
          <t>迈阿密限定白色迷彩短袖T恤，BAPE猿人头与MIAMI字母印花，亲肤棉质，男女同款街头休闲潮牌上衣</t>
        </is>
      </c>
    </row>
    <row r="32" ht="25.5" customHeight="1">
      <c r="A32">
        <v>1839115443</v>
      </c>
      <c r="B32">
        <v>7766078393</v>
      </c>
      <c r="C32" s="2" t="str">
        <f>=HYPERLINK("https://weidian.com/item.html?itemID=7766078393", "https://weidian.com/item.html?itemID=7766078393")</f>
        <v>https://weidian.com/item.html?itemID=7766078393</v>
      </c>
      <c r="D32"/>
      <c r="E32" s="2" t="str">
        <f>=HYPERLINK("https://si.geilicdn.com/open1839115443-252808396-79e30000019e341218160aa08239_1280_1280.jpg?w=640&amp;h=640", "https://si.geilicdn.com/open1839115443-252808396-79e30000019e341218160aa08239_1280_1280.jpg?w=640&amp;h=640")</f>
        <v>https://si.geilicdn.com/open1839115443-252808396-79e30000019e341218160aa08239_1280_1280.jpg?w=640&amp;h=640</v>
      </c>
      <c r="F32" t="inlineStr">
        <is>
          <t>Pans</t>
        </is>
      </c>
      <c r="G32" t="inlineStr">
        <is>
          <t xml:space="preserve">Stone Island </t>
        </is>
      </c>
      <c r="H32">
        <v>247</v>
      </c>
      <c r="I32">
        <v>35.8</v>
      </c>
      <c r="J32" t="inlineStr">
        <is>
          <t>{"id":"resp_025972c351f378ff016a0ab6aa7190819095feebc13eb65b59","object":"chat.completion","created":1779087022,"model":"gpt-5.5","choices":[{"index":0,"message":{"role":"assistant","content":"Stone Island Khaki Cargo Shorts Compass Badge Utility"},"finish_reason":"stop"}],"usage":{"prompt_tokens":721,"completion_tokens":201,"total_tokens":922}}</t>
        </is>
      </c>
      <c r="K32" t="inlineStr">
        <is>
          <t>Stone Island Khaki Cargo Shorts Compass Badge Utility</t>
        </is>
      </c>
      <c r="L32" t="inlineStr">
        <is>
          <t>{"id":"resp_0ba94221539ffb68016a0ab4ebf6008198abe9c0b887fda8a8","object":"chat.completion","created":1779086575,"model":"gpt-5.5","choices":[{"index":0,"message":{"role":"assistant","content":"Stone Island khaki cargo shorts, cotton casual fabric, multi-pocket utility design, compass badge, unisex streetwear outdoor knee-length shorts."},"finish_reason":"stop"}],"usage":{"prompt_tokens":744,"completion_tokens":114,"total_tokens":858}}</t>
        </is>
      </c>
      <c r="M32" t="inlineStr">
        <is>
          <t>{"alt-svc":"h3=\":443\"; ma=2592000","connection":"close","content-length":"438","content-type":"application/json; charset=utf-8","date":"Mon, 18 May 2026 06:42:55 GMT","referrer-policy":"strict-origin-when-cross-origin","server":"Caddy","strict-transport-security":"max-age=31536000; includeSubDomains; preload","vary":"Accept-Encoding","x-content-type-options":"nosniff","x-frame-options":"DENY","x-new-api-version":"v1.0.0-rc.2","x-oneapi-request-id":"202605180642504734328668268d9d63N7OKEyy","x-request-id":"1d2d643a-f6dd-4fd8-ad38-327391d16da8"}</t>
        </is>
      </c>
      <c r="N32" t="inlineStr">
        <is>
          <t>Stone Island khaki cargo shorts, cotton casual fabric, multi-pocket utility design, compass badge, unisex streetwear outdoor knee-length shorts.</t>
        </is>
      </c>
      <c r="O32" t="inlineStr">
        <is>
          <t>{"id":"resp_0d4331ab08f4f859016a0ab82cd1048199ad8c478440e52dda","object":"chat.completion","created":1779087418,"model":"gpt-5.5","choices":[{"index":0,"message":{"role":"assistant","content":"Stone Island, Pants, kakobuy, Stone Island, Pants, kakebuy2026, Stone Island, Pants, kekobuysheet, Stone Island, Pants, kakobuysheet2026, Stone Island, Pants, 2026kakobuy, Stone Island, Pants, kakobuyspreadsheeet, Stone Island, Pants, kakobuylink, Stone Island, Pants, kakebuylist, Stone Island, Pants, Kakobuy MEGA Spreadsheet, Stone Island, Pants, kakobuysheetfind, Stone Island, Pants, kakobuysheetfind2026, Stone Island, Pants, 2026kakobuysheetfind, Stone Island, Pants, kakobuysheet2026"},"finish_reason":"stop"}],"usage":{"prompt_tokens":644,"completion_tokens":667,"total_tokens":1311}}</t>
        </is>
      </c>
      <c r="P32" t="inlineStr">
        <is>
          <t>Stone Island, Pants, kakobuy, Stone Island, Pants, kakebuy2026, Stone Island, Pants, kekobuysheet, Stone Island, Pants, kakobuysheet2026, Stone Island, Pants, 2026kakobuy, Stone Island, Pants, kakobuyspreadsheeet, Stone Island, Pants, kakobuylink, Stone Island, Pants, kakebuylist, Stone Island, Pants, Kakobuy MEGA Spreadsheet, Stone Island, Pants, kakobuysheetfind, Stone Island, Pants, kakobuysheetfind2026, Stone Island, Pants, 2026kakobuysheetfind, Stone Island, Pants, kakobuysheet2026</t>
        </is>
      </c>
      <c r="Q32" t="inlineStr">
        <is>
          <t>Cargo, Streetwear, Outdoor, Unisex</t>
        </is>
      </c>
      <c r="R32" t="inlineStr">
        <is>
          <t>recvjR8RzVNvr6</t>
        </is>
      </c>
      <c r="S32" t="inlineStr">
        <is>
          <t>stone-island-khaki-cargo-shorts-compass-recvjr8rzvnvr6</t>
        </is>
      </c>
      <c r="T32"/>
      <c r="U32"/>
      <c r="V32"/>
      <c r="W32" t="inlineStr">
        <is>
          <t>{"id":"resp_0da2ec2244bb5b06016a0ab2309c448199909d21c4adbcd1e1","object":"chat.completion","created":1779085876,"model":"gpt-5.5","choices":[{"index":0,"message":{"role":"assistant","content":"石头岛 Stone Island 卡其色工装短裤，棉质休闲面料，多口袋机能设计，罗盘臂章标识，男女通用街头户外潮流五分裤"},"finish_reason":"stop"}],"usage":{"prompt_tokens":1161,"completion_tokens":159,"total_tokens":1320}}</t>
        </is>
      </c>
      <c r="X32" t="inlineStr">
        <is>
          <t>石头岛 Stone Island 卡其色工装短裤，棉质休闲面料，多口袋机能设计，罗盘臂章标识，男女通用街头户外潮流五分裤</t>
        </is>
      </c>
    </row>
    <row r="33" ht="25.5" customHeight="1">
      <c r="A33">
        <v>1839115443</v>
      </c>
      <c r="B33">
        <v>7769011258</v>
      </c>
      <c r="C33" s="2" t="str">
        <f>=HYPERLINK("https://weidian.com/item.html?itemID=7769011258", "https://weidian.com/item.html?itemID=7769011258")</f>
        <v>https://weidian.com/item.html?itemID=7769011258</v>
      </c>
      <c r="D33"/>
      <c r="E33" s="2" t="str">
        <f>=HYPERLINK("https://si.geilicdn.com/open1839115443-252808396-7ef80000019e3411d8ca0a23b491_800_800.jpg?w=640&amp;h=640", "https://si.geilicdn.com/open1839115443-252808396-7ef80000019e3411d8ca0a23b491_800_800.jpg?w=640&amp;h=640")</f>
        <v>https://si.geilicdn.com/open1839115443-252808396-7ef80000019e3411d8ca0a23b491_800_800.jpg?w=640&amp;h=640</v>
      </c>
      <c r="F33" t="inlineStr">
        <is>
          <t>Jackets</t>
        </is>
      </c>
      <c r="G33" t="inlineStr">
        <is>
          <t>Kailas</t>
        </is>
      </c>
      <c r="H33">
        <v>163</v>
      </c>
      <c r="I33">
        <v>23.62</v>
      </c>
      <c r="J33" t="inlineStr">
        <is>
          <t>{"id":"resp_0931dc4584fa80d2016a0ab5e65e6c81999261bde133bd413c","object":"chat.completion","created":1779086827,"model":"gpt-5.5","choices":[{"index":0,"message":{"role":"assistant","content":"Kailas Cream Semi-Sheer Hooded UV Sun Jacket Windbreaker"},"finish_reason":"stop"}],"usage":{"prompt_tokens":721,"completion_tokens":226,"total_tokens":947}}</t>
        </is>
      </c>
      <c r="K33" t="inlineStr">
        <is>
          <t>Kailas Cream Semi-Sheer Hooded UV Sun Jacket Windbreaker</t>
        </is>
      </c>
      <c r="L33" t="inlineStr">
        <is>
          <t>{"id":"resp_047e1c4696f94b6a016a0ab5264efc81988a40b1592205c844","object":"chat.completion","created":1779086637,"model":"gpt-5.5","choices":[{"index":0,"message":{"role":"assistant","content":"Kailas cream semi-sheer hooded UV sun jacket, lightweight nylon mesh breathable zip drawstring windbreaker for outdoor casual men women"},"finish_reason":"stop"}],"usage":{"prompt_tokens":747,"completion_tokens":317,"total_tokens":1064}}</t>
        </is>
      </c>
      <c r="M33" t="inlineStr">
        <is>
          <t>{"alt-svc":"h3=\":443\"; ma=2592000","connection":"close","content-length":"430","content-type":"application/json; charset=utf-8","date":"Mon, 18 May 2026 06:43:57 GMT","referrer-policy":"strict-origin-when-cross-origin","server":"nginx/1.24.0 (Ubuntu)","strict-transport-security":"max-age=31536000; includeSubDomains; preload","vary":"Accept-Encoding","via":"1.1 Caddy","x-content-type-options":"nosniff","x-frame-options":"DENY","x-new-api-version":"v1.0.0-rc.2","x-oneapi-request-id":"202605180643499156244508268d9d6u2Cmfwfr","x-request-id":"b118612e-89b2-4665-a88a-5f150b740612"}</t>
        </is>
      </c>
      <c r="N33" t="inlineStr">
        <is>
          <t>Kailas cream semi-sheer hooded UV sun jacket, lightweight nylon mesh breathable zip drawstring windbreaker for outdoor casual men women</t>
        </is>
      </c>
      <c r="O33" t="inlineStr">
        <is>
          <t>{"id":"resp_084c4b4bd0f995a5016a0ab72564d481969755fc1c4bc51ae5","object":"chat.completion","created":1779087147,"model":"gpt-5.5","choices":[{"index":0,"message":{"role":"assistant","content":"Kailas, Jackets, kakobuy, kakebuy2026, kekobuysheet, kakobuysheet2026, 2026kakobuy, kakobuyspreadsheeet, kakobuylink, kakebuylist, Kakobuy MEGA Spreadsheet, kakobuysheetfind, kakobuysheetfind2026, 2026kakobuysheetfind, kakobuysheet2026"},"finish_reason":"stop"}],"usage":{"prompt_tokens":645,"completion_tokens":307,"total_tokens":952}}</t>
        </is>
      </c>
      <c r="P33" t="inlineStr">
        <is>
          <t>Kailas, Jackets, kakobuy, kakebuy2026, kekobuysheet, kakobuysheet2026, 2026kakobuy, kakobuyspreadsheeet, kakobuylink, kakebuylist, Kakobuy MEGA Spreadsheet, kakobuysheetfind, kakobuysheetfind2026, 2026kakobuysheetfind, kakobuysheet2026</t>
        </is>
      </c>
      <c r="Q33" t="inlineStr">
        <is>
          <t>Lightweight, Breathable, Outdoor, Unisex, Nylon, Mesh</t>
        </is>
      </c>
      <c r="R33" t="inlineStr">
        <is>
          <t>recvjR8RzV2qw8</t>
        </is>
      </c>
      <c r="S33" t="inlineStr">
        <is>
          <t>kailas-cream-semi-sheer-hooded-uv-sun-jacket-windbreaker-recvjr8rzv2qw8</t>
        </is>
      </c>
      <c r="T33"/>
      <c r="U33"/>
      <c r="V33"/>
      <c r="W33" t="inlineStr">
        <is>
          <t>{"id":"resp_07418f35a708fe9e016a0ab29723e4819a8898bb0618f0ecfe","object":"chat.completion","created":1779085980,"model":"gpt-5.5","choices":[{"index":0,"message":{"role":"assistant","content":"凯乐石Kailas 米白半透明连帽防晒风衣，轻薄尼龙材质，透气网布拼接，抽绳拉链设计，户外休闲男女夹克外套"},"finish_reason":"stop"}],"usage":{"prompt_tokens":1167,"completion_tokens":229,"total_tokens":1396}}</t>
        </is>
      </c>
      <c r="X33" t="inlineStr">
        <is>
          <t>凯乐石Kailas 米白半透明连帽防晒风衣，轻薄尼龙材质，透气网布拼接，抽绳拉链设计，户外休闲男女夹克外套</t>
        </is>
      </c>
    </row>
    <row r="34" ht="25.5" customHeight="1">
      <c r="A34">
        <v>1839115443</v>
      </c>
      <c r="B34">
        <v>7769062562</v>
      </c>
      <c r="C34" s="2" t="str">
        <f>=HYPERLINK("https://weidian.com/item.html?itemID=7769062562", "https://weidian.com/item.html?itemID=7769062562")</f>
        <v>https://weidian.com/item.html?itemID=7769062562</v>
      </c>
      <c r="D34"/>
      <c r="E34" s="2" t="str">
        <f>=HYPERLINK("https://si.geilicdn.com/open1839115443-252808396-049b0000019e3421e4140a23b491_800_800.jpg?w=640&amp;h=640", "https://si.geilicdn.com/open1839115443-252808396-049b0000019e3421e4140a23b491_800_800.jpg?w=640&amp;h=640")</f>
        <v>https://si.geilicdn.com/open1839115443-252808396-049b0000019e3421e4140a23b491_800_800.jpg?w=640&amp;h=640</v>
      </c>
      <c r="F34" t="inlineStr">
        <is>
          <t>T-Shirts</t>
        </is>
      </c>
      <c r="G34" t="inlineStr">
        <is>
          <t>Essentials</t>
        </is>
      </c>
      <c r="H34">
        <v>121</v>
      </c>
      <c r="I34">
        <v>17.54</v>
      </c>
      <c r="J34" t="inlineStr">
        <is>
          <t>{"id":"resp_0ab8026f8185623e016a0ab5b12e30819a94368b0decf04526","object":"chat.completion","created":1779086774,"model":"gpt-5.5","choices":[{"index":0,"message":{"role":"assistant","content":"Essentials Fear of God Gray Cotton Oversized Logo T-Shirt"},"finish_reason":"stop"}],"usage":{"prompt_tokens":719,"completion_tokens":198,"total_tokens":917}}</t>
        </is>
      </c>
      <c r="K34" t="inlineStr">
        <is>
          <t>Essentials Fear of God Gray Cotton Oversized Logo T-Shirt</t>
        </is>
      </c>
      <c r="L34" t="inlineStr">
        <is>
          <t>{"id":"resp_0161539991672c8e016a0ab4a7c2d4819aa86826f805e5d544","object":"chat.completion","created":1779086506,"model":"gpt-5.5","choices":[{"index":0,"message":{"role":"assistant","content":"Essentials Fear of God gray cotton T-shirt, breathable short sleeve with black back logo print, oversized unisex streetwear casual top."},"finish_reason":"stop"}],"usage":{"prompt_tokens":743,"completion_tokens":90,"total_tokens":833}}</t>
        </is>
      </c>
      <c r="M34" t="inlineStr">
        <is>
          <t>{"alt-svc":"h3=\":443\"; ma=2592000","connection":"close","content-length":"428","content-type":"application/json; charset=utf-8","date":"Mon, 18 May 2026 06:41:46 GMT","referrer-policy":"strict-origin-when-cross-origin","server":"nginx/1.24.0 (Ubuntu)","strict-transport-security":"max-age=31536000; includeSubDomains; preload","vary":"Accept-Encoding","via":"1.1 Caddy","x-content-type-options":"nosniff","x-frame-options":"DENY","x-new-api-version":"v1.0.0-rc.2","x-oneapi-request-id":"202605180641432893433838268d9d6WoKiQUwT","x-request-id":"ea5268e0-21cb-4d46-bd57-a46804de6dfc"}</t>
        </is>
      </c>
      <c r="N34" t="inlineStr">
        <is>
          <t>Essentials Fear of God gray cotton T-shirt, breathable short sleeve with black back logo print, oversized unisex streetwear casual top.</t>
        </is>
      </c>
      <c r="O34" t="inlineStr">
        <is>
          <t>{"id":"resp_0b15bf701c3bcbed016a0ab7de2484819bb03ade5ca97bb1f5","object":"chat.completion","created":1779087332,"model":"gpt-5.5","choices":[{"index":0,"message":{"role":"assistant","content":"Essentials T-Shirts kakobuy, Essentials T-Shirts kakebuy2026, Essentials T-Shirts kekobuysheet, Essentials T-Shirts kakobuysheet2026, Essentials T-Shirts 2026kakobuy, Essentials T-Shirts kakobuyspreadsheeet, Essentials T-Shirts kakobuylink, Essentials T-Shirts kakebuylist, Essentials T-Shirts Kakobuy MEGA Spreadsheet, Essentials T-Shirts kakobuysheetfind, Essentials T-Shirts kakobuysheetfind2026, Essentials T-Shirts 2026kakobuysheetfind, Essentials T-Shirts kakobuysheet2026"},"finish_reason":"stop"}],"usage":{"prompt_tokens":644,"completion_tokens":266,"total_tokens":910}}</t>
        </is>
      </c>
      <c r="P34" t="inlineStr">
        <is>
          <t>Essentials T-Shirts kakobuy, Essentials T-Shirts kakebuy2026, Essentials T-Shirts kekobuysheet, Essentials T-Shirts kakobuysheet2026, Essentials T-Shirts 2026kakobuy, Essentials T-Shirts kakobuyspreadsheeet, Essentials T-Shirts kakobuylink, Essentials T-Shirts kakebuylist, Essentials T-Shirts Kakobuy MEGA Spreadsheet, Essentials T-Shirts kakobuysheetfind, Essentials T-Shirts kakobuysheetfind2026, Essentials T-Shirts 2026kakobuysheetfind, Essentials T-Shirts kakobuysheet2026</t>
        </is>
      </c>
      <c r="Q34" t="inlineStr">
        <is>
          <t>Gray, Breathable, Unisex, Streetwear</t>
        </is>
      </c>
      <c r="R34" t="inlineStr">
        <is>
          <t>recvjR8RzVnZJp</t>
        </is>
      </c>
      <c r="S34" t="inlineStr">
        <is>
          <t>fear-of-god-gray-oversized-logo-tshirt-recvjr8rzvnzjp</t>
        </is>
      </c>
      <c r="T34"/>
      <c r="U34"/>
      <c r="V34"/>
      <c r="W34" t="inlineStr">
        <is>
          <t>{"id":"resp_0e74145cea5847fa016a0ab24e82f8819bb615c79416798e55","object":"chat.completion","created":1779085906,"model":"gpt-5.5","choices":[{"index":0,"message":{"role":"assistant","content":"灰色 Essentials Fear of God 短袖T恤，棉质透气面料，背部黑色Logo印花，宽松廓形，男女同款街头休闲上衣。"},"finish_reason":"stop"}],"usage":{"prompt_tokens":1163,"completion_tokens":140,"total_tokens":1303}}</t>
        </is>
      </c>
      <c r="X34" t="inlineStr">
        <is>
          <t>灰色 Essentials Fear of God 短袖T恤，棉质透气面料，背部黑色Logo印花，宽松廓形，男女同款街头休闲上衣。</t>
        </is>
      </c>
    </row>
    <row r="35" ht="25.5" customHeight="1">
      <c r="A35">
        <v>1839115443</v>
      </c>
      <c r="B35">
        <v>7766023239</v>
      </c>
      <c r="C35" s="2" t="str">
        <f>=HYPERLINK("https://weidian.com/item.html?itemID=7766023239", "https://weidian.com/item.html?itemID=7766023239")</f>
        <v>https://weidian.com/item.html?itemID=7766023239</v>
      </c>
      <c r="D35"/>
      <c r="E35" s="2" t="str">
        <f>=HYPERLINK("https://si.geilicdn.com/open1839115443-252808396-788c0000019e342297840aa08269_800_800.jpg?w=640&amp;h=640", "https://si.geilicdn.com/open1839115443-252808396-788c0000019e342297840aa08269_800_800.jpg?w=640&amp;h=640")</f>
        <v>https://si.geilicdn.com/open1839115443-252808396-788c0000019e342297840aa08269_800_800.jpg?w=640&amp;h=640</v>
      </c>
      <c r="F35" t="inlineStr">
        <is>
          <t>T-Shirts</t>
        </is>
      </c>
      <c r="G35" t="inlineStr">
        <is>
          <t xml:space="preserve">Stone Island </t>
        </is>
      </c>
      <c r="H35">
        <v>153</v>
      </c>
      <c r="I35">
        <v>22.17</v>
      </c>
      <c r="J35" t="inlineStr">
        <is>
          <t>{"id":"resp_030f7fd7b059f29b016a0ab6c757e08199a6795d919ce6d59c","object":"chat.completion","created":1779087051,"model":"gpt-5.5","choices":[{"index":0,"message":{"role":"assistant","content":"Stone Island Mens Logo Patch Short Sleeve Cotton T-Shirt"},"finish_reason":"stop"}],"usage":{"prompt_tokens":666,"completion_tokens":157,"total_tokens":823}}</t>
        </is>
      </c>
      <c r="K35" t="inlineStr">
        <is>
          <t>Stone Island Mens Logo Patch Short Sleeve Cotton T-Shirt</t>
        </is>
      </c>
      <c r="L35" t="inlineStr">
        <is>
          <t>{"error":{"message":"openai_error","type":"new_api_error","param":"","code":"bad_response_status_code"}}</t>
        </is>
      </c>
      <c r="M35" t="inlineStr">
        <is>
          <t>{"alt-svc":"h3=\":443\"; ma=2592000","connection":"close","content-length":"104","content-type":"application/json; charset=utf-8","date":"Mon, 18 May 2026 06:44:07 GMT","via":"1.1 Caddy","x-new-api-version":"v0.0.0","x-oneapi-request-id":"B202605180643572036649268268d9d6KN7lhIuKMaster"}</t>
        </is>
      </c>
      <c r="N35"/>
      <c r="O35" t="inlineStr">
        <is>
          <t>{"id":"resp_0b700582d3aa0c39016a0ab7b39d088198ad1af1c7d77f24d8","object":"chat.completion","created":1779087289,"model":"gpt-5.5","choices":[{"index":0,"message":{"role":"assistant","content":"Stone Island T-Shirts kakobuy, Stone Island T-Shirts kakebuy2026, Stone Island T-Shirts kekobuysheet, Stone Island T-Shirts kakobuysheet2026, Stone Island T-Shirts 2026kakobuy, Stone Island T-Shirts kakobuyspreadsheeet, Stone Island T-Shirts kakobuylink, Stone Island T-Shirts kakebuylist, Stone Island T-Shirts Kakobuy MEGA Spreadsheet, Stone Island T-Shirts kakobuysheetfind, Stone Island T-Shirts kakobuysheetfind2026, Stone Island T-Shirts 2026kakobuysheetfind, Stone Island T-Shirts kakobuysheet2026"},"finish_reason":"stop"}],"usage":{"prompt_tokens":644,"completion_tokens":249,"total_tokens":893}}</t>
        </is>
      </c>
      <c r="P35" t="inlineStr">
        <is>
          <t>Stone Island T-Shirts kakobuy, Stone Island T-Shirts kakebuy2026, Stone Island T-Shirts kekobuysheet, Stone Island T-Shirts kakobuysheet2026, Stone Island T-Shirts 2026kakobuy, Stone Island T-Shirts kakobuyspreadsheeet, Stone Island T-Shirts kakobuylink, Stone Island T-Shirts kakebuylist, Stone Island T-Shirts Kakobuy MEGA Spreadsheet, Stone Island T-Shirts kakobuysheetfind, Stone Island T-Shirts kakobuysheetfind2026, Stone Island T-Shirts 2026kakobuysheetfind, Stone Island T-Shirts kakobuysheet2026</t>
        </is>
      </c>
      <c r="Q35"/>
      <c r="R35" t="inlineStr">
        <is>
          <t>recvjR8RzV8iUi</t>
        </is>
      </c>
      <c r="S35" t="inlineStr">
        <is>
          <t>stone-island-logo-patch-ss-cotton-tshirt-recvjr8rzv8iui</t>
        </is>
      </c>
      <c r="T35"/>
      <c r="U35"/>
      <c r="V35"/>
      <c r="W35" t="inlineStr">
        <is>
          <t>{"id":"resp_04fbd8c20ebb379f016a0ab30d088081958cf1fa52ca345352","object":"chat.completion","created":1779086098,"model":"gpt-5.5","choices":[{"index":0,"message":{"role":"assistant","content":"Stone Island：灰色经典短袖T恤，棉质舒适透气，袖臂罗盘徽章标识，简约休闲街头风，男女通用夏季上衣"},"finish_reason":"stop"}],"usage":{"prompt_tokens":1157,"completion_tokens":265,"total_tokens":1422}}</t>
        </is>
      </c>
      <c r="X35" t="inlineStr">
        <is>
          <t>Stone Island：灰色经典短袖T恤，棉质舒适透气，袖臂罗盘徽章标识，简约休闲街头风，男女通用夏季上衣</t>
        </is>
      </c>
    </row>
    <row r="36" ht="25.5" customHeight="1">
      <c r="A36">
        <v>1839115443</v>
      </c>
      <c r="B36">
        <v>7766003467</v>
      </c>
      <c r="C36" s="2" t="str">
        <f>=HYPERLINK("https://weidian.com/item.html?itemID=7766003467", "https://weidian.com/item.html?itemID=7766003467")</f>
        <v>https://weidian.com/item.html?itemID=7766003467</v>
      </c>
      <c r="D36"/>
      <c r="E36" s="2" t="str">
        <f>=HYPERLINK("https://si.geilicdn.com/open1839115443-252808396-0a570000019e3421eda00a22d249_1920_1920.jpg?w=640&amp;h=640", "https://si.geilicdn.com/open1839115443-252808396-0a570000019e3421eda00a22d249_1920_1920.jpg?w=640&amp;h=640")</f>
        <v>https://si.geilicdn.com/open1839115443-252808396-0a570000019e3421eda00a22d249_1920_1920.jpg?w=640&amp;h=640</v>
      </c>
      <c r="F36" t="inlineStr">
        <is>
          <t>Hoodies</t>
        </is>
      </c>
      <c r="G36" t="inlineStr">
        <is>
          <t>C.P. Company</t>
        </is>
      </c>
      <c r="H36">
        <v>253</v>
      </c>
      <c r="I36">
        <v>36.67</v>
      </c>
      <c r="J36" t="inlineStr">
        <is>
          <t>{"id":"resp_0dcf30987584d2ea016a0ab5cc431c81989b37a9a1aa0fcabb","object":"chat.completion","created":1779086798,"model":"gpt-5.5","choices":[{"index":0,"message":{"role":"assistant","content":"C.P. Company White Cotton Lens Hoodie Pullover"},"finish_reason":"stop"}],"usage":{"prompt_tokens":722,"completion_tokens":77,"total_tokens":799}}</t>
        </is>
      </c>
      <c r="K36" t="inlineStr">
        <is>
          <t>C.P. Company White Cotton Lens Hoodie Pullover</t>
        </is>
      </c>
      <c r="L36" t="inlineStr">
        <is>
          <t>{"id":"resp_0287de467be57e43016a0ab485b920819bb4b908a5d4335a91","object":"chat.completion","created":1779086471,"model":"gpt-5.5","choices":[{"index":0,"message":{"role":"assistant","content":"C.P. Company white cotton hoodie, unisex streetwear pullover with kangaroo pocket, chest logo print and sleeve Lens detail."},"finish_reason":"stop"}],"usage":{"prompt_tokens":750,"completion_tokens":28,"total_tokens":778}}</t>
        </is>
      </c>
      <c r="M36" t="inlineStr">
        <is>
          <t>{"alt-svc":"h3=\":443\"; ma=2592000","connection":"close","content-length":"416","content-type":"application/json; charset=utf-8","date":"Mon, 18 May 2026 06:41:11 GMT","referrer-policy":"strict-origin-when-cross-origin","server":"Caddy","strict-transport-security":"max-age=31536000; includeSubDomains; preload","vary":"Accept-Encoding","x-content-type-options":"nosniff","x-frame-options":"DENY","x-new-api-version":"v1.0.0-rc.2","x-oneapi-request-id":"202605180641092341712738268d9d6saLbjmGX","x-request-id":"bdb83427-e92e-4e1f-99ff-a45045ee5f48"}</t>
        </is>
      </c>
      <c r="N36" t="inlineStr">
        <is>
          <t>C.P. Company white cotton hoodie, unisex streetwear pullover with kangaroo pocket, chest logo print and sleeve Lens detail.</t>
        </is>
      </c>
      <c r="O36" t="inlineStr">
        <is>
          <t>{"id":"resp_03143589881f6f4d016a0ab884af3c8198aeb1cb0a7c15ca0f","object":"chat.completion","created":1779087500,"model":"gpt-5.5","choices":[{"index":0,"message":{"role":"assistant","content":"C.P. Company Hoodies kakobuy, C.P. Company Hoodies kakebuy2026, C.P. Company Hoodies kekobuysheet, C.P. Company Hoodies kakobuysheet2026, C.P. Company Hoodies 2026kakobuy, C.P. Company Hoodies kakobuyspreadsheeet, C.P. Company Hoodies kakobuylink, C.P. Company Hoodies kakebuylist, C.P. Company Hoodies Kakobuy MEGA Spreadsheet, C.P. Company Hoodies kakobuysheetfind, C.P. Company Hoodies kakobuysheetfind2026, C.P. Company Hoodies 2026kakobuysheetfind, C.P. Company Hoodies kakobuysheet2026"},"finish_reason":"stop"}],"usage":{"prompt_tokens":647,"completion_tokens":356,"total_tokens":1003}}</t>
        </is>
      </c>
      <c r="P36" t="inlineStr">
        <is>
          <t>C.P. Company Hoodies kakobuy, C.P. Company Hoodies kakebuy2026, C.P. Company Hoodies kekobuysheet, C.P. Company Hoodies kakobuysheet2026, C.P. Company Hoodies 2026kakobuy, C.P. Company Hoodies kakobuyspreadsheeet, C.P. Company Hoodies kakobuylink, C.P. Company Hoodies kakebuylist, C.P. Company Hoodies Kakobuy MEGA Spreadsheet, C.P. Company Hoodies kakobuysheetfind, C.P. Company Hoodies kakobuysheetfind2026, C.P. Company Hoodies 2026kakobuysheetfind, C.P. Company Hoodies kakobuysheet2026</t>
        </is>
      </c>
      <c r="Q36" t="inlineStr">
        <is>
          <t>White, Streetwear, Unisex</t>
        </is>
      </c>
      <c r="R36" t="inlineStr">
        <is>
          <t>recvjR8RzVNJPH</t>
        </is>
      </c>
      <c r="S36" t="inlineStr">
        <is>
          <t>c-p-company-white-cotton-lens-hoodie-pullover-recvjr8rzvnjph</t>
        </is>
      </c>
      <c r="T36"/>
      <c r="U36"/>
      <c r="V36"/>
      <c r="W36" t="inlineStr">
        <is>
          <t>{"id":"resp_0b9aac8d88d93b32016a0ab20fd098819ab896e3a3a571e57a","object":"chat.completion","created":1779085844,"model":"gpt-5.5","choices":[{"index":0,"message":{"role":"assistant","content":"白色 C.P. Company 经典连帽卫衣，棉质面料袋鼠兜，胸前Logo印花与袖臂Lago镜片标识，男女同款街头休闲上衣"},"finish_reason":"stop"}],"usage":{"prompt_tokens":1170,"completion_tokens":179,"total_tokens":1349}}</t>
        </is>
      </c>
      <c r="X36" t="inlineStr">
        <is>
          <t>白色 C.P. Company 经典连帽卫衣，棉质面料袋鼠兜，胸前Logo印花与袖臂Lago镜片标识，男女同款街头休闲上衣</t>
        </is>
      </c>
    </row>
    <row r="37" ht="25.5" customHeight="1">
      <c r="A37">
        <v>1839115443</v>
      </c>
      <c r="B37">
        <v>7769078030</v>
      </c>
      <c r="C37" s="2" t="str">
        <f>=HYPERLINK("https://weidian.com/item.html?itemID=7769078030", "https://weidian.com/item.html?itemID=7769078030")</f>
        <v>https://weidian.com/item.html?itemID=7769078030</v>
      </c>
      <c r="D37"/>
      <c r="E37" s="2" t="str">
        <f>=HYPERLINK("https://si.geilicdn.com/open1839115443-252808396-766f0000019e340714d10aa08239_1200_1200.jpg?w=640&amp;h=640", "https://si.geilicdn.com/open1839115443-252808396-766f0000019e340714d10aa08239_1200_1200.jpg?w=640&amp;h=640")</f>
        <v>https://si.geilicdn.com/open1839115443-252808396-766f0000019e340714d10aa08239_1200_1200.jpg?w=640&amp;h=640</v>
      </c>
      <c r="F37" t="inlineStr">
        <is>
          <t>T-Shirts</t>
        </is>
      </c>
      <c r="G37" t="inlineStr">
        <is>
          <t>C.P. Company</t>
        </is>
      </c>
      <c r="H37">
        <v>161</v>
      </c>
      <c r="I37">
        <v>23.33</v>
      </c>
      <c r="J37" t="inlineStr">
        <is>
          <t>{"id":"resp_01145bb6df58d03b016a0ab651df34819bbf6299f7d0ae0b79","object":"chat.completion","created":1779086934,"model":"gpt-5.5","choices":[{"index":0,"message":{"role":"assistant","content":"C.P. Company White Cotton Graphic Logo Crew Neck T-Shirt"},"finish_reason":"stop"}],"usage":{"prompt_tokens":724,"completion_tokens":198,"total_tokens":922}}</t>
        </is>
      </c>
      <c r="K37" t="inlineStr">
        <is>
          <t>C.P. Company White Cotton Graphic Logo Crew Neck T-Shirt</t>
        </is>
      </c>
      <c r="L37" t="inlineStr">
        <is>
          <t>{"id":"resp_0c1a806cba9b8d33016a0ab54de09c8199b274a1089508873e","object":"chat.completion","created":1779086673,"model":"gpt-5.5","choices":[{"index":0,"message":{"role":"assistant","content":"C.P. Company white cotton crew neck T-shirt with logo and figure graphic print, unisex short sleeve streetwear top for casual everyday wear"},"finish_reason":"stop"}],"usage":{"prompt_tokens":740,"completion_tokens":71,"total_tokens":811}}</t>
        </is>
      </c>
      <c r="M37" t="inlineStr">
        <is>
          <t>{"alt-svc":"h3=\":443\"; ma=2592000","connection":"close","content-length":"432","content-type":"application/json; charset=utf-8","date":"Mon, 18 May 2026 06:44:33 GMT","referrer-policy":"strict-origin-when-cross-origin","server":"nginx/1.24.0 (Ubuntu)","strict-transport-security":"max-age=31536000; includeSubDomains; preload","vary":"Accept-Encoding","via":"1.1 Caddy","x-content-type-options":"nosniff","x-frame-options":"DENY","x-new-api-version":"v1.0.0-rc.2","x-oneapi-request-id":"202605180644295044317068268d9d6a6xWOElU","x-request-id":"f68720ac-3da4-438c-a736-6ece196b6f57"}</t>
        </is>
      </c>
      <c r="N37" t="inlineStr">
        <is>
          <t>C.P. Company white cotton crew neck T-shirt with logo and figure graphic print, unisex short sleeve streetwear top for casual everyday wear</t>
        </is>
      </c>
      <c r="O37" t="inlineStr">
        <is>
          <t>{"id":"resp_022a99c67246ce3d016a0ab84b6a408196b39a8fbf52828954","object":"chat.completion","created":1779087441,"model":"gpt-5.5","choices":[{"index":0,"message":{"role":"assistant","content":"C.P. Company,T-Shirts,kakobuy,kakebuy2026,kekobuysheet,kakobuysheet2026,2026kakobuy,kakobuyspreadsheeet,kakobuylink,kakebuylist,Kakobuy MEGA Spreadsheet,kakobuysheetfind,kakobuysheetfind2026,2026kakobuysheetfind,kakobuysheet2026"},"finish_reason":"stop"}],"usage":{"prompt_tokens":646,"completion_tokens":224,"total_tokens":870}}</t>
        </is>
      </c>
      <c r="P37" t="inlineStr">
        <is>
          <t>C.P. Company,T-Shirts,kakobuy,kakebuy2026,kekobuysheet,kakobuysheet2026,2026kakobuy,kakobuyspreadsheeet,kakobuylink,kakebuylist,Kakobuy MEGA Spreadsheet,kakobuysheetfind,kakobuysheetfind2026,2026kakobuysheetfind,kakobuysheet2026</t>
        </is>
      </c>
      <c r="Q37" t="inlineStr">
        <is>
          <t>White, Streetwear, Unisex, Summer</t>
        </is>
      </c>
      <c r="R37" t="inlineStr">
        <is>
          <t>recvjR8RzVll45</t>
        </is>
      </c>
      <c r="S37" t="inlineStr">
        <is>
          <t>cp-company-white-cotton-graphic-logo-crew-neck-t-shirt-recvjr8rzvll45</t>
        </is>
      </c>
      <c r="T37"/>
      <c r="U37"/>
      <c r="V37"/>
      <c r="W37" t="inlineStr">
        <is>
          <t>{"id":"resp_0521cca441e04c72016a0ab205f2c88196b43d82727bc37b81","object":"chat.completion","created":1779085835,"model":"gpt-5.5","choices":[{"index":0,"message":{"role":"assistant","content":"C.P. Company：白色棉质圆领T恤，胸前Logo与人物图腾印花，休闲街头风格，男女同款短袖上衣"},"finish_reason":"stop"}],"usage":{"prompt_tokens":1167,"completion_tokens":189,"total_tokens":1356}}</t>
        </is>
      </c>
      <c r="X37" t="inlineStr">
        <is>
          <t>C.P. Company：白色棉质圆领T恤，胸前Logo与人物图腾印花，休闲街头风格，男女同款短袖上衣</t>
        </is>
      </c>
    </row>
    <row r="38" ht="25.5" customHeight="1">
      <c r="A38">
        <v>1839115443</v>
      </c>
      <c r="B38">
        <v>7769054558</v>
      </c>
      <c r="C38" s="2" t="str">
        <f>=HYPERLINK("https://weidian.com/item.html?itemID=7769054558", "https://weidian.com/item.html?itemID=7769054558")</f>
        <v>https://weidian.com/item.html?itemID=7769054558</v>
      </c>
      <c r="D38"/>
      <c r="E38" s="2" t="str">
        <f>=HYPERLINK("https://si.geilicdn.com/open1839115443-252808396-7be80000019e3407ea9e0a23b491_800_800.jpg?w=640&amp;h=640", "https://si.geilicdn.com/open1839115443-252808396-7be80000019e3407ea9e0a23b491_800_800.jpg?w=640&amp;h=640")</f>
        <v>https://si.geilicdn.com/open1839115443-252808396-7be80000019e3407ea9e0a23b491_800_800.jpg?w=640&amp;h=640</v>
      </c>
      <c r="F38" t="inlineStr">
        <is>
          <t>Accessories</t>
        </is>
      </c>
      <c r="G38" t="inlineStr">
        <is>
          <t>Other</t>
        </is>
      </c>
      <c r="H38">
        <v>115</v>
      </c>
      <c r="I38">
        <v>16.67</v>
      </c>
      <c r="J38" t="inlineStr">
        <is>
          <t>{"id":"resp_05dfdf92ccf2fd56016a0ab656ff2c819a9a5a0c2626575af9","object":"chat.completion","created":1779086942,"model":"gpt-5.5","choices":[{"index":0,"message":{"role":"assistant","content":"AccessoriesOther Blue Oxford Multi-Pocket Travel Backpack"},"finish_reason":"stop"}],"usage":{"prompt_tokens":724,"completion_tokens":312,"total_tokens":1036}}</t>
        </is>
      </c>
      <c r="K38" t="inlineStr">
        <is>
          <t>AccessoriesOther Blue Oxford Multi-Pocket Travel Backpack</t>
        </is>
      </c>
      <c r="L38" t="inlineStr">
        <is>
          <t>{"id":"resp_0a95cdf6a7ddc500016a0ab4cf1c08819b9d6b1078a2709f23","object":"chat.completion","created":1779086546,"model":"gpt-5.5","choices":[{"index":0,"message":{"role":"assistant","content":"AccessoriesOther Light Blue Large Capacity Water-Resistant Oxford Backpack, Multi-Pocket Buckle Design, Casual Commuter College Style Unisex Travel Bag"},"finish_reason":"stop"}],"usage":{"prompt_tokens":732,"completion_tokens":89,"total_tokens":821}}</t>
        </is>
      </c>
      <c r="M38" t="inlineStr">
        <is>
          <t>{"alt-svc":"h3=\":443\"; ma=2592000","connection":"close","content-length":"444","content-type":"application/json; charset=utf-8","date":"Mon, 18 May 2026 06:42:26 GMT","referrer-policy":"strict-origin-when-cross-origin","server":"Caddy","strict-transport-security":"max-age=31536000; includeSubDomains; preload","vary":"Accept-Encoding","x-content-type-options":"nosniff","x-frame-options":"DENY","x-new-api-version":"v1.0.0-rc.2","x-oneapi-request-id":"202605180642228709255518268d9d6DSwoptbi","x-request-id":"af1fbdd1-2664-4ce3-8af9-fc9bd31044f6"}</t>
        </is>
      </c>
      <c r="N38" t="inlineStr">
        <is>
          <t>AccessoriesOther Light Blue Large Capacity Water-Resistant Oxford Backpack, Multi-Pocket Buckle Design, Casual Commuter College Style Unisex Travel Bag</t>
        </is>
      </c>
      <c r="O38" t="inlineStr">
        <is>
          <t>{"id":"resp_0cc086b3ce6033cf016a0ab87377448199bb0d8ed49e98424f","object":"chat.completion","created":1779087486,"model":"gpt-5.5","choices":[{"index":0,"message":{"role":"assistant","content":"Accessories Other kakobuy, Accessories Other kakebuy2026, Accessories Other kekobuysheet, Accessories Other kakobuysheet2026, Accessories Other 2026kakobuy, Accessories Other kakobuyspreadsheeet, Accessories Other kakobuylink, Accessories Other kakebuylist, Accessories Other Kakobuy MEGA Spreadsheet, Accessories Other kakobuysheetfind, Accessories Other kakobuysheetfind2026, Accessories Other 2026kakobuysheetfind, Accessories Other kakobuysheet2026"},"finish_reason":"stop"}],"usage":{"prompt_tokens":642,"completion_tokens":546,"total_tokens":1188}}</t>
        </is>
      </c>
      <c r="P38" t="inlineStr">
        <is>
          <t>Accessories Other kakobuy, Accessories Other kakebuy2026, Accessories Other kekobuysheet, Accessories Other kakobuysheet2026, Accessories Other 2026kakobuy, Accessories Other kakobuyspreadsheeet, Accessories Other kakobuylink, Accessories Other kakebuylist, Accessories Other Kakobuy MEGA Spreadsheet, Accessories Other kakobuysheetfind, Accessories Other kakobuysheetfind2026, Accessories Other 2026kakobuysheetfind, Accessories Other kakobuysheet2026</t>
        </is>
      </c>
      <c r="Q38" t="inlineStr">
        <is>
          <t>Backpack, Waterproof, Unisex, Blue</t>
        </is>
      </c>
      <c r="R38" t="inlineStr">
        <is>
          <t>recvjR8RzV0QV3</t>
        </is>
      </c>
      <c r="S38" t="inlineStr">
        <is>
          <t>accessoriesother-blue-oxford-multi-pocket-travel-backpack-recvjr8rzv0qv3</t>
        </is>
      </c>
      <c r="T38"/>
      <c r="U38"/>
      <c r="V38"/>
      <c r="W38" t="inlineStr">
        <is>
          <t>{"id":"resp_0b8e45bafc7e86bf016a0ab2bed0408198950e48d185fbad60","object":"chat.completion","created":1779086016,"model":"gpt-5.5","choices":[{"index":0,"message":{"role":"assistant","content":"浅蓝色大容量防泼水牛津布双肩包，多口袋插扣设计，休闲通勤学院风，男女通用旅行背包"},"finish_reason":"stop"}],"usage":{"prompt_tokens":1162,"completion_tokens":36,"total_tokens":1198}}</t>
        </is>
      </c>
      <c r="X38" t="inlineStr">
        <is>
          <t>浅蓝色大容量防泼水牛津布双肩包，多口袋插扣设计，休闲通勤学院风，男女通用旅行背包</t>
        </is>
      </c>
    </row>
    <row r="39" ht="25.5" customHeight="1">
      <c r="A39">
        <v>1839115443</v>
      </c>
      <c r="B39">
        <v>7765957159</v>
      </c>
      <c r="C39" s="2" t="str">
        <f>=HYPERLINK("https://weidian.com/item.html?itemID=7765957159", "https://weidian.com/item.html?itemID=7765957159")</f>
        <v>https://weidian.com/item.html?itemID=7765957159</v>
      </c>
      <c r="D39"/>
      <c r="E39" s="2" t="str">
        <f>=HYPERLINK("https://si.geilicdn.com/open1839115443-252808396-68350000019e341dff770a8115c2_1066_1066.jpg?w=640&amp;h=640", "https://si.geilicdn.com/open1839115443-252808396-68350000019e341dff770a8115c2_1066_1066.jpg?w=640&amp;h=640")</f>
        <v>https://si.geilicdn.com/open1839115443-252808396-68350000019e341dff770a8115c2_1066_1066.jpg?w=640&amp;h=640</v>
      </c>
      <c r="F39" t="inlineStr">
        <is>
          <t>T-Shirts</t>
        </is>
      </c>
      <c r="G39" t="inlineStr">
        <is>
          <t>Chrome Hearts</t>
        </is>
      </c>
      <c r="H39">
        <v>132</v>
      </c>
      <c r="I39">
        <v>19.13</v>
      </c>
      <c r="J39" t="inlineStr">
        <is>
          <t>{"id":"resp_0fc19671349273ae016a0ab6ac713c819bac8c6bf2cf111312","object":"chat.completion","created":1779087025,"model":"gpt-5.5","choices":[{"index":0,"message":{"role":"assistant","content":"Chrome Hearts White Slam Dunk Manga Basketball T-Shirt"},"finish_reason":"stop"}],"usage":{"prompt_tokens":720,"completion_tokens":136,"total_tokens":856}}</t>
        </is>
      </c>
      <c r="K39" t="inlineStr">
        <is>
          <t>Chrome Hearts White Slam Dunk Manga Basketball T-Shirt</t>
        </is>
      </c>
      <c r="L39" t="inlineStr">
        <is>
          <t>{"id":"resp_0df9696bdb40457a016a0ab4da8cd8819a9463aff5ce0b4d0d","object":"chat.completion","created":1779086559,"model":"gpt-5.5","choices":[{"index":0,"message":{"role":"assistant","content":"Chrome Hearts white Slam Dunk basketball manga print T-shirt, cotton crew neck, loose unisex streetwear tee, retro casual short sleeve top"},"finish_reason":"stop"}],"usage":{"prompt_tokens":739,"completion_tokens":162,"total_tokens":901}}</t>
        </is>
      </c>
      <c r="M39" t="inlineStr">
        <is>
          <t>{"alt-svc":"h3=\":443\"; ma=2592000","connection":"close","content-length":"432","content-type":"application/json; charset=utf-8","date":"Mon, 18 May 2026 06:42:39 GMT","referrer-policy":"strict-origin-when-cross-origin","server":"Caddy","strict-transport-security":"max-age=31536000; includeSubDomains; preload","vary":"Accept-Encoding","x-content-type-options":"nosniff","x-frame-options":"DENY","x-new-api-version":"v1.0.0-rc.2","x-oneapi-request-id":"20260518064234386683718268d9d6NCMNA9MK","x-request-id":"c77ab256-88e4-4a37-8f67-8fc7a26c37fb"}</t>
        </is>
      </c>
      <c r="N39" t="inlineStr">
        <is>
          <t>Chrome Hearts white Slam Dunk basketball manga print T-shirt, cotton crew neck, loose unisex streetwear tee, retro casual short sleeve top</t>
        </is>
      </c>
      <c r="O39" t="inlineStr">
        <is>
          <t>{"id":"resp_0c25108ff3ca9fdb016a0ab79edaac819aaa5e4952eefc3e01","object":"chat.completion","created":1779087268,"model":"gpt-5.5","choices":[{"index":0,"message":{"role":"assistant","content":"Chrome Hearts T-Shirts kakobuy, Chrome Hearts T-Shirts kakebuy2026, Chrome Hearts T-Shirts kekobuysheet, Chrome Hearts T-Shirts kakobuysheet2026, Chrome Hearts T-Shirts 2026kakobuy, Chrome Hearts T-Shirts kakobuyspreadsheeet, Chrome Hearts T-Shirts kakobuylink, Chrome Hearts T-Shirts kakebuylist, Chrome Hearts T-Shirts Kakobuy MEGA Spreadsheet, Chrome Hearts T-Shirts kakobuysheetfind, Chrome Hearts T-Shirts kakobuysheetfind2026, Chrome Hearts T-Shirts 2026kakobuysheetfind, Chrome Hearts T-Shirts kakobuysheet2026"},"finish_reason":"stop"}],"usage":{"prompt_tokens":644,"completion_tokens":250,"total_tokens":894}}</t>
        </is>
      </c>
      <c r="P39" t="inlineStr">
        <is>
          <t>Chrome Hearts T-Shirts kakobuy, Chrome Hearts T-Shirts kakebuy2026, Chrome Hearts T-Shirts kekobuysheet, Chrome Hearts T-Shirts kakobuysheet2026, Chrome Hearts T-Shirts 2026kakobuy, Chrome Hearts T-Shirts kakobuyspreadsheeet, Chrome Hearts T-Shirts kakobuylink, Chrome Hearts T-Shirts kakebuylist, Chrome Hearts T-Shirts Kakobuy MEGA Spreadsheet, Chrome Hearts T-Shirts kakobuysheetfind, Chrome Hearts T-Shirts kakobuysheetfind2026, Chrome Hearts T-Shirts 2026kakobuysheetfind, Chrome Hearts T-Shirts kakobuysheet2026</t>
        </is>
      </c>
      <c r="Q39" t="inlineStr">
        <is>
          <t>Unisex, Streetwear, Retro Casual, White</t>
        </is>
      </c>
      <c r="R39" t="inlineStr">
        <is>
          <t>recvjR8RzVrkUW</t>
        </is>
      </c>
      <c r="S39" t="inlineStr">
        <is>
          <t>chrome-hearts-white-slam-dunk-manga-basketball-t-shirt-recvjr8rzvrkuw</t>
        </is>
      </c>
      <c r="T39"/>
      <c r="U39"/>
      <c r="V39"/>
      <c r="W39" t="inlineStr">
        <is>
          <t>{"id":"resp_07ed2b72fadbe0f5016a0ab2cb36f4819bb8f7fbba530e6a1c","object":"chat.completion","created":1779086031,"model":"gpt-5.5","choices":[{"index":0,"message":{"role":"assistant","content":"克罗心白色Slam Dunk篮球漫画印花短袖T恤，纯棉圆领宽松休闲街头风，男女同款复古潮牌上衣"},"finish_reason":"stop"}],"usage":{"prompt_tokens":1165,"completion_tokens":155,"total_tokens":1320}}</t>
        </is>
      </c>
      <c r="X39" t="inlineStr">
        <is>
          <t>克罗心白色Slam Dunk篮球漫画印花短袖T恤，纯棉圆领宽松休闲街头风，男女同款复古潮牌上衣</t>
        </is>
      </c>
    </row>
    <row r="40" ht="25.5" customHeight="1">
      <c r="A40">
        <v>1839115443</v>
      </c>
      <c r="B40">
        <v>7766080375</v>
      </c>
      <c r="C40" s="2" t="str">
        <f>=HYPERLINK("https://weidian.com/item.html?itemID=7766080375", "https://weidian.com/item.html?itemID=7766080375")</f>
        <v>https://weidian.com/item.html?itemID=7766080375</v>
      </c>
      <c r="D40"/>
      <c r="E40" s="2" t="str">
        <f>=HYPERLINK("https://si.geilicdn.com/open1839115443-252808396-7d8b0000019e341b3c580aa08239_1278_1278.jpg?w=640&amp;h=640", "https://si.geilicdn.com/open1839115443-252808396-7d8b0000019e341b3c580aa08239_1278_1278.jpg?w=640&amp;h=640")</f>
        <v>https://si.geilicdn.com/open1839115443-252808396-7d8b0000019e341b3c580aa08239_1278_1278.jpg?w=640&amp;h=640</v>
      </c>
      <c r="F40" t="inlineStr">
        <is>
          <t>Hoodies</t>
        </is>
      </c>
      <c r="G40" t="inlineStr">
        <is>
          <t>Bape</t>
        </is>
      </c>
      <c r="H40">
        <v>247</v>
      </c>
      <c r="I40">
        <v>35.7971014492753</v>
      </c>
      <c r="J40" t="inlineStr">
        <is>
          <t>{"id":"resp_0a64c3375f79916b016a0ab5ca8588819a80fde6d087ce2cbf","object":"chat.completion","created":1779086799,"model":"gpt-5.5","choices":[{"index":0,"message":{"role":"assistant","content":"Bape Black Camo Ape Line Art Fleece Pullover Hoodie"},"finish_reason":"stop"}],"usage":{"prompt_tokens":728,"completion_tokens":168,"total_tokens":896}}</t>
        </is>
      </c>
      <c r="K40" t="inlineStr">
        <is>
          <t>Bape Black Camo Ape Line Art Fleece Pullover Hoodie</t>
        </is>
      </c>
      <c r="L40" t="inlineStr">
        <is>
          <t>{"id":"resp_03f07d10b250e85d016a0ab46fa5808199acb15ff2b8852eb3","object":"chat.completion","created":1779086451,"model":"gpt-5.5","choices":[{"index":0,"message":{"role":"assistant","content":"Bape black camo hoodie, cotton fleece pullover with Ape line art print, drawstring hood and kangaroo pocket, unisex streetwear sweatshirt."},"finish_reason":"stop"}],"usage":{"prompt_tokens":756,"completion_tokens":32,"total_tokens":788}}</t>
        </is>
      </c>
      <c r="M40" t="inlineStr">
        <is>
          <t>{"alt-svc":"h3=\":443\"; ma=2592000","connection":"close","content-length":"431","content-type":"application/json; charset=utf-8","date":"Mon, 18 May 2026 06:40:51 GMT","referrer-policy":"strict-origin-when-cross-origin","server":"nginx/1.24.0 (Ubuntu)","strict-transport-security":"max-age=31536000; includeSubDomains; preload","vary":"Accept-Encoding","via":"1.1 Caddy","x-content-type-options":"nosniff","x-frame-options":"DENY","x-new-api-version":"v1.0.0-rc.2","x-oneapi-request-id":"202605180640471265001988268d9d65p4U7P2W","x-request-id":"df3f2a5c-0f72-49f7-b42a-2a8dbe9296f2"}</t>
        </is>
      </c>
      <c r="N40" t="inlineStr">
        <is>
          <t>Bape black camo hoodie, cotton fleece pullover with Ape line art print, drawstring hood and kangaroo pocket, unisex streetwear sweatshirt.</t>
        </is>
      </c>
      <c r="O40" t="inlineStr">
        <is>
          <t>{"id":"resp_0538ca8d61d81448016a0ab818b5b8819ba7797133153d3fc9","object":"chat.completion","created":1779087390,"model":"gpt-5.5","choices":[{"index":0,"message":{"role":"assistant","content":"Bape, Hoodies, kakobuy, kakebuy2026, kekobuysheet, kakobuysheet2026, 2026kakobuy, kakobuyspreadsheeet, kakobuylink, kakebuylist, Kakobuy MEGA Spreadsheet, kakobuysheetfind, kakobuysheetfind2026, 2026kakobuysheetfind, kakobuysheet2026"},"finish_reason":"stop"}],"usage":{"prompt_tokens":645,"completion_tokens":271,"total_tokens":916}}</t>
        </is>
      </c>
      <c r="P40" t="inlineStr">
        <is>
          <t>Bape, Hoodies, kakobuy, kakebuy2026, kekobuysheet, kakobuysheet2026, 2026kakobuy, kakobuyspreadsheeet, kakobuylink, kakebuylist, Kakobuy MEGA Spreadsheet, kakobuysheetfind, kakobuysheetfind2026, 2026kakobuysheetfind, kakobuysheet2026</t>
        </is>
      </c>
      <c r="Q40" t="inlineStr">
        <is>
          <t>BAPE, Black, Camouflage, Streetwear, Unisex</t>
        </is>
      </c>
      <c r="R40" t="inlineStr">
        <is>
          <t>recvjR8RzVyrsB</t>
        </is>
      </c>
      <c r="S40" t="inlineStr">
        <is>
          <t>bape-black-camo-ape-line-art-fleece-pullover-hoodie-recvjr8rzvyrsb</t>
        </is>
      </c>
      <c r="T40"/>
      <c r="U40"/>
      <c r="V40"/>
      <c r="W40" t="inlineStr">
        <is>
          <t>{"id":"resp_00deec71bd597ca3016a0ab31e9a548194961a7e9bfbfaf744","object":"chat.completion","created":1779086116,"model":"gpt-5.5","choices":[{"index":0,"message":{"role":"assistant","content":"潮牌Bape黑色迷彩连帽卫衣，棉质抓绒面料，猿人线描图腾印花，抽绳帽袋鼠兜设计，男女同款街头休闲套头帽衫。"},"finish_reason":"stop"}],"usage":{"prompt_tokens":1170,"completion_tokens":256,"total_tokens":1426}}</t>
        </is>
      </c>
      <c r="X40" t="inlineStr">
        <is>
          <t>潮牌Bape黑色迷彩连帽卫衣，棉质抓绒面料，猿人线描图腾印花，抽绳帽袋鼠兜设计，男女同款街头休闲套头帽衫。</t>
        </is>
      </c>
    </row>
    <row r="41" ht="25.5" customHeight="1">
      <c r="A41">
        <v>1839115443</v>
      </c>
      <c r="B41">
        <v>7768842872</v>
      </c>
      <c r="C41" s="2" t="str">
        <f>=HYPERLINK("https://weidian.com/item.html?itemID=7768842872", "https://weidian.com/item.html?itemID=7768842872")</f>
        <v>https://weidian.com/item.html?itemID=7768842872</v>
      </c>
      <c r="D41"/>
      <c r="E41" s="2" t="str">
        <f>=HYPERLINK("https://si.geilicdn.com/open1839115443-252808396-719c0000019e341115b40aa08269_790_2498.jpg?w=640&amp;h=640", "https://si.geilicdn.com/open1839115443-252808396-719c0000019e341115b40aa08269_790_2498.jpg?w=640&amp;h=640")</f>
        <v>https://si.geilicdn.com/open1839115443-252808396-719c0000019e341115b40aa08269_790_2498.jpg?w=640&amp;h=640</v>
      </c>
      <c r="F41" t="inlineStr">
        <is>
          <t>Jackets</t>
        </is>
      </c>
      <c r="G41" t="inlineStr">
        <is>
          <t>Kailas</t>
        </is>
      </c>
      <c r="H41">
        <v>149</v>
      </c>
      <c r="I41">
        <v>21.59</v>
      </c>
      <c r="J41" t="inlineStr">
        <is>
          <t>{"id":"resp_039e5fd6011c78db016a0ab6294db0819b90d52d3d454f38c7","object":"chat.completion","created":1779086896,"model":"gpt-5.5","choices":[{"index":0,"message":{"role":"assistant","content":"Kailas Fluorescent Yellow Lightweight Sun Protection Jacket"},"finish_reason":"stop"}],"usage":{"prompt_tokens":1789,"completion_tokens":335,"total_tokens":2124,"prompt_tokens_details":{"cached_tokens":1280}}}</t>
        </is>
      </c>
      <c r="K41" t="inlineStr">
        <is>
          <t>Kailas Fluorescent Yellow Lightweight Sun Protection Jacket</t>
        </is>
      </c>
      <c r="L41" t="inlineStr">
        <is>
          <t>{"id":"resp_051af8597a75c8c2016a0ab4f49940819abf90269b568031c8","object":"chat.completion","created":1779086584,"model":"gpt-5.5","choices":[{"index":0,"message":{"role":"assistant","content":"Kailas fluorescent yellow lightweight sun protection jacket, breathable ice silk quick-dry hooded full-zip windbreaker, unisex outdoor UV coat S-3XL"},"finish_reason":"stop"}],"usage":{"prompt_tokens":1800,"completion_tokens":118,"total_tokens":1918,"prompt_tokens_details":{"cached_tokens":1280}}}</t>
        </is>
      </c>
      <c r="M41" t="inlineStr">
        <is>
          <t>{"alt-svc":"h3=\":443\"; ma=2592000","connection":"close","content-length":"491","content-type":"application/json; charset=utf-8","date":"Mon, 18 May 2026 06:43:04 GMT","referrer-policy":"strict-origin-when-cross-origin","server":"Caddy","strict-transport-security":"max-age=31536000; includeSubDomains; preload","vary":"Accept-Encoding","x-content-type-options":"nosniff","x-frame-options":"DENY","x-new-api-version":"v1.0.0-rc.2","x-oneapi-request-id":"202605180643001463909408268d9d6gbuVv6yB","x-request-id":"f6a5a97d-3ea8-4804-abb2-7a5079bff3f8"}</t>
        </is>
      </c>
      <c r="N41" t="inlineStr">
        <is>
          <t>Kailas fluorescent yellow lightweight sun protection jacket, breathable ice silk quick-dry hooded full-zip windbreaker, unisex outdoor UV coat S-3XL</t>
        </is>
      </c>
      <c r="O41" t="inlineStr">
        <is>
          <t>{"id":"resp_0b9dcbe5dc86d2f5016a0ab82d19a8819b8929fc257e0e6b34","object":"chat.completion","created":1779087411,"model":"gpt-5.5","choices":[{"index":0,"message":{"role":"assistant","content":"Kailas Jackets kakobuy, Kailas Jackets kakebuy2026, Kailas Jackets kekobuysheet, Kailas Jackets kakobuysheet2026, Kailas Jackets 2026kakobuy, Kailas Jackets kakobuyspreadsheeet, Kailas Jackets kakobuylink, Kailas Jackets kakebuylist, Kailas Jackets Kakobuy MEGA Spreadsheet, Kailas Jackets kakobuysheetfind, Kailas Jackets kakobuysheetfind2026, Kailas Jackets 2026kakobuysheetfind, Kailas Jackets kakobuysheet2026"},"finish_reason":"stop"}],"usage":{"prompt_tokens":1701,"completion_tokens":253,"total_tokens":1954,"prompt_tokens_details":{"cached_tokens":1280}}}</t>
        </is>
      </c>
      <c r="P41" t="inlineStr">
        <is>
          <t>Kailas Jackets kakobuy, Kailas Jackets kakebuy2026, Kailas Jackets kekobuysheet, Kailas Jackets kakobuysheet2026, Kailas Jackets 2026kakobuy, Kailas Jackets kakobuyspreadsheeet, Kailas Jackets kakobuylink, Kailas Jackets kakebuylist, Kailas Jackets Kakobuy MEGA Spreadsheet, Kailas Jackets kakobuysheetfind, Kailas Jackets kakobuysheetfind2026, Kailas Jackets 2026kakobuysheetfind, Kailas Jackets kakobuysheet2026</t>
        </is>
      </c>
      <c r="Q41" t="inlineStr">
        <is>
          <t>Lightweight, Sun Protection, Breathable, Quick Dry, Unisex, Outdoor</t>
        </is>
      </c>
      <c r="R41" t="inlineStr">
        <is>
          <t>recvjR8RzVBwzJ</t>
        </is>
      </c>
      <c r="S41" t="inlineStr">
        <is>
          <t>kailas-fluorescent-yellow-lightweight-sun-protection-jacket-recvjr8rzvbwzj</t>
        </is>
      </c>
      <c r="T41"/>
      <c r="U41"/>
      <c r="V41"/>
      <c r="W41" t="inlineStr">
        <is>
          <t>{"id":"resp_01ce17b691d87293016a0ab2eb1ae8819b8a9a1aef00e4204e","object":"chat.completion","created":1779086063,"model":"gpt-5.5","choices":[{"index":0,"message":{"role":"assistant","content":"凯乐石Kailas荧光黄轻薄防晒夹克，透气冰丝速干面料，连帽全拉链防风设计，户外休闲男女通用防晒外套"},"finish_reason":"stop"}],"usage":{"prompt_tokens":2219,"completion_tokens":150,"total_tokens":2369,"prompt_tokens_details":{"cached_tokens":1792}}}</t>
        </is>
      </c>
      <c r="X41" t="inlineStr">
        <is>
          <t>凯乐石Kailas荧光黄轻薄防晒夹克，透气冰丝速干面料，连帽全拉链防风设计，户外休闲男女通用防晒外套</t>
        </is>
      </c>
    </row>
    <row r="42" ht="25.5" customHeight="1">
      <c r="A42">
        <v>1839115443</v>
      </c>
      <c r="B42">
        <v>7768945172</v>
      </c>
      <c r="C42" s="2" t="str">
        <f>=HYPERLINK("https://weidian.com/item.html?itemID=7768945172", "https://weidian.com/item.html?itemID=7768945172")</f>
        <v>https://weidian.com/item.html?itemID=7768945172</v>
      </c>
      <c r="D42"/>
      <c r="E42" s="2" t="str">
        <f>=HYPERLINK("https://si.geilicdn.com/open1839115443-252808396-7dc40000019e341055d30a23b491_1440_1440.jpg?w=640&amp;h=640", "https://si.geilicdn.com/open1839115443-252808396-7dc40000019e341055d30a23b491_1440_1440.jpg?w=640&amp;h=640")</f>
        <v>https://si.geilicdn.com/open1839115443-252808396-7dc40000019e341055d30a23b491_1440_1440.jpg?w=640&amp;h=640</v>
      </c>
      <c r="F42" t="inlineStr">
        <is>
          <t>Hoodies</t>
        </is>
      </c>
      <c r="G42" t="inlineStr">
        <is>
          <t>Ralph Lauren</t>
        </is>
      </c>
      <c r="H42">
        <v>420</v>
      </c>
      <c r="I42">
        <v>60.87</v>
      </c>
      <c r="J42" t="inlineStr">
        <is>
          <t>{"id":"resp_031e2f2be1f90a86016a0ab629f784819898e1cedd4ae78e0f","object":"chat.completion","created":1779086895,"model":"gpt-5.5","choices":[{"index":0,"message":{"role":"assistant","content":"Ralph Lauren White Zip Hoodie Tracksuit 2-Piece Set"},"finish_reason":"stop"}],"usage":{"prompt_tokens":726,"completion_tokens":142,"total_tokens":868}}</t>
        </is>
      </c>
      <c r="K42" t="inlineStr">
        <is>
          <t>Ralph Lauren White Zip Hoodie Tracksuit 2-Piece Set</t>
        </is>
      </c>
      <c r="L42" t="inlineStr">
        <is>
          <t>{"id":"resp_096fc1865098de0c016a0ab575f1188198b945de9fc815042a","object":"chat.completion","created":1779086712,"model":"gpt-5.5","choices":[{"index":0,"message":{"role":"assistant","content":"Ralph Lauren white zip hoodie tracksuit, soft cotton blend, pony embroidery, unisex casual sports sweatshirt and jogger pants 2-piece set"},"finish_reason":"stop"}],"usage":{"prompt_tokens":749,"completion_tokens":62,"total_tokens":811}}</t>
        </is>
      </c>
      <c r="M42" t="inlineStr">
        <is>
          <t>{"alt-svc":"h3=\":443\"; ma=2592000","connection":"close","content-length":"430","content-type":"application/json; charset=utf-8","date":"Mon, 18 May 2026 06:45:12 GMT","referrer-policy":"strict-origin-when-cross-origin","server":"nginx/1.24.0 (Ubuntu)","strict-transport-security":"max-age=31536000; includeSubDomains; preload","vary":"Accept-Encoding","via":"1.1 Caddy","x-content-type-options":"nosniff","x-frame-options":"DENY","x-new-api-version":"v1.0.0-rc.2","x-oneapi-request-id":"202605180645094848674338268d9d6VaWUvf9o","x-request-id":"29717b6d-018c-42ce-b5ef-da03495525db"}</t>
        </is>
      </c>
      <c r="N42" t="inlineStr">
        <is>
          <t>Ralph Lauren white zip hoodie tracksuit, soft cotton blend, pony embroidery, unisex casual sports sweatshirt and jogger pants 2-piece set</t>
        </is>
      </c>
      <c r="O42" t="inlineStr">
        <is>
          <t>{"id":"resp_0bffbdf457662023016a0ab7276e48819b96a35b7ea72ef974","object":"chat.completion","created":1779087148,"model":"gpt-5.5","choices":[{"index":0,"message":{"role":"assistant","content":"Ralph Lauren Hoodies kakobuy, Ralph Lauren Hoodies kakebuy2026, Ralph Lauren Hoodies kekobuysheet, Ralph Lauren Hoodies kakobuysheet2026, Ralph Lauren Hoodies 2026kakobuy, Ralph Lauren Hoodies kakobuyspreadsheeet, Ralph Lauren Hoodies kakobuylink, Ralph Lauren Hoodies kakebuylist, Ralph Lauren Hoodies Kakobuy MEGA Spreadsheet, Ralph Lauren Hoodies kakobuysheetfind, Ralph Lauren Hoodies kakobuysheetfind2026, Ralph Lauren Hoodies 2026kakobuysheetfind, Ralph Lauren Hoodies kakobuysheet2026"},"finish_reason":"stop"}],"usage":{"prompt_tokens":646,"completion_tokens":211,"total_tokens":857}}</t>
        </is>
      </c>
      <c r="P42" t="inlineStr">
        <is>
          <t>Ralph Lauren Hoodies kakobuy, Ralph Lauren Hoodies kakebuy2026, Ralph Lauren Hoodies kekobuysheet, Ralph Lauren Hoodies kakobuysheet2026, Ralph Lauren Hoodies 2026kakobuy, Ralph Lauren Hoodies kakobuyspreadsheeet, Ralph Lauren Hoodies kakobuylink, Ralph Lauren Hoodies kakebuylist, Ralph Lauren Hoodies Kakobuy MEGA Spreadsheet, Ralph Lauren Hoodies kakobuysheetfind, Ralph Lauren Hoodies kakobuysheetfind2026, Ralph Lauren Hoodies 2026kakobuysheetfind, Ralph Lauren Hoodies kakobuysheet2026</t>
        </is>
      </c>
      <c r="Q42" t="inlineStr">
        <is>
          <t>Unisex, White</t>
        </is>
      </c>
      <c r="R42" t="inlineStr">
        <is>
          <t>recvjR8RzVODUu</t>
        </is>
      </c>
      <c r="S42" t="inlineStr">
        <is>
          <t>ralph-lauren-white-zip-hoodie-tracksuit-2-piece-set-recvjr8rzvodu</t>
        </is>
      </c>
      <c r="T42"/>
      <c r="U42"/>
      <c r="V42"/>
      <c r="W42" t="inlineStr">
        <is>
          <t>{"id":"resp_0182eb987cc99f04016a0ab2854f9c819bb4fa5b61231b85c0","object":"chat.completion","created":1779085962,"model":"gpt-5.5","choices":[{"index":0,"message":{"role":"assistant","content":"拉夫劳伦 Ralph Lauren 白色连帽拉链卫衣套装，柔软棉混纺材质，小马刺绣标识，休闲运动风男女同款卫衣长裤两件套"},"finish_reason":"stop"}],"usage":{"prompt_tokens":1168,"completion_tokens":118,"total_tokens":1286}}</t>
        </is>
      </c>
      <c r="X42" t="inlineStr">
        <is>
          <t>拉夫劳伦 Ralph Lauren 白色连帽拉链卫衣套装，柔软棉混纺材质，小马刺绣标识，休闲运动风男女同款卫衣长裤两件套</t>
        </is>
      </c>
    </row>
    <row r="43" ht="25.5" customHeight="1">
      <c r="A43">
        <v>1839115443</v>
      </c>
      <c r="B43">
        <v>7769103630</v>
      </c>
      <c r="C43" s="2" t="str">
        <f>=HYPERLINK("https://weidian.com/item.html?itemID=7769103630", "https://weidian.com/item.html?itemID=7769103630")</f>
        <v>https://weidian.com/item.html?itemID=7769103630</v>
      </c>
      <c r="D43"/>
      <c r="E43" s="2" t="str">
        <f>=HYPERLINK("https://si.geilicdn.com/open1839115443-252808396-7df20000019e341104970a23b491_1043_1043.jpg?w=640&amp;h=640", "https://si.geilicdn.com/open1839115443-252808396-7df20000019e341104970a23b491_1043_1043.jpg?w=640&amp;h=640")</f>
        <v>https://si.geilicdn.com/open1839115443-252808396-7df20000019e341104970a23b491_1043_1043.jpg?w=640&amp;h=640</v>
      </c>
      <c r="F43" t="inlineStr">
        <is>
          <t>T-Shirts</t>
        </is>
      </c>
      <c r="G43" t="inlineStr">
        <is>
          <t>Moncler</t>
        </is>
      </c>
      <c r="H43">
        <v>140</v>
      </c>
      <c r="I43">
        <v>20.29</v>
      </c>
      <c r="J43" t="inlineStr">
        <is>
          <t>{"id":"resp_0fbf68d36c3fcaec016a0ab5eab1fc8196a68571b879a20805","object":"chat.completion","created":1779086830,"model":"gpt-5.5","choices":[{"index":0,"message":{"role":"assistant","content":"Moncler White Crew Neck Logo Badge Cotton T-Shirt"},"finish_reason":"stop"}],"usage":{"prompt_tokens":717,"completion_tokens":108,"total_tokens":825}}</t>
        </is>
      </c>
      <c r="K43" t="inlineStr">
        <is>
          <t>Moncler White Crew Neck Logo Badge Cotton T-Shirt</t>
        </is>
      </c>
      <c r="L43" t="inlineStr">
        <is>
          <t>{"id":"resp_020cc3344a0c1de2016a0ab4f7a154819b8c8610015dfe3907","object":"chat.completion","created":1779086588,"model":"gpt-5.5","choices":[{"index":0,"message":{"role":"assistant","content":"Moncler white crew neck T-shirt, soft cotton short sleeve top with classic chest logo badge, unisex casual spring summer essential."},"finish_reason":"stop"}],"usage":{"prompt_tokens":744,"completion_tokens":94,"total_tokens":838}}</t>
        </is>
      </c>
      <c r="M43" t="inlineStr">
        <is>
          <t>{"alt-svc":"h3=\":443\"; ma=2592000","connection":"close","content-length":"424","content-type":"application/json; charset=utf-8","date":"Mon, 18 May 2026 06:43:08 GMT","referrer-policy":"strict-origin-when-cross-origin","server":"nginx/1.24.0 (Ubuntu)","strict-transport-security":"max-age=31536000; includeSubDomains; preload","vary":"Accept-Encoding","via":"1.1 Caddy","x-content-type-options":"nosniff","x-frame-options":"DENY","x-new-api-version":"v1.0.0-rc.2","x-oneapi-request-id":"202605180643031961818318268d9d65RJ2YoW7","x-request-id":"6e99dc3c-3a38-4031-807a-68b7762a76e0"}</t>
        </is>
      </c>
      <c r="N43" t="inlineStr">
        <is>
          <t>Moncler white crew neck T-shirt, soft cotton short sleeve top with classic chest logo badge, unisex casual spring summer essential.</t>
        </is>
      </c>
      <c r="O43" t="inlineStr">
        <is>
          <t>{"id":"resp_0b60f6ae59377004016a0ab7f30b24819a938182dc5883d36d","object":"chat.completion","created":1779087354,"model":"gpt-5.5","choices":[{"index":0,"message":{"role":"assistant","content":"Moncler T-Shirts kakobuy, Moncler T-Shirts kakebuy2026, Moncler T-Shirts kekobuysheet, Moncler T-Shirts kakobuysheet2026, Moncler T-Shirts 2026kakobuy, Moncler T-Shirts kakobuyspreadsheeet, Moncler T-Shirts kakobuylink, Moncler T-Shirts kakebuylist, Moncler T-Shirts Kakobuy MEGA Spreadsheet, Moncler T-Shirts kakobuysheetfind, Moncler T-Shirts kakobuysheetfind2026, Moncler T-Shirts 2026kakobuysheetfind, Moncler T-Shirts kakobuysheet2026"},"finish_reason":"stop"}],"usage":{"prompt_tokens":644,"completion_tokens":348,"total_tokens":992}}</t>
        </is>
      </c>
      <c r="P43" t="inlineStr">
        <is>
          <t>Moncler T-Shirts kakobuy, Moncler T-Shirts kakebuy2026, Moncler T-Shirts kekobuysheet, Moncler T-Shirts kakobuysheet2026, Moncler T-Shirts 2026kakobuy, Moncler T-Shirts kakobuyspreadsheeet, Moncler T-Shirts kakobuylink, Moncler T-Shirts kakebuylist, Moncler T-Shirts Kakobuy MEGA Spreadsheet, Moncler T-Shirts kakobuysheetfind, Moncler T-Shirts kakobuysheetfind2026, Moncler T-Shirts 2026kakobuysheetfind, Moncler T-Shirts kakobuysheet2026</t>
        </is>
      </c>
      <c r="Q43" t="inlineStr">
        <is>
          <t>White, Spring And Summer, Unisex</t>
        </is>
      </c>
      <c r="R43" t="inlineStr">
        <is>
          <t>recvjR8RzVdBYQ</t>
        </is>
      </c>
      <c r="S43" t="inlineStr">
        <is>
          <t>moncler-white-crew-neck-logo-badge-cotton-t-shirt-recvjr8rzvdb</t>
        </is>
      </c>
      <c r="T43"/>
      <c r="U43"/>
      <c r="V43"/>
      <c r="W43" t="inlineStr">
        <is>
          <t>{"id":"resp_064d90b5b199150d016a0ab341b048819a87864aa76fe53706","object":"chat.completion","created":1779086149,"model":"gpt-5.5","choices":[{"index":0,"message":{"role":"assistant","content":"盟可睐Moncler 白色圆领短袖T恤，舒适棉质面料，胸前经典徽章Logo，简约休闲风，男女通用春夏百搭上衣"},"finish_reason":"stop"}],"usage":{"prompt_tokens":1163,"completion_tokens":160,"total_tokens":1323}}</t>
        </is>
      </c>
      <c r="X43" t="inlineStr">
        <is>
          <t>盟可睐Moncler 白色圆领短袖T恤，舒适棉质面料，胸前经典徽章Logo，简约休闲风，男女通用春夏百搭上衣</t>
        </is>
      </c>
    </row>
    <row r="44" ht="25.5" customHeight="1">
      <c r="A44">
        <v>1839115443</v>
      </c>
      <c r="B44">
        <v>7766058747</v>
      </c>
      <c r="C44" s="2" t="str">
        <f>=HYPERLINK("https://weidian.com/item.html?itemID=7766058747", "https://weidian.com/item.html?itemID=7766058747")</f>
        <v>https://weidian.com/item.html?itemID=7766058747</v>
      </c>
      <c r="D44"/>
      <c r="E44" s="2" t="str">
        <f>=HYPERLINK("https://si.geilicdn.com/open1839115443-252808396-021d0000019e341ee8320a23b4de_800_800.jpg?w=640&amp;h=640", "https://si.geilicdn.com/open1839115443-252808396-021d0000019e341ee8320a23b4de_800_800.jpg?w=640&amp;h=640")</f>
        <v>https://si.geilicdn.com/open1839115443-252808396-021d0000019e341ee8320a23b4de_800_800.jpg?w=640&amp;h=640</v>
      </c>
      <c r="F44" t="inlineStr">
        <is>
          <t>Hoodies</t>
        </is>
      </c>
      <c r="G44" t="inlineStr">
        <is>
          <t>Trapstar</t>
        </is>
      </c>
      <c r="H44">
        <v>358</v>
      </c>
      <c r="I44">
        <v>51.88</v>
      </c>
      <c r="J44" t="inlineStr">
        <is>
          <t>{"id":"resp_01b5916c3163c1e6016a0ab5ede3508195af20b89320a7642e","object":"chat.completion","created":1779086832,"model":"gpt-5.5","choices":[{"index":0,"message":{"role":"assistant","content":"Trapstar UK Black Fleece Graffiti Logo Hoodie"},"finish_reason":"stop"}],"usage":{"prompt_tokens":728,"completion_tokens":84,"total_tokens":812}}</t>
        </is>
      </c>
      <c r="K44" t="inlineStr">
        <is>
          <t>Trapstar UK Black Fleece Graffiti Logo Hoodie</t>
        </is>
      </c>
      <c r="L44" t="inlineStr">
        <is>
          <t>{"id":"resp_0653faea104e21d0016a0ab46657c8819b85c32d64a04e2d8a","object":"chat.completion","created":1779086443,"model":"gpt-5.5","choices":[{"index":0,"message":{"role":"assistant","content":"Trapstar UK streetwear black fleece hoodie, cotton blend with racing graffiti chest logo, drawstring hood, kangaroo pocket, unisex casual pullover."},"finish_reason":"stop"}],"usage":{"prompt_tokens":749,"completion_tokens":141,"total_tokens":890}}</t>
        </is>
      </c>
      <c r="M44" t="inlineStr">
        <is>
          <t>{"alt-svc":"h3=\":443\"; ma=2592000","connection":"close","content-length":"441","content-type":"application/json; charset=utf-8","date":"Mon, 18 May 2026 06:40:43 GMT","referrer-policy":"strict-origin-when-cross-origin","server":"nginx/1.24.0 (Ubuntu)","strict-transport-security":"max-age=31536000; includeSubDomains; preload","vary":"Accept-Encoding","via":"1.1 Caddy","x-content-type-options":"nosniff","x-frame-options":"DENY","x-new-api-version":"v1.0.0-rc.2","x-oneapi-request-id":"202605180640378785103118268d9d6O7JwwCll","x-request-id":"173b99c5-6721-409d-b78a-300918e1ce7d"}</t>
        </is>
      </c>
      <c r="N44" t="inlineStr">
        <is>
          <t>Trapstar UK streetwear black fleece hoodie, cotton blend with racing graffiti chest logo, drawstring hood, kangaroo pocket, unisex casual pullover.</t>
        </is>
      </c>
      <c r="O44" t="inlineStr">
        <is>
          <t>{"id":"resp_03ff2d6dce8f641b016a0ab7cc8c3881999f6481d64c530251","object":"chat.completion","created":1779087315,"model":"gpt-5.5","choices":[{"index":0,"message":{"role":"assistant","content":"Trapstar Hoodies kakobuy, Trapstar Hoodies kakebuy2026, Trapstar Hoodies kekobuysheet, Trapstar Hoodies kakobuysheet2026, Trapstar Hoodies 2026kakobuy, Trapstar Hoodies kakobuyspreadsheeet, Trapstar Hoodies kakobuylink, Trapstar Hoodies kakebuylist, Trapstar Hoodies Kakobuy MEGA Spreadsheet, Trapstar Hoodies kakobuysheetfind, Trapstar Hoodies kakobuysheetfind2026, Trapstar Hoodies 2026kakobuysheetfind, Trapstar Hoodies kakobuysheet2026"},"finish_reason":"stop"}],"usage":{"prompt_tokens":645,"completion_tokens":336,"total_tokens":981}}</t>
        </is>
      </c>
      <c r="P44" t="inlineStr">
        <is>
          <t>Trapstar Hoodies kakobuy, Trapstar Hoodies kakebuy2026, Trapstar Hoodies kekobuysheet, Trapstar Hoodies kakobuysheet2026, Trapstar Hoodies 2026kakobuy, Trapstar Hoodies kakobuyspreadsheeet, Trapstar Hoodies kakobuylink, Trapstar Hoodies kakebuylist, Trapstar Hoodies Kakobuy MEGA Spreadsheet, Trapstar Hoodies kakobuysheetfind, Trapstar Hoodies kakobuysheetfind2026, Trapstar Hoodies 2026kakobuysheetfind, Trapstar Hoodies kakobuysheet2026</t>
        </is>
      </c>
      <c r="Q44" t="inlineStr">
        <is>
          <t>Black, Unisex, Fleece-Lined</t>
        </is>
      </c>
      <c r="R44" t="inlineStr">
        <is>
          <t>recvjR8RzVrso9</t>
        </is>
      </c>
      <c r="S44" t="inlineStr">
        <is>
          <t>trapstar-uk-black-fleece-graffiti-logo-hoodie-recvjr8rzvrso9</t>
        </is>
      </c>
      <c r="T44"/>
      <c r="U44"/>
      <c r="V44"/>
      <c r="W44" t="inlineStr">
        <is>
          <t>{"id":"resp_007632f87315d537016a0ab20d4f5c819abaac64f275bc5a27","object":"chat.completion","created":1779085843,"model":"gpt-5.5","choices":[{"index":0,"message":{"role":"assistant","content":"英国潮牌Trapstar黑色连帽卫衣，棉质抓绒面料，胸前赛车涂鸦Logo印花，抽绳帽袋鼠兜，男女同款街头休闲上衣。"},"finish_reason":"stop"}],"usage":{"prompt_tokens":1164,"completion_tokens":254,"total_tokens":1418}}</t>
        </is>
      </c>
      <c r="X44" t="inlineStr">
        <is>
          <t>英国潮牌Trapstar黑色连帽卫衣，棉质抓绒面料，胸前赛车涂鸦Logo印花，抽绳帽袋鼠兜，男女同款街头休闲上衣。</t>
        </is>
      </c>
    </row>
    <row r="45" ht="25.5" customHeight="1">
      <c r="A45">
        <v>1839115443</v>
      </c>
      <c r="B45">
        <v>7769086040</v>
      </c>
      <c r="C45" s="2" t="str">
        <f>=HYPERLINK("https://weidian.com/item.html?itemID=7769086040", "https://weidian.com/item.html?itemID=7769086040")</f>
        <v>https://weidian.com/item.html?itemID=7769086040</v>
      </c>
      <c r="D45"/>
      <c r="E45" s="2" t="str">
        <f>=HYPERLINK("https://si.geilicdn.com/open1839115443-252808396-09930000019e341f1f0d0a22d249_970_970.jpg?w=640&amp;h=640", "https://si.geilicdn.com/open1839115443-252808396-09930000019e341f1f0d0a22d249_970_970.jpg?w=640&amp;h=640")</f>
        <v>https://si.geilicdn.com/open1839115443-252808396-09930000019e341f1f0d0a22d249_970_970.jpg?w=640&amp;h=640</v>
      </c>
      <c r="F45" t="inlineStr">
        <is>
          <t>Sweatshirt</t>
        </is>
      </c>
      <c r="G45" t="inlineStr">
        <is>
          <t>C.P. Company</t>
        </is>
      </c>
      <c r="H45">
        <v>213</v>
      </c>
      <c r="I45">
        <v>30.87</v>
      </c>
      <c r="J45" t="inlineStr">
        <is>
          <t>{"id":"resp_030ff0176091c767016a0ab68c05d08198b096d79df50aeaae","object":"chat.completion","created":1779086991,"model":"gpt-5.5","choices":[{"index":0,"message":{"role":"assistant","content":"C.P. Company Black Logo Totem Crewneck Sweatshirt"},"finish_reason":"stop"}],"usage":{"prompt_tokens":724,"completion_tokens":121,"total_tokens":845}}</t>
        </is>
      </c>
      <c r="K45" t="inlineStr">
        <is>
          <t>C.P. Company Black Logo Totem Crewneck Sweatshirt</t>
        </is>
      </c>
      <c r="L45" t="inlineStr">
        <is>
          <t>{"id":"resp_09546afe3fa01c8b016a0ab4bd586c819ab1579129aa7a2bc3","object":"chat.completion","created":1779086529,"model":"gpt-5.5","choices":[{"index":0,"message":{"role":"assistant","content":"C.P. Company black crewneck sweatshirt, cotton fabric, figure totem and logo print, vintage streetwear unisex casual pullover."},"finish_reason":"stop"}],"usage":{"prompt_tokens":743,"completion_tokens":102,"total_tokens":845}}</t>
        </is>
      </c>
      <c r="M45" t="inlineStr">
        <is>
          <t>{"alt-svc":"h3=\":443\"; ma=2592000","connection":"close","content-length":"420","content-type":"application/json; charset=utf-8","date":"Mon, 18 May 2026 06:42:09 GMT","referrer-policy":"strict-origin-when-cross-origin","server":"nginx/1.24.0 (Ubuntu)","strict-transport-security":"max-age=31536000; includeSubDomains; preload","vary":"Accept-Encoding","via":"1.1 Caddy","x-content-type-options":"nosniff","x-frame-options":"DENY","x-new-api-version":"v1.0.0-rc.2","x-oneapi-request-id":"202605180642048884343758268d9d6nGdZH6wS","x-request-id":"b415f744-ddaa-45a0-a48d-01acbdea5a64"}</t>
        </is>
      </c>
      <c r="N45" t="inlineStr">
        <is>
          <t>C.P. Company black crewneck sweatshirt, cotton fabric, figure totem and logo print, vintage streetwear unisex casual pullover.</t>
        </is>
      </c>
      <c r="O45" t="inlineStr">
        <is>
          <t>{"id":"resp_066bc616474e0ad0016a0ab72882cc819ba7478d004e21ea2a","object":"chat.completion","created":1779087151,"model":"gpt-5.5","choices":[{"index":0,"message":{"role":"assistant","content":"C.P. Company Sweatshirt kakobuy, C.P. Company Sweatshirt kakebuy2026, C.P. Company Sweatshirt kekobuysheet, C.P. Company Sweatshirt kakobuysheet2026, C.P. Company Sweatshirt 2026kakobuy, C.P. Company Sweatshirt kakobuyspreadsheeet, C.P. Company Sweatshirt kakobuylink, C.P. Company Sweatshirt kakebuylist, C.P. Company Sweatshirt Kakobuy MEGA Spreadsheet, C.P. Company Sweatshirt kakobuysheetfind, C.P. Company Sweatshirt kakobuysheetfind2026, C.P. Company Sweatshirt 2026kakobuysheetfind, C.P. Company Sweatshirt kakobuysheet2026"},"finish_reason":"stop"}],"usage":{"prompt_tokens":647,"completion_tokens":348,"total_tokens":995}}</t>
        </is>
      </c>
      <c r="P45" t="inlineStr">
        <is>
          <t>C.P. Company Sweatshirt kakobuy, C.P. Company Sweatshirt kakebuy2026, C.P. Company Sweatshirt kekobuysheet, C.P. Company Sweatshirt kakobuysheet2026, C.P. Company Sweatshirt 2026kakobuy, C.P. Company Sweatshirt kakobuyspreadsheeet, C.P. Company Sweatshirt kakobuylink, C.P. Company Sweatshirt kakebuylist, C.P. Company Sweatshirt Kakobuy MEGA Spreadsheet, C.P. Company Sweatshirt kakobuysheetfind, C.P. Company Sweatshirt kakobuysheetfind2026, C.P. Company Sweatshirt 2026kakobuysheetfind, C.P. Company Sweatshirt kakobuysheet2026</t>
        </is>
      </c>
      <c r="Q45" t="inlineStr">
        <is>
          <t>Black, Vintage, Streetwear, Unisex</t>
        </is>
      </c>
      <c r="R45" t="inlineStr">
        <is>
          <t>recvjR8RzVhPhn</t>
        </is>
      </c>
      <c r="S45" t="inlineStr">
        <is>
          <t>c-p-company-black-logo-totem-crewneck-sweatshirt-recvjr8rzvhphn</t>
        </is>
      </c>
      <c r="T45"/>
      <c r="U45"/>
      <c r="V45"/>
      <c r="W45" t="inlineStr">
        <is>
          <t>{"id":"resp_0d69c6bc606a7cf1016a0ab2e70dbc819bbe5e68de07d4231d","object":"chat.completion","created":1779086060,"model":"gpt-5.5","choices":[{"index":0,"message":{"role":"assistant","content":"潮牌C.P. Company黑色圆领卫衣，棉质面料，人物图腾与品牌字母印花，复古街头风男女同款休闲上衣。"},"finish_reason":"stop"}],"usage":{"prompt_tokens":1170,"completion_tokens":178,"total_tokens":1348}}</t>
        </is>
      </c>
      <c r="X45" t="inlineStr">
        <is>
          <t>潮牌C.P. Company黑色圆领卫衣，棉质面料，人物图腾与品牌字母印花，复古街头风男女同款休闲上衣。</t>
        </is>
      </c>
    </row>
    <row r="46" ht="25.5" customHeight="1">
      <c r="A46">
        <v>1839115443</v>
      </c>
      <c r="B46">
        <v>7766023233</v>
      </c>
      <c r="C46" s="2" t="str">
        <f>=HYPERLINK("https://weidian.com/item.html?itemID=7766023233", "https://weidian.com/item.html?itemID=7766023233")</f>
        <v>https://weidian.com/item.html?itemID=7766023233</v>
      </c>
      <c r="D46"/>
      <c r="E46" s="2" t="str">
        <f>=HYPERLINK("https://si.geilicdn.com/open1839115443-252808396-68870000019e341f4a1d0a8115c2_760_760.jpg?w=640&amp;h=640", "https://si.geilicdn.com/open1839115443-252808396-68870000019e341f4a1d0a8115c2_760_760.jpg?w=640&amp;h=640")</f>
        <v>https://si.geilicdn.com/open1839115443-252808396-68870000019e341f4a1d0a8115c2_760_760.jpg?w=640&amp;h=640</v>
      </c>
      <c r="F46" t="inlineStr">
        <is>
          <t>Hoodies</t>
        </is>
      </c>
      <c r="G46" t="inlineStr">
        <is>
          <t>C.P. Company</t>
        </is>
      </c>
      <c r="H46">
        <v>227</v>
      </c>
      <c r="I46">
        <v>32.9</v>
      </c>
      <c r="J46" t="inlineStr">
        <is>
          <t>{"id":"resp_055b9f889f89b957016a0ab6ae4ec881998628d19cc2a2ea17","object":"chat.completion","created":1779087026,"model":"gpt-5.5","choices":[{"index":0,"message":{"role":"assistant","content":"C.P. Company Black Goggle Zip Hoodie Techwear Sweatshirt"},"finish_reason":"stop"}],"usage":{"prompt_tokens":725,"completion_tokens":152,"total_tokens":877}}</t>
        </is>
      </c>
      <c r="K46" t="inlineStr">
        <is>
          <t>C.P. Company Black Goggle Zip Hoodie Techwear Sweatshirt</t>
        </is>
      </c>
      <c r="L46" t="inlineStr">
        <is>
          <t>{"id":"resp_01d010f8e9b971cc016a0ab552545481998fd28d95ed320983","object":"chat.completion","created":1779086680,"model":"gpt-5.5","choices":[{"index":0,"message":{"role":"assistant","content":"C.P. Company Black Goggle zip hoodie, cotton knit unisex sweatshirt with lens hood, kangaroo pocket, techwear street casual jacket"},"finish_reason":"stop"}],"usage":{"prompt_tokens":750,"completion_tokens":124,"total_tokens":874}}</t>
        </is>
      </c>
      <c r="M46" t="inlineStr">
        <is>
          <t>{"alt-svc":"h3=\":443\"; ma=2592000","connection":"close","content-length":"424","content-type":"application/json; charset=utf-8","date":"Mon, 18 May 2026 06:44:40 GMT","referrer-policy":"strict-origin-when-cross-origin","server":"nginx/1.24.0 (Ubuntu)","strict-transport-security":"max-age=31536000; includeSubDomains; preload","vary":"Accept-Encoding","via":"1.1 Caddy","x-content-type-options":"nosniff","x-frame-options":"DENY","x-new-api-version":"v1.0.0-rc.2","x-oneapi-request-id":"202605180644338568296598268d9d60eXhhecF","x-request-id":"ea185c6d-d56b-4e18-8297-5898d0867638"}</t>
        </is>
      </c>
      <c r="N46" t="inlineStr">
        <is>
          <t>C.P. Company Black Goggle zip hoodie, cotton knit unisex sweatshirt with lens hood, kangaroo pocket, techwear street casual jacket</t>
        </is>
      </c>
      <c r="O46" t="inlineStr">
        <is>
          <t>{"id":"resp_0972be4a9df3f2cf016a0ab797ecc8819b92515a08af35ab0b","object":"chat.completion","created":1779087262,"model":"gpt-5.5","choices":[{"index":0,"message":{"role":"assistant","content":"C.P. Company Hoodies kakobuy, C.P. Company Hoodies kakebuy2026, C.P. Company Hoodies kekobuysheet, C.P. Company Hoodies kakobuysheet2026, C.P. Company Hoodies 2026kakobuy, C.P. Company Hoodies kakobuyspreadsheeet, C.P. Company Hoodies kakobuylink, C.P. Company Hoodies kakebuylist, C.P. Company Hoodies Kakobuy MEGA Spreadsheet, C.P. Company Hoodies kakobuysheetfind, C.P. Company Hoodies kakobuysheetfind2026, C.P. Company Hoodies 2026kakobuysheetfind, C.P. Company Hoodies kakobuysheet2026"},"finish_reason":"stop"}],"usage":{"prompt_tokens":647,"completion_tokens":288,"total_tokens":935}}</t>
        </is>
      </c>
      <c r="P46" t="inlineStr">
        <is>
          <t>C.P. Company Hoodies kakobuy, C.P. Company Hoodies kakebuy2026, C.P. Company Hoodies kekobuysheet, C.P. Company Hoodies kakobuysheet2026, C.P. Company Hoodies 2026kakobuy, C.P. Company Hoodies kakobuyspreadsheeet, C.P. Company Hoodies kakobuylink, C.P. Company Hoodies kakebuylist, C.P. Company Hoodies Kakobuy MEGA Spreadsheet, C.P. Company Hoodies kakobuysheetfind, C.P. Company Hoodies kakobuysheetfind2026, C.P. Company Hoodies 2026kakobuysheetfind, C.P. Company Hoodies kakobuysheet2026</t>
        </is>
      </c>
      <c r="Q46" t="inlineStr">
        <is>
          <t>Black, Unisex, Knit, Streetwear</t>
        </is>
      </c>
      <c r="R46" t="inlineStr">
        <is>
          <t>recvjR8RzVc9Hg</t>
        </is>
      </c>
      <c r="S46" t="inlineStr">
        <is>
          <t>c-p-company-black-goggle-zip-hoodie-techwear-sweatshirt-recvjr8rzvc9hg</t>
        </is>
      </c>
      <c r="T46"/>
      <c r="U46"/>
      <c r="V46"/>
      <c r="W46" t="inlineStr">
        <is>
          <t>{"id":"resp_0f8aefb8493b0e58016a0ab2871bfc8193af1da21e98e2beb4","object":"chat.completion","created":1779085963,"model":"gpt-5.5","choices":[{"index":0,"message":{"role":"assistant","content":"C.P. Company黑色Goggle连帽拉链卫衣，棉质针织面料，护目镜帽檐设计，袋鼠兜，男女同款机能街头休闲外套"},"finish_reason":"stop"}],"usage":{"prompt_tokens":1172,"completion_tokens":157,"total_tokens":1329}}</t>
        </is>
      </c>
      <c r="X46" t="inlineStr">
        <is>
          <t>C.P. Company黑色Goggle连帽拉链卫衣，棉质针织面料，护目镜帽檐设计，袋鼠兜，男女同款机能街头休闲外套</t>
        </is>
      </c>
    </row>
    <row r="47" ht="25.5" customHeight="1">
      <c r="A47">
        <v>1839115443</v>
      </c>
      <c r="B47">
        <v>7768957224</v>
      </c>
      <c r="C47" s="2" t="str">
        <f>=HYPERLINK("https://weidian.com/item.html?itemID=7768957224", "https://weidian.com/item.html?itemID=7768957224")</f>
        <v>https://weidian.com/item.html?itemID=7768957224</v>
      </c>
      <c r="D47"/>
      <c r="E47" s="2" t="str">
        <f>=HYPERLINK("https://si.geilicdn.com/open1839115443-252808396-09f10000019e3420b2180a22d249_790_1852.jpg?w=640&amp;h=640", "https://si.geilicdn.com/open1839115443-252808396-09f10000019e3420b2180a22d249_790_1852.jpg?w=640&amp;h=640")</f>
        <v>https://si.geilicdn.com/open1839115443-252808396-09f10000019e3420b2180a22d249_790_1852.jpg?w=640&amp;h=640</v>
      </c>
      <c r="F47" t="inlineStr">
        <is>
          <t>T-Shirts</t>
        </is>
      </c>
      <c r="G47" t="inlineStr">
        <is>
          <t>Comme des Garçons Play</t>
        </is>
      </c>
      <c r="H47">
        <v>120</v>
      </c>
      <c r="I47">
        <v>17.39</v>
      </c>
      <c r="J47" t="inlineStr">
        <is>
          <t>{"id":"resp_039abf12e054d590016a0ab69d1ea88199870fc69d08711217","object":"chat.completion","created":1779087011,"model":"gpt-5.5","choices":[{"index":0,"message":{"role":"assistant","content":"Comme des Garcons Play Navy Heart Cotton Polo Shirt"},"finish_reason":"stop"}],"usage":{"prompt_tokens":1373,"completion_tokens":164,"total_tokens":1537}}</t>
        </is>
      </c>
      <c r="K47" t="inlineStr">
        <is>
          <t>Comme des Garcons Play Navy Heart Cotton Polo Shirt</t>
        </is>
      </c>
      <c r="L47" t="inlineStr">
        <is>
          <t>{"id":"resp_0bc7124dbe1bf257016a0ab46d1018819bb701623b6c2e1c6b","object":"chat.completion","created":1779086448,"model":"gpt-5.5","choices":[{"index":0,"message":{"role":"assistant","content":"Comme des Garçons Play navy polo shirt, pure cotton short sleeve collar, black heart eyes embroidery, unisex casual commuter fashion T-shirt top"},"finish_reason":"stop"}],"usage":{"prompt_tokens":1399,"completion_tokens":121,"total_tokens":1520}}</t>
        </is>
      </c>
      <c r="M47" t="inlineStr">
        <is>
          <t>{"alt-svc":"h3=\":443\"; ma=2592000","connection":"close","content-length":"441","content-type":"application/json; charset=utf-8","date":"Mon, 18 May 2026 06:40:48 GMT","referrer-policy":"strict-origin-when-cross-origin","server":"nginx/1.24.0 (Ubuntu)","strict-transport-security":"max-age=31536000; includeSubDomains; preload","vary":"Accept-Encoding","via":"1.1 Caddy","x-content-type-options":"nosniff","x-frame-options":"DENY","x-new-api-version":"v1.0.0-rc.2","x-oneapi-request-id":"202605180640442345906818268d9d6rbSrKovs","x-request-id":"be11197a-704e-47b5-8572-8ef0abc5e0ff"}</t>
        </is>
      </c>
      <c r="N47" t="inlineStr">
        <is>
          <t>Comme des Garçons Play navy polo shirt, pure cotton short sleeve collar, black heart eyes embroidery, unisex casual commuter fashion T-shirt top</t>
        </is>
      </c>
      <c r="O47" t="inlineStr">
        <is>
          <t>{"id":"resp_081e6fcef117b69e016a0ab88b73b48198a13af10c8252d9ab","object":"chat.completion","created":1779087504,"model":"gpt-5.5","choices":[{"index":0,"message":{"role":"assistant","content":"Comme des Garçons Play, T-Shirts, kakobuy, kakebuy2026, kekobuysheet, kakobuysheet2026, 2026kakobuy, kakobuyspreadsheeet, kakobuylink, kakebuylist, Kakobuy MEGA Spreadsheet, kakobuysheetfind, kakobuysheetfind2026, 2026kakobuysheetfind, kakobuysheet2026"},"finish_reason":"stop"}],"usage":{"prompt_tokens":1295,"completion_tokens":221,"total_tokens":1516}}</t>
        </is>
      </c>
      <c r="P47" t="inlineStr">
        <is>
          <t>Comme des Garçons Play, T-Shirts, kakobuy, kakebuy2026, kekobuysheet, kakobuysheet2026, 2026kakobuy, kakobuyspreadsheeet, kakobuylink, kakebuylist, Kakobuy MEGA Spreadsheet, kakobuysheetfind, kakobuysheetfind2026, 2026kakobuysheetfind, kakobuysheet2026</t>
        </is>
      </c>
      <c r="Q47" t="inlineStr">
        <is>
          <t>Navy, Unisex, Fashion</t>
        </is>
      </c>
      <c r="R47" t="inlineStr">
        <is>
          <t>recvjR8RzVGcZC</t>
        </is>
      </c>
      <c r="S47" t="inlineStr">
        <is>
          <t>cdg-play-navy-heart-cotton-polo-recvjr8rzvgczc</t>
        </is>
      </c>
      <c r="T47"/>
      <c r="U47"/>
      <c r="V47"/>
      <c r="W47" t="inlineStr">
        <is>
          <t>{"id":"resp_0c4721fe73b39a59016a0ab300f3b881999ec1d918341e2cbf","object":"chat.completion","created":1779086084,"model":"gpt-5.5","choices":[{"index":0,"message":{"role":"assistant","content":"川久保玲Play藏蓝色Polo衫，纯棉翻领短袖，黑色爱心眼睛刺绣标，休闲通勤男女同款潮流T恤/POLO衫"},"finish_reason":"stop"}],"usage":{"prompt_tokens":1819,"completion_tokens":135,"total_tokens":1954}}</t>
        </is>
      </c>
      <c r="X47" t="inlineStr">
        <is>
          <t>川久保玲Play藏蓝色Polo衫，纯棉翻领短袖，黑色爱心眼睛刺绣标，休闲通勤男女同款潮流T恤/POLO衫</t>
        </is>
      </c>
    </row>
    <row r="48" ht="25.5" customHeight="1">
      <c r="A48">
        <v>1839115443</v>
      </c>
      <c r="B48">
        <v>7769084034</v>
      </c>
      <c r="C48" s="2" t="str">
        <f>=HYPERLINK("https://weidian.com/item.html?itemID=7769084034", "https://weidian.com/item.html?itemID=7769084034")</f>
        <v>https://weidian.com/item.html?itemID=7769084034</v>
      </c>
      <c r="D48"/>
      <c r="E48" s="2" t="str">
        <f>=HYPERLINK("https://si.geilicdn.com/open1839115443-252808396-09f70000019e3420c5a70a22d249_800_800.jpg?w=640&amp;h=640", "https://si.geilicdn.com/open1839115443-252808396-09f70000019e3420c5a70a22d249_800_800.jpg?w=640&amp;h=640")</f>
        <v>https://si.geilicdn.com/open1839115443-252808396-09f70000019e3420c5a70a22d249_800_800.jpg?w=640&amp;h=640</v>
      </c>
      <c r="F48" t="inlineStr">
        <is>
          <t>T-Shirts</t>
        </is>
      </c>
      <c r="G48" t="inlineStr">
        <is>
          <t>Ralph Lauren</t>
        </is>
      </c>
      <c r="H48">
        <v>123</v>
      </c>
      <c r="I48">
        <v>17.83</v>
      </c>
      <c r="J48" t="inlineStr">
        <is>
          <t>{"id":"resp_0294cb47a8ca30f7016a0ab60958108199980bc49ed3106e4c","object":"chat.completion","created":1779086860,"model":"gpt-5.5","choices":[{"index":0,"message":{"role":"assistant","content":"Ralph Lauren Navy Cotton Pique Polo Shirt Unisex"},"finish_reason":"stop"}],"usage":{"prompt_tokens":722,"completion_tokens":94,"total_tokens":816}}</t>
        </is>
      </c>
      <c r="K48" t="inlineStr">
        <is>
          <t>Ralph Lauren Navy Cotton Pique Polo Shirt Unisex</t>
        </is>
      </c>
      <c r="L48" t="inlineStr">
        <is>
          <t>{"id":"resp_002e206f74b3a4ce016a0ab4a2fd4c819aa3689c3b615719f4","object":"chat.completion","created":1779086502,"model":"gpt-5.5","choices":[{"index":0,"message":{"role":"assistant","content":"Ralph Lauren navy blue Polo shirt, breathable cotton pique, short sleeve button collar, embroidered pony logo, classic casual unisex T-shirt."},"finish_reason":"stop"}],"usage":{"prompt_tokens":749,"completion_tokens":132,"total_tokens":881}}</t>
        </is>
      </c>
      <c r="M48" t="inlineStr">
        <is>
          <t>{"alt-svc":"h3=\":443\"; ma=2592000","connection":"close","content-length":"435","content-type":"application/json; charset=utf-8","date":"Mon, 18 May 2026 06:41:42 GMT","referrer-policy":"strict-origin-when-cross-origin","server":"Caddy","strict-transport-security":"max-age=31536000; includeSubDomains; preload","vary":"Accept-Encoding","x-content-type-options":"nosniff","x-frame-options":"DENY","x-new-api-version":"v1.0.0-rc.2","x-oneapi-request-id":"202605180641386177493878268d9d6mPeTsLgm","x-request-id":"4f1881b1-ecb5-4d94-835d-fe0d7dd797b2"}</t>
        </is>
      </c>
      <c r="N48" t="inlineStr">
        <is>
          <t>Ralph Lauren navy blue Polo shirt, breathable cotton pique, short sleeve button collar, embroidered pony logo, classic casual unisex T-shirt.</t>
        </is>
      </c>
      <c r="O48" t="inlineStr">
        <is>
          <t>{"id":"resp_065b28635451c30c016a0ab76f6c3c819a9e5f0318ef6e68a6","object":"chat.completion","created":1779087223,"model":"gpt-5.5","choices":[{"index":0,"message":{"role":"assistant","content":"Ralph Lauren T-Shirts kakobuy, Ralph Lauren T-Shirts kakebuy2026, Ralph Lauren T-Shirts kekobuysheet, Ralph Lauren T-Shirts kakobuysheet2026, Ralph Lauren T-Shirts 2026kakobuy, Ralph Lauren T-Shirts kakobuyspreadsheeet, Ralph Lauren T-Shirts kakobuylink, Ralph Lauren T-Shirts kakebuylist, Ralph Lauren T-Shirts Kakobuy MEGA Spreadsheet, Ralph Lauren T-Shirts kakobuysheetfind, Ralph Lauren T-Shirts kakobuysheetfind2026, Ralph Lauren T-Shirts 2026kakobuysheetfind, Ralph Lauren T-Shirts kakobuysheet2026"},"finish_reason":"stop"}],"usage":{"prompt_tokens":645,"completion_tokens":356,"total_tokens":1001}}</t>
        </is>
      </c>
      <c r="P48" t="inlineStr">
        <is>
          <t>Ralph Lauren T-Shirts kakobuy, Ralph Lauren T-Shirts kakebuy2026, Ralph Lauren T-Shirts kekobuysheet, Ralph Lauren T-Shirts kakobuysheet2026, Ralph Lauren T-Shirts 2026kakobuy, Ralph Lauren T-Shirts kakobuyspreadsheeet, Ralph Lauren T-Shirts kakobuylink, Ralph Lauren T-Shirts kakebuylist, Ralph Lauren T-Shirts Kakobuy MEGA Spreadsheet, Ralph Lauren T-Shirts kakobuysheetfind, Ralph Lauren T-Shirts kakobuysheetfind2026, Ralph Lauren T-Shirts 2026kakobuysheetfind, Ralph Lauren T-Shirts kakobuysheet2026</t>
        </is>
      </c>
      <c r="Q48" t="inlineStr">
        <is>
          <t>Navy, Classic, Breathable, Unisex</t>
        </is>
      </c>
      <c r="R48" t="inlineStr">
        <is>
          <t>recvjR8RzVT9Rc</t>
        </is>
      </c>
      <c r="S48" t="inlineStr">
        <is>
          <t>ralph-lauren-navy-cotton-pique-polo-recvjr8rzvt9rc</t>
        </is>
      </c>
      <c r="T48"/>
      <c r="U48"/>
      <c r="V48"/>
      <c r="W48" t="inlineStr">
        <is>
          <t>{"id":"resp_073515b734458c04016a0ab20eaac8819882e2f0a316fd2542","object":"chat.completion","created":1779085843,"model":"gpt-5.5","choices":[{"index":0,"message":{"role":"assistant","content":"拉夫劳伦Ralph Lauren海军蓝Polo衫，棉质珠地透气面料，翻领短袖纽扣设计，胸前骑马刺绣，男女休闲经典款T恤"},"finish_reason":"stop"}],"usage":{"prompt_tokens":1167,"completion_tokens":147,"total_tokens":1314}}</t>
        </is>
      </c>
      <c r="X48" t="inlineStr">
        <is>
          <t>拉夫劳伦Ralph Lauren海军蓝Polo衫，棉质珠地透气面料，翻领短袖纽扣设计，胸前骑马刺绣，男女休闲经典款T恤</t>
        </is>
      </c>
    </row>
    <row r="49" ht="25.5" customHeight="1">
      <c r="A49">
        <v>1839115443</v>
      </c>
      <c r="B49">
        <v>7768842888</v>
      </c>
      <c r="C49" s="2" t="str">
        <f>=HYPERLINK("https://weidian.com/item.html?itemID=7768842888", "https://weidian.com/item.html?itemID=7768842888")</f>
        <v>https://weidian.com/item.html?itemID=7768842888</v>
      </c>
      <c r="D49"/>
      <c r="E49" s="2" t="str">
        <f>=HYPERLINK("https://si.geilicdn.com/open1839115443-252808396-68cf0000019e3420a7730a8115c2_1920_1920.jpg?w=640&amp;h=640", "https://si.geilicdn.com/open1839115443-252808396-68cf0000019e3420a7730a8115c2_1920_1920.jpg?w=640&amp;h=640")</f>
        <v>https://si.geilicdn.com/open1839115443-252808396-68cf0000019e3420a7730a8115c2_1920_1920.jpg?w=640&amp;h=640</v>
      </c>
      <c r="F49" t="inlineStr">
        <is>
          <t>T-Shirts</t>
        </is>
      </c>
      <c r="G49" t="inlineStr">
        <is>
          <t>C.P. Company</t>
        </is>
      </c>
      <c r="H49">
        <v>181</v>
      </c>
      <c r="I49">
        <v>26.23</v>
      </c>
      <c r="J49" t="inlineStr">
        <is>
          <t>{"id":"resp_0e67b18404922fc5016a0ab64b45e4819b9ee8a569ebdb6355","object":"chat.completion","created":1779086927,"model":"gpt-5.5","choices":[{"index":0,"message":{"role":"assistant","content":"C.P. Company Grey Men's Cargo Shorts Lens Badge"},"finish_reason":"stop"}],"usage":{"prompt_tokens":729,"completion_tokens":165,"total_tokens":894}}</t>
        </is>
      </c>
      <c r="K49" t="inlineStr">
        <is>
          <t>C.P. Company Grey Men's Cargo Shorts Lens Badge</t>
        </is>
      </c>
      <c r="L49" t="inlineStr">
        <is>
          <t>{"id":"resp_0641a5440d2ec5f7016a0ab50b34f48195b74e6261887500eb","object":"chat.completion","created":1779086610,"model":"gpt-5.5","choices":[{"index":0,"message":{"role":"assistant","content":"C.P. Company grey men's casual cargo shorts, cotton knit fabric, elastic drawstring waist, multi-pocket design, Lens badge, sporty streetwear style."},"finish_reason":"stop"}],"usage":{"prompt_tokens":752,"completion_tokens":116,"total_tokens":868}}</t>
        </is>
      </c>
      <c r="M49" t="inlineStr">
        <is>
          <t>{"alt-svc":"h3=\":443\"; ma=2592000","connection":"close","content-length":"442","content-type":"application/json; charset=utf-8","date":"Mon, 18 May 2026 06:43:30 GMT","referrer-policy":"strict-origin-when-cross-origin","server":"Caddy","strict-transport-security":"max-age=31536000; includeSubDomains; preload","vary":"Accept-Encoding","x-content-type-options":"nosniff","x-frame-options":"DENY","x-new-api-version":"v1.0.0-rc.2","x-oneapi-request-id":"202605180643215697848368268d9d6hgCH119Q","x-request-id":"78a361ab-b0ae-44c9-9f78-d8dad8456624"}</t>
        </is>
      </c>
      <c r="N49" t="inlineStr">
        <is>
          <t>C.P. Company grey men's casual cargo shorts, cotton knit fabric, elastic drawstring waist, multi-pocket design, Lens badge, sporty streetwear style.</t>
        </is>
      </c>
      <c r="O49" t="inlineStr">
        <is>
          <t>{"id":"resp_08a54c2070fed8e8016a0ab83efc54819bafe57a4f2dac5333","object":"chat.completion","created":1779087430,"model":"gpt-5.5","choices":[{"index":0,"message":{"role":"assistant","content":"C.P. Company T-Shirts kakobuy, C.P. Company T-Shirts kakebuy2026, C.P. Company T-Shirts kekobuysheet, C.P. Company T-Shirts kakobuysheet2026, C.P. Company T-Shirts 2026kakobuy, C.P. Company T-Shirts kakobuyspreadsheeet, C.P. Company T-Shirts kakobuylink, C.P. Company T-Shirts kakebuylist, C.P. Company T-Shirts Kakobuy MEGA Spreadsheet, C.P. Company T-Shirts kakobuysheetfind, C.P. Company T-Shirts kakobuysheetfind2026, C.P. Company T-Shirts 2026kakobuysheetfind, C.P. Company T-Shirts kakobuysheet2026"},"finish_reason":"stop"}],"usage":{"prompt_tokens":646,"completion_tokens":304,"total_tokens":950}}</t>
        </is>
      </c>
      <c r="P49" t="inlineStr">
        <is>
          <t>C.P. Company T-Shirts kakobuy, C.P. Company T-Shirts kakebuy2026, C.P. Company T-Shirts kekobuysheet, C.P. Company T-Shirts kakobuysheet2026, C.P. Company T-Shirts 2026kakobuy, C.P. Company T-Shirts kakobuyspreadsheeet, C.P. Company T-Shirts kakobuylink, C.P. Company T-Shirts kakebuylist, C.P. Company T-Shirts Kakobuy MEGA Spreadsheet, C.P. Company T-Shirts kakobuysheetfind, C.P. Company T-Shirts kakobuysheetfind2026, C.P. Company T-Shirts 2026kakobuysheetfind, C.P. Company T-Shirts kakobuysheet2026</t>
        </is>
      </c>
      <c r="Q49" t="inlineStr">
        <is>
          <t>Men, Cargo, Streetwear, Sporty</t>
        </is>
      </c>
      <c r="R49" t="inlineStr">
        <is>
          <t>recvjR8RzVyjlk</t>
        </is>
      </c>
      <c r="S49" t="inlineStr">
        <is>
          <t>c-p-company-grey-cargo-shorts-lens-badge-recvjr8rzvyjlk</t>
        </is>
      </c>
      <c r="T49"/>
      <c r="U49"/>
      <c r="V49"/>
      <c r="W49" t="inlineStr">
        <is>
          <t>{"id":"resp_0e6a107da42fce16016a0ab283d7448190a81920047541d1dd","object":"chat.completion","created":1779085960,"model":"gpt-5.5","choices":[{"index":0,"message":{"role":"assistant","content":"灰色C.P. Company男士休闲工装短裤，棉质针织面料，松紧抽绳腰头，多口袋设计，标志性Lens镜片徽章，潮流运动风格。"},"finish_reason":"stop"}],"usage":{"prompt_tokens":1173,"completion_tokens":171,"total_tokens":1344}}</t>
        </is>
      </c>
      <c r="X49" t="inlineStr">
        <is>
          <t>灰色C.P. Company男士休闲工装短裤，棉质针织面料，松紧抽绳腰头，多口袋设计，标志性Lens镜片徽章，潮流运动风格。</t>
        </is>
      </c>
    </row>
    <row r="50" ht="25.5" customHeight="1">
      <c r="A50">
        <v>1839115443</v>
      </c>
      <c r="B50">
        <v>7769048754</v>
      </c>
      <c r="C50" s="2" t="str">
        <f>=HYPERLINK("https://weidian.com/item.html?itemID=7769048754", "https://weidian.com/item.html?itemID=7769048754")</f>
        <v>https://weidian.com/item.html?itemID=7769048754</v>
      </c>
      <c r="D50"/>
      <c r="E50" s="2" t="str">
        <f>=HYPERLINK("https://si.geilicdn.com/open1839115443-252808396-7ec30000019e3420ede90aa08239_1600_1600.jpg?w=640&amp;h=640", "https://si.geilicdn.com/open1839115443-252808396-7ec30000019e3420ede90aa08239_1600_1600.jpg?w=640&amp;h=640")</f>
        <v>https://si.geilicdn.com/open1839115443-252808396-7ec30000019e3420ede90aa08239_1600_1600.jpg?w=640&amp;h=640</v>
      </c>
      <c r="F50" t="inlineStr">
        <is>
          <t>T-Shirts</t>
        </is>
      </c>
      <c r="G50" t="inlineStr">
        <is>
          <t>C.P. Company</t>
        </is>
      </c>
      <c r="H50">
        <v>153</v>
      </c>
      <c r="I50">
        <v>22.17</v>
      </c>
      <c r="J50" t="inlineStr">
        <is>
          <t>{"id":"resp_01fe3d0e168e58be016a0ab6098250819884b8115e5de8a3b0","object":"chat.completion","created":1779086858,"model":"gpt-5.5","choices":[{"index":0,"message":{"role":"assistant","content":"C.P. Company Black Silhouette Logo Cotton T-Shirt"},"finish_reason":"stop"}],"usage":{"prompt_tokens":722,"completion_tokens":12,"total_tokens":734}}</t>
        </is>
      </c>
      <c r="K50" t="inlineStr">
        <is>
          <t>C.P. Company Black Silhouette Logo Cotton T-Shirt</t>
        </is>
      </c>
      <c r="L50" t="inlineStr">
        <is>
          <t>{"id":"resp_0ea48cdbd4b61f3d016a0ab4d2eae48198adb3ee2f1bc1a4c5","object":"chat.completion","created":1779086548,"model":"gpt-5.5","choices":[{"index":0,"message":{"role":"assistant","content":"C.P. Company black cotton short sleeve T-shirt with silhouette and logo print, unisex vintage streetwear casual tee for men and women"},"finish_reason":"stop"}],"usage":{"prompt_tokens":743,"completion_tokens":28,"total_tokens":771}}</t>
        </is>
      </c>
      <c r="M50" t="inlineStr">
        <is>
          <t>{"alt-svc":"h3=\":443\"; ma=2592000","connection":"close","content-length":"426","content-type":"application/json; charset=utf-8","date":"Mon, 18 May 2026 06:42:28 GMT","referrer-policy":"strict-origin-when-cross-origin","server":"nginx/1.24.0 (Ubuntu)","strict-transport-security":"max-age=31536000; includeSubDomains; preload","vary":"Accept-Encoding","via":"1.1 Caddy","x-content-type-options":"nosniff","x-frame-options":"DENY","x-new-api-version":"v1.0.0-rc.2","x-oneapi-request-id":"202605180642264969051698268d9d65JaSghNF","x-request-id":"e2a5ce15-723c-4e6f-8cfa-0e029e1d7212"}</t>
        </is>
      </c>
      <c r="N50" t="inlineStr">
        <is>
          <t>C.P. Company black cotton short sleeve T-shirt with silhouette and logo print, unisex vintage streetwear casual tee for men and women</t>
        </is>
      </c>
      <c r="O50" t="inlineStr">
        <is>
          <t>{"id":"resp_0c84d1d16cff0111016a0ab7768c7c8196a41ab883fe81ffb1","object":"chat.completion","created":1779087229,"model":"gpt-5.5","choices":[{"index":0,"message":{"role":"assistant","content":"C.P. Company T-Shirts kakobuy, C.P. Company T-Shirts kakebuy2026, C.P. Company T-Shirts kekobuysheet, C.P. Company T-Shirts kakobuysheet2026, C.P. Company T-Shirts 2026kakobuy, C.P. Company T-Shirts kakobuyspreadsheeet, C.P. Company T-Shirts kakobuylink, C.P. Company T-Shirts kakebuylist, C.P. Company T-Shirts Kakobuy MEGA Spreadsheet, C.P. Company T-Shirts kakobuysheetfind, C.P. Company T-Shirts kakobuysheetfind2026, C.P. Company T-Shirts 2026kakobuysheetfind, C.P. Company T-Shirts kakobuysheet2026"},"finish_reason":"stop"}],"usage":{"prompt_tokens":646,"completion_tokens":337,"total_tokens":983}}</t>
        </is>
      </c>
      <c r="P50" t="inlineStr">
        <is>
          <t>C.P. Company T-Shirts kakobuy, C.P. Company T-Shirts kakebuy2026, C.P. Company T-Shirts kekobuysheet, C.P. Company T-Shirts kakobuysheet2026, C.P. Company T-Shirts 2026kakobuy, C.P. Company T-Shirts kakobuyspreadsheeet, C.P. Company T-Shirts kakobuylink, C.P. Company T-Shirts kakebuylist, C.P. Company T-Shirts Kakobuy MEGA Spreadsheet, C.P. Company T-Shirts kakobuysheetfind, C.P. Company T-Shirts kakobuysheetfind2026, C.P. Company T-Shirts 2026kakobuysheetfind, C.P. Company T-Shirts kakobuysheet2026</t>
        </is>
      </c>
      <c r="Q50" t="inlineStr">
        <is>
          <t>Black, Vintage, Streetwear, Unisex</t>
        </is>
      </c>
      <c r="R50" t="inlineStr">
        <is>
          <t>recvjR8RzVpUqk</t>
        </is>
      </c>
      <c r="S50" t="inlineStr">
        <is>
          <t>c-p-company-black-silhouette-logo-cotton-t-shirt-recvjr8rzvpuqk</t>
        </is>
      </c>
      <c r="T50"/>
      <c r="U50"/>
      <c r="V50"/>
      <c r="W50" t="inlineStr">
        <is>
          <t>{"id":"resp_03e27b51819219aa016a0ab25fb3b0819b922764650ccef547","object":"chat.completion","created":1779085923,"model":"gpt-5.5","choices":[{"index":0,"message":{"role":"assistant","content":"黑色 C.P. Company 短袖T恤，棉质休闲面料，正面人物剪影与品牌Logo印花，复古街头风男女同款上衣"},"finish_reason":"stop"}],"usage":{"prompt_tokens":1167,"completion_tokens":144,"total_tokens":1311}}</t>
        </is>
      </c>
      <c r="X50" t="inlineStr">
        <is>
          <t>黑色 C.P. Company 短袖T恤，棉质休闲面料，正面人物剪影与品牌Logo印花，复古街头风男女同款上衣</t>
        </is>
      </c>
    </row>
    <row r="51" ht="25.5" customHeight="1">
      <c r="A51">
        <v>1839115443</v>
      </c>
      <c r="B51">
        <v>7766056659</v>
      </c>
      <c r="C51" s="2" t="str">
        <f>=HYPERLINK("https://weidian.com/item.html?itemID=7766056659", "https://weidian.com/item.html?itemID=7766056659")</f>
        <v>https://weidian.com/item.html?itemID=7766056659</v>
      </c>
      <c r="D51"/>
      <c r="E51" s="2" t="str">
        <f>=HYPERLINK("https://si.geilicdn.com/open1839115443-252808396-60a90000019e340913db0a8115c2_1920_1920.jpg?w=640&amp;h=640", "https://si.geilicdn.com/open1839115443-252808396-60a90000019e340913db0a8115c2_1920_1920.jpg?w=640&amp;h=640")</f>
        <v>https://si.geilicdn.com/open1839115443-252808396-60a90000019e340913db0a8115c2_1920_1920.jpg?w=640&amp;h=640</v>
      </c>
      <c r="F51" t="inlineStr">
        <is>
          <t>Pans</t>
        </is>
      </c>
      <c r="G51" t="inlineStr">
        <is>
          <t xml:space="preserve">Carhartt </t>
        </is>
      </c>
      <c r="H51">
        <v>171</v>
      </c>
      <c r="I51">
        <v>24.78</v>
      </c>
      <c r="J51" t="inlineStr">
        <is>
          <t>{"id":"resp_00bad6ac9c66578d016a0ab6796490819780cb893ab71a5114","object":"chat.completion","created":1779086974,"model":"gpt-5.5","choices":[{"index":0,"message":{"role":"assistant","content":"Carhartt Washed Cotton Drawstring Unisex Sweat Shorts"},"finish_reason":"stop"}],"usage":{"prompt_tokens":737,"completion_tokens":197,"total_tokens":934}}</t>
        </is>
      </c>
      <c r="K51" t="inlineStr">
        <is>
          <t>Carhartt Washed Cotton Drawstring Unisex Sweat Shorts</t>
        </is>
      </c>
      <c r="L51" t="inlineStr">
        <is>
          <t>{"id":"resp_030c966ee8804835016a0ab48d2478819981651b67db5efe57","object":"chat.completion","created":1779086479,"model":"gpt-5.5","choices":[{"index":0,"message":{"role":"assistant","content":"PansCarhartt Carhartt washed cotton drawstring shorts, multi-color elastic waist loose fit, small C logo, vintage streetwear unisex summer knee-length sweat shorts"},"finish_reason":"stop"}],"usage":{"prompt_tokens":748,"completion_tokens":101,"total_tokens":849}}</t>
        </is>
      </c>
      <c r="M51" t="inlineStr">
        <is>
          <t>{"alt-svc":"h3=\":443\"; ma=2592000","connection":"close","content-length":"457","content-type":"application/json; charset=utf-8","date":"Mon, 18 May 2026 06:41:20 GMT","referrer-policy":"strict-origin-when-cross-origin","server":"Caddy","strict-transport-security":"max-age=31536000; includeSubDomains; preload","vary":"Accept-Encoding","x-content-type-options":"nosniff","x-frame-options":"DENY","x-new-api-version":"v1.0.0-rc.2","x-oneapi-request-id":"202605180641165336183738268d9d6DuJ6vMyn","x-request-id":"a571c05f-cb23-4c0c-a107-e8db4a5f2851"}</t>
        </is>
      </c>
      <c r="N51" t="inlineStr">
        <is>
          <t>PansCarhartt Carhartt washed cotton drawstring shorts, multi-color elastic waist loose fit, small C logo, vintage streetwear unisex summer knee-length sweat shorts</t>
        </is>
      </c>
      <c r="O51" t="inlineStr">
        <is>
          <t>{"id":"resp_047a0a346f3d496c016a0ab85eef048198a6c383632de03813","object":"chat.completion","created":1779087465,"model":"gpt-5.5","choices":[{"index":0,"message":{"role":"assistant","content":"Carhartt Pants kakobuy, Carhartt Pants kakebuy2026, Carhartt Pants kekobuysheet, Carhartt Pants kakobuysheet2026, Carhartt Pants 2026kakobuy, Carhartt Pants kakobuyspreadsheeet, Carhartt Pants kakobuylink, Carhartt Pants kakebuylist, Carhartt Pants Kakobuy MEGA Spreadsheet, Carhartt Pants kakobuysheetfind, Carhartt Pants kakobuysheetfind2026, Carhartt Pants 2026kakobuysheetfind, Carhartt Pants kakobuysheet2026"},"finish_reason":"stop"}],"usage":{"prompt_tokens":645,"completion_tokens":303,"total_tokens":948}}</t>
        </is>
      </c>
      <c r="P51" t="inlineStr">
        <is>
          <t>Carhartt Pants kakobuy, Carhartt Pants kakebuy2026, Carhartt Pants kekobuysheet, Carhartt Pants kakobuysheet2026, Carhartt Pants 2026kakobuy, Carhartt Pants kakobuyspreadsheeet, Carhartt Pants kakobuylink, Carhartt Pants kakebuylist, Carhartt Pants Kakobuy MEGA Spreadsheet, Carhartt Pants kakobuysheetfind, Carhartt Pants kakobuysheetfind2026, Carhartt Pants 2026kakobuysheetfind, Carhartt Pants kakobuysheet2026</t>
        </is>
      </c>
      <c r="Q51" t="inlineStr">
        <is>
          <t>Unisex, Summer, Vintage, Streetwear</t>
        </is>
      </c>
      <c r="R51" t="inlineStr">
        <is>
          <t>recvjR8RzV0bhA</t>
        </is>
      </c>
      <c r="S51" t="inlineStr">
        <is>
          <t>carhartt-washed-cotton-drawstring-sweat-shorts-recvjr8rzv0bha</t>
        </is>
      </c>
      <c r="T51"/>
      <c r="U51"/>
      <c r="V51"/>
      <c r="W51" t="inlineStr">
        <is>
          <t>{"id":"resp_0b0c72c54341d305016a0ab26aaccc819aafdcfb40cd094b4b","object":"chat.completion","created":1779085934,"model":"gpt-5.5","choices":[{"index":0,"message":{"role":"assistant","content":"Carhartt：多色水洗棉质抽绳运动短裤，弹力腰休闲宽松设计，小C标识点缀，复古街头风男女同款夏季五分裤"},"finish_reason":"stop"}],"usage":{"prompt_tokens":1169,"completion_tokens":162,"total_tokens":1331}}</t>
        </is>
      </c>
      <c r="X51" t="inlineStr">
        <is>
          <t>Carhartt：多色水洗棉质抽绳运动短裤，弹力腰休闲宽松设计，小C标识点缀，复古街头风男女同款夏季五分裤</t>
        </is>
      </c>
    </row>
    <row r="52" ht="25.5" customHeight="1">
      <c r="A52">
        <v>1839115443</v>
      </c>
      <c r="B52">
        <v>7766042933</v>
      </c>
      <c r="C52" s="2" t="str">
        <f>=HYPERLINK("https://weidian.com/item.html?itemID=7766042933", "https://weidian.com/item.html?itemID=7766042933")</f>
        <v>https://weidian.com/item.html?itemID=7766042933</v>
      </c>
      <c r="D52"/>
      <c r="E52" s="2" t="str">
        <f>=HYPERLINK("https://si.geilicdn.com/open1839115443-252808396-01c10000019e340899880a22d249_1920_1920.jpg?w=640&amp;h=640", "https://si.geilicdn.com/open1839115443-252808396-01c10000019e340899880a22d249_1920_1920.jpg?w=640&amp;h=640")</f>
        <v>https://si.geilicdn.com/open1839115443-252808396-01c10000019e340899880a22d249_1920_1920.jpg?w=640&amp;h=640</v>
      </c>
      <c r="F52" t="inlineStr">
        <is>
          <t>Hoodies</t>
        </is>
      </c>
      <c r="G52" t="inlineStr">
        <is>
          <t>Carhartt</t>
        </is>
      </c>
      <c r="H52">
        <v>231</v>
      </c>
      <c r="I52">
        <v>33.48</v>
      </c>
      <c r="J52" t="inlineStr">
        <is>
          <t>{"id":"resp_08c03eb59a297728016a0ab6be9ca0819883d3fce804f85efc","object":"chat.completion","created":1779087044,"model":"gpt-5.5","choices":[{"index":0,"message":{"role":"assistant","content":"Carhartt Gray Zip Hoodie Fleece Logo Workwear Jacket"},"finish_reason":"stop"}],"usage":{"prompt_tokens":730,"completion_tokens":234,"total_tokens":964}}</t>
        </is>
      </c>
      <c r="K52" t="inlineStr">
        <is>
          <t>Carhartt Gray Zip Hoodie Fleece Logo Workwear Jacket</t>
        </is>
      </c>
      <c r="L52" t="inlineStr">
        <is>
          <t>{"id":"resp_055cbffb67c2ede7016a0ab57d462c819bba1dccef9c5502ea","object":"chat.completion","created":1779086720,"model":"gpt-5.5","choices":[{"index":0,"message":{"role":"assistant","content":"Carhartt gray zip-up hoodie, cotton-blend fleece, square chest logo patch, kangaroo pocket, unisex workwear casual hooded sweatshirt jacket"},"finish_reason":"stop"}],"usage":{"prompt_tokens":746,"completion_tokens":80,"total_tokens":826}}</t>
        </is>
      </c>
      <c r="M52" t="inlineStr">
        <is>
          <t>{"alt-svc":"h3=\":443\"; ma=2592000","connection":"close","content-length":"432","content-type":"application/json; charset=utf-8","date":"Mon, 18 May 2026 06:45:20 GMT","referrer-policy":"strict-origin-when-cross-origin","server":"nginx/1.24.0 (Ubuntu)","strict-transport-security":"max-age=31536000; includeSubDomains; preload","vary":"Accept-Encoding","via":"1.1 Caddy","x-content-type-options":"nosniff","x-frame-options":"DENY","x-new-api-version":"v1.0.0-rc.2","x-oneapi-request-id":"202605180645167441956468268d9d6wYqF9rE5","x-request-id":"c41b178f-5d76-41af-991e-48c58cd69219"}</t>
        </is>
      </c>
      <c r="N52" t="inlineStr">
        <is>
          <t>Carhartt gray zip-up hoodie, cotton-blend fleece, square chest logo patch, kangaroo pocket, unisex workwear casual hooded sweatshirt jacket</t>
        </is>
      </c>
      <c r="O52" t="inlineStr">
        <is>
          <t>{"id":"resp_0605f0ab9d29e808016a0ab74c470481908676fca6c7aa45bc","object":"chat.completion","created":1779087188,"model":"gpt-5.5","choices":[{"index":0,"message":{"role":"assistant","content":"Carhartt,Hoodies,kakobuy\nCarhartt,Hoodies,kakebuy2026\nCarhartt,Hoodies,kekobuysheet\nCarhartt,Hoodies,kakobuysheet2026\nCarhartt,Hoodies,2026kakobuy\nCarhartt,Hoodies,kakobuyspreadsheeet\nCarhartt,Hoodies,kakobuylink\nCarhartt,Hoodies,kakebuylist\nCarhartt,Hoodies,Kakobuy MEGA Spreadsheet\nCarhartt,Hoodies,kakobuysheetfind\nCarhartt,Hoodies,kakobuysheetfind2026\nCarhartt,Hoodies,2026kakobuysheetfind\nCarhartt,Hoodies,kakobuysheet2026"},"finish_reason":"stop"}],"usage":{"prompt_tokens":646,"completion_tokens":382,"total_tokens":1028}}</t>
        </is>
      </c>
      <c r="P52" t="inlineStr">
        <is>
          <t>Carhartt,Hoodies,kakobuy
Carhartt,Hoodies,kakebuy2026
Carhartt,Hoodies,kekobuysheet
Carhartt,Hoodies,kakobuysheet2026
Carhartt,Hoodies,2026kakobuy
Carhartt,Hoodies,kakobuyspreadsheeet
Carhartt,Hoodies,kakobuylink
Carhartt,Hoodies,kakebuylist
Carhartt,Hoodies,Kakobuy MEGA Spreadsheet
Carhartt,Hoodies,kakobuysheetfind
Carhartt,Hoodies,kakobuysheetfind2026
Carhartt,Hoodies,2026kakobuysheetfind
Carhartt,Hoodies,kakobuysheet2026</t>
        </is>
      </c>
      <c r="Q52" t="inlineStr">
        <is>
          <t>Gray, Workwear, Unisex</t>
        </is>
      </c>
      <c r="R52" t="inlineStr">
        <is>
          <t>recvjR8RzVt7ls</t>
        </is>
      </c>
      <c r="S52" t="inlineStr">
        <is>
          <t>carhartt-gray-zip-hoodie-fleece-logo-workwear-jacket-recvjr8rzvt7ls</t>
        </is>
      </c>
      <c r="T52"/>
      <c r="U52"/>
      <c r="V52"/>
      <c r="W52" t="inlineStr">
        <is>
          <t>{"id":"resp_0c5e36824d578864016a0ab26572c0819ab0735815b2a2600c","object":"chat.completion","created":1779085929,"model":"gpt-5.5","choices":[{"index":0,"message":{"role":"assistant","content":"卡哈特Carhartt灰色拉链连帽卫衣，棉混抓绒面料，胸前方形Logo贴标，袋鼠兜，男女同款工装休闲外套"},"finish_reason":"stop"}],"usage":{"prompt_tokens":1166,"completion_tokens":184,"total_tokens":1350}}</t>
        </is>
      </c>
      <c r="X52" t="inlineStr">
        <is>
          <t>卡哈特Carhartt灰色拉链连帽卫衣，棉混抓绒面料，胸前方形Logo贴标，袋鼠兜，男女同款工装休闲外套</t>
        </is>
      </c>
    </row>
    <row r="53" ht="25.5" customHeight="1">
      <c r="A53">
        <v>1839115443</v>
      </c>
      <c r="B53">
        <v>7766025143</v>
      </c>
      <c r="C53" s="2" t="str">
        <f>=HYPERLINK("https://weidian.com/item.html?itemID=7766025143", "https://weidian.com/item.html?itemID=7766025143")</f>
        <v>https://weidian.com/item.html?itemID=7766025143</v>
      </c>
      <c r="D53"/>
      <c r="E53" s="2" t="str">
        <f>=HYPERLINK("https://si.geilicdn.com/open1839115443-252808396-609d0000019e34087eb60a8115c2_1066_1066.jpg?w=640&amp;h=640", "https://si.geilicdn.com/open1839115443-252808396-609d0000019e34087eb60a8115c2_1066_1066.jpg?w=640&amp;h=640")</f>
        <v>https://si.geilicdn.com/open1839115443-252808396-609d0000019e34087eb60a8115c2_1066_1066.jpg?w=640&amp;h=640</v>
      </c>
      <c r="F53" t="inlineStr">
        <is>
          <t>Pans</t>
        </is>
      </c>
      <c r="G53" t="inlineStr">
        <is>
          <t>Bape</t>
        </is>
      </c>
      <c r="H53">
        <v>169</v>
      </c>
      <c r="I53">
        <v>24.49</v>
      </c>
      <c r="J53" t="inlineStr">
        <is>
          <t>{"id":"resp_0b0b75da28868ce2016a0ab623ce888199959f51d5f0fd3cd7","object":"chat.completion","created":1779086887,"model":"gpt-5.5","choices":[{"index":0,"message":{"role":"assistant","content":"PansBape Black Shark Camo Drawstring Cotton Shorts"},"finish_reason":"stop"}],"usage":{"prompt_tokens":726,"completion_tokens":140,"total_tokens":866}}</t>
        </is>
      </c>
      <c r="K53" t="inlineStr">
        <is>
          <t>PansBape Black Shark Camo Drawstring Cotton Shorts</t>
        </is>
      </c>
      <c r="L53" t="inlineStr">
        <is>
          <t>{"id":"resp_021de9a563f966e4016a0ab5047b3c819ba3ee53e79513084e","object":"chat.completion","created":1779086599,"model":"gpt-5.5","choices":[{"index":0,"message":{"role":"assistant","content":"PansBapeBape black shark camo shorts, cotton casual drawstring streetwear, unisex summer knee-length athletic shorts with patchwork design"},"finish_reason":"stop"}],"usage":{"prompt_tokens":742,"completion_tokens":131,"total_tokens":873}}</t>
        </is>
      </c>
      <c r="M53" t="inlineStr">
        <is>
          <t>{"alt-svc":"h3=\":443\"; ma=2592000","connection":"close","content-length":"432","content-type":"application/json; charset=utf-8","date":"Mon, 18 May 2026 06:43:19 GMT","referrer-policy":"strict-origin-when-cross-origin","server":"nginx/1.24.0 (Ubuntu)","strict-transport-security":"max-age=31536000; includeSubDomains; preload","vary":"Accept-Encoding","via":"1.1 Caddy","x-content-type-options":"nosniff","x-frame-options":"DENY","x-new-api-version":"v1.0.0-rc.2","x-oneapi-request-id":"202605180643162273261158268d9d676cA9qTB","x-request-id":"a71a979f-5199-4c21-8129-dee6f8fd3df3"}</t>
        </is>
      </c>
      <c r="N53" t="inlineStr">
        <is>
          <t>PansBapeBape black shark camo shorts, cotton casual drawstring streetwear, unisex summer knee-length athletic shorts with patchwork design</t>
        </is>
      </c>
      <c r="O53" t="inlineStr">
        <is>
          <t>{"id":"resp_0404c48c885474d4016a0ab7510d20819baf35f6772d19fa16","object":"chat.completion","created":1779087193,"model":"gpt-5.5","choices":[{"index":0,"message":{"role":"assistant","content":"PansBape shorts kakobuy, PansBape shorts kakebuy2026, PansBape shorts kekobuysheet, PansBape shorts kakobuysheet2026, PansBape shorts 2026kakobuy, PansBape shorts kakobuyspreadsheeet, PansBape shorts kakobuylink, PansBape shorts kakebuylist, PansBape shorts Kakobuy MEGA Spreadsheet, PansBape shorts kakobuysheetfind, PansBape shorts kakobuysheetfind2026, PansBape shorts 2026kakobuysheetfind, PansBape shorts kakobuysheet2026"},"finish_reason":"stop"}],"usage":{"prompt_tokens":644,"completion_tokens":288,"total_tokens":932}}</t>
        </is>
      </c>
      <c r="P53" t="inlineStr">
        <is>
          <t>PansBape shorts kakobuy, PansBape shorts kakebuy2026, PansBape shorts kekobuysheet, PansBape shorts kakobuysheet2026, PansBape shorts 2026kakobuy, PansBape shorts kakobuyspreadsheeet, PansBape shorts kakobuylink, PansBape shorts kakebuylist, PansBape shorts Kakobuy MEGA Spreadsheet, PansBape shorts kakobuysheetfind, PansBape shorts kakobuysheetfind2026, PansBape shorts 2026kakobuysheetfind, PansBape shorts kakobuysheet2026</t>
        </is>
      </c>
      <c r="Q53" t="inlineStr">
        <is>
          <t>BAPE, Unisex, Summer, Streetwear</t>
        </is>
      </c>
      <c r="R53" t="inlineStr">
        <is>
          <t>recvjR8RzVIlmo</t>
        </is>
      </c>
      <c r="S53" t="inlineStr">
        <is>
          <t>pansbape-black-shark-camo-cotton-shorts-recvjr8rzvilmo</t>
        </is>
      </c>
      <c r="T53"/>
      <c r="U53"/>
      <c r="V53"/>
      <c r="W53" t="inlineStr">
        <is>
          <t>{"id":"resp_00db3ae3943218e1016a0ab246ccdc819b8b0b6fd24ca4a006","object":"chat.completion","created":1779085896,"model":"gpt-5.5","choices":[{"index":0,"message":{"role":"assistant","content":"Bape 黑色鲨鱼图腾运动短裤，棉质休闲面料，迷彩拼接抽绳设计，街头潮流男女通用夏季五分裤"},"finish_reason":"stop"}],"usage":{"prompt_tokens":1167,"completion_tokens":43,"total_tokens":1210}}</t>
        </is>
      </c>
      <c r="X53" t="inlineStr">
        <is>
          <t>Bape 黑色鲨鱼图腾运动短裤，棉质休闲面料，迷彩拼接抽绳设计，街头潮流男女通用夏季五分裤</t>
        </is>
      </c>
    </row>
    <row r="54" ht="25.5" customHeight="1">
      <c r="A54">
        <v>1839115443</v>
      </c>
      <c r="B54">
        <v>7769048688</v>
      </c>
      <c r="C54" s="2" t="str">
        <f>=HYPERLINK("https://weidian.com/item.html?itemID=7769048688", "https://weidian.com/item.html?itemID=7769048688")</f>
        <v>https://weidian.com/item.html?itemID=7769048688</v>
      </c>
      <c r="D54"/>
      <c r="E54" s="2" t="str">
        <f>=HYPERLINK("https://si.geilicdn.com/open1839115443-252808396-6fa60000019e3408494f0aa08269_952_912.jpg?w=640&amp;h=640", "https://si.geilicdn.com/open1839115443-252808396-6fa60000019e3408494f0aa08269_952_912.jpg?w=640&amp;h=640")</f>
        <v>https://si.geilicdn.com/open1839115443-252808396-6fa60000019e3408494f0aa08269_952_912.jpg?w=640&amp;h=640</v>
      </c>
      <c r="F54" t="inlineStr">
        <is>
          <t>Hoodies</t>
        </is>
      </c>
      <c r="G54" t="inlineStr">
        <is>
          <t>Mr. Enjoy Da Money</t>
        </is>
      </c>
      <c r="H54">
        <v>276</v>
      </c>
      <c r="I54">
        <v>40</v>
      </c>
      <c r="J54" t="inlineStr">
        <is>
          <t>{"id":"resp_04be095bc8b52ed9016a0ab5ae67bc8199a00ae4979b7c4501","object":"chat.completion","created":1779086769,"model":"gpt-5.5","choices":[{"index":0,"message":{"role":"assistant","content":"Mr Enjoy Da Money Leopard Gothic Applique Gray Hoodie"},"finish_reason":"stop"}],"usage":{"prompt_tokens":726,"completion_tokens":122,"total_tokens":848}}</t>
        </is>
      </c>
      <c r="K54" t="inlineStr">
        <is>
          <t>Mr Enjoy Da Money Leopard Gothic Applique Gray Hoodie</t>
        </is>
      </c>
      <c r="L54" t="inlineStr">
        <is>
          <t>{"id":"resp_0c3176f4050a4857016a0ab4eb5f80819bb41c3ed01466921b","object":"chat.completion","created":1779086575,"model":"gpt-5.5","choices":[{"index":0,"message":{"role":"assistant","content":"Mr. Enjoy Da Money light gray cotton fleece hoodie with leopard gothic letter applique embroidery, kangaroo pocket, relaxed unisex streetwear pullover"},"finish_reason":"stop"}],"usage":{"prompt_tokens":753,"completion_tokens":133,"total_tokens":886}}</t>
        </is>
      </c>
      <c r="M54" t="inlineStr">
        <is>
          <t>{"alt-svc":"h3=\":443\"; ma=2592000","connection":"close","content-length":"444","content-type":"application/json; charset=utf-8","date":"Mon, 18 May 2026 06:42:55 GMT","referrer-policy":"strict-origin-when-cross-origin","server":"Caddy","strict-transport-security":"max-age=31536000; includeSubDomains; preload","vary":"Accept-Encoding","x-content-type-options":"nosniff","x-frame-options":"DENY","x-new-api-version":"v1.0.0-rc.2","x-oneapi-request-id":"202605180642509398887558268d9d6nlSgefhx","x-request-id":"b3c1ba64-8e3f-423e-9d90-98a85975c360"}</t>
        </is>
      </c>
      <c r="N54" t="inlineStr">
        <is>
          <t>Mr. Enjoy Da Money light gray cotton fleece hoodie with leopard gothic letter applique embroidery, kangaroo pocket, relaxed unisex streetwear pullover</t>
        </is>
      </c>
      <c r="O54" t="inlineStr">
        <is>
          <t>{"id":"resp_0da0496f6136044d016a0ab7bab6fc81999c02dc9a2d336558","object":"chat.completion","created":1779087298,"model":"gpt-5.5","choices":[{"index":0,"message":{"role":"assistant","content":"Mr. Enjoy Da Money Hoodies kakobuy, Mr. Enjoy Da Money Hoodies kakebuy2026, Mr. Enjoy Da Money Hoodies kekobuysheet, Mr. Enjoy Da Money Hoodies kakobuysheet2026, Mr. Enjoy Da Money Hoodies 2026kakobuy, Mr. Enjoy Da Money Hoodies kakobuyspreadsheeet, Mr. Enjoy Da Money Hoodies kakobuylink, Mr. Enjoy Da Money Hoodies kakebuylist, Mr. Enjoy Da Money Hoodies Kakobuy MEGA Spreadsheet, Mr. Enjoy Da Money Hoodies kakobuysheetfind, Mr. Enjoy Da Money Hoodies kakobuysheetfind2026, Mr. Enjoy Da Money Hoodies 2026kakobuysheetfind, Mr. Enjoy Da Money Hoodies kakobuysheet2026"},"finish_reason":"stop"}],"usage":{"prompt_tokens":648,"completion_tokens":339,"total_tokens":987}}</t>
        </is>
      </c>
      <c r="P54" t="inlineStr">
        <is>
          <t>Mr. Enjoy Da Money Hoodies kakobuy, Mr. Enjoy Da Money Hoodies kakebuy2026, Mr. Enjoy Da Money Hoodies kekobuysheet, Mr. Enjoy Da Money Hoodies kakobuysheet2026, Mr. Enjoy Da Money Hoodies 2026kakobuy, Mr. Enjoy Da Money Hoodies kakobuyspreadsheeet, Mr. Enjoy Da Money Hoodies kakobuylink, Mr. Enjoy Da Money Hoodies kakebuylist, Mr. Enjoy Da Money Hoodies Kakobuy MEGA Spreadsheet, Mr. Enjoy Da Money Hoodies kakobuysheetfind, Mr. Enjoy Da Money Hoodies kakobuysheetfind2026, Mr. Enjoy Da Money Hoodies 2026kakobuysheetfind, Mr. Enjoy Da Money Hoodies kakobuysheet2026</t>
        </is>
      </c>
      <c r="Q54" t="inlineStr">
        <is>
          <t>Gray, Unisex, Streetwear, Fleece-Lined</t>
        </is>
      </c>
      <c r="R54" t="inlineStr">
        <is>
          <t>recvjR8RzVwTNq</t>
        </is>
      </c>
      <c r="S54" t="inlineStr">
        <is>
          <t>mr-enjoy-da-money-leopard-gothic-applique-gray-hoodie-recvjr8rzvwtnq</t>
        </is>
      </c>
      <c r="T54"/>
      <c r="U54"/>
      <c r="V54"/>
      <c r="W54" t="inlineStr">
        <is>
          <t>{"id":"resp_0c937d5d0d9aa8ef016a0ab31eb3bc8198bb41a3d1889a0d2a","object":"chat.completion","created":1779086114,"model":"gpt-5.5","choices":[{"index":0,"message":{"role":"assistant","content":"享钱先生 Mr. Enjoy Da Money 浅灰连帽卫衣，棉质抓绒面料，豹纹哥特字母贴布刺绣，袋鼠兜休闲宽松男女同款潮流上衣"},"finish_reason":"stop"}],"usage":{"prompt_tokens":1168,"completion_tokens":162,"total_tokens":1330}}</t>
        </is>
      </c>
      <c r="X54" t="inlineStr">
        <is>
          <t>享钱先生 Mr. Enjoy Da Money 浅灰连帽卫衣，棉质抓绒面料，豹纹哥特字母贴布刺绣，袋鼠兜休闲宽松男女同款潮流上衣</t>
        </is>
      </c>
    </row>
    <row r="55" ht="25.5" customHeight="1">
      <c r="A55">
        <v>1839115443</v>
      </c>
      <c r="B55">
        <v>7766023369</v>
      </c>
      <c r="C55" s="2" t="str">
        <f>=HYPERLINK("https://weidian.com/item.html?itemID=7766023369", "https://weidian.com/item.html?itemID=7766023369")</f>
        <v>https://weidian.com/item.html?itemID=7766023369</v>
      </c>
      <c r="D55"/>
      <c r="E55" s="2" t="str">
        <f>=HYPERLINK("https://si.geilicdn.com/open1839115443-252808396-79580000019e34273f6a0aa08269_787_744.jpg?w=640&amp;h=640", "https://si.geilicdn.com/open1839115443-252808396-79580000019e34273f6a0aa08269_787_744.jpg?w=640&amp;h=640")</f>
        <v>https://si.geilicdn.com/open1839115443-252808396-79580000019e34273f6a0aa08269_787_744.jpg?w=640&amp;h=640</v>
      </c>
      <c r="F55" t="inlineStr">
        <is>
          <t>T-Shirts</t>
        </is>
      </c>
      <c r="G55" t="inlineStr">
        <is>
          <t>Other</t>
        </is>
      </c>
      <c r="H55">
        <v>170</v>
      </c>
      <c r="I55">
        <v>24.64</v>
      </c>
      <c r="J55" t="inlineStr">
        <is>
          <t>{"id":"resp_0d902c1b7ae9b351016a0ab64d8d00819aa72530e0af3b8f1f","object":"chat.completion","created":1779086929,"model":"gpt-5.5","choices":[{"index":0,"message":{"role":"assistant","content":"Black Oversized Cotton T-Shirt Vintage Orange Print Tee"},"finish_reason":"stop"}],"usage":{"prompt_tokens":692,"completion_tokens":135,"total_tokens":827}}</t>
        </is>
      </c>
      <c r="K55" t="inlineStr">
        <is>
          <t>Black Oversized Cotton T-Shirt Vintage Orange Print Tee</t>
        </is>
      </c>
      <c r="L55" t="inlineStr">
        <is>
          <t>{"id":"resp_0ee1d375fa3bc84b016a0ab5065298819a838b6024aa1097f7","object":"chat.completion","created":1779086601,"model":"gpt-5.5","choices":[{"index":0,"message":{"role":"assistant","content":"T-ShirtsOther Black oversized cotton T-shirt, breathable short sleeve tee with vintage orange letter print, unisex streetwear casual top."},"finish_reason":"stop"}],"usage":{"prompt_tokens":715,"completion_tokens":86,"total_tokens":801}}</t>
        </is>
      </c>
      <c r="M55" t="inlineStr">
        <is>
          <t>{"alt-svc":"h3=\":443\"; ma=2592000","connection":"close","content-length":"430","content-type":"application/json; charset=utf-8","date":"Mon, 18 May 2026 06:43:21 GMT","referrer-policy":"strict-origin-when-cross-origin","server":"nginx/1.24.0 (Ubuntu)","strict-transport-security":"max-age=31536000; includeSubDomains; preload","vary":"Accept-Encoding","via":"1.1 Caddy","x-content-type-options":"nosniff","x-frame-options":"DENY","x-new-api-version":"v1.0.0-rc.2","x-oneapi-request-id":"20260518064318424279918268d9d6vrNGxJcD","x-request-id":"627652c8-0e34-4f24-8383-1bdca571dd33"}</t>
        </is>
      </c>
      <c r="N55" t="inlineStr">
        <is>
          <t>T-ShirtsOther Black oversized cotton T-shirt, breathable short sleeve tee with vintage orange letter print, unisex streetwear casual top.</t>
        </is>
      </c>
      <c r="O55" t="inlineStr">
        <is>
          <t>{"id":"resp_0cda115ebb02b931016a0ab7e6ad14819982037e1efe536ee9","object":"chat.completion","created":1779087340,"model":"gpt-5.5","choices":[{"index":0,"message":{"role":"assistant","content":"Other T-Shirts kakobuy, Other T-Shirts kakebuy2026, Other T-Shirts kekobuysheet, Other T-Shirts kakobuysheet2026, Other T-Shirts 2026kakobuy, Other T-Shirts kakobuyspreadsheeet, Other T-Shirts kakobuylink, Other T-Shirts kakebuylist, Other T-Shirts Kakobuy MEGA Spreadsheet, Other T-Shirts kakobuysheetfind, Other T-Shirts kakobuysheetfind2026, Other T-Shirts 2026kakobuysheetfind, Other T-Shirts kakobuysheet2026"},"finish_reason":"stop"}],"usage":{"prompt_tokens":619,"completion_tokens":240,"total_tokens":859}}</t>
        </is>
      </c>
      <c r="P55" t="inlineStr">
        <is>
          <t>Other T-Shirts kakobuy, Other T-Shirts kakebuy2026, Other T-Shirts kekobuysheet, Other T-Shirts kakobuysheet2026, Other T-Shirts 2026kakobuy, Other T-Shirts kakobuyspreadsheeet, Other T-Shirts kakobuylink, Other T-Shirts kakebuylist, Other T-Shirts Kakobuy MEGA Spreadsheet, Other T-Shirts kakobuysheetfind, Other T-Shirts kakobuysheetfind2026, Other T-Shirts 2026kakobuysheetfind, Other T-Shirts kakobuysheet2026</t>
        </is>
      </c>
      <c r="Q55" t="inlineStr">
        <is>
          <t>Black, Vintage, Unisex, Streetwear, Breathable</t>
        </is>
      </c>
      <c r="R55" t="inlineStr">
        <is>
          <t>recvjR8RzV9UwT</t>
        </is>
      </c>
      <c r="S55" t="inlineStr">
        <is>
          <t>black-oversized-cotton-vintage-orange-print-tee-recvjr8rzv9uwt</t>
        </is>
      </c>
      <c r="T55"/>
      <c r="U55"/>
      <c r="V55"/>
      <c r="W55" t="inlineStr">
        <is>
          <t>{"id":"resp_0084b83efaa7e0ec016a0ab32b60608198a873383425790a65","object":"chat.completion","created":1779086127,"model":"gpt-5.5","choices":[{"index":0,"message":{"role":"assistant","content":"黑色宽松短袖T恤，棉质透气面料，胸前复古橙色字母印花设计，街头休闲风男女同款潮流上衣。"},"finish_reason":"stop"}],"usage":{"prompt_tokens":1135,"completion_tokens":100,"total_tokens":1235}}</t>
        </is>
      </c>
      <c r="X55" t="inlineStr">
        <is>
          <t>黑色宽松短袖T恤，棉质透气面料，胸前复古橙色字母印花设计，街头休闲风男女同款潮流上衣。</t>
        </is>
      </c>
    </row>
    <row r="56" ht="25.5" customHeight="1">
      <c r="A56">
        <v>1839115443</v>
      </c>
      <c r="B56">
        <v>7768773116</v>
      </c>
      <c r="C56" s="2" t="str">
        <f>=HYPERLINK("https://weidian.com/item.html?itemID=7768773116", "https://weidian.com/item.html?itemID=7768773116")</f>
        <v>https://weidian.com/item.html?itemID=7768773116</v>
      </c>
      <c r="D56"/>
      <c r="E56" s="2" t="str">
        <f>=HYPERLINK("https://si.geilicdn.com/open1839115443-252808396-745d0000019e340423c20a231226_900_900.jpg?w=640&amp;h=640", "https://si.geilicdn.com/open1839115443-252808396-745d0000019e340423c20a231226_900_900.jpg?w=640&amp;h=640")</f>
        <v>https://si.geilicdn.com/open1839115443-252808396-745d0000019e340423c20a231226_900_900.jpg?w=640&amp;h=640</v>
      </c>
      <c r="F56" t="inlineStr">
        <is>
          <t>Hoodies</t>
        </is>
      </c>
      <c r="G56" t="inlineStr">
        <is>
          <t>Ralph Lauren</t>
        </is>
      </c>
      <c r="H56">
        <v>196</v>
      </c>
      <c r="I56">
        <v>28.41</v>
      </c>
      <c r="J56" t="inlineStr">
        <is>
          <t>{"id":"resp_04f7db7c3d9ff193016a0ab604263c819b9d7bb882e3fb1827","object":"chat.completion","created":1779086856,"model":"gpt-5.5","choices":[{"index":0,"message":{"role":"assistant","content":"Ralph Lauren Polo Navy Hoodie Jogger Tracksuit Set"},"finish_reason":"stop"}],"usage":{"prompt_tokens":724,"completion_tokens":157,"total_tokens":881}}</t>
        </is>
      </c>
      <c r="K56" t="inlineStr">
        <is>
          <t>Ralph Lauren Polo Navy Hoodie Jogger Tracksuit Set</t>
        </is>
      </c>
      <c r="L56" t="inlineStr">
        <is>
          <t>{"id":"resp_01a9baeeaf99ce9a016a0ab56d5a1c819a947f984c419e2436","object":"chat.completion","created":1779086705,"model":"gpt-5.5","choices":[{"index":0,"message":{"role":"assistant","content":"Ralph Lauren Polo navy zip hoodie and jogger set, cotton fleece tracksuit with embroidered pony logo, unisex casual sportswear two-piece"},"finish_reason":"stop"}],"usage":{"prompt_tokens":747,"completion_tokens":114,"total_tokens":861}}</t>
        </is>
      </c>
      <c r="M56" t="inlineStr">
        <is>
          <t>{"alt-svc":"h3=\":443\"; ma=2592000","connection":"close","content-length":"430","content-type":"application/json; charset=utf-8","date":"Mon, 18 May 2026 06:45:05 GMT","referrer-policy":"strict-origin-when-cross-origin","server":"Caddy","strict-transport-security":"max-age=31536000; includeSubDomains; preload","vary":"Accept-Encoding","x-content-type-options":"nosniff","x-frame-options":"DENY","x-new-api-version":"v1.0.0-rc.2","x-oneapi-request-id":"202605180645008425211908268d9d68H1qb03P","x-request-id":"0be8e2b9-1882-464a-9f7a-a888e41f05cb"}</t>
        </is>
      </c>
      <c r="N56" t="inlineStr">
        <is>
          <t>Ralph Lauren Polo navy zip hoodie and jogger set, cotton fleece tracksuit with embroidered pony logo, unisex casual sportswear two-piece</t>
        </is>
      </c>
      <c r="O56" t="inlineStr">
        <is>
          <t>{"id":"resp_0f208b5d4ff6133e016a0ab89759e4819aa7da7ed1f7a28ed3","object":"chat.completion","created":1779087518,"model":"gpt-5.5","choices":[{"index":0,"message":{"role":"assistant","content":"Ralph Lauren Hoodies kakobuy, Ralph Lauren Hoodies kakebuy2026, Ralph Lauren Hoodies kekobuysheet, Ralph Lauren Hoodies kakobuysheet2026, Ralph Lauren Hoodies 2026kakobuy, Ralph Lauren Hoodies kakobuyspreadsheeet, Ralph Lauren Hoodies kakobuylink, Ralph Lauren Hoodies kakebuylist, Ralph Lauren Hoodies Kakobuy MEGA Spreadsheet, Ralph Lauren Hoodies kakobuysheetfind, Ralph Lauren Hoodies kakobuysheetfind2026, Ralph Lauren Hoodies 2026kakobuysheetfind, Ralph Lauren Hoodies kakobuysheet2026"},"finish_reason":"stop"}],"usage":{"prompt_tokens":646,"completion_tokens":322,"total_tokens":968}}</t>
        </is>
      </c>
      <c r="P56" t="inlineStr">
        <is>
          <t>Ralph Lauren Hoodies kakobuy, Ralph Lauren Hoodies kakebuy2026, Ralph Lauren Hoodies kekobuysheet, Ralph Lauren Hoodies kakobuysheet2026, Ralph Lauren Hoodies 2026kakobuy, Ralph Lauren Hoodies kakobuyspreadsheeet, Ralph Lauren Hoodies kakobuylink, Ralph Lauren Hoodies kakebuylist, Ralph Lauren Hoodies Kakobuy MEGA Spreadsheet, Ralph Lauren Hoodies kakobuysheetfind, Ralph Lauren Hoodies kakobuysheetfind2026, Ralph Lauren Hoodies 2026kakobuysheetfind, Ralph Lauren Hoodies kakobuysheet2026</t>
        </is>
      </c>
      <c r="Q56" t="inlineStr">
        <is>
          <t>Unisex, Navy, Fleece-Lined, Joggers</t>
        </is>
      </c>
      <c r="R56" t="inlineStr">
        <is>
          <t>recvjR8RzVVWbh</t>
        </is>
      </c>
      <c r="S56" t="inlineStr">
        <is>
          <t>ralph-lauren-polo-navy-hoodie-jogger-tracksuit-recvjr8rzvvwbh</t>
        </is>
      </c>
      <c r="T56"/>
      <c r="U56"/>
      <c r="V56"/>
      <c r="W56" t="inlineStr">
        <is>
          <t>{"id":"resp_0622448f2e298e56016a0ab244c99c819b9fe9ef23c065566e","object":"chat.completion","created":1779085899,"model":"gpt-5.5","choices":[{"index":0,"message":{"role":"assistant","content":"拉夫劳伦 Ralph Lauren 深海军蓝连帽拉链卫衣套装，棉质抓绒面料，Polo小马刺绣，休闲运动男女同款针织长裤两件套"},"finish_reason":"stop"}],"usage":{"prompt_tokens":1162,"completion_tokens":154,"total_tokens":1316}}</t>
        </is>
      </c>
      <c r="X56" t="inlineStr">
        <is>
          <t>拉夫劳伦 Ralph Lauren 深海军蓝连帽拉链卫衣套装，棉质抓绒面料，Polo小马刺绣，休闲运动男女同款针织长裤两件套</t>
        </is>
      </c>
    </row>
    <row r="57" ht="25.5" customHeight="1">
      <c r="A57">
        <v>1839115443</v>
      </c>
      <c r="B57">
        <v>7768989578</v>
      </c>
      <c r="C57" s="2" t="str">
        <f>=HYPERLINK("https://weidian.com/item.html?itemID=7768989578", "https://weidian.com/item.html?itemID=7768989578")</f>
        <v>https://weidian.com/item.html?itemID=7768989578</v>
      </c>
      <c r="D57"/>
      <c r="E57" s="2" t="str">
        <f>=HYPERLINK("https://si.geilicdn.com/open1839115443-252808396-6f260000019e340530fd0aa08269_1000_1000.jpg?w=640&amp;h=640", "https://si.geilicdn.com/open1839115443-252808396-6f260000019e340530fd0aa08269_1000_1000.jpg?w=640&amp;h=640")</f>
        <v>https://si.geilicdn.com/open1839115443-252808396-6f260000019e340530fd0aa08269_1000_1000.jpg?w=640&amp;h=640</v>
      </c>
      <c r="F57" t="inlineStr">
        <is>
          <t>T-Shirts</t>
        </is>
      </c>
      <c r="G57" t="inlineStr">
        <is>
          <t>Essentials</t>
        </is>
      </c>
      <c r="H57">
        <v>183</v>
      </c>
      <c r="I57">
        <v>26.52</v>
      </c>
      <c r="J57" t="inlineStr">
        <is>
          <t>{"id":"resp_08cec6966bcd9e93016a0ab640c0a0819483d5d02253489c13","object":"chat.completion","created":1779086916,"model":"gpt-5.5","choices":[{"index":0,"message":{"role":"assistant","content":"Essentials Cream Cotton Oversized Logo T-Shirt Unisex"},"finish_reason":"stop"}],"usage":{"prompt_tokens":722,"completion_tokens":114,"total_tokens":836}}</t>
        </is>
      </c>
      <c r="K57" t="inlineStr">
        <is>
          <t>Essentials Cream Cotton Oversized Logo T-Shirt Unisex</t>
        </is>
      </c>
      <c r="L57" t="inlineStr">
        <is>
          <t>{"id":"resp_07f07daf2ea624dc016a0ab4f4747c819ba26efd152dd881b8","object":"chat.completion","created":1779086582,"model":"gpt-5.5","choices":[{"index":0,"message":{"role":"assistant","content":"Essentials cream cotton short sleeve T-shirt, breathable oversized streetwear tee with small chest logo print, unisex casual top for men and women"},"finish_reason":"stop"}],"usage":{"prompt_tokens":735,"completion_tokens":75,"total_tokens":810}}</t>
        </is>
      </c>
      <c r="M57" t="inlineStr">
        <is>
          <t>{"alt-svc":"h3=\":443\"; ma=2592000","connection":"close","content-length":"439","content-type":"application/json; charset=utf-8","date":"Mon, 18 May 2026 06:43:02 GMT","referrer-policy":"strict-origin-when-cross-origin","server":"Caddy","strict-transport-security":"max-age=31536000; includeSubDomains; preload","vary":"Accept-Encoding","x-content-type-options":"nosniff","x-frame-options":"DENY","x-new-api-version":"v1.0.0-rc.2","x-oneapi-request-id":"20260518064300985853688268d9d6RgBm7yfj","x-request-id":"8da83a53-69e9-4367-9d29-c925ac369ad7"}</t>
        </is>
      </c>
      <c r="N57" t="inlineStr">
        <is>
          <t>Essentials cream cotton short sleeve T-shirt, breathable oversized streetwear tee with small chest logo print, unisex casual top for men and women</t>
        </is>
      </c>
      <c r="O57" t="inlineStr">
        <is>
          <t>{"id":"resp_0b03a3408e7d014e016a0ab72b4b4c8194b36fd0ab8d39a4b0","object":"chat.completion","created":1779087154,"model":"gpt-5.5","choices":[{"index":0,"message":{"role":"assistant","content":"Essentials T-Shirts kakobuy, Essentials T-Shirts kakebuy2026, Essentials T-Shirts kekobuysheet, Essentials T-Shirts kakobuysheet2026, Essentials T-Shirts 2026kakobuy, Essentials T-Shirts kakobuyspreadsheeet, Essentials T-Shirts kakobuylink, Essentials T-Shirts kakebuylist, Essentials T-Shirts Kakobuy MEGA Spreadsheet, Essentials T-Shirts kakobuysheetfind, Essentials T-Shirts kakobuysheetfind2026, Essentials T-Shirts 2026kakobuysheetfind, Essentials T-Shirts kakobuysheet2026"},"finish_reason":"stop"}],"usage":{"prompt_tokens":644,"completion_tokens":329,"total_tokens":973}}</t>
        </is>
      </c>
      <c r="P57" t="inlineStr">
        <is>
          <t>Essentials T-Shirts kakobuy, Essentials T-Shirts kakebuy2026, Essentials T-Shirts kekobuysheet, Essentials T-Shirts kakobuysheet2026, Essentials T-Shirts 2026kakobuy, Essentials T-Shirts kakobuyspreadsheeet, Essentials T-Shirts kakobuylink, Essentials T-Shirts kakebuylist, Essentials T-Shirts Kakobuy MEGA Spreadsheet, Essentials T-Shirts kakobuysheetfind, Essentials T-Shirts kakobuysheetfind2026, Essentials T-Shirts 2026kakobuysheetfind, Essentials T-Shirts kakobuysheet2026</t>
        </is>
      </c>
      <c r="Q57" t="inlineStr">
        <is>
          <t>Cream, Breathable, Streetwear, Unisex, Summer</t>
        </is>
      </c>
      <c r="R57" t="inlineStr">
        <is>
          <t>recvjR8RzV4gMR</t>
        </is>
      </c>
      <c r="S57" t="inlineStr">
        <is>
          <t>essentials-cream-cotton-oversized-logo-t-shirt-recvjr8rzv4gmr</t>
        </is>
      </c>
      <c r="T57"/>
      <c r="U57"/>
      <c r="V57"/>
      <c r="W57" t="inlineStr">
        <is>
          <t>{"id":"resp_0316cdadefb16500016a0ab304249c81999412569862350d85","object":"chat.completion","created":1779086089,"model":"gpt-5.5","choices":[{"index":0,"message":{"role":"assistant","content":"潮牌Essentials米白色短袖T恤，棉质透气，胸前小Logo印花，宽松街头休闲男女同款上衣"},"finish_reason":"stop"}],"usage":{"prompt_tokens":1163,"completion_tokens":198,"total_tokens":1361}}</t>
        </is>
      </c>
      <c r="X57" t="inlineStr">
        <is>
          <t>潮牌Essentials米白色短袖T恤，棉质透气，胸前小Logo印花，宽松街头休闲男女同款上衣</t>
        </is>
      </c>
    </row>
    <row r="58" ht="25.5" customHeight="1">
      <c r="A58">
        <v>1839115443</v>
      </c>
      <c r="B58">
        <v>7766019159</v>
      </c>
      <c r="C58" s="2" t="str">
        <f>=HYPERLINK("https://weidian.com/item.html?itemID=7766019159", "https://weidian.com/item.html?itemID=7766019159")</f>
        <v>https://weidian.com/item.html?itemID=7766019159</v>
      </c>
      <c r="D58"/>
      <c r="E58" s="2" t="str">
        <f>=HYPERLINK("https://si.geilicdn.com/open1839115443-252808396-5ff50000019e3404e93c0a8115c2_1066_1066.jpg?w=640&amp;h=640", "https://si.geilicdn.com/open1839115443-252808396-5ff50000019e3404e93c0a8115c2_1066_1066.jpg?w=640&amp;h=640")</f>
        <v>https://si.geilicdn.com/open1839115443-252808396-5ff50000019e3404e93c0a8115c2_1066_1066.jpg?w=640&amp;h=640</v>
      </c>
      <c r="F58" t="inlineStr">
        <is>
          <t>Hoodies</t>
        </is>
      </c>
      <c r="G58" t="inlineStr">
        <is>
          <t>Cold Culture</t>
        </is>
      </c>
      <c r="H58">
        <v>159</v>
      </c>
      <c r="I58">
        <v>23.04</v>
      </c>
      <c r="J58" t="inlineStr">
        <is>
          <t>{"id":"resp_04460db98d6607a1016a0ab65a933881999c944998a8364598","object":"chat.completion","created":1779086944,"model":"gpt-5.5","choices":[{"index":0,"message":{"role":"assistant","content":"Cold Culture Black Star Graphic Fleece Hoodie"},"finish_reason":"stop"}],"usage":{"prompt_tokens":721,"completion_tokens":51,"total_tokens":772}}</t>
        </is>
      </c>
      <c r="K58" t="inlineStr">
        <is>
          <t>Cold Culture Black Star Graphic Fleece Hoodie</t>
        </is>
      </c>
      <c r="L58" t="inlineStr">
        <is>
          <t>{"id":"resp_0647b3c4158a8add016a0ab49d72a481969ad63154015e4854","object":"chat.completion","created":1779086496,"model":"gpt-5.5","choices":[{"index":0,"message":{"role":"assistant","content":"Cold Culture black hoodie, cotton fleece warm pullover with star graphic and outdoor performance slogan, vintage streetwear oversized unisex hooded sweatshirt"},"finish_reason":"stop"}],"usage":{"prompt_tokens":748,"completion_tokens":91,"total_tokens":839}}</t>
        </is>
      </c>
      <c r="M58" t="inlineStr">
        <is>
          <t>{"alt-svc":"h3=\":443\"; ma=2592000","connection":"close","content-length":"451","content-type":"application/json; charset=utf-8","date":"Mon, 18 May 2026 06:41:36 GMT","referrer-policy":"strict-origin-when-cross-origin","server":"nginx/1.24.0 (Ubuntu)","strict-transport-security":"max-age=31536000; includeSubDomains; preload","vary":"Accept-Encoding","via":"1.1 Caddy","x-content-type-options":"nosniff","x-frame-options":"DENY","x-new-api-version":"v1.0.0-rc.2","x-oneapi-request-id":"202605180641331356539698268d9d6NX7IJ20B","x-request-id":"c487c52e-65b9-45f1-aa4a-c529b798eac8"}</t>
        </is>
      </c>
      <c r="N58" t="inlineStr">
        <is>
          <t>Cold Culture black hoodie, cotton fleece warm pullover with star graphic and outdoor performance slogan, vintage streetwear oversized unisex hooded sweatshirt</t>
        </is>
      </c>
      <c r="O58" t="inlineStr">
        <is>
          <t>{"id":"resp_0d4f8370b819c9bf016a0ab7747b70819b813ffd2a715c4b00","object":"chat.completion","created":1779087230,"model":"gpt-5.5","choices":[{"index":0,"message":{"role":"assistant","content":"Cold Culture Hoodies kakobuy, Cold Culture Hoodies kakebuy2026, Cold Culture Hoodies kekobuysheet, Cold Culture Hoodies kakobuysheet2026, Cold Culture Hoodies 2026kakobuy, Cold Culture Hoodies kakobuyspreadsheeet, Cold Culture Hoodies kakobuylink, Cold Culture Hoodies kakebuylist, Cold Culture Hoodies Kakobuy MEGA Spreadsheet, Cold Culture Hoodies kakobuysheetfind, Cold Culture Hoodies kakobuysheetfind2026, Cold Culture Hoodies 2026kakobuysheetfind, Cold Culture Hoodies kakobuysheet2026"},"finish_reason":"stop"}],"usage":{"prompt_tokens":645,"completion_tokens":480,"total_tokens":1125}}</t>
        </is>
      </c>
      <c r="P58" t="inlineStr">
        <is>
          <t>Cold Culture Hoodies kakobuy, Cold Culture Hoodies kakebuy2026, Cold Culture Hoodies kekobuysheet, Cold Culture Hoodies kakobuysheet2026, Cold Culture Hoodies 2026kakobuy, Cold Culture Hoodies kakobuyspreadsheeet, Cold Culture Hoodies kakobuylink, Cold Culture Hoodies kakebuylist, Cold Culture Hoodies Kakobuy MEGA Spreadsheet, Cold Culture Hoodies kakobuysheetfind, Cold Culture Hoodies kakobuysheetfind2026, Cold Culture Hoodies 2026kakobuysheetfind, Cold Culture Hoodies kakobuysheet2026</t>
        </is>
      </c>
      <c r="Q58" t="inlineStr">
        <is>
          <t>Black, Vintage, Streetwear, Unisex, Fleece-Lined</t>
        </is>
      </c>
      <c r="R58" t="inlineStr">
        <is>
          <t>recvjR8RzVjb4o</t>
        </is>
      </c>
      <c r="S58" t="inlineStr">
        <is>
          <t>cold-culture-black-star-graphic-fleece-hoodie-recvjr8rzvjb4o</t>
        </is>
      </c>
      <c r="T58"/>
      <c r="U58"/>
      <c r="V58"/>
      <c r="W58" t="inlineStr">
        <is>
          <t>{"id":"resp_065c36c121bfd0cf016a0ab24257f08197828d22c591cb6e1b","object":"chat.completion","created":1779085894,"model":"gpt-5.5","choices":[{"index":0,"message":{"role":"assistant","content":"冷文化Cold Culture黑色连帽卫衣，棉质抓绒保暖，星星图腾与户外机能标语印花，街头复古宽松男女款帽衫"},"finish_reason":"stop"}],"usage":{"prompt_tokens":1172,"completion_tokens":135,"total_tokens":1307}}</t>
        </is>
      </c>
      <c r="X58" t="inlineStr">
        <is>
          <t>冷文化Cold Culture黑色连帽卫衣，棉质抓绒保暖，星星图腾与户外机能标语印花，街头复古宽松男女款帽衫</t>
        </is>
      </c>
    </row>
    <row r="59" ht="25.5" customHeight="1">
      <c r="A59">
        <v>1839115443</v>
      </c>
      <c r="B59">
        <v>7769011240</v>
      </c>
      <c r="C59" s="2" t="str">
        <f>=HYPERLINK("https://weidian.com/item.html?itemID=7769011240", "https://weidian.com/item.html?itemID=7769011240")</f>
        <v>https://weidian.com/item.html?itemID=7769011240</v>
      </c>
      <c r="D59"/>
      <c r="E59" s="2" t="str">
        <f>=HYPERLINK("https://si.geilicdn.com/open1839115443-252808396-5a1f0000019e340b7c330a8133b0_1279_1279.jpg?w=640&amp;h=640", "https://si.geilicdn.com/open1839115443-252808396-5a1f0000019e340b7c330a8133b0_1279_1279.jpg?w=640&amp;h=640")</f>
        <v>https://si.geilicdn.com/open1839115443-252808396-5a1f0000019e340b7c330a8133b0_1279_1279.jpg?w=640&amp;h=640</v>
      </c>
      <c r="F59" t="inlineStr">
        <is>
          <t>T-Shirts</t>
        </is>
      </c>
      <c r="G59" t="inlineStr">
        <is>
          <t>Kailas</t>
        </is>
      </c>
      <c r="H59">
        <v>241</v>
      </c>
      <c r="I59">
        <v>34.93</v>
      </c>
      <c r="J59" t="inlineStr">
        <is>
          <t>{"id":"resp_0c7c398c4ed0a5aa016a0ab5eab1588198812bc485c264dd9a","object":"chat.completion","created":1779086830,"model":"gpt-5.5","choices":[{"index":0,"message":{"role":"assistant","content":"Kailas White Cotton Short Sleeve T-Shirt Unisex Outdoor Tee"},"finish_reason":"stop"}],"usage":{"prompt_tokens":729,"completion_tokens":157,"total_tokens":886}}</t>
        </is>
      </c>
      <c r="K59" t="inlineStr">
        <is>
          <t>Kailas White Cotton Short Sleeve T-Shirt Unisex Outdoor Tee</t>
        </is>
      </c>
      <c r="L59" t="inlineStr">
        <is>
          <t>{"id":"resp_0a1259b9ee916e95016a0ab4a94c84819a9249797c76069559","object":"chat.completion","created":1779086509,"model":"gpt-5.5","choices":[{"index":0,"message":{"role":"assistant","content":"Kailas White Basic Short Sleeve T-Shirt, soft breathable cotton, small chest logo, unisex casual outdoor tee for men and women, versatile everyday top"},"finish_reason":"stop"}],"usage":{"prompt_tokens":748,"completion_tokens":123,"total_tokens":871}}</t>
        </is>
      </c>
      <c r="M59" t="inlineStr">
        <is>
          <t>{"alt-svc":"h3=\":443\"; ma=2592000","connection":"close","content-length":"444","content-type":"application/json; charset=utf-8","date":"Mon, 18 May 2026 06:41:49 GMT","referrer-policy":"strict-origin-when-cross-origin","server":"Caddy","strict-transport-security":"max-age=31536000; includeSubDomains; preload","vary":"Accept-Encoding","x-content-type-options":"nosniff","x-frame-options":"DENY","x-new-api-version":"v1.0.0-rc.2","x-oneapi-request-id":"202605180641446935344638268d9d6zc9E3ze9","x-request-id":"ae2af0bf-de38-4bc6-8c5e-ae1d904bb516"}</t>
        </is>
      </c>
      <c r="N59" t="inlineStr">
        <is>
          <t>Kailas White Basic Short Sleeve T-Shirt, soft breathable cotton, small chest logo, unisex casual outdoor tee for men and women, versatile everyday top</t>
        </is>
      </c>
      <c r="O59" t="inlineStr">
        <is>
          <t>{"id":"resp_08affc973bef53e9016a0ab840db54819b9203d6a26ed9d342","object":"chat.completion","created":1779087430,"model":"gpt-5.5","choices":[{"index":0,"message":{"role":"assistant","content":"Kailas T-Shirts kakobuy, Kailas T-Shirts kakebuy2026, Kailas T-Shirts kekobuysheet, Kailas T-Shirts kakobuysheet2026, Kailas T-Shirts 2026kakobuy, Kailas T-Shirts kakobuyspreadsheeet, Kailas T-Shirts kakobuylink, Kailas T-Shirts kakebuylist, Kailas T-Shirts Kakobuy MEGA Spreadsheet, Kailas T-Shirts kakobuysheetfind, Kailas T-Shirts kakobuysheetfind2026, Kailas T-Shirts 2026kakobuysheetfind, Kailas T-Shirts kakobuysheet2026"},"finish_reason":"stop"}],"usage":{"prompt_tokens":645,"completion_tokens":268,"total_tokens":913}}</t>
        </is>
      </c>
      <c r="P59" t="inlineStr">
        <is>
          <t>Kailas T-Shirts kakobuy, Kailas T-Shirts kakebuy2026, Kailas T-Shirts kekobuysheet, Kailas T-Shirts kakobuysheet2026, Kailas T-Shirts 2026kakobuy, Kailas T-Shirts kakobuyspreadsheeet, Kailas T-Shirts kakobuylink, Kailas T-Shirts kakebuylist, Kailas T-Shirts Kakobuy MEGA Spreadsheet, Kailas T-Shirts kakobuysheetfind, Kailas T-Shirts kakobuysheetfind2026, Kailas T-Shirts 2026kakobuysheetfind, Kailas T-Shirts kakobuysheet2026</t>
        </is>
      </c>
      <c r="Q59" t="inlineStr">
        <is>
          <t>White, Basic Style, Breathable, Unisex</t>
        </is>
      </c>
      <c r="R59" t="inlineStr">
        <is>
          <t>recvjR8RzVhzdP</t>
        </is>
      </c>
      <c r="S59" t="inlineStr">
        <is>
          <t>kailas-white-cotton-short-sleeve-tee-recvjr8rzvhzdp</t>
        </is>
      </c>
      <c r="T59"/>
      <c r="U59"/>
      <c r="V59"/>
      <c r="W59" t="inlineStr">
        <is>
          <t>{"id":"resp_0f88e0e5d4edad93016a0ab2a330e0819a8598e6eae27593bc","object":"chat.completion","created":1779085991,"model":"gpt-5.5","choices":[{"index":0,"message":{"role":"assistant","content":"凯乐石Kailas 白色基础款短袖T恤，柔软透气棉质面料，小胸标简约设计，男女同款休闲户外风百搭上衣"},"finish_reason":"stop"}],"usage":{"prompt_tokens":1175,"completion_tokens":149,"total_tokens":1324}}</t>
        </is>
      </c>
      <c r="X59" t="inlineStr">
        <is>
          <t>凯乐石Kailas 白色基础款短袖T恤，柔软透气棉质面料，小胸标简约设计，男女同款休闲户外风百搭上衣</t>
        </is>
      </c>
    </row>
    <row r="60" ht="25.5" customHeight="1">
      <c r="A60">
        <v>1839115443</v>
      </c>
      <c r="B60">
        <v>7766017355</v>
      </c>
      <c r="C60" s="2" t="str">
        <f>=HYPERLINK("https://weidian.com/item.html?itemID=7766017355", "https://weidian.com/item.html?itemID=7766017355")</f>
        <v>https://weidian.com/item.html?itemID=7766017355</v>
      </c>
      <c r="D60"/>
      <c r="E60" s="2" t="str">
        <f>=HYPERLINK("https://si.geilicdn.com/open1839115443-252808396-59e10000019e3409ccf00a8133b0_800_800.jpg?w=640&amp;h=640", "https://si.geilicdn.com/open1839115443-252808396-59e10000019e3409ccf00a8133b0_800_800.jpg?w=640&amp;h=640")</f>
        <v>https://si.geilicdn.com/open1839115443-252808396-59e10000019e3409ccf00a8133b0_800_800.jpg?w=640&amp;h=640</v>
      </c>
      <c r="F60" t="inlineStr">
        <is>
          <t>Pans</t>
        </is>
      </c>
      <c r="G60" t="inlineStr">
        <is>
          <t>Other</t>
        </is>
      </c>
      <c r="H60">
        <v>254</v>
      </c>
      <c r="I60">
        <v>36.81</v>
      </c>
      <c r="J60" t="inlineStr">
        <is>
          <t>{"id":"resp_0b40ddc0f2fd3cd7016a0ab5e7a844819b9ad21b60e2653f9c","object":"chat.completion","created":1779086827,"model":"gpt-5.5","choices":[{"index":0,"message":{"role":"assistant","content":"PansOther Vintage Light Blue Barrel Leg Jeans Unisex"},"finish_reason":"stop"}],"usage":{"prompt_tokens":714,"completion_tokens":139,"total_tokens":853}}</t>
        </is>
      </c>
      <c r="K60" t="inlineStr">
        <is>
          <t>PansOther Vintage Light Blue Barrel Leg Jeans Unisex</t>
        </is>
      </c>
      <c r="L60" t="inlineStr">
        <is>
          <t>{"id":"resp_09e3867c1805d4bc016a0ab4e876c0819a9781f19c8a2049df","object":"chat.completion","created":1779086570,"model":"gpt-5.5","choices":[{"index":0,"message":{"role":"assistant","content":"PansOther vintage light blue washed jeans, loose barrel-leg cotton denim, five-pocket straight casual unisex streetwear pants."},"finish_reason":"stop"}],"usage":{"prompt_tokens":742,"completion_tokens":76,"total_tokens":818}}</t>
        </is>
      </c>
      <c r="M60" t="inlineStr">
        <is>
          <t>{"alt-svc":"h3=\":443\"; ma=2592000","connection":"close","content-length":"419","content-type":"application/json; charset=utf-8","date":"Mon, 18 May 2026 06:42:50 GMT","referrer-policy":"strict-origin-when-cross-origin","server":"nginx/1.24.0 (Ubuntu)","strict-transport-security":"max-age=31536000; includeSubDomains; preload","vary":"Accept-Encoding","via":"1.1 Caddy","x-content-type-options":"nosniff","x-frame-options":"DENY","x-new-api-version":"v1.0.0-rc.2","x-oneapi-request-id":"20260518064248599088298268d9d6oaXMfizJ","x-request-id":"11d1e964-aea1-4085-8e6e-506b0247056f"}</t>
        </is>
      </c>
      <c r="N60" t="inlineStr">
        <is>
          <t>PansOther vintage light blue washed jeans, loose barrel-leg cotton denim, five-pocket straight casual unisex streetwear pants.</t>
        </is>
      </c>
      <c r="O60" t="inlineStr">
        <is>
          <t>{"id":"resp_04282b46510504e0016a0ab7e47abc819b8447ef1f5992353d","object":"chat.completion","created":1779087340,"model":"gpt-5.5","choices":[{"index":0,"message":{"role":"assistant","content":"PansOther jeans kakobuy, PansOther jeans kakebuy2026, PansOther jeans kekobuysheet, PansOther jeans kakobuysheet2026, PansOther jeans 2026kakobuy, PansOther jeans kakobuyspreadsheeet, PansOther jeans kakobuylink, PansOther jeans kakebuylist, PansOther jeans Kakobuy MEGA Spreadsheet, PansOther jeans kakobuysheetfind, PansOther jeans kakobuysheetfind2026, PansOther jeans 2026kakobuysheetfind, PansOther jeans kakobuysheet2026"},"finish_reason":"stop"}],"usage":{"prompt_tokens":643,"completion_tokens":392,"total_tokens":1035}}</t>
        </is>
      </c>
      <c r="P60" t="inlineStr">
        <is>
          <t>PansOther jeans kakobuy, PansOther jeans kakebuy2026, PansOther jeans kekobuysheet, PansOther jeans kakobuysheet2026, PansOther jeans 2026kakobuy, PansOther jeans kakobuyspreadsheeet, PansOther jeans kakobuylink, PansOther jeans kakebuylist, PansOther jeans Kakobuy MEGA Spreadsheet, PansOther jeans kakobuysheetfind, PansOther jeans kakobuysheetfind2026, PansOther jeans 2026kakobuysheetfind, PansOther jeans kakobuysheet2026</t>
        </is>
      </c>
      <c r="Q60" t="inlineStr">
        <is>
          <t>Denim, Unisex, Streetwear, Blue</t>
        </is>
      </c>
      <c r="R60" t="inlineStr">
        <is>
          <t>recvjR8RzVG7oR</t>
        </is>
      </c>
      <c r="S60" t="inlineStr">
        <is>
          <t>pansother-vintage-light-blue-barrel-leg-jeans-recvjr8rzvg7or</t>
        </is>
      </c>
      <c r="T60"/>
      <c r="U60"/>
      <c r="V60"/>
      <c r="W60" t="inlineStr">
        <is>
          <t>{"id":"resp_01e481d5f38d1998016a0ab2a669708196b2d41bf92c100b5d","object":"chat.completion","created":1779085994,"model":"gpt-5.5","choices":[{"index":0,"message":{"role":"assistant","content":"复古浅蓝水洗牛仔裤，宽松弯刀廓形棉质丹宁面料，五袋直筒休闲设计，男女同款街头潮流长裤"},"finish_reason":"stop"}],"usage":{"prompt_tokens":1163,"completion_tokens":111,"total_tokens":1274}}</t>
        </is>
      </c>
      <c r="X60" t="inlineStr">
        <is>
          <t>复古浅蓝水洗牛仔裤，宽松弯刀廓形棉质丹宁面料，五袋直筒休闲设计，男女同款街头潮流长裤</t>
        </is>
      </c>
    </row>
    <row r="61" ht="25.5" customHeight="1">
      <c r="A61">
        <v>1839115443</v>
      </c>
      <c r="B61">
        <v>7766017399</v>
      </c>
      <c r="C61" s="2" t="str">
        <f>=HYPERLINK("https://weidian.com/item.html?itemID=7766017399", "https://weidian.com/item.html?itemID=7766017399")</f>
        <v>https://weidian.com/item.html?itemID=7766017399</v>
      </c>
      <c r="D61"/>
      <c r="E61" s="2" t="str">
        <f>=HYPERLINK("https://si.geilicdn.com/open1839115443-252808396-7c6b0000019e341c58390a231226_1920_1920.jpg?w=640&amp;h=640", "https://si.geilicdn.com/open1839115443-252808396-7c6b0000019e341c58390a231226_1920_1920.jpg?w=640&amp;h=640")</f>
        <v>https://si.geilicdn.com/open1839115443-252808396-7c6b0000019e341c58390a231226_1920_1920.jpg?w=640&amp;h=640</v>
      </c>
      <c r="F61" t="inlineStr">
        <is>
          <t>Hoodies</t>
        </is>
      </c>
      <c r="G61" t="inlineStr">
        <is>
          <t>Bape</t>
        </is>
      </c>
      <c r="H61">
        <v>323</v>
      </c>
      <c r="I61">
        <v>46.81</v>
      </c>
      <c r="J61" t="inlineStr">
        <is>
          <t>{"id":"resp_0b24b44142eb6cb7016a0ab60e2228819ab5edcd0a852e1ddf","object":"chat.completion","created":1779086865,"model":"gpt-5.5","choices":[{"index":0,"message":{"role":"assistant","content":"Bape Kids Hello Kitty Pink Camo Zip Hoodie Jacket"},"finish_reason":"stop"}],"usage":{"prompt_tokens":727,"completion_tokens":125,"total_tokens":852}}</t>
        </is>
      </c>
      <c r="K61" t="inlineStr">
        <is>
          <t>Bape Kids Hello Kitty Pink Camo Zip Hoodie Jacket</t>
        </is>
      </c>
      <c r="L61" t="inlineStr">
        <is>
          <t>{"id":"resp_0925bbb13aabe291016a0ab4dd8010819b88f0765a93c4e7f8","object":"chat.completion","created":1779086561,"model":"gpt-5.5","choices":[{"index":0,"message":{"role":"assistant","content":"Bape Kids pink ape camo zip hoodie, cotton comfort, Hello Kitty 3D ears and bow, unisex boys girls Japanese streetwear jacket"},"finish_reason":"stop"}],"usage":{"prompt_tokens":748,"completion_tokens":126,"total_tokens":874}}</t>
        </is>
      </c>
      <c r="M61" t="inlineStr">
        <is>
          <t>{"alt-svc":"h3=\":443\"; ma=2592000","connection":"close","content-length":"419","content-type":"application/json; charset=utf-8","date":"Mon, 18 May 2026 06:42:41 GMT","referrer-policy":"strict-origin-when-cross-origin","server":"Caddy","strict-transport-security":"max-age=31536000; includeSubDomains; preload","vary":"Accept-Encoding","x-content-type-options":"nosniff","x-frame-options":"DENY","x-new-api-version":"v1.0.0-rc.2","x-oneapi-request-id":"202605180642372104107358268d9d6EpI9C4NE","x-request-id":"446483ed-2872-42f4-9fc5-1b1afafc6330"}</t>
        </is>
      </c>
      <c r="N61" t="inlineStr">
        <is>
          <t>Bape Kids pink ape camo zip hoodie, cotton comfort, Hello Kitty 3D ears and bow, unisex boys girls Japanese streetwear jacket</t>
        </is>
      </c>
      <c r="O61" t="inlineStr">
        <is>
          <t>{"id":"resp_0bcd1931c90219d1016a0ab720f60881999e789ca47da1a511","object":"chat.completion","created":1779087141,"model":"gpt-5.5","choices":[{"index":0,"message":{"role":"assistant","content":"Bape,Hoodies,kakobuy,kakebuy2026,kekobuysheet,kakobuysheet2026,2026kakobuy,kakobuyspreadsheeet,kakobuylink,kakebuylist,Kakobuy MEGA Spreadsheet,kakobuysheetfind,kakobuysheetfind2026,2026kakobuysheetfind,kakobuysheet2026"},"finish_reason":"stop"}],"usage":{"prompt_tokens":645,"completion_tokens":198,"total_tokens":843}}</t>
        </is>
      </c>
      <c r="P61" t="inlineStr">
        <is>
          <t>Bape,Hoodies,kakobuy,kakebuy2026,kekobuysheet,kakobuysheet2026,2026kakobuy,kakobuyspreadsheeet,kakobuylink,kakebuylist,Kakobuy MEGA Spreadsheet,kakobuysheetfind,kakobuysheetfind2026,2026kakobuysheetfind,kakobuysheet2026</t>
        </is>
      </c>
      <c r="Q61" t="inlineStr">
        <is>
          <t>BAPE, Pink, Japanese, Streetwear, Unisex</t>
        </is>
      </c>
      <c r="R61" t="inlineStr">
        <is>
          <t>recvjR8RzV0bGd</t>
        </is>
      </c>
      <c r="S61" t="inlineStr">
        <is>
          <t>bape-kids-hello-kitty-pink-camo-zip-hoodie-jacket-recvjr8rzv0bgd</t>
        </is>
      </c>
      <c r="T61"/>
      <c r="U61"/>
      <c r="V61"/>
      <c r="W61" t="inlineStr">
        <is>
          <t>{"id":"resp_0f59840ee2747fdd016a0ab227f778819ab1192da31651c759","object":"chat.completion","created":1779085868,"model":"gpt-5.5","choices":[{"index":0,"message":{"role":"assistant","content":"日系潮牌Bape粉色猿人迷彩连帽拉链卫衣，棉质舒适，Hello Kitty立体耳朵蝴蝶结设计，男女童休闲街头外套"},"finish_reason":"stop"}],"usage":{"prompt_tokens":1168,"completion_tokens":158,"total_tokens":1326}}</t>
        </is>
      </c>
      <c r="X61" t="inlineStr">
        <is>
          <t>日系潮牌Bape粉色猿人迷彩连帽拉链卫衣，棉质舒适，Hello Kitty立体耳朵蝴蝶结设计，男女童休闲街头外套</t>
        </is>
      </c>
    </row>
    <row r="62" ht="25.5" customHeight="1">
      <c r="A62">
        <v>1839115443</v>
      </c>
      <c r="B62">
        <v>7766003469</v>
      </c>
      <c r="C62" s="2" t="str">
        <f>=HYPERLINK("https://weidian.com/item.html?itemID=7766003469", "https://weidian.com/item.html?itemID=7766003469")</f>
        <v>https://weidian.com/item.html?itemID=7766003469</v>
      </c>
      <c r="D62"/>
      <c r="E62" s="2" t="str">
        <f>=HYPERLINK("https://si.geilicdn.com/open1839115443-252808396-03330000019e342273190a23b4de_800_800.jpg?w=750&amp;h=750&amp;cp=1", "https://si.geilicdn.com/open1839115443-252808396-03330000019e342273190a23b4de_800_800.jpg?w=750&amp;h=750&amp;cp=1")</f>
        <v>https://si.geilicdn.com/open1839115443-252808396-03330000019e342273190a23b4de_800_800.jpg?w=750&amp;h=750&amp;cp=1</v>
      </c>
      <c r="F62" t="inlineStr">
        <is>
          <t>T-Shirts</t>
        </is>
      </c>
      <c r="G62" t="inlineStr">
        <is>
          <t>Essentials</t>
        </is>
      </c>
      <c r="H62">
        <v>233</v>
      </c>
      <c r="I62">
        <v>33.77</v>
      </c>
      <c r="J62" t="inlineStr">
        <is>
          <t>{"id":"resp_0ace3aa08b3e0523016a0ab652d4648198b42773c425630dab","object":"chat.completion","created":1779086934,"model":"gpt-5.5","choices":[{"index":0,"message":{"role":"assistant","content":"Essentials Fear of God White Oversized Cotton T-Shirt"},"finish_reason":"stop"}],"usage":{"prompt_tokens":931,"completion_tokens":162,"total_tokens":1093}}</t>
        </is>
      </c>
      <c r="K62" t="inlineStr">
        <is>
          <t>Essentials Fear of God White Oversized Cotton T-Shirt</t>
        </is>
      </c>
      <c r="L62" t="inlineStr">
        <is>
          <t>{"id":"resp_013b50a2bf7bd1ae016a0ab54e9cb48199a32c83f0c6279fc7","object":"chat.completion","created":1779086673,"model":"gpt-5.5","choices":[{"index":0,"message":{"role":"assistant","content":"Essentials Fear of God fog white cotton T-shirt, breathable oversized unisex short sleeve tee with small chest logo, streetwear casual top"},"finish_reason":"stop"}],"usage":{"prompt_tokens":955,"completion_tokens":105,"total_tokens":1060}}</t>
        </is>
      </c>
      <c r="M62" t="inlineStr">
        <is>
          <t>{"alt-svc":"h3=\":443\"; ma=2592000","connection":"close","content-length":"433","content-type":"application/json; charset=utf-8","date":"Mon, 18 May 2026 06:44:33 GMT","referrer-policy":"strict-origin-when-cross-origin","server":"nginx/1.24.0 (Ubuntu)","strict-transport-security":"max-age=31536000; includeSubDomains; preload","vary":"Accept-Encoding","via":"1.1 Caddy","x-content-type-options":"nosniff","x-frame-options":"DENY","x-new-api-version":"v1.0.0-rc.2","x-oneapi-request-id":"202605180644279588501868268d9d6mR7EmEui","x-request-id":"6d50c8b4-480a-4564-98f9-bcc47fcfb65a"}</t>
        </is>
      </c>
      <c r="N62" t="inlineStr">
        <is>
          <t>Essentials Fear of God fog white cotton T-shirt, breathable oversized unisex short sleeve tee with small chest logo, streetwear casual top</t>
        </is>
      </c>
      <c r="O62" t="inlineStr">
        <is>
          <t>{"id":"resp_06c522c4587877e5016a0ab75972148199906bcab08cc15db7","object":"chat.completion","created":1779087202,"model":"gpt-5.5","choices":[{"index":0,"message":{"role":"assistant","content":"Essentials,T-Shirts,kakobuy\nEssentials,T-Shirts,kakebuy2026\nEssentials,T-Shirts,kekobuysheet\nEssentials,T-Shirts,kakobuysheet2026\nEssentials,T-Shirts,2026kakobuy\nEssentials,T-Shirts,kakobuyspreadsheeet\nEssentials,T-Shirts,kakobuylink\nEssentials,T-Shirts,kakebuylist\nEssentials,T-Shirts,Kakobuy MEGA Spreadsheet\nEssentials,T-Shirts,kakobuysheetfind\nEssentials,T-Shirts,kakobuysheetfind2026\nEssentials,T-Shirts,2026kakobuysheetfind\nEssentials,T-Shirts,kakobuysheet2026"},"finish_reason":"stop"}],"usage":{"prompt_tokens":855,"completion_tokens":445,"total_tokens":1300}}</t>
        </is>
      </c>
      <c r="P62" t="inlineStr">
        <is>
          <t>Essentials,T-Shirts,kakobuy
Essentials,T-Shirts,kakebuy2026
Essentials,T-Shirts,kekobuysheet
Essentials,T-Shirts,kakobuysheet2026
Essentials,T-Shirts,2026kakobuy
Essentials,T-Shirts,kakobuyspreadsheeet
Essentials,T-Shirts,kakobuylink
Essentials,T-Shirts,kakebuylist
Essentials,T-Shirts,Kakobuy MEGA Spreadsheet
Essentials,T-Shirts,kakobuysheetfind
Essentials,T-Shirts,kakobuysheetfind2026
Essentials,T-Shirts,2026kakobuysheetfind
Essentials,T-Shirts,kakobuysheet2026</t>
        </is>
      </c>
      <c r="Q62" t="inlineStr">
        <is>
          <t>Breathable, Unisex, Streetwear, Summer</t>
        </is>
      </c>
      <c r="R62" t="inlineStr">
        <is>
          <t>recvjR8RzVJRXh</t>
        </is>
      </c>
      <c r="S62" t="inlineStr">
        <is>
          <t>fear-of-god-white-oversized-cotton-t-shirt-recvjr8rzvjrxh</t>
        </is>
      </c>
      <c r="T62"/>
      <c r="U62"/>
      <c r="V62"/>
      <c r="W62" t="inlineStr">
        <is>
          <t>{"id":"resp_0d224c65f8b14c0d016a0ab27eb640819b917986446a9202d4","object":"chat.completion","created":1779085954,"model":"gpt-5.5","choices":[{"index":0,"message":{"role":"assistant","content":"雾白色 Essentials 短袖T恤，纯棉舒适透气，胸前小Logo印花，Fear of God街头休闲风，男女同款宽松上衣"},"finish_reason":"stop"}],"usage":{"prompt_tokens":1378,"completion_tokens":161,"total_tokens":1539}}</t>
        </is>
      </c>
      <c r="X62" t="inlineStr">
        <is>
          <t>雾白色 Essentials 短袖T恤，纯棉舒适透气，胸前小Logo印花，Fear of God街头休闲风，男女同款宽松上衣</t>
        </is>
      </c>
    </row>
    <row r="63" ht="25.5" customHeight="1">
      <c r="A63">
        <v>1839115443</v>
      </c>
      <c r="B63">
        <v>7766082387</v>
      </c>
      <c r="C63" s="2" t="str">
        <f>=HYPERLINK("https://weidian.com/item.html?itemID=7766082387", "https://weidian.com/item.html?itemID=7766082387")</f>
        <v>https://weidian.com/item.html?itemID=7766082387</v>
      </c>
      <c r="D63"/>
      <c r="E63" s="2" t="str">
        <f>=HYPERLINK("https://si.geilicdn.com/open1839115443-252808396-7e3f0000019e3422f1b60a231226_851_851.jpg?w=640&amp;h=640", "https://si.geilicdn.com/open1839115443-252808396-7e3f0000019e3422f1b60a231226_851_851.jpg?w=640&amp;h=640")</f>
        <v>https://si.geilicdn.com/open1839115443-252808396-7e3f0000019e3422f1b60a231226_851_851.jpg?w=640&amp;h=640</v>
      </c>
      <c r="F63" t="inlineStr">
        <is>
          <t>Jackets</t>
        </is>
      </c>
      <c r="G63" t="inlineStr">
        <is>
          <t>Prada</t>
        </is>
      </c>
      <c r="H63">
        <v>412</v>
      </c>
      <c r="I63">
        <v>59.71</v>
      </c>
      <c r="J63" t="inlineStr">
        <is>
          <t>{"id":"resp_06f4e76f2f9e2200016a0ab5b329ac819ab7176dd0fb0bd71c","object":"chat.completion","created":1779086775,"model":"gpt-5.5","choices":[{"index":0,"message":{"role":"assistant","content":"Prada Black Nylon Hooded Windbreaker Jacket Triangle Logo"},"finish_reason":"stop"}],"usage":{"prompt_tokens":716,"completion_tokens":184,"total_tokens":900}}</t>
        </is>
      </c>
      <c r="K63" t="inlineStr">
        <is>
          <t>Prada Black Nylon Hooded Windbreaker Jacket Triangle Logo</t>
        </is>
      </c>
      <c r="L63" t="inlineStr">
        <is>
          <t>{"id":"resp_01613313b921e8e7016a0ab49e65bc8199a142a20d2afa5b6f","object":"chat.completion","created":1779086497,"model":"gpt-5.5","choices":[{"index":0,"message":{"role":"assistant","content":"Prada black hooded windbreaker jacket, lightweight nylon, triangle metal logo, zip pockets, unisex casual commuter outerwear"},"finish_reason":"stop"}],"usage":{"prompt_tokens":740,"completion_tokens":113,"total_tokens":853}}</t>
        </is>
      </c>
      <c r="M63" t="inlineStr">
        <is>
          <t>{"alt-svc":"h3=\":443\"; ma=2592000","connection":"close","content-length":"418","content-type":"application/json; charset=utf-8","date":"Mon, 18 May 2026 06:41:37 GMT","referrer-policy":"strict-origin-when-cross-origin","server":"Caddy","strict-transport-security":"max-age=31536000; includeSubDomains; preload","vary":"Accept-Encoding","x-content-type-options":"nosniff","x-frame-options":"DENY","x-new-api-version":"v1.0.0-rc.2","x-oneapi-request-id":"202605180641337733861138268d9d6gIhMBgNM","x-request-id":"9148ec78-ba3b-40e2-b4c8-5f306b146423"}</t>
        </is>
      </c>
      <c r="N63" t="inlineStr">
        <is>
          <t>Prada black hooded windbreaker jacket, lightweight nylon, triangle metal logo, zip pockets, unisex casual commuter outerwear</t>
        </is>
      </c>
      <c r="O63" t="inlineStr">
        <is>
          <t>{"id":"resp_0978a4d117e42d6e016a0ab86211748198be9a6a469b8e6079","object":"chat.completion","created":1779087463,"model":"gpt-5.5","choices":[{"index":0,"message":{"role":"assistant","content":"Prada Jackets kakobuy, Prada Jackets kakebuy2026, Prada Jackets kekobuysheet, Prada Jackets kakobuysheet2026, Prada Jackets 2026kakobuy, Prada Jackets kakobuyspreadsheeet, Prada Jackets kakobuylink, Prada Jackets kakebuylist, Prada Jackets Kakobuy MEGA Spreadsheet, Prada Jackets kakobuysheetfind, Prada Jackets kakobuysheetfind2026, Prada Jackets 2026kakobuysheetfind, Prada Jackets kakobuysheet2026"},"finish_reason":"stop"}],"usage":{"prompt_tokens":644,"completion_tokens":232,"total_tokens":876}}</t>
        </is>
      </c>
      <c r="P63" t="inlineStr">
        <is>
          <t>Prada Jackets kakobuy, Prada Jackets kakebuy2026, Prada Jackets kekobuysheet, Prada Jackets kakobuysheet2026, Prada Jackets 2026kakobuy, Prada Jackets kakobuyspreadsheeet, Prada Jackets kakobuylink, Prada Jackets kakebuylist, Prada Jackets Kakobuy MEGA Spreadsheet, Prada Jackets kakobuysheetfind, Prada Jackets kakobuysheetfind2026, Prada Jackets 2026kakobuysheetfind, Prada Jackets kakobuysheet2026</t>
        </is>
      </c>
      <c r="Q63" t="inlineStr">
        <is>
          <t>Black, Nylon, Lightweight, Unisex</t>
        </is>
      </c>
      <c r="R63" t="inlineStr">
        <is>
          <t>recvjR8RzVQVW4</t>
        </is>
      </c>
      <c r="S63" t="inlineStr">
        <is>
          <t>prada-black-nylon-hooded-windbreaker-triangle-logo-recvjr8rzvqvw4</t>
        </is>
      </c>
      <c r="T63"/>
      <c r="U63"/>
      <c r="V63"/>
      <c r="W63" t="inlineStr">
        <is>
          <t>{"id":"resp_0c10fbed3c4fabcb016a0ab308b120819881b031c24deb5dec","object":"chat.completion","created":1779086093,"model":"gpt-5.5","choices":[{"index":0,"message":{"role":"assistant","content":"普拉达 Prada 黑色连帽防风夹克，轻薄尼龙面料，胸前三角金属Logo，拉链口袋设计，男女通勤休闲外套"},"finish_reason":"stop"}],"usage":{"prompt_tokens":1167,"completion_tokens":149,"total_tokens":1316}}</t>
        </is>
      </c>
      <c r="X63" t="inlineStr">
        <is>
          <t>普拉达 Prada 黑色连帽防风夹克，轻薄尼龙面料，胸前三角金属Logo，拉链口袋设计，男女通勤休闲外套</t>
        </is>
      </c>
    </row>
    <row r="64" ht="25.5" customHeight="1">
      <c r="A64">
        <v>1839115443</v>
      </c>
      <c r="B64">
        <v>7766097951</v>
      </c>
      <c r="C64" s="2" t="str">
        <f>=HYPERLINK("https://weidian.com/item.html?itemID=7766097951", "https://weidian.com/item.html?itemID=7766097951")</f>
        <v>https://weidian.com/item.html?itemID=7766097951</v>
      </c>
      <c r="D64"/>
      <c r="E64" s="2" t="str">
        <f>=HYPERLINK("https://si.geilicdn.com/open1839115443-252808396-78b00000019e34230cc40aa08269_800_800.jpg?w=640&amp;h=640", "https://si.geilicdn.com/open1839115443-252808396-78b00000019e34230cc40aa08269_800_800.jpg?w=640&amp;h=640")</f>
        <v>https://si.geilicdn.com/open1839115443-252808396-78b00000019e34230cc40aa08269_800_800.jpg?w=640&amp;h=640</v>
      </c>
      <c r="F64" t="inlineStr">
        <is>
          <t>T-Shirts</t>
        </is>
      </c>
      <c r="G64" t="inlineStr">
        <is>
          <t>Other</t>
        </is>
      </c>
      <c r="H64">
        <v>53</v>
      </c>
      <c r="I64">
        <v>7.68</v>
      </c>
      <c r="J64" t="inlineStr">
        <is>
          <t>{"id":"resp_08f52461f161a062016a0ab6afd128819a99421e942df2c776","object":"chat.completion","created":1779087035,"model":"gpt-5.5","choices":[{"index":0,"message":{"role":"assistant","content":"White Freedom Game Controller Graphic Oversized T-Shirt"},"finish_reason":"stop"}],"usage":{"prompt_tokens":739,"completion_tokens":400,"total_tokens":1139}}</t>
        </is>
      </c>
      <c r="K64" t="inlineStr">
        <is>
          <t>White Freedom Game Controller Graphic Oversized T-Shirt</t>
        </is>
      </c>
      <c r="L64" t="inlineStr">
        <is>
          <t>{"id":"resp_0ec2da7cc78c99bd016a0ab48929d881989bdcd1247ff446af","object":"chat.completion","created":1779086476,"model":"gpt-5.5","choices":[{"index":0,"message":{"role":"assistant","content":"T-ShirtsOther White oversized cotton-feel T-shirt, unisex streetwear tee with DON’T ETERNITY LOVE FREEDOM letter and game controller graphic, casual loose short sleeve top"},"finish_reason":"stop"}],"usage":{"prompt_tokens":742,"completion_tokens":98,"total_tokens":840}}</t>
        </is>
      </c>
      <c r="M64" t="inlineStr">
        <is>
          <t>{"alt-svc":"h3=\":443\"; ma=2592000","connection":"close","content-length":"466","content-type":"application/json; charset=utf-8","date":"Mon, 18 May 2026 06:41:16 GMT","referrer-policy":"strict-origin-when-cross-origin","server":"Caddy","strict-transport-security":"max-age=31536000; includeSubDomains; preload","vary":"Accept-Encoding","x-content-type-options":"nosniff","x-frame-options":"DENY","x-new-api-version":"v1.0.0-rc.2","x-oneapi-request-id":"202605180641125483024918268d9d60iOEimGM","x-request-id":"0530b6bf-d73c-442a-9dbc-241cfed2173e"}</t>
        </is>
      </c>
      <c r="N64" t="inlineStr">
        <is>
          <t>T-ShirtsOther White oversized cotton-feel T-shirt, unisex streetwear tee with DON’T ETERNITY LOVE FREEDOM letter and game controller graphic, casual loose short sleeve top</t>
        </is>
      </c>
      <c r="O64" t="inlineStr">
        <is>
          <t>{"id":"resp_0a1c924331b2e8d7016a0ab8609c78819a93c8731d372f009d","object":"chat.completion","created":1779087462,"model":"gpt-5.5","choices":[{"index":0,"message":{"role":"assistant","content":"Other T-Shirts kakobuy, Other T-Shirts kakebuy2026, Other T-Shirts kekobuysheet, Other T-Shirts kakobuysheet2026, Other T-Shirts 2026kakobuy, Other T-Shirts kakobuyspreadsheeet, Other T-Shirts kakobuylink, Other T-Shirts kakebuylist, Other T-Shirts Kakobuy MEGA Spreadsheet, Other T-Shirts kakobuysheetfind, Other T-Shirts kakobuysheetfind2026, Other T-Shirts 2026kakobuysheetfind, Other T-Shirts kakobuysheet2026"},"finish_reason":"stop"}],"usage":{"prompt_tokens":643,"completion_tokens":249,"total_tokens":892}}</t>
        </is>
      </c>
      <c r="P64" t="inlineStr">
        <is>
          <t>Other T-Shirts kakobuy, Other T-Shirts kakebuy2026, Other T-Shirts kekobuysheet, Other T-Shirts kakobuysheet2026, Other T-Shirts 2026kakobuy, Other T-Shirts kakobuyspreadsheeet, Other T-Shirts kakobuylink, Other T-Shirts kakebuylist, Other T-Shirts Kakobuy MEGA Spreadsheet, Other T-Shirts kakobuysheetfind, Other T-Shirts kakobuysheetfind2026, Other T-Shirts 2026kakobuysheetfind, Other T-Shirts kakobuysheet2026</t>
        </is>
      </c>
      <c r="Q64" t="inlineStr">
        <is>
          <t>White, Streetwear, Unisex, Summer</t>
        </is>
      </c>
      <c r="R64" t="inlineStr">
        <is>
          <t>recvjR8RzVQ22f</t>
        </is>
      </c>
      <c r="S64" t="inlineStr">
        <is>
          <t>white-freedom-game-controller-graphic-oversized-t-shirt-recvjr8rzvq22f</t>
        </is>
      </c>
      <c r="T64"/>
      <c r="U64"/>
      <c r="V64"/>
      <c r="W64" t="inlineStr">
        <is>
          <t>{"id":"resp_02acd5b83706ce9a016a0ab26a4518819abbf4d7f5f4dc1561","object":"chat.completion","created":1779085933,"model":"gpt-5.5","choices":[{"index":0,"message":{"role":"assistant","content":"白色宽松短袖T恤，柔软棉感面料，DON’T ETERNITY LOVE FREEDOM字母与游戏手柄印花，街头休闲男女同款潮流上衣"},"finish_reason":"stop"}],"usage":{"prompt_tokens":1157,"completion_tokens":82,"total_tokens":1239}}</t>
        </is>
      </c>
      <c r="X64" t="inlineStr">
        <is>
          <t>白色宽松短袖T恤，柔软棉感面料，DON’T ETERNITY LOVE FREEDOM字母与游戏手柄印花，街头休闲男女同款潮流上衣</t>
        </is>
      </c>
    </row>
    <row r="65" ht="25.5" customHeight="1">
      <c r="A65">
        <v>1839115443</v>
      </c>
      <c r="B65">
        <v>7769105638</v>
      </c>
      <c r="C65" s="2" t="str">
        <f>=HYPERLINK("https://weidian.com/item.html?itemID=7769105638", "https://weidian.com/item.html?itemID=7769105638")</f>
        <v>https://weidian.com/item.html?itemID=7769105638</v>
      </c>
      <c r="D65"/>
      <c r="E65" s="2" t="str">
        <f>=HYPERLINK("https://si.geilicdn.com/open1839115443-252808396-628f0000019e3422a6f90a8133b0_800_800.jpg?w=640&amp;h=640", "https://si.geilicdn.com/open1839115443-252808396-628f0000019e3422a6f90a8133b0_800_800.jpg?w=640&amp;h=640")</f>
        <v>https://si.geilicdn.com/open1839115443-252808396-628f0000019e3422a6f90a8133b0_800_800.jpg?w=640&amp;h=640</v>
      </c>
      <c r="F65" t="inlineStr">
        <is>
          <t>T-Shirts</t>
        </is>
      </c>
      <c r="G65" t="inlineStr">
        <is>
          <t>Ralph Lauren</t>
        </is>
      </c>
      <c r="H65">
        <v>119</v>
      </c>
      <c r="I65">
        <v>17.25</v>
      </c>
      <c r="J65" t="inlineStr">
        <is>
          <t>{"id":"resp_0e3196f2b18d2cae016a0ab6b397c88198bce3e75479a95930","object":"chat.completion","created":1779087033,"model":"gpt-5.5","choices":[{"index":0,"message":{"role":"assistant","content":"Ralph Lauren Men's Green Big Pony #3 Polo Shirt"},"finish_reason":"stop"}],"usage":{"prompt_tokens":727,"completion_tokens":274,"total_tokens":1001}}</t>
        </is>
      </c>
      <c r="K65" t="inlineStr">
        <is>
          <t>Ralph Lauren Men's Green Big Pony #3 Polo Shirt</t>
        </is>
      </c>
      <c r="L65" t="inlineStr">
        <is>
          <t>{"id":"resp_01360628f230e612016a0ab4dc3b248198b1dd2771e50d6c09","object":"chat.completion","created":1779086558,"model":"gpt-5.5","choices":[{"index":0,"message":{"role":"assistant","content":"Ralph Lauren Polo men's dark green cotton pique short sleeve polo shirt, orange Big Pony logo, #3 sleeve patch, classic casual collared T-shirt"},"finish_reason":"stop"}],"usage":{"prompt_tokens":748,"completion_tokens":81,"total_tokens":829}}</t>
        </is>
      </c>
      <c r="M65" t="inlineStr">
        <is>
          <t>{"alt-svc":"h3=\":443\"; ma=2592000","connection":"close","content-length":"436","content-type":"application/json; charset=utf-8","date":"Mon, 18 May 2026 06:42:38 GMT","referrer-policy":"strict-origin-when-cross-origin","server":"nginx/1.24.0 (Ubuntu)","strict-transport-security":"max-age=31536000; includeSubDomains; preload","vary":"Accept-Encoding","via":"1.1 Caddy","x-content-type-options":"nosniff","x-frame-options":"DENY","x-new-api-version":"v1.0.0-rc.2","x-oneapi-request-id":"202605180642357290477068268d9d61J6cfmN4","x-request-id":"bdac5c1c-9148-4204-981b-b756c15b9633"}</t>
        </is>
      </c>
      <c r="N65" t="inlineStr">
        <is>
          <t>Ralph Lauren Polo men's dark green cotton pique short sleeve polo shirt, orange Big Pony logo, #3 sleeve patch, classic casual collared T-shirt</t>
        </is>
      </c>
      <c r="O65" t="inlineStr">
        <is>
          <t>{"id":"resp_0a40dacd8dd6ce09016a0ab76feafc819baf263808e0cb8b78","object":"chat.completion","created":1779087223,"model":"gpt-5.5","choices":[{"index":0,"message":{"role":"assistant","content":"Ralph Lauren T-Shirts kakobuy, Ralph Lauren T-Shirts kakebuy2026, Ralph Lauren T-Shirts kekobuysheet, Ralph Lauren T-Shirts kakobuysheet2026, Ralph Lauren T-Shirts 2026kakobuy, Ralph Lauren T-Shirts kakobuyspreadsheeet, Ralph Lauren T-Shirts kakobuylink, Ralph Lauren T-Shirts kakebuylist, Ralph Lauren T-Shirts Kakobuy MEGA Spreadsheet, Ralph Lauren T-Shirts kakobuysheetfind, Ralph Lauren T-Shirts kakobuysheetfind2026, Ralph Lauren T-Shirts 2026kakobuysheetfind, Ralph Lauren T-Shirts kakobuysheet2026"},"finish_reason":"stop"}],"usage":{"prompt_tokens":645,"completion_tokens":308,"total_tokens":953}}</t>
        </is>
      </c>
      <c r="P65" t="inlineStr">
        <is>
          <t>Ralph Lauren T-Shirts kakobuy, Ralph Lauren T-Shirts kakebuy2026, Ralph Lauren T-Shirts kekobuysheet, Ralph Lauren T-Shirts kakobuysheet2026, Ralph Lauren T-Shirts 2026kakobuy, Ralph Lauren T-Shirts kakobuyspreadsheeet, Ralph Lauren T-Shirts kakobuylink, Ralph Lauren T-Shirts kakebuylist, Ralph Lauren T-Shirts Kakobuy MEGA Spreadsheet, Ralph Lauren T-Shirts kakobuysheetfind, Ralph Lauren T-Shirts kakobuysheetfind2026, Ralph Lauren T-Shirts 2026kakobuysheetfind, Ralph Lauren T-Shirts kakobuysheet2026</t>
        </is>
      </c>
      <c r="Q65" t="inlineStr">
        <is>
          <t>Dark Green, Orange, Classic, Men</t>
        </is>
      </c>
      <c r="R65" t="inlineStr">
        <is>
          <t>recvjR8RzV3qwV</t>
        </is>
      </c>
      <c r="S65" t="inlineStr">
        <is>
          <t>ralph-lauren-green-big-pony-3-polo-recvjr8rzv3qwv</t>
        </is>
      </c>
      <c r="T65"/>
      <c r="U65"/>
      <c r="V65"/>
      <c r="W65" t="inlineStr">
        <is>
          <t>{"id":"resp_0f19535d70e0f30a016a0ab32388288190a0b45c7dc8d983a5","object":"chat.completion","created":1779086119,"model":"gpt-5.5","choices":[{"index":0,"message":{"role":"assistant","content":"拉夫劳伦Polo系列墨绿色短袖T恤，棉质珠地面料，橙色大马标与袖章3号设计，翻领休闲男士经典POLO衫"},"finish_reason":"stop"}],"usage":{"prompt_tokens":1169,"completion_tokens":139,"total_tokens":1308}}</t>
        </is>
      </c>
      <c r="X65" t="inlineStr">
        <is>
          <t>拉夫劳伦Polo系列墨绿色短袖T恤，棉质珠地面料，橙色大马标与袖章3号设计，翻领休闲男士经典POLO衫</t>
        </is>
      </c>
    </row>
    <row r="66" ht="25.5" customHeight="1">
      <c r="A66">
        <v>1839115443</v>
      </c>
      <c r="B66">
        <v>7766023167</v>
      </c>
      <c r="C66" s="2" t="str">
        <f>=HYPERLINK("https://weidian.com/item.html?itemID=7766023167", "https://weidian.com/item.html?itemID=7766023167")</f>
        <v>https://weidian.com/item.html?itemID=7766023167</v>
      </c>
      <c r="D66"/>
      <c r="E66" s="2" t="str">
        <f>=HYPERLINK("https://si.geilicdn.com/open1839115443-252808396-60350000019e3405ca440a8115c2_750_750.jpg?w=640&amp;h=640", "https://si.geilicdn.com/open1839115443-252808396-60350000019e3405ca440a8115c2_750_750.jpg?w=640&amp;h=640")</f>
        <v>https://si.geilicdn.com/open1839115443-252808396-60350000019e3405ca440a8115c2_750_750.jpg?w=640&amp;h=640</v>
      </c>
      <c r="F66" t="inlineStr">
        <is>
          <t>Hoodies</t>
        </is>
      </c>
      <c r="G66" t="inlineStr">
        <is>
          <t>Ralph Lauren</t>
        </is>
      </c>
      <c r="H66">
        <v>187</v>
      </c>
      <c r="I66">
        <v>27.1</v>
      </c>
      <c r="J66" t="inlineStr">
        <is>
          <t>{"id":"resp_069571c6f234637e016a0ab6a405348198b114165c69a2d622","object":"chat.completion","created":1779087015,"model":"gpt-5.5","choices":[{"index":0,"message":{"role":"assistant","content":"Ralph Lauren Gray Full-Zip Fleece Hoodie Jacket"},"finish_reason":"stop"}],"usage":{"prompt_tokens":722,"completion_tokens":62,"total_tokens":784}}</t>
        </is>
      </c>
      <c r="K66" t="inlineStr">
        <is>
          <t>Ralph Lauren Gray Full-Zip Fleece Hoodie Jacket</t>
        </is>
      </c>
      <c r="L66" t="inlineStr">
        <is>
          <t>{"id":"resp_09a8777785cc7546016a0ab513e898819baf51beb08425f2fb","object":"chat.completion","created":1779086616,"model":"gpt-5.5","choices":[{"index":0,"message":{"role":"assistant","content":"Ralph Lauren gray full-zip hoodie, cotton-blend fleece sweatshirt with embroidered logo, kangaroo pockets, unisex casual commuter jacket"},"finish_reason":"stop"}],"usage":{"prompt_tokens":747,"completion_tokens":109,"total_tokens":856}}</t>
        </is>
      </c>
      <c r="M66" t="inlineStr">
        <is>
          <t>{"alt-svc":"h3=\":443\"; ma=2592000","connection":"close","content-length":"430","content-type":"application/json; charset=utf-8","date":"Mon, 18 May 2026 06:43:36 GMT","referrer-policy":"strict-origin-when-cross-origin","server":"nginx/1.24.0 (Ubuntu)","strict-transport-security":"max-age=31536000; includeSubDomains; preload","vary":"Accept-Encoding","via":"1.1 Caddy","x-content-type-options":"nosniff","x-frame-options":"DENY","x-new-api-version":"v1.0.0-rc.2","x-oneapi-request-id":"202605180643313193170048268d9d6BJRkWzVs","x-request-id":"061a3251-4a45-44d1-a582-7b9491322884"}</t>
        </is>
      </c>
      <c r="N66" t="inlineStr">
        <is>
          <t>Ralph Lauren gray full-zip hoodie, cotton-blend fleece sweatshirt with embroidered logo, kangaroo pockets, unisex casual commuter jacket</t>
        </is>
      </c>
      <c r="O66" t="inlineStr">
        <is>
          <t>{"id":"resp_07e938eca6f0a5ef016a0ab7c4217c8195bd944478a32a41c4","object":"chat.completion","created":1779087304,"model":"gpt-5.5","choices":[{"index":0,"message":{"role":"assistant","content":"Ralph Lauren,Hoodies,kakobuy,kakebuy2026,kekobuysheet,kakobuysheet2026,2026kakobuy,kakobuyspreadsheeet,kakobuylink,kakebuylist,Kakobuy MEGA Spreadsheet,kakobuysheetfind,kakobuysheetfind2026,2026kakobuysheetfind,kakobuysheet2026"},"finish_reason":"stop"}],"usage":{"prompt_tokens":646,"completion_tokens":208,"total_tokens":854}}</t>
        </is>
      </c>
      <c r="P66" t="inlineStr">
        <is>
          <t>Ralph Lauren,Hoodies,kakobuy,kakebuy2026,kekobuysheet,kakobuysheet2026,2026kakobuy,kakobuyspreadsheeet,kakobuylink,kakebuylist,Kakobuy MEGA Spreadsheet,kakobuysheetfind,kakobuysheetfind2026,2026kakobuysheetfind,kakobuysheet2026</t>
        </is>
      </c>
      <c r="Q66" t="inlineStr">
        <is>
          <t>Grey, Unisex, Fleece-Lined</t>
        </is>
      </c>
      <c r="R66" t="inlineStr">
        <is>
          <t>recvjR8RzVt1hu</t>
        </is>
      </c>
      <c r="S66" t="inlineStr">
        <is>
          <t>ralph-lauren-gray-full-zip-fleece-hoodie-jacket-recvjr8rzvt1hu</t>
        </is>
      </c>
      <c r="T66"/>
      <c r="U66"/>
      <c r="V66"/>
      <c r="W66" t="inlineStr">
        <is>
          <t>{"id":"resp_07ba0ef93b3e492c016a0ab2078c28819bb99725787ae22b25","object":"chat.completion","created":1779085836,"model":"gpt-5.5","choices":[{"index":0,"message":{"role":"assistant","content":"拉夫劳伦 Ralph Lauren 灰色全拉链连帽卫衣，棉混纺抓绒面料，小标刺绣设计，袋鼠口袋，男女休闲通勤百搭外套"},"finish_reason":"stop"}],"usage":{"prompt_tokens":1164,"completion_tokens":168,"total_tokens":1332}}</t>
        </is>
      </c>
      <c r="X66" t="inlineStr">
        <is>
          <t>拉夫劳伦 Ralph Lauren 灰色全拉链连帽卫衣，棉混纺抓绒面料，小标刺绣设计，袋鼠口袋，男女休闲通勤百搭外套</t>
        </is>
      </c>
    </row>
    <row r="67" ht="25.5" customHeight="1">
      <c r="A67">
        <v>1839115443</v>
      </c>
      <c r="B67">
        <v>7769068360</v>
      </c>
      <c r="C67" s="2" t="str">
        <f>=HYPERLINK("https://weidian.com/item.html?itemID=7769068360", "https://weidian.com/item.html?itemID=7769068360")</f>
        <v>https://weidian.com/item.html?itemID=7769068360</v>
      </c>
      <c r="D67"/>
      <c r="E67" s="2" t="str">
        <f>=HYPERLINK("https://si.geilicdn.com/open1839115443-252808396-01390000019e34054c460a22d249_1440_1440.jpg?w=640&amp;h=640", "https://si.geilicdn.com/open1839115443-252808396-01390000019e34054c460a22d249_1440_1440.jpg?w=640&amp;h=640")</f>
        <v>https://si.geilicdn.com/open1839115443-252808396-01390000019e34054c460a22d249_1440_1440.jpg?w=640&amp;h=640</v>
      </c>
      <c r="F67" t="inlineStr">
        <is>
          <t>Jackets</t>
        </is>
      </c>
      <c r="G67" t="inlineStr">
        <is>
          <t xml:space="preserve"> C.P. Company</t>
        </is>
      </c>
      <c r="H67">
        <v>476</v>
      </c>
      <c r="I67">
        <v>68.99</v>
      </c>
      <c r="J67" t="inlineStr">
        <is>
          <t>{"id":"resp_04c586079389ea6d016a0ab65c44b081998ee94606df5a4b6c","object":"chat.completion","created":1779086946,"model":"gpt-5.5","choices":[{"index":0,"message":{"role":"assistant","content":"C.P. Company Blue Hooded Down Puffer Jacket Windproof Unisex"},"finish_reason":"stop"}],"usage":{"prompt_tokens":734,"completion_tokens":256,"total_tokens":990}}</t>
        </is>
      </c>
      <c r="K67" t="inlineStr">
        <is>
          <t>C.P. Company Blue Hooded Down Puffer Jacket Windproof Unisex</t>
        </is>
      </c>
      <c r="L67" t="inlineStr">
        <is>
          <t>{"id":"resp_07150e487bea829c016a0ab54724bc81958561309616f3775b","object":"chat.completion","created":1779086666,"model":"gpt-5.5","choices":[{"index":0,"message":{"role":"assistant","content":"C.P. Company blue hooded down jacket, windproof warm nylon puffer with back goggle detail, relaxed techwear fit, unisex winter streetwear coat"},"finish_reason":"stop"}],"usage":{"prompt_tokens":746,"completion_tokens":115,"total_tokens":861}}</t>
        </is>
      </c>
      <c r="M67" t="inlineStr">
        <is>
          <t>{"alt-svc":"h3=\":443\"; ma=2592000","connection":"close","content-length":"436","content-type":"application/json; charset=utf-8","date":"Mon, 18 May 2026 06:44:26 GMT","referrer-policy":"strict-origin-when-cross-origin","server":"Caddy","strict-transport-security":"max-age=31536000; includeSubDomains; preload","vary":"Accept-Encoding","x-content-type-options":"nosniff","x-frame-options":"DENY","x-new-api-version":"v1.0.0-rc.2","x-oneapi-request-id":"202605180644153862905498268d9d67YKGxYmm","x-request-id":"185260e2-0346-482c-97c4-f408f988af56"}</t>
        </is>
      </c>
      <c r="N67" t="inlineStr">
        <is>
          <t>C.P. Company blue hooded down jacket, windproof warm nylon puffer with back goggle detail, relaxed techwear fit, unisex winter streetwear coat</t>
        </is>
      </c>
      <c r="O67" t="inlineStr">
        <is>
          <t>{"id":"resp_048cb1bd6e5d4838016a0ab7751b4c819ba652fd75f690ce7c","object":"chat.completion","created":1779087233,"model":"gpt-5.5","choices":[{"index":0,"message":{"role":"assistant","content":"C.P. Company Jackets kakobuy, C.P. Company Jackets kakebuy2026, C.P. Company Jackets kekobuysheet, C.P. Company Jackets kakobuysheet2026, C.P. Company Jackets 2026kakobuy, C.P. Company Jackets kakobuyspreadsheeet, C.P. Company Jackets kakobuylink, C.P. Company Jackets kakebuylist, C.P. Company Jackets Kakobuy MEGA Spreadsheet, C.P. Company Jackets kakobuysheetfind, C.P. Company Jackets kakobuysheetfind2026, C.P. Company Jackets 2026kakobuysheetfind, C.P. Company Jackets kakobuysheet2026"},"finish_reason":"stop"}],"usage":{"prompt_tokens":646,"completion_tokens":228,"total_tokens":874}}</t>
        </is>
      </c>
      <c r="P67" t="inlineStr">
        <is>
          <t>C.P. Company Jackets kakobuy, C.P. Company Jackets kakebuy2026, C.P. Company Jackets kekobuysheet, C.P. Company Jackets kakobuysheet2026, C.P. Company Jackets 2026kakobuy, C.P. Company Jackets kakobuyspreadsheeet, C.P. Company Jackets kakobuylink, C.P. Company Jackets kakebuylist, C.P. Company Jackets Kakobuy MEGA Spreadsheet, C.P. Company Jackets kakobuysheetfind, C.P. Company Jackets kakobuysheetfind2026, C.P. Company Jackets 2026kakobuysheetfind, C.P. Company Jackets kakobuysheet2026</t>
        </is>
      </c>
      <c r="Q67" t="inlineStr">
        <is>
          <t>Blue, Windproof, Nylon, Winter, Unisex, Streetwear</t>
        </is>
      </c>
      <c r="R67" t="inlineStr">
        <is>
          <t>recvjR8RzVorXa</t>
        </is>
      </c>
      <c r="S67" t="inlineStr">
        <is>
          <t>c-p-company-blue-hooded-down-puffer-jacket-recvjr8rzvorxa</t>
        </is>
      </c>
      <c r="T67"/>
      <c r="U67"/>
      <c r="V67"/>
      <c r="W67" t="inlineStr">
        <is>
          <t>{"id":"resp_05bf0592efc61f74016a0ab2ec12dc819b86b41c092aebb26e","object":"chat.completion","created":1779086064,"model":"gpt-5.5","choices":[{"index":0,"message":{"role":"assistant","content":"蓝色 C.P. Company 连帽羽绒夹克，防风保暖尼龙材质，背部护目镜细节，宽松机能设计，男女同款冬季街头外套"},"finish_reason":"stop"}],"usage":{"prompt_tokens":1167,"completion_tokens":178,"total_tokens":1345}}</t>
        </is>
      </c>
      <c r="X67" t="inlineStr">
        <is>
          <t>蓝色 C.P. Company 连帽羽绒夹克，防风保暖尼龙材质，背部护目镜细节，宽松机能设计，男女同款冬季街头外套</t>
        </is>
      </c>
    </row>
    <row r="68" ht="25.5" customHeight="1">
      <c r="A68">
        <v>1839115443</v>
      </c>
      <c r="B68">
        <v>7768993410</v>
      </c>
      <c r="C68" s="2" t="str">
        <f>=HYPERLINK("https://weidian.com/item.html?itemID=7768993410", "https://weidian.com/item.html?itemID=7768993410")</f>
        <v>https://weidian.com/item.html?itemID=7768993410</v>
      </c>
      <c r="D68"/>
      <c r="E68" s="2" t="str">
        <f>=HYPERLINK("https://si.geilicdn.com/open1839115443-252808396-01550000019e3405a8810a22d249_1080_1080.jpg?w=640&amp;h=640", "https://si.geilicdn.com/open1839115443-252808396-01550000019e3405a8810a22d249_1080_1080.jpg?w=640&amp;h=640")</f>
        <v>https://si.geilicdn.com/open1839115443-252808396-01550000019e3405a8810a22d249_1080_1080.jpg?w=640&amp;h=640</v>
      </c>
      <c r="F68" t="inlineStr">
        <is>
          <t>T-Shirts</t>
        </is>
      </c>
      <c r="G68" t="inlineStr">
        <is>
          <t>Ralph Lauren</t>
        </is>
      </c>
      <c r="H68">
        <v>102.12</v>
      </c>
      <c r="I68">
        <v>14.8</v>
      </c>
      <c r="J68" t="inlineStr">
        <is>
          <t>{"id":"resp_09fe7668a5fb8a6b016a0ab603634481968e0887458336ae56","object":"chat.completion","created":1779086854,"model":"gpt-5.5","choices":[{"index":0,"message":{"role":"assistant","content":"Ralph Lauren Green Full Zip Fleece Hoodie Jacket"},"finish_reason":"stop"}],"usage":{"prompt_tokens":718,"completion_tokens":55,"total_tokens":773}}</t>
        </is>
      </c>
      <c r="K68" t="inlineStr">
        <is>
          <t>Ralph Lauren Green Full Zip Fleece Hoodie Jacket</t>
        </is>
      </c>
      <c r="L68" t="inlineStr">
        <is>
          <t>{"id":"resp_081fa799ff3ca408016a0ab46b3ba0819b8d092f3b7fa2ce37","object":"chat.completion","created":1779086446,"model":"gpt-5.5","choices":[{"index":0,"message":{"role":"assistant","content":"Ralph Lauren green full-zip hoodie, soft cotton-blend fleece with embroidered pony logo, unisex casual sports sweatshirt jacket."},"finish_reason":"stop"}],"usage":{"prompt_tokens":747,"completion_tokens":93,"total_tokens":840}}</t>
        </is>
      </c>
      <c r="M68" t="inlineStr">
        <is>
          <t>{"alt-svc":"h3=\":443\"; ma=2592000","connection":"close","content-length":"421","content-type":"application/json; charset=utf-8","date":"Mon, 18 May 2026 06:40:46 GMT","referrer-policy":"strict-origin-when-cross-origin","server":"Caddy","strict-transport-security":"max-age=31536000; includeSubDomains; preload","vary":"Accept-Encoding","x-content-type-options":"nosniff","x-frame-options":"DENY","x-new-api-version":"v1.0.0-rc.2","x-oneapi-request-id":"202605180640428805201308268d9d6G0n6FlPd","x-request-id":"9c390ca7-67a3-44a6-8dc4-e8e93eab1146"}</t>
        </is>
      </c>
      <c r="N68" t="inlineStr">
        <is>
          <t>Ralph Lauren green full-zip hoodie, soft cotton-blend fleece with embroidered pony logo, unisex casual sports sweatshirt jacket.</t>
        </is>
      </c>
      <c r="O68" t="inlineStr">
        <is>
          <t>{"id":"resp_0f3e5c5f180c01c6016a0ab7e49f54819ab7369023491fd004","object":"chat.completion","created":1779087339,"model":"gpt-5.5","choices":[{"index":0,"message":{"role":"assistant","content":"Ralph Lauren T-Shirts kakobuy, Ralph Lauren T-Shirts kakebuy2026, Ralph Lauren T-Shirts kekobuysheet, Ralph Lauren T-Shirts kakobuysheet2026, Ralph Lauren T-Shirts 2026kakobuy, Ralph Lauren T-Shirts kakobuyspreadsheeet, Ralph Lauren T-Shirts kakobuylink, Ralph Lauren T-Shirts kakebuylist, Ralph Lauren T-Shirts Kakobuy MEGA Spreadsheet, Ralph Lauren T-Shirts kakobuysheetfind, Ralph Lauren T-Shirts kakobuysheetfind2026, Ralph Lauren T-Shirts 2026kakobuysheetfind, Ralph Lauren T-Shirts kakobuysheet2026"},"finish_reason":"stop"}],"usage":{"prompt_tokens":645,"completion_tokens":268,"total_tokens":913}}</t>
        </is>
      </c>
      <c r="P68" t="inlineStr">
        <is>
          <t>Ralph Lauren T-Shirts kakobuy, Ralph Lauren T-Shirts kakebuy2026, Ralph Lauren T-Shirts kekobuysheet, Ralph Lauren T-Shirts kakobuysheet2026, Ralph Lauren T-Shirts 2026kakobuy, Ralph Lauren T-Shirts kakobuyspreadsheeet, Ralph Lauren T-Shirts kakobuylink, Ralph Lauren T-Shirts kakebuylist, Ralph Lauren T-Shirts Kakobuy MEGA Spreadsheet, Ralph Lauren T-Shirts kakobuysheetfind, Ralph Lauren T-Shirts kakobuysheetfind2026, Ralph Lauren T-Shirts 2026kakobuysheetfind, Ralph Lauren T-Shirts kakobuysheet2026</t>
        </is>
      </c>
      <c r="Q68" t="inlineStr">
        <is>
          <t>Green, Unisex</t>
        </is>
      </c>
      <c r="R68" t="inlineStr">
        <is>
          <t>recvjR8RzVeCtW</t>
        </is>
      </c>
      <c r="S68" t="inlineStr">
        <is>
          <t>ralph-lauren-green-full-zip-fleece-hoodie-jacket-recvjr8rzvectw</t>
        </is>
      </c>
      <c r="T68"/>
      <c r="U68"/>
      <c r="V68"/>
      <c r="W68" t="inlineStr">
        <is>
          <t>{"id":"resp_0fdb04d04a8a2e38016a0ab3418d08819b8974087b7f4aa291","object":"chat.completion","created":1779086156,"model":"gpt-5.5","choices":[{"index":0,"message":{"role":"assistant","content":"拉夫劳伦Ralph Lauren绿色全拉链连帽卫衣，柔软棉混纺抓绒面料，胸前小马刺绣Logo，休闲运动风男女同款外套。"},"finish_reason":"stop"}],"usage":{"prompt_tokens":1167,"completion_tokens":141,"total_tokens":1308}}</t>
        </is>
      </c>
      <c r="X68" t="inlineStr">
        <is>
          <t>拉夫劳伦Ralph Lauren绿色全拉链连帽卫衣，柔软棉混纺抓绒面料，胸前小马刺绣Logo，休闲运动风男女同款外套。</t>
        </is>
      </c>
    </row>
    <row r="69" ht="25.5" customHeight="1">
      <c r="A69">
        <v>1839115443</v>
      </c>
      <c r="B69">
        <v>7768993416</v>
      </c>
      <c r="C69" s="2" t="str">
        <f>=HYPERLINK("https://weidian.com/item.html?itemID=7768993416", "https://weidian.com/item.html?itemID=7768993416")</f>
        <v>https://weidian.com/item.html?itemID=7768993416</v>
      </c>
      <c r="D69"/>
      <c r="E69" s="2" t="str">
        <f>=HYPERLINK("https://si.geilicdn.com/open1839115443-252808396-7a9c0000019e3409c29f0a23b4de_790_1580.jpg?w=640&amp;h=640", "https://si.geilicdn.com/open1839115443-252808396-7a9c0000019e3409c29f0a23b4de_790_1580.jpg?w=640&amp;h=640")</f>
        <v>https://si.geilicdn.com/open1839115443-252808396-7a9c0000019e3409c29f0a23b4de_790_1580.jpg?w=640&amp;h=640</v>
      </c>
      <c r="F69" t="inlineStr">
        <is>
          <t>T-Shirts</t>
        </is>
      </c>
      <c r="G69" t="inlineStr">
        <is>
          <t>Kailas</t>
        </is>
      </c>
      <c r="H69">
        <v>1135</v>
      </c>
      <c r="I69">
        <v>164.49</v>
      </c>
      <c r="J69" t="inlineStr">
        <is>
          <t>{"id":"resp_0c4c418b2032ce3f016a0ab5f4259c8198a84f6f958c40fb43","object":"chat.completion","created":1779086838,"model":"gpt-5.5","choices":[{"index":0,"message":{"role":"assistant","content":"Kailas Light Gray Hooded Down Puffer Jacket"},"finish_reason":"stop"}],"usage":{"prompt_tokens":1203,"completion_tokens":79,"total_tokens":1282}}</t>
        </is>
      </c>
      <c r="K69" t="inlineStr">
        <is>
          <t>Kailas Light Gray Hooded Down Puffer Jacket</t>
        </is>
      </c>
      <c r="L69" t="inlineStr">
        <is>
          <t>{"id":"resp_09dea600972f04a1016a0ab4b55b14819aae610f486c1a6606","object":"chat.completion","created":1779086521,"model":"gpt-5.5","choices":[{"index":0,"message":{"role":"assistant","content":"Kailas light gray hooded down jacket, windproof warm lightweight puffer with 3D quilting, unisex outdoor casual winter coat"},"finish_reason":"stop"}],"usage":{"prompt_tokens":1228,"completion_tokens":140,"total_tokens":1368}}</t>
        </is>
      </c>
      <c r="M69" t="inlineStr">
        <is>
          <t>{"alt-svc":"h3=\":443\"; ma=2592000","connection":"close","content-length":"419","content-type":"application/json; charset=utf-8","date":"Mon, 18 May 2026 06:42:01 GMT","referrer-policy":"strict-origin-when-cross-origin","server":"nginx/1.24.0 (Ubuntu)","strict-transport-security":"max-age=31536000; includeSubDomains; preload","vary":"Accept-Encoding","via":"1.1 Caddy","x-content-type-options":"nosniff","x-frame-options":"DENY","x-new-api-version":"v1.0.0-rc.2","x-oneapi-request-id":"20260518064157160551628268d9d6M0ZOgUUo","x-request-id":"a08e3811-d0ba-4147-8520-1102dac4c77e"}</t>
        </is>
      </c>
      <c r="N69" t="inlineStr">
        <is>
          <t>Kailas light gray hooded down jacket, windproof warm lightweight puffer with 3D quilting, unisex outdoor casual winter coat</t>
        </is>
      </c>
      <c r="O69" t="inlineStr">
        <is>
          <t>{"id":"resp_0cfe0cff66b3e72f016a0ab888fcf48198ae7ea42e660446af","object":"chat.completion","created":1779087502,"model":"gpt-5.5","choices":[{"index":0,"message":{"role":"assistant","content":"Kailas,T-Shirts,kakobuy,kakebuy2026,kekobuysheet,kakobuysheet2026,2026kakobuy,kakobuyspreadsheeet,kakobuylink,kakebuylist,Kakobuy MEGA Spreadsheet,kakobuysheetfind,kakobuysheetfind2026,2026kakobuysheetfind,kakobuysheet2026"},"finish_reason":"stop"}],"usage":{"prompt_tokens":1125,"completion_tokens":254,"total_tokens":1379}}</t>
        </is>
      </c>
      <c r="P69" t="inlineStr">
        <is>
          <t>Kailas,T-Shirts,kakobuy,kakebuy2026,kekobuysheet,kakobuysheet2026,2026kakobuy,kakobuyspreadsheeet,kakobuylink,kakebuylist,Kakobuy MEGA Spreadsheet,kakobuysheetfind,kakobuysheetfind2026,2026kakobuysheetfind,kakobuysheet2026</t>
        </is>
      </c>
      <c r="Q69" t="inlineStr">
        <is>
          <t>Grey, Windproof, Lightweight, Winter, Unisex, Outdoor</t>
        </is>
      </c>
      <c r="R69" t="inlineStr">
        <is>
          <t>recvjR8RzVdrMw</t>
        </is>
      </c>
      <c r="S69" t="inlineStr">
        <is>
          <t>kailas-light-gray-hooded-down-puffer-jacket-recvjr8rzvdr</t>
        </is>
      </c>
      <c r="T69"/>
      <c r="U69"/>
      <c r="V69"/>
      <c r="W69" t="inlineStr">
        <is>
          <t>{"id":"resp_093bfb6c533c0283016a0ab23223ac819595949886c08629e7","object":"chat.completion","created":1779085878,"model":"gpt-5.5","choices":[{"index":0,"message":{"role":"assistant","content":"凯乐石Kailas浅灰连帽羽绒服，防风保暖轻量蓬松面料，立体绗缝户外休闲男女同款冬季外套"},"finish_reason":"stop"}],"usage":{"prompt_tokens":1655,"completion_tokens":150,"total_tokens":1805}}</t>
        </is>
      </c>
      <c r="X69" t="inlineStr">
        <is>
          <t>凯乐石Kailas浅灰连帽羽绒服，防风保暖轻量蓬松面料，立体绗缝户外休闲男女同款冬季外套</t>
        </is>
      </c>
    </row>
    <row r="70" ht="25.5" customHeight="1">
      <c r="A70">
        <v>1839115443</v>
      </c>
      <c r="B70">
        <v>7766017351</v>
      </c>
      <c r="C70" s="2" t="str">
        <f>=HYPERLINK("https://weidian.com/item.html?itemID=7766017351", "https://weidian.com/item.html?itemID=7766017351")</f>
        <v>https://weidian.com/item.html?itemID=7766017351</v>
      </c>
      <c r="D70"/>
      <c r="E70" s="2" t="str">
        <f>=HYPERLINK("https://si.geilicdn.com/open1839115443-252808396-75510000019e34096c6a0a231226_1440_1440.jpg?w=640&amp;h=640", "https://si.geilicdn.com/open1839115443-252808396-75510000019e34096c6a0a231226_1440_1440.jpg?w=640&amp;h=640")</f>
        <v>https://si.geilicdn.com/open1839115443-252808396-75510000019e34096c6a0a231226_1440_1440.jpg?w=640&amp;h=640</v>
      </c>
      <c r="F70" t="inlineStr">
        <is>
          <t>Pans</t>
        </is>
      </c>
      <c r="G70" t="inlineStr">
        <is>
          <t>Fendi</t>
        </is>
      </c>
      <c r="H70">
        <v>301</v>
      </c>
      <c r="I70">
        <v>43.62</v>
      </c>
      <c r="J70" t="inlineStr">
        <is>
          <t>{"id":"resp_03e8eed6b77ac641016a0ab6889efc819a9c3bac1b96af756f","object":"chat.completion","created":1779086987,"model":"gpt-5.5","choices":[{"index":0,"message":{"role":"assistant","content":"Fendi Monster Eye Blue Washed Denim Jeans"},"finish_reason":"stop"}],"usage":{"prompt_tokens":718,"completion_tokens":100,"total_tokens":818}}</t>
        </is>
      </c>
      <c r="K70" t="inlineStr">
        <is>
          <t>Fendi Monster Eye Blue Washed Denim Jeans</t>
        </is>
      </c>
      <c r="L70" t="inlineStr">
        <is>
          <t>{"id":"resp_057195ceb7d0c047016a0ab568147881908b65fddf0f1667d7","object":"chat.completion","created":1779086699,"model":"gpt-5.5","choices":[{"index":0,"message":{"role":"assistant","content":"Fendi blue washed denim jeans, cotton denim, monster eye back-pocket embroidery, leather logo patch, vintage streetwear unisex pants"},"finish_reason":"stop"}],"usage":{"prompt_tokens":745,"completion_tokens":101,"total_tokens":846}}</t>
        </is>
      </c>
      <c r="M70" t="inlineStr">
        <is>
          <t>{"alt-svc":"h3=\":443\"; ma=2592000","connection":"close","content-length":"426","content-type":"application/json; charset=utf-8","date":"Mon, 18 May 2026 06:44:59 GMT","referrer-policy":"strict-origin-when-cross-origin","server":"Caddy","strict-transport-security":"max-age=31536000; includeSubDomains; preload","vary":"Accept-Encoding","x-content-type-options":"nosniff","x-frame-options":"DENY","x-new-api-version":"v1.0.0-rc.2","x-oneapi-request-id":"202605180644557410196948268d9d6sfpojVRE","x-request-id":"d8195327-0816-478d-b6fb-0800adc728b9"}</t>
        </is>
      </c>
      <c r="N70" t="inlineStr">
        <is>
          <t>Fendi blue washed denim jeans, cotton denim, monster eye back-pocket embroidery, leather logo patch, vintage streetwear unisex pants</t>
        </is>
      </c>
      <c r="O70" t="inlineStr">
        <is>
          <t>{"id":"resp_02cd3e7696088074016a0ab78ee7948198b2cf040333137f94","object":"chat.completion","created":1779087254,"model":"gpt-5.5","choices":[{"index":0,"message":{"role":"assistant","content":"Fendi pants kakobuy, Fendi pants kakebuy2026, Fendi pants kekobuysheet, Fendi pants kakobuysheet2026, Fendi pants 2026kakobuy, Fendi pants kakobuyspreadsheeet, Fendi pants kakobuylink, Fendi pants kakebuylist, Fendi pants Kakobuy MEGA Spreadsheet, Fendi pants kakobuysheetfind, Fendi pants kakobuysheetfind2026, Fendi pants 2026kakobuysheetfind, Fendi pants kakobuysheet2026"},"finish_reason":"stop"}],"usage":{"prompt_tokens":644,"completion_tokens":327,"total_tokens":971}}</t>
        </is>
      </c>
      <c r="P70" t="inlineStr">
        <is>
          <t>Fendi pants kakobuy, Fendi pants kakebuy2026, Fendi pants kekobuysheet, Fendi pants kakobuysheet2026, Fendi pants 2026kakobuy, Fendi pants kakobuyspreadsheeet, Fendi pants kakobuylink, Fendi pants kakebuylist, Fendi pants Kakobuy MEGA Spreadsheet, Fendi pants kakobuysheetfind, Fendi pants kakobuysheetfind2026, Fendi pants 2026kakobuysheetfind, Fendi pants kakobuysheet2026</t>
        </is>
      </c>
      <c r="Q70" t="inlineStr">
        <is>
          <t>Blue, Vintage, Streetwear, Unisex, Denim</t>
        </is>
      </c>
      <c r="R70" t="inlineStr">
        <is>
          <t>recvjR8RzVQFUE</t>
        </is>
      </c>
      <c r="S70" t="inlineStr">
        <is>
          <t>fendi-monster-eye-blue-denim-jeans-recvjr8rzvqfue</t>
        </is>
      </c>
      <c r="T70"/>
      <c r="U70"/>
      <c r="V70"/>
      <c r="W70" t="inlineStr">
        <is>
          <t>{"id":"resp_0a7b0b67b7c0b432016a0ab2ac154c819ab083dc860715cb3b","object":"chat.completion","created":1779086000,"model":"gpt-5.5","choices":[{"index":0,"message":{"role":"assistant","content":"芬迪Fendi蓝色水洗牛仔裤，棉质丹宁材质，后袋怪兽眼睛图腾刺绣与皮牌Logo设计，复古街头男女通用长裤"},"finish_reason":"stop"}],"usage":{"prompt_tokens":1165,"completion_tokens":161,"total_tokens":1326}}</t>
        </is>
      </c>
      <c r="X70" t="inlineStr">
        <is>
          <t>芬迪Fendi蓝色水洗牛仔裤，棉质丹宁材质，后袋怪兽眼睛图腾刺绣与皮牌Logo设计，复古街头男女通用长裤</t>
        </is>
      </c>
    </row>
    <row r="71" ht="25.5" customHeight="1">
      <c r="A71">
        <v>1839115443</v>
      </c>
      <c r="B71">
        <v>7769062492</v>
      </c>
      <c r="C71" s="2" t="str">
        <f>=HYPERLINK("https://weidian.com/item.html?itemID=7769062492", "https://weidian.com/item.html?itemID=7769062492")</f>
        <v>https://weidian.com/item.html?itemID=7769062492</v>
      </c>
      <c r="D71"/>
      <c r="E71" s="2" t="str">
        <f>=HYPERLINK("https://si.geilicdn.com/open1839115443-252808396-59c50000019e340945c10a8133b0_748_693.jpg?w=640&amp;h=640", "https://si.geilicdn.com/open1839115443-252808396-59c50000019e340945c10a8133b0_748_693.jpg?w=640&amp;h=640")</f>
        <v>https://si.geilicdn.com/open1839115443-252808396-59c50000019e340945c10a8133b0_748_693.jpg?w=640&amp;h=640</v>
      </c>
      <c r="F71" t="inlineStr">
        <is>
          <t>Pans</t>
        </is>
      </c>
      <c r="G71" t="inlineStr">
        <is>
          <t>Other</t>
        </is>
      </c>
      <c r="H71">
        <v>121</v>
      </c>
      <c r="I71">
        <v>17.54</v>
      </c>
      <c r="J71" t="inlineStr">
        <is>
          <t>{"id":"resp_0f20a9fef5f0b129016a0ab6c968348199986327e0a980605b","object":"chat.completion","created":1779087054,"model":"gpt-5.5","choices":[{"index":0,"message":{"role":"assistant","content":"PansOther Gray Men's Cargo Shorts Multi-Pocket Zip Techwear"},"finish_reason":"stop"}],"usage":{"prompt_tokens":698,"completion_tokens":218,"total_tokens":916}}</t>
        </is>
      </c>
      <c r="K71" t="inlineStr">
        <is>
          <t>PansOther Gray Men's Cargo Shorts Multi-Pocket Zip Techwear</t>
        </is>
      </c>
      <c r="L71" t="inlineStr">
        <is>
          <t>{"id":"resp_043d34817d192556016a0ab56453488199afa6c714697a9e8b","object":"chat.completion","created":1779086694,"model":"gpt-5.5","choices":[{"index":0,"message":{"role":"assistant","content":"PansOther Gray men's cargo shorts, multi-pocket zip storage, durable cotton blend, loose straight knee-length fit, summer outdoor casual techwear."},"finish_reason":"stop"}],"usage":{"prompt_tokens":721,"completion_tokens":86,"total_tokens":807}}</t>
        </is>
      </c>
      <c r="M71" t="inlineStr">
        <is>
          <t>{"alt-svc":"h3=\":443\"; ma=2592000","connection":"close","content-length":"439","content-type":"application/json; charset=utf-8","date":"Mon, 18 May 2026 06:44:54 GMT","referrer-policy":"strict-origin-when-cross-origin","server":"nginx/1.24.0 (Ubuntu)","strict-transport-security":"max-age=31536000; includeSubDomains; preload","vary":"Accept-Encoding","via":"1.1 Caddy","x-content-type-options":"nosniff","x-frame-options":"DENY","x-new-api-version":"v1.0.0-rc.2","x-oneapi-request-id":"202605180644519213002708268d9d6936asUWL","x-request-id":"3de1e720-83a2-4af5-bc4a-fca636195fcd"}</t>
        </is>
      </c>
      <c r="N71" t="inlineStr">
        <is>
          <t>PansOther Gray men's cargo shorts, multi-pocket zip storage, durable cotton blend, loose straight knee-length fit, summer outdoor casual techwear.</t>
        </is>
      </c>
      <c r="O71" t="inlineStr">
        <is>
          <t>{"id":"resp_0fe6ad8869cbcefb016a0ab777d274819b814d5f71bee42e4a","object":"chat.completion","created":1779087230,"model":"gpt-5.5","choices":[{"index":0,"message":{"role":"assistant","content":"Pans, Other, kakobuy, kakebuy2026, kekobuysheet, kakobuysheet2026, 2026kakobuy, kakobuyspreadsheeet, kakobuylink, kakebuylist, Kakobuy MEGA Spreadsheet, kakobuysheetfind, kakobuysheetfind2026, 2026kakobuysheetfind, kakobuysheet2026"},"finish_reason":"stop"}],"usage":{"prompt_tokens":619,"completion_tokens":317,"total_tokens":936}}</t>
        </is>
      </c>
      <c r="P71" t="inlineStr">
        <is>
          <t>Pans, Other, kakobuy, kakebuy2026, kekobuysheet, kakobuysheet2026, 2026kakobuy, kakobuyspreadsheeet, kakobuylink, kakebuylist, Kakobuy MEGA Spreadsheet, kakobuysheetfind, kakobuysheetfind2026, 2026kakobuysheetfind, kakobuysheet2026</t>
        </is>
      </c>
      <c r="Q71" t="inlineStr">
        <is>
          <t>Cargo, Summer, Outdoor, Men</t>
        </is>
      </c>
      <c r="R71" t="inlineStr">
        <is>
          <t>recvjR8RzVWhIw</t>
        </is>
      </c>
      <c r="S71" t="inlineStr">
        <is>
          <t>pansother-gray-cargo-shorts-recvjr8rzvwhiw</t>
        </is>
      </c>
      <c r="T71"/>
      <c r="U71"/>
      <c r="V71"/>
      <c r="W71" t="inlineStr">
        <is>
          <t>{"id":"resp_01f1ca7602f45c98016a0ab228ec608198ba0028b3eb6ae076","object":"chat.completion","created":1779085868,"model":"gpt-5.5","choices":[{"index":0,"message":{"role":"assistant","content":"灰色工装短裤，多口袋拉链收纳设计，耐磨棉混纺面料，宽松直筒五分版型，男士夏季户外休闲机能风裤装"},"finish_reason":"stop"}],"usage":{"prompt_tokens":1137,"completion_tokens":105,"total_tokens":1242}}</t>
        </is>
      </c>
      <c r="X71" t="inlineStr">
        <is>
          <t>灰色工装短裤，多口袋拉链收纳设计，耐磨棉混纺面料，宽松直筒五分版型，男士夏季户外休闲机能风裤装</t>
        </is>
      </c>
    </row>
    <row r="72" ht="25.5" customHeight="1">
      <c r="A72">
        <v>1839115443</v>
      </c>
      <c r="B72">
        <v>7766048837</v>
      </c>
      <c r="C72" s="2" t="str">
        <f>=HYPERLINK("https://weidian.com/item.html?itemID=7766048837", "https://weidian.com/item.html?itemID=7766048837")</f>
        <v>https://weidian.com/item.html?itemID=7766048837</v>
      </c>
      <c r="D72"/>
      <c r="E72" s="2" t="str">
        <f>=HYPERLINK("https://si.geilicdn.com/open1839115443-252808396-00370000019e3400fbda0a22d249_1024_1024.jpg?w=640&amp;h=640", "https://si.geilicdn.com/open1839115443-252808396-00370000019e3400fbda0a22d249_1024_1024.jpg?w=640&amp;h=640")</f>
        <v>https://si.geilicdn.com/open1839115443-252808396-00370000019e3400fbda0a22d249_1024_1024.jpg?w=640&amp;h=640</v>
      </c>
      <c r="F72" t="inlineStr">
        <is>
          <t>Jackets</t>
        </is>
      </c>
      <c r="G72" t="inlineStr">
        <is>
          <t>Mammut</t>
        </is>
      </c>
      <c r="H72">
        <v>357</v>
      </c>
      <c r="I72">
        <v>51.7391304347826</v>
      </c>
      <c r="J72" t="inlineStr">
        <is>
          <t>{"id":"resp_067561f906a31444016a0ab6796d08819885c34a242f027f00","object":"chat.completion","created":1779086975,"model":"gpt-5.5","choices":[{"index":0,"message":{"role":"assistant","content":"Mammut Black Hooded Hardshell Jacket Windproof Unisex"},"finish_reason":"stop"}],"usage":{"prompt_tokens":724,"completion_tokens":250,"total_tokens":974}}</t>
        </is>
      </c>
      <c r="K72" t="inlineStr">
        <is>
          <t>Mammut Black Hooded Hardshell Jacket Windproof Unisex</t>
        </is>
      </c>
      <c r="L72" t="inlineStr">
        <is>
          <t>{"id":"resp_00ced30914c991d2016a0ab46c5134819ba00c76150f301888","object":"chat.completion","created":1779086448,"model":"gpt-5.5","choices":[{"index":0,"message":{"role":"assistant","content":"Mammut black hooded hardshell jacket, windproof water-repellent shell, red back logo, unisex outdoor hiking commuting casual coat"},"finish_reason":"stop"}],"usage":{"prompt_tokens":741,"completion_tokens":141,"total_tokens":882}}</t>
        </is>
      </c>
      <c r="M72" t="inlineStr">
        <is>
          <t>{"alt-svc":"h3=\":443\"; ma=2592000","connection":"close","content-length":"423","content-type":"application/json; charset=utf-8","date":"Mon, 18 May 2026 06:40:48 GMT","referrer-policy":"strict-origin-when-cross-origin","server":"nginx/1.24.0 (Ubuntu)","strict-transport-security":"max-age=31536000; includeSubDomains; preload","vary":"Accept-Encoding","via":"1.1 Caddy","x-content-type-options":"nosniff","x-frame-options":"DENY","x-new-api-version":"v1.0.0-rc.2","x-oneapi-request-id":"202605180640439631565748268d9d6grUnWDLi","x-request-id":"65213d2b-3912-4147-8e1e-22ffccf2eb87"}</t>
        </is>
      </c>
      <c r="N72" t="inlineStr">
        <is>
          <t>Mammut black hooded hardshell jacket, windproof water-repellent shell, red back logo, unisex outdoor hiking commuting casual coat</t>
        </is>
      </c>
      <c r="O72" t="inlineStr">
        <is>
          <t>{"id":"resp_0c9d844eefd0e8c8016a0ab807b3ac8196b95d2be236aeed03","object":"chat.completion","created":1779087373,"model":"gpt-5.5","choices":[{"index":0,"message":{"role":"assistant","content":"Mammut Jackets kakobuy, Mammut Jackets kakebuy2026, Mammut Jackets kekobuysheet, Mammut Jackets kakobuysheet2026, Mammut Jackets 2026kakobuy, Mammut Jackets kakobuyspreadsheeet, Mammut Jackets kakobuylink, Mammut Jackets kakebuylist, Mammut Jackets Kakobuy MEGA Spreadsheet, Mammut Jackets kakobuysheetfind, Mammut Jackets kakobuysheetfind2026, Mammut Jackets 2026kakobuysheetfind, Mammut Jackets kakobuysheet2026"},"finish_reason":"stop"}],"usage":{"prompt_tokens":644,"completion_tokens":260,"total_tokens":904}}</t>
        </is>
      </c>
      <c r="P72" t="inlineStr">
        <is>
          <t>Mammut Jackets kakobuy, Mammut Jackets kakebuy2026, Mammut Jackets kekobuysheet, Mammut Jackets kakobuysheet2026, Mammut Jackets 2026kakobuy, Mammut Jackets kakobuyspreadsheeet, Mammut Jackets kakobuylink, Mammut Jackets kakebuylist, Mammut Jackets Kakobuy MEGA Spreadsheet, Mammut Jackets kakobuysheetfind, Mammut Jackets kakobuysheetfind2026, Mammut Jackets 2026kakobuysheetfind, Mammut Jackets kakobuysheet2026</t>
        </is>
      </c>
      <c r="Q72" t="inlineStr">
        <is>
          <t>Black, Unisex, Outdoor, Windproof, Waterproof</t>
        </is>
      </c>
      <c r="R72" t="inlineStr">
        <is>
          <t>recvjR8RzVGDaQ</t>
        </is>
      </c>
      <c r="S72" t="inlineStr">
        <is>
          <t>mammut-black-hooded-hardshell-jacket-recvjr8rzvgdaq</t>
        </is>
      </c>
      <c r="T72"/>
      <c r="U72"/>
      <c r="V72"/>
      <c r="W72" t="inlineStr">
        <is>
          <t>{"id":"resp_0618b21502f1483c016a0ab2a6db1c819bbd4c22169490ddf2","object":"chat.completion","created":1779085995,"model":"gpt-5.5","choices":[{"index":0,"message":{"role":"assistant","content":"猛犸象Mammut黑色连帽冲锋夹克，防风防泼水机能面料，背部红色标识，户外通勤休闲男女外套"},"finish_reason":"stop"}],"usage":{"prompt_tokens":1165,"completion_tokens":180,"total_tokens":1345}}</t>
        </is>
      </c>
      <c r="X72" t="inlineStr">
        <is>
          <t>猛犸象Mammut黑色连帽冲锋夹克，防风防泼水机能面料，背部红色标识，户外通勤休闲男女外套</t>
        </is>
      </c>
    </row>
    <row r="73" ht="25.5" customHeight="1">
      <c r="A73">
        <v>1839115443</v>
      </c>
      <c r="B73">
        <v>7769052594</v>
      </c>
      <c r="C73" s="2" t="str">
        <f>=HYPERLINK("https://weidian.com/item.html?itemID=7769052594", "https://weidian.com/item.html?itemID=7769052594")</f>
        <v>https://weidian.com/item.html?itemID=7769052594</v>
      </c>
      <c r="D73"/>
      <c r="E73" s="2" t="str">
        <f>=HYPERLINK("https://si.geilicdn.com/open1839115443-252808396-7ca80000019e340bf74f0a23b491_1920_1920.jpg?w=640&amp;h=640", "https://si.geilicdn.com/open1839115443-252808396-7ca80000019e340bf74f0a23b491_1920_1920.jpg?w=640&amp;h=640")</f>
        <v>https://si.geilicdn.com/open1839115443-252808396-7ca80000019e340bf74f0a23b491_1920_1920.jpg?w=640&amp;h=640</v>
      </c>
      <c r="F73" t="inlineStr">
        <is>
          <t>T-Shirts</t>
        </is>
      </c>
      <c r="G73" t="inlineStr">
        <is>
          <t>Stone Island</t>
        </is>
      </c>
      <c r="H73">
        <v>147</v>
      </c>
      <c r="I73">
        <v>21.3043478260869</v>
      </c>
      <c r="J73" t="inlineStr">
        <is>
          <t>{"id":"resp_07b61c54e151f257016a0ab65f7b6c819a9ce17f753a13766d","object":"chat.completion","created":1779086944,"model":"gpt-5.5","choices":[{"index":0,"message":{"role":"assistant","content":"Stone Island Gray Cotton Compass Badge T-Shirt"},"finish_reason":"stop"}],"usage":{"prompt_tokens":712,"completion_tokens":9,"total_tokens":721}}</t>
        </is>
      </c>
      <c r="K73" t="inlineStr">
        <is>
          <t>Stone Island Gray Cotton Compass Badge T-Shirt</t>
        </is>
      </c>
      <c r="L73" t="inlineStr">
        <is>
          <t>{"id":"resp_04e4c6df9b27b1a2016a0ab54ce694819b883ef940cf9c2045","object":"chat.completion","created":1779086670,"model":"gpt-5.5","choices":[{"index":0,"message":{"role":"assistant","content":"Stone Island light gray cotton short sleeve T-shirt, compass badge sleeve, crew neck casual unisex summer streetwear top"},"finish_reason":"stop"}],"usage":{"prompt_tokens":742,"completion_tokens":24,"total_tokens":766}}</t>
        </is>
      </c>
      <c r="M73" t="inlineStr">
        <is>
          <t>{"alt-svc":"h3=\":443\"; ma=2592000","connection":"close","content-length":"413","content-type":"application/json; charset=utf-8","date":"Mon, 18 May 2026 06:44:30 GMT","referrer-policy":"strict-origin-when-cross-origin","server":"nginx/1.24.0 (Ubuntu)","strict-transport-security":"max-age=31536000; includeSubDomains; preload","vary":"Accept-Encoding","via":"1.1 Caddy","x-content-type-options":"nosniff","x-frame-options":"DENY","x-new-api-version":"v1.0.0-rc.2","x-oneapi-request-id":"202605180644285839768018268d9d6VEUVtbB8","x-request-id":"6209b9bb-f14a-4e31-8c96-edd36d15595d"}</t>
        </is>
      </c>
      <c r="N73" t="inlineStr">
        <is>
          <t>Stone Island light gray cotton short sleeve T-shirt, compass badge sleeve, crew neck casual unisex summer streetwear top</t>
        </is>
      </c>
      <c r="O73" t="inlineStr">
        <is>
          <t>{"id":"resp_0ce4c13ec6940744016a0ab83a9520819a91511f665acd0cda","object":"chat.completion","created":1779087423,"model":"gpt-5.5","choices":[{"index":0,"message":{"role":"assistant","content":"Stone Island T-Shirts kakobuy, Stone Island T-Shirts kakebuy2026, Stone Island T-Shirts kekobuysheet, Stone Island T-Shirts kakobuysheet2026, Stone Island T-Shirts 2026kakobuy, Stone Island T-Shirts kakobuyspreadsheeet, Stone Island T-Shirts kakobuylink, Stone Island T-Shirts kakebuylist, Stone Island T-Shirts Kakobuy MEGA Spreadsheet, Stone Island T-Shirts kakobuysheetfind, Stone Island T-Shirts kakobuysheetfind2026, Stone Island T-Shirts 2026kakobuysheetfind, Stone Island T-Shirts kakobuysheet2026"},"finish_reason":"stop"}],"usage":{"prompt_tokens":644,"completion_tokens":233,"total_tokens":877}}</t>
        </is>
      </c>
      <c r="P73" t="inlineStr">
        <is>
          <t>Stone Island T-Shirts kakobuy, Stone Island T-Shirts kakebuy2026, Stone Island T-Shirts kekobuysheet, Stone Island T-Shirts kakobuysheet2026, Stone Island T-Shirts 2026kakobuy, Stone Island T-Shirts kakobuyspreadsheeet, Stone Island T-Shirts kakobuylink, Stone Island T-Shirts kakebuylist, Stone Island T-Shirts Kakobuy MEGA Spreadsheet, Stone Island T-Shirts kakobuysheetfind, Stone Island T-Shirts kakobuysheetfind2026, Stone Island T-Shirts 2026kakobuysheetfind, Stone Island T-Shirts kakobuysheet2026</t>
        </is>
      </c>
      <c r="Q73" t="inlineStr">
        <is>
          <t>Grey, Summer, Unisex, Streetwear</t>
        </is>
      </c>
      <c r="R73" t="inlineStr">
        <is>
          <t>recvjR8RzVj59e</t>
        </is>
      </c>
      <c r="S73" t="inlineStr">
        <is>
          <t>stone-island-gray-cotton-compass-badge-t-shirt-recvjr8rzvj59e</t>
        </is>
      </c>
      <c r="T73"/>
      <c r="U73"/>
      <c r="V73"/>
      <c r="W73" t="inlineStr">
        <is>
          <t>{"id":"resp_014f5b4f569054ad016a0ab3221b60819b981b0cf170d64141","object":"chat.completion","created":1779086118,"model":"gpt-5.5","choices":[{"index":0,"message":{"role":"assistant","content":"石头岛Stone Island浅灰色棉质短袖T恤，罗盘徽章袖标设计，简约圆领休闲风，男女通用夏季潮流上衣"},"finish_reason":"stop"}],"usage":{"prompt_tokens":1167,"completion_tokens":167,"total_tokens":1334}}</t>
        </is>
      </c>
      <c r="X73" t="inlineStr">
        <is>
          <t>石头岛Stone Island浅灰色棉质短袖T恤，罗盘徽章袖标设计，简约圆领休闲风，男女通用夏季潮流上衣</t>
        </is>
      </c>
    </row>
    <row r="74" ht="25.5" customHeight="1">
      <c r="A74">
        <v>1839115443</v>
      </c>
      <c r="B74">
        <v>7768773126</v>
      </c>
      <c r="C74" s="2" t="str">
        <f>=HYPERLINK("https://weidian.com/item.html?itemID=7768773126", "https://weidian.com/item.html?itemID=7768773126")</f>
        <v>https://weidian.com/item.html?itemID=7768773126</v>
      </c>
      <c r="D74"/>
      <c r="E74" s="2" t="str">
        <f>=HYPERLINK("https://si.geilicdn.com/open1839115443-252808396-75f10000019e340c34fb0a231226_1183_1183.jpg?w=640&amp;h=640", "https://si.geilicdn.com/open1839115443-252808396-75f10000019e340c34fb0a231226_1183_1183.jpg?w=640&amp;h=640")</f>
        <v>https://si.geilicdn.com/open1839115443-252808396-75f10000019e340c34fb0a231226_1183_1183.jpg?w=640&amp;h=640</v>
      </c>
      <c r="F74" t="inlineStr">
        <is>
          <t>T-Shirts</t>
        </is>
      </c>
      <c r="G74" t="inlineStr">
        <is>
          <t>Moncler</t>
        </is>
      </c>
      <c r="H74">
        <v>156</v>
      </c>
      <c r="I74">
        <v>22.61</v>
      </c>
      <c r="J74" t="inlineStr">
        <is>
          <t>{"id":"resp_0432eb12df044802016a0ab62162d081989139763e70c96ff4","object":"chat.completion","created":1779086884,"model":"gpt-5.5","choices":[{"index":0,"message":{"role":"assistant","content":"Moncler White Cotton Crew Neck Logo T-Shirt Unisex"},"finish_reason":"stop"}],"usage":{"prompt_tokens":727,"completion_tokens":117,"total_tokens":844}}</t>
        </is>
      </c>
      <c r="K74" t="inlineStr">
        <is>
          <t>Moncler White Cotton Crew Neck Logo T-Shirt Unisex</t>
        </is>
      </c>
      <c r="L74" t="inlineStr">
        <is>
          <t>{"id":"resp_0dc0e3e094a69a57016a0ab48499f4819b895c9bccd4866355","object":"chat.completion","created":1779086472,"model":"gpt-5.5","choices":[{"index":0,"message":{"role":"assistant","content":"Moncler white classic short sleeve T-shirt, breathable pure cotton, small chest logo, simple crew neck, unisex summer casual top for men and women."},"finish_reason":"stop"}],"usage":{"prompt_tokens":744,"completion_tokens":141,"total_tokens":885}}</t>
        </is>
      </c>
      <c r="M74" t="inlineStr">
        <is>
          <t>{"alt-svc":"h3=\":443\"; ma=2592000","connection":"close","content-length":"441","content-type":"application/json; charset=utf-8","date":"Mon, 18 May 2026 06:41:12 GMT","referrer-policy":"strict-origin-when-cross-origin","server":"nginx/1.24.0 (Ubuntu)","strict-transport-security":"max-age=31536000; includeSubDomains; preload","vary":"Accept-Encoding","via":"1.1 Caddy","x-content-type-options":"nosniff","x-frame-options":"DENY","x-new-api-version":"v1.0.0-rc.2","x-oneapi-request-id":"202605180641075434994858268d9d6ZDWNnpoC","x-request-id":"7a1f544a-fdbd-4685-9f41-fea549ba2b2f"}</t>
        </is>
      </c>
      <c r="N74" t="inlineStr">
        <is>
          <t>Moncler white classic short sleeve T-shirt, breathable pure cotton, small chest logo, simple crew neck, unisex summer casual top for men and women.</t>
        </is>
      </c>
      <c r="O74" t="inlineStr">
        <is>
          <t>{"id":"resp_0f5c3c34fd975ba7016a0ab79db3988199bb12ec5ea591f223","object":"chat.completion","created":1779087267,"model":"gpt-5.5","choices":[{"index":0,"message":{"role":"assistant","content":"Moncler T-Shirts kakobuy, Moncler T-Shirts kakebuy2026, Moncler T-Shirts kekobuysheet, Moncler T-Shirts kakobuysheet2026, Moncler T-Shirts 2026kakobuy, Moncler T-Shirts kakobuyspreadsheeet, Moncler T-Shirts kakobuylink, Moncler T-Shirts kakebuylist, Moncler T-Shirts Kakobuy MEGA Spreadsheet, Moncler T-Shirts kakobuysheetfind, Moncler T-Shirts kakobuysheetfind2026, Moncler T-Shirts 2026kakobuysheetfind, Moncler T-Shirts kakobuysheet2026"},"finish_reason":"stop"}],"usage":{"prompt_tokens":644,"completion_tokens":239,"total_tokens":883}}</t>
        </is>
      </c>
      <c r="P74" t="inlineStr">
        <is>
          <t>Moncler T-Shirts kakobuy, Moncler T-Shirts kakebuy2026, Moncler T-Shirts kekobuysheet, Moncler T-Shirts kakobuysheet2026, Moncler T-Shirts 2026kakobuy, Moncler T-Shirts kakobuyspreadsheeet, Moncler T-Shirts kakobuylink, Moncler T-Shirts kakebuylist, Moncler T-Shirts Kakobuy MEGA Spreadsheet, Moncler T-Shirts kakobuysheetfind, Moncler T-Shirts kakobuysheetfind2026, Moncler T-Shirts 2026kakobuysheetfind, Moncler T-Shirts kakobuysheet2026</t>
        </is>
      </c>
      <c r="Q74" t="inlineStr">
        <is>
          <t>White, Classic, Summer, Breathable, Unisex</t>
        </is>
      </c>
      <c r="R74" t="inlineStr">
        <is>
          <t>recvjR8RzVhbsE</t>
        </is>
      </c>
      <c r="S74" t="inlineStr">
        <is>
          <t>moncler-white-cotton-crew-neck-logo-tshirt-recvjr8rzvhbse</t>
        </is>
      </c>
      <c r="T74"/>
      <c r="U74"/>
      <c r="V74"/>
      <c r="W74" t="inlineStr">
        <is>
          <t>{"id":"resp_0de66706426e3408016a0ab206ab008196a944b9cc483579b9","object":"chat.completion","created":1779085835,"model":"gpt-5.5","choices":[{"index":0,"message":{"role":"assistant","content":"白色Moncler经典短袖T恤，纯棉透气面料，胸前小徽标点缀，简约圆领休闲风，男女同款夏季百搭上衣"},"finish_reason":"stop"}],"usage":{"prompt_tokens":1165,"completion_tokens":116,"total_tokens":1281}}</t>
        </is>
      </c>
      <c r="X74" t="inlineStr">
        <is>
          <t>白色Moncler经典短袖T恤，纯棉透气面料，胸前小徽标点缀，简约圆领休闲风，男女同款夏季百搭上衣</t>
        </is>
      </c>
    </row>
    <row r="75" ht="25.5" customHeight="1">
      <c r="A75">
        <v>1839115443</v>
      </c>
      <c r="B75">
        <v>7765741323</v>
      </c>
      <c r="C75" s="2" t="str">
        <f>=HYPERLINK("https://weidian.com/item.html?itemID=7765741323", "https://weidian.com/item.html?itemID=7765741323")</f>
        <v>https://weidian.com/item.html?itemID=7765741323</v>
      </c>
      <c r="D75"/>
      <c r="E75" s="2" t="str">
        <f>=HYPERLINK("https://si.geilicdn.com/open1839115443-252808396-61510000019e340c19770a8115c2_536_536.jpg?w=640&amp;h=640", "https://si.geilicdn.com/open1839115443-252808396-61510000019e340c19770a8115c2_536_536.jpg?w=640&amp;h=640")</f>
        <v>https://si.geilicdn.com/open1839115443-252808396-61510000019e340c19770a8115c2_536_536.jpg?w=640&amp;h=640</v>
      </c>
      <c r="F75" t="inlineStr">
        <is>
          <t>T-Shirts</t>
        </is>
      </c>
      <c r="G75" t="inlineStr">
        <is>
          <t>Dior</t>
        </is>
      </c>
      <c r="H75">
        <v>125</v>
      </c>
      <c r="I75">
        <v>18.12</v>
      </c>
      <c r="J75" t="inlineStr">
        <is>
          <t>{"id":"resp_0f3591f718e94cbe016a0ab5d0ea988198bdceaa1ef4db575a","object":"chat.completion","created":1779086805,"model":"gpt-5.5","choices":[{"index":0,"message":{"role":"assistant","content":"Dior Beige Cotton Piqué CD Logo Polo T-Shirt"},"finish_reason":"stop"}],"usage":{"prompt_tokens":586,"completion_tokens":61,"total_tokens":647}}</t>
        </is>
      </c>
      <c r="K75" t="inlineStr">
        <is>
          <t>Dior Beige Cotton Piqué CD Logo Polo T-Shirt</t>
        </is>
      </c>
      <c r="L75" t="inlineStr">
        <is>
          <t>{"id":"resp_030da7ca42104aec016a0ab4878e24819b8e6fbd72f31c601d","object":"chat.completion","created":1779086475,"model":"gpt-5.5","choices":[{"index":0,"message":{"role":"assistant","content":"Dior beige polo T-shirt in cotton piqué, CD logo embroidery, button collar, short sleeve casual commute top for men and women"},"finish_reason":"stop"}],"usage":{"prompt_tokens":607,"completion_tokens":107,"total_tokens":714}}</t>
        </is>
      </c>
      <c r="M75" t="inlineStr">
        <is>
          <t>{"alt-svc":"h3=\":443\"; ma=2592000","connection":"close","content-length":"420","content-type":"application/json; charset=utf-8","date":"Mon, 18 May 2026 06:41:15 GMT","referrer-policy":"strict-origin-when-cross-origin","server":"Caddy","strict-transport-security":"max-age=31536000; includeSubDomains; preload","vary":"Accept-Encoding","x-content-type-options":"nosniff","x-frame-options":"DENY","x-new-api-version":"v1.0.0-rc.2","x-oneapi-request-id":"20260518064111125881718268d9d6zANtKsy6","x-request-id":"c3b3b4f7-6597-40b1-a12d-1fb231534ded"}</t>
        </is>
      </c>
      <c r="N75" t="inlineStr">
        <is>
          <t>Dior beige polo T-shirt in cotton piqué, CD logo embroidery, button collar, short sleeve casual commute top for men and women</t>
        </is>
      </c>
      <c r="O75" t="inlineStr">
        <is>
          <t>{"id":"resp_0b6b55072e1243f7016a0ab74f1c18819988b287aa4dc47fc2","object":"chat.completion","created":1779087188,"model":"gpt-5.5","choices":[{"index":0,"message":{"role":"assistant","content":"Dior T-Shirts kakobuy, Dior T-Shirts kakebuy2026, Dior T-Shirts kekobuysheet, Dior T-Shirts kakobuysheet2026, Dior T-Shirts 2026kakobuy, Dior T-Shirts kakobuyspreadsheeet, Dior T-Shirts kakobuylink, Dior T-Shirts kakebuylist, Dior T-Shirts Kakobuy MEGA Spreadsheet, Dior T-Shirts kakobuysheetfind, Dior T-Shirts kakobuysheetfind2026, Dior T-Shirts 2026kakobuysheetfind, Dior T-Shirts kakobuysheet2026"},"finish_reason":"stop"}],"usage":{"prompt_tokens":510,"completion_tokens":202,"total_tokens":712}}</t>
        </is>
      </c>
      <c r="P75" t="inlineStr">
        <is>
          <t>Dior T-Shirts kakobuy, Dior T-Shirts kakebuy2026, Dior T-Shirts kekobuysheet, Dior T-Shirts kakobuysheet2026, Dior T-Shirts 2026kakobuy, Dior T-Shirts kakobuyspreadsheeet, Dior T-Shirts kakobuylink, Dior T-Shirts kakebuylist, Dior T-Shirts Kakobuy MEGA Spreadsheet, Dior T-Shirts kakobuysheetfind, Dior T-Shirts kakobuysheetfind2026, Dior T-Shirts 2026kakobuysheetfind, Dior T-Shirts kakobuysheet2026</t>
        </is>
      </c>
      <c r="Q75" t="inlineStr">
        <is>
          <t>Dior, Beige, Unisex, Summer</t>
        </is>
      </c>
      <c r="R75" t="inlineStr">
        <is>
          <t>recvjR8RzViyZa</t>
        </is>
      </c>
      <c r="S75" t="inlineStr">
        <is>
          <t>dior-beige-cotton-piqué-cd-logo-polo-t-shirt-recvjr8rzviyza</t>
        </is>
      </c>
      <c r="T75"/>
      <c r="U75"/>
      <c r="V75"/>
      <c r="W75" t="inlineStr">
        <is>
          <t>{"id":"resp_0ee659afee7d779a016a0ab271ae24819b8e368a5718773f4d","object":"chat.completion","created":1779085942,"model":"gpt-5.5","choices":[{"index":0,"message":{"role":"assistant","content":"迪奥米色Polo领短袖T恤，棉质珠地面料，胸前CD标识刺绣，翻领纽扣设计，休闲通勤男女款上衣"},"finish_reason":"stop"}],"usage":{"prompt_tokens":1027,"completion_tokens":153,"total_tokens":1180}}</t>
        </is>
      </c>
      <c r="X75" t="inlineStr">
        <is>
          <t>迪奥米色Polo领短袖T恤，棉质珠地面料，胸前CD标识刺绣，翻领纽扣设计，休闲通勤男女款上衣</t>
        </is>
      </c>
    </row>
    <row r="76" ht="25.5" customHeight="1">
      <c r="A76">
        <v>1839115443</v>
      </c>
      <c r="B76">
        <v>7766072509</v>
      </c>
      <c r="C76" s="2" t="str">
        <f>=HYPERLINK("https://weidian.com/item.html?itemID=7766072509", "https://weidian.com/item.html?itemID=7766072509")</f>
        <v>https://weidian.com/item.html?itemID=7766072509</v>
      </c>
      <c r="D76"/>
      <c r="E76" s="2" t="str">
        <f>=HYPERLINK("https://si.geilicdn.com/open1839115443-252808396-76590000019e340dd5760a231226_800_800.jpg?w=640&amp;h=640", "https://si.geilicdn.com/open1839115443-252808396-76590000019e340dd5760a231226_800_800.jpg?w=640&amp;h=640")</f>
        <v>https://si.geilicdn.com/open1839115443-252808396-76590000019e340dd5760a231226_800_800.jpg?w=640&amp;h=640</v>
      </c>
      <c r="F76" t="inlineStr">
        <is>
          <t>Pans</t>
        </is>
      </c>
      <c r="G76" t="inlineStr">
        <is>
          <t>NICE3RULE</t>
        </is>
      </c>
      <c r="H76">
        <v>308</v>
      </c>
      <c r="I76">
        <v>44.64</v>
      </c>
      <c r="J76" t="inlineStr">
        <is>
          <t>{"id":"resp_040b04a6fd74e28e016a0ab600370c819a9a8ba3f3845204b6","object":"chat.completion","created":1779086853,"model":"gpt-5.5","choices":[{"index":0,"message":{"role":"assistant","content":"PansNICE3RULE Wusu Men's Light Blue Ripped Wide Leg Jeans"},"finish_reason":"stop"}],"usage":{"prompt_tokens":731,"completion_tokens":143,"total_tokens":874}}</t>
        </is>
      </c>
      <c r="K76" t="inlineStr">
        <is>
          <t>PansNICE3RULE Wusu Men's Light Blue Ripped Wide Leg Jeans</t>
        </is>
      </c>
      <c r="L76" t="inlineStr">
        <is>
          <t>{"id":"resp_08c740f9c505a11d016a0ab4d040a08197bee8d901aa4da937","object":"chat.completion","created":1779086547,"model":"gpt-5.5","choices":[{"index":0,"message":{"role":"assistant","content":"PansNICE3RULE Wusu men's light blue washed jeans, loose straight wide-leg denim pants with vintage distressed ripped design, durable casual streetwear trousers."},"finish_reason":"stop"}],"usage":{"prompt_tokens":743,"completion_tokens":122,"total_tokens":865}}</t>
        </is>
      </c>
      <c r="M76" t="inlineStr">
        <is>
          <t>{"alt-svc":"h3=\":443\"; ma=2592000","connection":"close","content-length":"454","content-type":"application/json; charset=utf-8","date":"Mon, 18 May 2026 06:42:27 GMT","referrer-policy":"strict-origin-when-cross-origin","server":"nginx/1.24.0 (Ubuntu)","strict-transport-security":"max-age=31536000; includeSubDomains; preload","vary":"Accept-Encoding","via":"1.1 Caddy","x-content-type-options":"nosniff","x-frame-options":"DENY","x-new-api-version":"v1.0.0-rc.2","x-oneapi-request-id":"20260518064224410932428268d9d69WW77JcG","x-request-id":"0ca86ec6-680f-471c-8b24-069d6b659604"}</t>
        </is>
      </c>
      <c r="N76" t="inlineStr">
        <is>
          <t>PansNICE3RULE Wusu men's light blue washed jeans, loose straight wide-leg denim pants with vintage distressed ripped design, durable casual streetwear trousers.</t>
        </is>
      </c>
      <c r="O76" t="inlineStr">
        <is>
          <t>{"id":"resp_0aeac92dfd0ceace016a0ab8157cc0819aaa72d7fe2ec89f27","object":"chat.completion","created":1779087394,"model":"gpt-5.5","choices":[{"index":0,"message":{"role":"assistant","content":"PansNICE3RULE jeans kakobuy, PansNICE3RULE jeans kakebuy2026, PansNICE3RULE jeans kekobuysheet, PansNICE3RULE jeans kakobuysheet2026, PansNICE3RULE jeans 2026kakobuy, PansNICE3RULE jeans kakobuyspreadsheeet, PansNICE3RULE jeans kakobuylink, PansNICE3RULE jeans kakebuylist, PansNICE3RULE jeans Kakobuy MEGA Spreadsheet, PansNICE3RULE jeans kakobuysheetfind, PansNICE3RULE jeans kakobuysheetfind2026, PansNICE3RULE jeans 2026kakobuysheetfind, PansNICE3RULE jeans kakobuysheet2026"},"finish_reason":"stop"}],"usage":{"prompt_tokens":646,"completion_tokens":548,"total_tokens":1194}}</t>
        </is>
      </c>
      <c r="P76" t="inlineStr">
        <is>
          <t>PansNICE3RULE jeans kakobuy, PansNICE3RULE jeans kakebuy2026, PansNICE3RULE jeans kekobuysheet, PansNICE3RULE jeans kakobuysheet2026, PansNICE3RULE jeans 2026kakobuy, PansNICE3RULE jeans kakobuyspreadsheeet, PansNICE3RULE jeans kakobuylink, PansNICE3RULE jeans kakebuylist, PansNICE3RULE jeans Kakobuy MEGA Spreadsheet, PansNICE3RULE jeans kakobuysheetfind, PansNICE3RULE jeans kakobuysheetfind2026, PansNICE3RULE jeans 2026kakobuysheetfind, PansNICE3RULE jeans kakobuysheet2026</t>
        </is>
      </c>
      <c r="Q76" t="inlineStr">
        <is>
          <t>Blue, Denim, Distressed, Streetwear, Men</t>
        </is>
      </c>
      <c r="R76" t="inlineStr">
        <is>
          <t>recvjR8RzVZW02</t>
        </is>
      </c>
      <c r="S76" t="inlineStr">
        <is>
          <t>pansnice3rule-wusu-light-blue-ripped-wide-leg-jeans-recvjr8rzvzw02</t>
        </is>
      </c>
      <c r="T76"/>
      <c r="U76"/>
      <c r="V76"/>
      <c r="W76" t="inlineStr">
        <is>
          <t>{"id":"resp_0ad6663d984b866e016a0ab247c7d8819a92738a43c7232e00","object":"chat.completion","created":1779085899,"model":"gpt-5.5","choices":[{"index":0,"message":{"role":"assistant","content":"悟俗浅蓝水洗牛仔裤，宽松直筒阔腿版型，复古做旧破洞设计，舒适耐磨牛仔面料，男士休闲潮流长裤。"},"finish_reason":"stop"}],"usage":{"prompt_tokens":1161,"completion_tokens":126,"total_tokens":1287}}</t>
        </is>
      </c>
      <c r="X76" t="inlineStr">
        <is>
          <t>悟俗浅蓝水洗牛仔裤，宽松直筒阔腿版型，复古做旧破洞设计，舒适耐磨牛仔面料，男士休闲潮流长裤。</t>
        </is>
      </c>
    </row>
    <row r="77" ht="25.5" customHeight="1">
      <c r="A77">
        <v>1839115443</v>
      </c>
      <c r="B77">
        <v>7769056556</v>
      </c>
      <c r="C77" s="2" t="str">
        <f>=HYPERLINK("https://weidian.com/item.html?itemID=7769056556", "https://weidian.com/item.html?itemID=7769056556")</f>
        <v>https://weidian.com/item.html?itemID=7769056556</v>
      </c>
      <c r="D77"/>
      <c r="E77" s="2" t="str">
        <f>=HYPERLINK("https://si.geilicdn.com/open1839115443-252808396-02950000019e340c8eac0a22d249_1080_1080.jpg?w=640&amp;h=640", "https://si.geilicdn.com/open1839115443-252808396-02950000019e340c8eac0a22d249_1080_1080.jpg?w=640&amp;h=640")</f>
        <v>https://si.geilicdn.com/open1839115443-252808396-02950000019e340c8eac0a22d249_1080_1080.jpg?w=640&amp;h=640</v>
      </c>
      <c r="F77" t="inlineStr">
        <is>
          <t>Jackets</t>
        </is>
      </c>
      <c r="G77" t="inlineStr">
        <is>
          <t>Kailas</t>
        </is>
      </c>
      <c r="H77">
        <v>973</v>
      </c>
      <c r="I77">
        <v>141.01</v>
      </c>
      <c r="J77" t="inlineStr">
        <is>
          <t>{"id":"resp_08575ff44d1d1390016a0ab6604ffc8199a540358546fe3c3f","object":"chat.completion","created":1779086947,"model":"gpt-5.5","choices":[{"index":0,"message":{"role":"assistant","content":"Kailas FILTERTEC Light Gray Waterproof Hooded Shell Jacket"},"finish_reason":"stop"}],"usage":{"prompt_tokens":733,"completion_tokens":124,"total_tokens":857}}</t>
        </is>
      </c>
      <c r="K77" t="inlineStr">
        <is>
          <t>Kailas FILTERTEC Light Gray Waterproof Hooded Shell Jacket</t>
        </is>
      </c>
      <c r="L77" t="inlineStr">
        <is>
          <t>{"id":"resp_02681ccea3ce255f016a0ab46b5118819b8d1acb650fe17523","object":"chat.completion","created":1779086446,"model":"gpt-5.5","choices":[{"index":0,"message":{"role":"assistant","content":"Kailas light gray FILTERTEC waterproof windproof hooded shell jacket, lightweight durable technical fabric, ergonomic fit, zip pockets, unisex hiking, outdoor, commute"},"finish_reason":"stop"}],"usage":{"prompt_tokens":749,"completion_tokens":139,"total_tokens":888}}</t>
        </is>
      </c>
      <c r="M77" t="inlineStr">
        <is>
          <t>{"alt-svc":"h3=\":443\"; ma=2592000","connection":"close","content-length":"461","content-type":"application/json; charset=utf-8","date":"Mon, 18 May 2026 06:40:46 GMT","referrer-policy":"strict-origin-when-cross-origin","server":"Caddy","strict-transport-security":"max-age=31536000; includeSubDomains; preload","vary":"Accept-Encoding","x-content-type-options":"nosniff","x-frame-options":"DENY","x-new-api-version":"v1.0.0-rc.2","x-oneapi-request-id":"202605180640429325097138268d9d6OpOzmAsL","x-request-id":"17056cb9-bc9e-4be2-ae68-e5781eb616cc"}</t>
        </is>
      </c>
      <c r="N77" t="inlineStr">
        <is>
          <t>Kailas light gray FILTERTEC waterproof windproof hooded shell jacket, lightweight durable technical fabric, ergonomic fit, zip pockets, unisex hiking, outdoor, commute</t>
        </is>
      </c>
      <c r="O77" t="inlineStr">
        <is>
          <t>{"id":"resp_003c4aa0c076a719016a0ab7722554819a99551b526cc7604b","object":"chat.completion","created":1779087224,"model":"gpt-5.5","choices":[{"index":0,"message":{"role":"assistant","content":"Kailas Jackets kakobuy, Kailas Jackets kakebuy2026, Kailas Jackets kekobuysheet, Kailas Jackets kakobuysheet2026, Kailas Jackets 2026kakobuy, Kailas Jackets kakobuyspreadsheeet, Kailas Jackets kakobuylink, Kailas Jackets kakebuylist, Kailas Jackets Kakobuy MEGA Spreadsheet, Kailas Jackets kakobuysheetfind, Kailas Jackets kakobuysheetfind2026, Kailas Jackets 2026kakobuysheetfind, Kailas Jackets kakobuysheet2026"},"finish_reason":"stop"}],"usage":{"prompt_tokens":645,"completion_tokens":276,"total_tokens":921}}</t>
        </is>
      </c>
      <c r="P77" t="inlineStr">
        <is>
          <t>Kailas Jackets kakobuy, Kailas Jackets kakebuy2026, Kailas Jackets kekobuysheet, Kailas Jackets kakobuysheet2026, Kailas Jackets 2026kakobuy, Kailas Jackets kakobuyspreadsheeet, Kailas Jackets kakobuylink, Kailas Jackets kakebuylist, Kailas Jackets Kakobuy MEGA Spreadsheet, Kailas Jackets kakobuysheetfind, Kailas Jackets kakobuysheetfind2026, Kailas Jackets 2026kakobuysheetfind, Kailas Jackets kakobuysheet2026</t>
        </is>
      </c>
      <c r="Q77" t="inlineStr">
        <is>
          <t>Waterproof, Windproof, Lightweight, Outdoor, Unisex, Hiking Shoes</t>
        </is>
      </c>
      <c r="R77" t="inlineStr">
        <is>
          <t>recvjR8RzV8RGb</t>
        </is>
      </c>
      <c r="S77" t="inlineStr">
        <is>
          <t>kailas-filtertec-light-gray-waterproof-hooded-shell-jacket-recvjr8rzv8rgb</t>
        </is>
      </c>
      <c r="T77"/>
      <c r="U77"/>
      <c r="V77"/>
      <c r="W77" t="inlineStr">
        <is>
          <t>{"id":"resp_07098c7ffd3440a8016a0ab3400b14819bb97897a6d73d8a6a","object":"chat.completion","created":1779086149,"model":"gpt-5.5","choices":[{"index":0,"message":{"role":"assistant","content":"凯乐石Kailas浅灰色FILTERTEC防风防水连帽冲锋衣，轻量耐磨机能面料，立体剪裁拉链口袋，户外登山通勤男女夹克"},"finish_reason":"stop"}],"usage":{"prompt_tokens":1169,"completion_tokens":170,"total_tokens":1339}}</t>
        </is>
      </c>
      <c r="X77" t="inlineStr">
        <is>
          <t>凯乐石Kailas浅灰色FILTERTEC防风防水连帽冲锋衣，轻量耐磨机能面料，立体剪裁拉链口袋，户外登山通勤男女夹克</t>
        </is>
      </c>
    </row>
    <row r="78" ht="25.5" customHeight="1">
      <c r="A78">
        <v>1839115443</v>
      </c>
      <c r="B78">
        <v>7769015162</v>
      </c>
      <c r="C78" s="2" t="str">
        <f>=HYPERLINK("https://weidian.com/item.html?itemID=7769015162", "https://weidian.com/item.html?itemID=7769015162")</f>
        <v>https://weidian.com/item.html?itemID=7769015162</v>
      </c>
      <c r="D78"/>
      <c r="E78" s="2" t="str">
        <f>=HYPERLINK("https://si.geilicdn.com/open1839115443-252808396-7d240000019e340d85d10a23b491_800_800.jpg?w=640&amp;h=640", "https://si.geilicdn.com/open1839115443-252808396-7d240000019e340d85d10a23b491_800_800.jpg?w=640&amp;h=640")</f>
        <v>https://si.geilicdn.com/open1839115443-252808396-7d240000019e340d85d10a23b491_800_800.jpg?w=640&amp;h=640</v>
      </c>
      <c r="F78" t="inlineStr">
        <is>
          <t>Pans</t>
        </is>
      </c>
      <c r="G78" t="inlineStr">
        <is>
          <t>Louis Vuitton</t>
        </is>
      </c>
      <c r="H78">
        <v>299</v>
      </c>
      <c r="I78">
        <v>43.33</v>
      </c>
      <c r="J78" t="inlineStr">
        <is>
          <t>{"id":"resp_087f58caa795accb016a0ab643ae1c8194913a7aee0f25b5a8","object":"chat.completion","created":1779086919,"model":"gpt-5.5","choices":[{"index":0,"message":{"role":"assistant","content":"Louis Vuitton Monogram Floral Light Blue Denim Pants"},"finish_reason":"stop"}],"usage":{"prompt_tokens":721,"completion_tokens":124,"total_tokens":845}}</t>
        </is>
      </c>
      <c r="K78" t="inlineStr">
        <is>
          <t>Louis Vuitton Monogram Floral Light Blue Denim Pants</t>
        </is>
      </c>
      <c r="L78" t="inlineStr">
        <is>
          <t>{"id":"resp_020421417d68dcac016a0ab4ce8ad081989e48bea301b6d465","object":"chat.completion","created":1779086545,"model":"gpt-5.5","choices":[{"index":0,"message":{"role":"assistant","content":"Louis Vuitton light blue Monogram jacquard denim pants with colorful floral motifs, straight-leg relaxed unisex jeans for trendy casual streetwear."},"finish_reason":"stop"}],"usage":{"prompt_tokens":737,"completion_tokens":113,"total_tokens":850}}</t>
        </is>
      </c>
      <c r="M78" t="inlineStr">
        <is>
          <t>{"alt-svc":"h3=\":443\"; ma=2592000","connection":"close","content-length":"441","content-type":"application/json; charset=utf-8","date":"Mon, 18 May 2026 06:42:25 GMT","referrer-policy":"strict-origin-when-cross-origin","server":"nginx/1.24.0 (Ubuntu)","strict-transport-security":"max-age=31536000; includeSubDomains; preload","vary":"Accept-Encoding","via":"1.1 Caddy","x-content-type-options":"nosniff","x-frame-options":"DENY","x-new-api-version":"v1.0.0-rc.2","x-oneapi-request-id":"202605180642223393947698268d9d6gE3rWsHD","x-request-id":"ebffd815-fac2-4218-a857-26ba7bcf2403"}</t>
        </is>
      </c>
      <c r="N78" t="inlineStr">
        <is>
          <t>Louis Vuitton light blue Monogram jacquard denim pants with colorful floral motifs, straight-leg relaxed unisex jeans for trendy casual streetwear.</t>
        </is>
      </c>
      <c r="O78" t="inlineStr">
        <is>
          <t>{"id":"resp_05d22f1d949f4ef4016a0ab84b20c0819b938a093d2745b6b0","object":"chat.completion","created":1779087444,"model":"gpt-5.5","choices":[{"index":0,"message":{"role":"assistant","content":"Louis Vuitton Pants kakobuy, Louis Vuitton Pants kakebuy2026, Louis Vuitton Pants kekobuysheet, Louis Vuitton Pants kakobuysheet2026, Louis Vuitton Pants 2026kakobuy, Louis Vuitton Pants kakobuyspreadsheeet, Louis Vuitton Pants kakobuylink, Louis Vuitton Pants kakebuylist, Louis Vuitton Pants Kakobuy MEGA Spreadsheet, Louis Vuitton Pants kakobuysheetfind, Louis Vuitton Pants kakobuysheetfind2026, Louis Vuitton Pants 2026kakobuysheetfind, Louis Vuitton Pants kakobuysheet2026"},"finish_reason":"stop"}],"usage":{"prompt_tokens":644,"completion_tokens":455,"total_tokens":1099}}</t>
        </is>
      </c>
      <c r="P78" t="inlineStr">
        <is>
          <t>Louis Vuitton Pants kakobuy, Louis Vuitton Pants kakebuy2026, Louis Vuitton Pants kekobuysheet, Louis Vuitton Pants kakobuysheet2026, Louis Vuitton Pants 2026kakobuy, Louis Vuitton Pants kakobuyspreadsheeet, Louis Vuitton Pants kakobuylink, Louis Vuitton Pants kakebuylist, Louis Vuitton Pants Kakobuy MEGA Spreadsheet, Louis Vuitton Pants kakobuysheetfind, Louis Vuitton Pants kakobuysheetfind2026, Louis Vuitton Pants 2026kakobuysheetfind, Louis Vuitton Pants kakobuysheet2026</t>
        </is>
      </c>
      <c r="Q78" t="inlineStr">
        <is>
          <t>LV, Unisex, Streetwear, Blue, Denim</t>
        </is>
      </c>
      <c r="R78" t="inlineStr">
        <is>
          <t>recvjR8RzVKNQB</t>
        </is>
      </c>
      <c r="S78" t="inlineStr">
        <is>
          <t>louis-vuitton-monogram-floral-light-blue-denim-pants-recvjr8rzvknqb</t>
        </is>
      </c>
      <c r="T78"/>
      <c r="U78"/>
      <c r="V78"/>
      <c r="W78" t="inlineStr">
        <is>
          <t>{"id":"resp_0db2791523d5517b016a0ab2c33088819a8fa8a874e54f3873","object":"chat.completion","created":1779086024,"model":"gpt-5.5","choices":[{"index":0,"message":{"role":"assistant","content":"路易威登 Louis Vuitton 浅蓝色 Monogram 提花牛仔长裤，彩色花卉图腾，直筒休闲男女同款潮流裤装。"},"finish_reason":"stop"}],"usage":{"prompt_tokens":1163,"completion_tokens":205,"total_tokens":1368}}</t>
        </is>
      </c>
      <c r="X78" t="inlineStr">
        <is>
          <t>路易威登 Louis Vuitton 浅蓝色 Monogram 提花牛仔长裤，彩色花卉图腾，直筒休闲男女同款潮流裤装。</t>
        </is>
      </c>
    </row>
    <row r="79" ht="25.5" customHeight="1">
      <c r="A79">
        <v>1839115443</v>
      </c>
      <c r="B79">
        <v>7769028570</v>
      </c>
      <c r="C79" s="2" t="str">
        <f>=HYPERLINK("https://weidian.com/item.html?itemID=7769028570", "https://weidian.com/item.html?itemID=7769028570")</f>
        <v>https://weidian.com/item.html?itemID=7769028570</v>
      </c>
      <c r="D79"/>
      <c r="E79" s="2" t="str">
        <f>=HYPERLINK("https://si.geilicdn.com/open1839115443-252808396-03170000019e340eb3150a22d249_800_800.jpg?w=750&amp;h=750&amp;cp=1", "https://si.geilicdn.com/open1839115443-252808396-03170000019e340eb3150a22d249_800_800.jpg?w=750&amp;h=750&amp;cp=1")</f>
        <v>https://si.geilicdn.com/open1839115443-252808396-03170000019e340eb3150a22d249_800_800.jpg?w=750&amp;h=750&amp;cp=1</v>
      </c>
      <c r="F79" t="inlineStr">
        <is>
          <t>Hats</t>
        </is>
      </c>
      <c r="G79" t="inlineStr">
        <is>
          <t>Other</t>
        </is>
      </c>
      <c r="H79">
        <v>119</v>
      </c>
      <c r="I79">
        <v>17.25</v>
      </c>
      <c r="J79" t="inlineStr">
        <is>
          <t>{"id":"resp_04f2a66bfa9ec722016a0ab6236b388199a8de598ce93bd5e0","object":"chat.completion","created":1779086888,"model":"gpt-5.5","choices":[{"index":0,"message":{"role":"assistant","content":"Beige Winter Knit Beanie Scarf Gloves Set Unisex Thermal"},"finish_reason":"stop"}],"usage":{"prompt_tokens":940,"completion_tokens":186,"total_tokens":1126}}</t>
        </is>
      </c>
      <c r="K79" t="inlineStr">
        <is>
          <t>Beige Winter Knit Beanie Scarf Gloves Set Unisex Thermal</t>
        </is>
      </c>
      <c r="L79" t="inlineStr">
        <is>
          <t>{"id":"resp_078e73a5f34f72f0016a0ab488c0948199944e1b3895c5727a","object":"chat.completion","created":1779086475,"model":"gpt-5.5","choices":[{"index":0,"message":{"role":"assistant","content":"HatsOther beige winter knit beanie, scarf and gloves set, soft warm ribbed cuff hat with logo patch, unisex outdoor cold weather casual thermal accessories"},"finish_reason":"stop"}],"usage":{"prompt_tokens":959,"completion_tokens":86,"total_tokens":1045}}</t>
        </is>
      </c>
      <c r="M79" t="inlineStr">
        <is>
          <t>{"alt-svc":"h3=\":443\"; ma=2592000","connection":"close","content-length":"449","content-type":"application/json; charset=utf-8","date":"Mon, 18 May 2026 06:41:15 GMT","referrer-policy":"strict-origin-when-cross-origin","server":"nginx/1.24.0 (Ubuntu)","strict-transport-security":"max-age=31536000; includeSubDomains; preload","vary":"Accept-Encoding","via":"1.1 Caddy","x-content-type-options":"nosniff","x-frame-options":"DENY","x-new-api-version":"v1.0.0-rc.2","x-oneapi-request-id":"202605180641122312568118268d9d6K1R40JCQ","x-request-id":"9cee00d2-62ea-4642-b476-285c401cd19a"}</t>
        </is>
      </c>
      <c r="N79" t="inlineStr">
        <is>
          <t>HatsOther beige winter knit beanie, scarf and gloves set, soft warm ribbed cuff hat with logo patch, unisex outdoor cold weather casual thermal accessories</t>
        </is>
      </c>
      <c r="O79" t="inlineStr">
        <is>
          <t>{"id":"resp_082800059306c873016a0ab7c3d000819a98c87af038bc42de","object":"chat.completion","created":1779087309,"model":"gpt-5.5","choices":[{"index":0,"message":{"role":"assistant","content":"Stussy,HatsOther,kakobuy,Stussy,HatsOther,kakebuy2026,Stussy,HatsOther,kekobuysheet,Stussy,HatsOther,kakobuysheet2026,Stussy,HatsOther,2026kakobuy,Stussy,HatsOther,kakobuyspreadsheeet,Stussy,HatsOther,kakobuylink,Stussy,HatsOther,kakebuylist,Stussy,HatsOther,Kakobuy MEGA Spreadsheet,Stussy,HatsOther,kakobuysheetfind,Stussy,HatsOther,kakobuysheetfind2026,Stussy,HatsOther,2026kakobuysheetfind,Stussy,HatsOther,kakobuysheet2026"},"finish_reason":"stop"}],"usage":{"prompt_tokens":854,"completion_tokens":468,"total_tokens":1322}}</t>
        </is>
      </c>
      <c r="P79" t="inlineStr">
        <is>
          <t>Stussy,HatsOther,kakobuy,Stussy,HatsOther,kakebuy2026,Stussy,HatsOther,kekobuysheet,Stussy,HatsOther,kakobuysheet2026,Stussy,HatsOther,2026kakobuy,Stussy,HatsOther,kakobuyspreadsheeet,Stussy,HatsOther,kakobuylink,Stussy,HatsOther,kakebuylist,Stussy,HatsOther,Kakobuy MEGA Spreadsheet,Stussy,HatsOther,kakobuysheetfind,Stussy,HatsOther,kakobuysheetfind2026,Stussy,HatsOther,2026kakobuysheetfind,Stussy,HatsOther,kakobuysheet2026</t>
        </is>
      </c>
      <c r="Q79" t="inlineStr">
        <is>
          <t>Beige, Winter, Knit, Unisex, Outdoor</t>
        </is>
      </c>
      <c r="R79" t="inlineStr">
        <is>
          <t>recvjR8RzVLFRo</t>
        </is>
      </c>
      <c r="S79" t="inlineStr">
        <is>
          <t>beige-winter-knit-beanie-scarf-gloves-set-recvjr8rzvlfro</t>
        </is>
      </c>
      <c r="T79"/>
      <c r="U79"/>
      <c r="V79"/>
      <c r="W79" t="inlineStr">
        <is>
          <t>{"id":"resp_0aaef87629b0b70a016a0ab2c0e6c0819981c923c45d757c65","object":"chat.completion","created":1779086020,"model":"gpt-5.5","choices":[{"index":0,"message":{"role":"assistant","content":"冬季米杏色针织保暖帽，柔软毛线罗纹翻边设计，圆形徽标贴布点缀，男女通用户外防寒休闲毛帽配围脖手套套装"},"finish_reason":"stop"}],"usage":{"prompt_tokens":1376,"completion_tokens":97,"total_tokens":1473}}</t>
        </is>
      </c>
      <c r="X79" t="inlineStr">
        <is>
          <t>冬季米杏色针织保暖帽，柔软毛线罗纹翻边设计，圆形徽标贴布点缀，男女通用户外防寒休闲毛帽配围脖手套套装</t>
        </is>
      </c>
    </row>
    <row r="80" ht="25.5" customHeight="1">
      <c r="A80">
        <v>1839115443</v>
      </c>
      <c r="B80">
        <v>7766034965</v>
      </c>
      <c r="C80" s="2" t="str">
        <f>=HYPERLINK("https://weidian.com/item.html?itemID=7766034965", "https://weidian.com/item.html?itemID=7766034965")</f>
        <v>https://weidian.com/item.html?itemID=7766034965</v>
      </c>
      <c r="D80"/>
      <c r="E80" s="2" t="str">
        <f>=HYPERLINK("https://si.geilicdn.com/open1839115443-252808396-5b330000019e340f8af90a8133b0_1600_1600.jpg?w=640&amp;h=640", "https://si.geilicdn.com/open1839115443-252808396-5b330000019e340f8af90a8133b0_1600_1600.jpg?w=640&amp;h=640")</f>
        <v>https://si.geilicdn.com/open1839115443-252808396-5b330000019e340f8af90a8133b0_1600_1600.jpg?w=640&amp;h=640</v>
      </c>
      <c r="F80" t="inlineStr">
        <is>
          <t>Jackets</t>
        </is>
      </c>
      <c r="G80" t="inlineStr">
        <is>
          <t>GMWR</t>
        </is>
      </c>
      <c r="H80">
        <v>350</v>
      </c>
      <c r="I80">
        <v>50.72</v>
      </c>
      <c r="J80" t="inlineStr">
        <is>
          <t>{"id":"resp_02efa0fb15333740016a0ab66f63f481949117c880f16eea5c","object":"chat.completion","created":1779086962,"model":"gpt-5.5","choices":[{"index":0,"message":{"role":"assistant","content":"GMWR Grey White Lightweight Windproof Hooded Jacket"},"finish_reason":"stop"}],"usage":{"prompt_tokens":733,"completion_tokens":92,"total_tokens":825}}</t>
        </is>
      </c>
      <c r="K80" t="inlineStr">
        <is>
          <t>GMWR Grey White Lightweight Windproof Hooded Jacket</t>
        </is>
      </c>
      <c r="L80" t="inlineStr">
        <is>
          <t>{"id":"resp_007f97322fbaba3c016a0ab46c044481999781ea0e60561275","object":"chat.completion","created":1779086447,"model":"gpt-5.5","choices":[{"index":0,"message":{"role":"assistant","content":"GMWR grey-white outdoor hooded jacket, lightweight windproof shell with breathable mesh panels, drawstring hem, 3D cut, unisex casual sports coat."},"finish_reason":"stop"}],"usage":{"prompt_tokens":750,"completion_tokens":142,"total_tokens":892}}</t>
        </is>
      </c>
      <c r="M80" t="inlineStr">
        <is>
          <t>{"alt-svc":"h3=\":443\"; ma=2592000","connection":"close","content-length":"440","content-type":"application/json; charset=utf-8","date":"Mon, 18 May 2026 06:40:47 GMT","referrer-policy":"strict-origin-when-cross-origin","server":"nginx/1.24.0 (Ubuntu)","strict-transport-security":"max-age=31536000; includeSubDomains; preload","vary":"Accept-Encoding","via":"1.1 Caddy","x-content-type-options":"nosniff","x-frame-options":"DENY","x-new-api-version":"v1.0.0-rc.2","x-oneapi-request-id":"202605180640435992424088268d9d6ZVM8xNv9","x-request-id":"a019e48c-6569-48c2-a18f-9d189f79fdb7"}</t>
        </is>
      </c>
      <c r="N80" t="inlineStr">
        <is>
          <t>GMWR grey-white outdoor hooded jacket, lightweight windproof shell with breathable mesh panels, drawstring hem, 3D cut, unisex casual sports coat.</t>
        </is>
      </c>
      <c r="O80" t="inlineStr">
        <is>
          <t>{"id":"resp_0b44e44d983f1d1c016a0ab804229481979aba437e01feda7b","object":"chat.completion","created":1779087370,"model":"gpt-5.5","choices":[{"index":0,"message":{"role":"assistant","content":"GMWR Jackets kakobuy, GMWR Jackets kakebuy2026, GMWR Jackets kekobuysheet, GMWR Jackets kakobuysheet2026, GMWR Jackets 2026kakobuy, GMWR Jackets kakobuyspreadsheeet, GMWR Jackets kakobuylink, GMWR Jackets kakebuylist, GMWR Jackets Kakobuy MEGA Spreadsheet, GMWR Jackets kakobuysheetfind, GMWR Jackets kakobuysheetfind2026, GMWR Jackets 2026kakobuysheetfind, GMWR Jackets kakobuysheet2026"},"finish_reason":"stop"}],"usage":{"prompt_tokens":645,"completion_tokens":334,"total_tokens":979}}</t>
        </is>
      </c>
      <c r="P80" t="inlineStr">
        <is>
          <t>GMWR Jackets kakobuy, GMWR Jackets kakebuy2026, GMWR Jackets kekobuysheet, GMWR Jackets kakobuysheet2026, GMWR Jackets 2026kakobuy, GMWR Jackets kakobuyspreadsheeet, GMWR Jackets kakobuylink, GMWR Jackets kakebuylist, GMWR Jackets Kakobuy MEGA Spreadsheet, GMWR Jackets kakobuysheetfind, GMWR Jackets kakobuysheetfind2026, GMWR Jackets 2026kakobuysheetfind, GMWR Jackets kakobuysheet2026</t>
        </is>
      </c>
      <c r="Q80" t="inlineStr">
        <is>
          <t>Grey, White, Outdoor, Lightweight, Windproof, Breathable</t>
        </is>
      </c>
      <c r="R80" t="inlineStr">
        <is>
          <t>recvjR8RzV6YsT</t>
        </is>
      </c>
      <c r="S80" t="inlineStr">
        <is>
          <t>gmwr-grey-white-windproof-hooded-jacket-recvjr8rzv6yst</t>
        </is>
      </c>
      <c r="T80"/>
      <c r="U80"/>
      <c r="V80"/>
      <c r="W80" t="inlineStr">
        <is>
          <t>{"id":"resp_0542941953c8f167016a0ab24ffa008198998e45602af3e6a7","object":"chat.completion","created":1779085908,"model":"gpt-5.5","choices":[{"index":0,"message":{"role":"assistant","content":"灰白色GMWR户外机能连帽夹克，轻薄防风面料拼接透气网布，抽绳下摆与立体剪裁设计，男女同款休闲运动外套"},"finish_reason":"stop"}],"usage":{"prompt_tokens":1171,"completion_tokens":170,"total_tokens":1341}}</t>
        </is>
      </c>
      <c r="X80" t="inlineStr">
        <is>
          <t>灰白色GMWR户外机能连帽夹克，轻薄防风面料拼接透气网布，抽绳下摆与立体剪裁设计，男女同款休闲运动外套</t>
        </is>
      </c>
    </row>
    <row r="81" ht="25.5" customHeight="1">
      <c r="A81">
        <v>1839115443</v>
      </c>
      <c r="B81">
        <v>7766006871</v>
      </c>
      <c r="C81" s="2" t="str">
        <f>=HYPERLINK("https://weidian.com/item.html?itemID=7766006871", "https://weidian.com/item.html?itemID=7766006871")</f>
        <v>https://weidian.com/item.html?itemID=7766006871</v>
      </c>
      <c r="D81"/>
      <c r="E81" s="2" t="str">
        <f>=HYPERLINK("https://si.geilicdn.com/open1839115443-252808396-5b170000019e340f00140a8133b0_800_800.jpg?w=640&amp;h=640", "https://si.geilicdn.com/open1839115443-252808396-5b170000019e340f00140a8133b0_800_800.jpg?w=640&amp;h=640")</f>
        <v>https://si.geilicdn.com/open1839115443-252808396-5b170000019e340f00140a8133b0_800_800.jpg?w=640&amp;h=640</v>
      </c>
      <c r="F81" t="inlineStr">
        <is>
          <t>Jackets</t>
        </is>
      </c>
      <c r="G81" t="inlineStr">
        <is>
          <t>Other</t>
        </is>
      </c>
      <c r="H81">
        <v>154</v>
      </c>
      <c r="I81">
        <v>22.32</v>
      </c>
      <c r="J81" t="inlineStr">
        <is>
          <t>{"id":"resp_07f923cc650e12be016a0ab67946048199b7b9c4f42a68a37d","object":"chat.completion","created":1779086973,"model":"gpt-5.5","choices":[{"index":0,"message":{"role":"assistant","content":"Burgundy Fleece Zip-Up Sports Jacket Unisex Stand Collar"},"finish_reason":"stop"}],"usage":{"prompt_tokens":721,"completion_tokens":148,"total_tokens":869}}</t>
        </is>
      </c>
      <c r="K81" t="inlineStr">
        <is>
          <t>Burgundy Fleece Zip-Up Sports Jacket Unisex Stand Collar</t>
        </is>
      </c>
      <c r="L81" t="inlineStr">
        <is>
          <t>{"id":"resp_053722db729f7272016a0ab5103c288195ad3a7fd6e88440e0","object":"chat.completion","created":1779086611,"model":"gpt-5.5","choices":[{"index":0,"message":{"role":"assistant","content":"JacketsOther burgundy fleece zip-up sports jacket, stand collar, embroidered Sports logo, warm casual unisex coat with dual side zipper pockets"},"finish_reason":"stop"}],"usage":{"prompt_tokens":738,"completion_tokens":116,"total_tokens":854}}</t>
        </is>
      </c>
      <c r="M81" t="inlineStr">
        <is>
          <t>{"alt-svc":"h3=\":443\"; ma=2592000","connection":"close","content-length":"437","content-type":"application/json; charset=utf-8","date":"Mon, 18 May 2026 06:43:31 GMT","referrer-policy":"strict-origin-when-cross-origin","server":"Caddy","strict-transport-security":"max-age=31536000; includeSubDomains; preload","vary":"Accept-Encoding","x-content-type-options":"nosniff","x-frame-options":"DENY","x-new-api-version":"v1.0.0-rc.2","x-oneapi-request-id":"202605180643278187242578268d9d6wJu29laM","x-request-id":"3e5d7a3d-b649-4844-82d3-63e6e38d7513"}</t>
        </is>
      </c>
      <c r="N81" t="inlineStr">
        <is>
          <t>JacketsOther burgundy fleece zip-up sports jacket, stand collar, embroidered Sports logo, warm casual unisex coat with dual side zipper pockets</t>
        </is>
      </c>
      <c r="O81" t="inlineStr">
        <is>
          <t>{"id":"resp_0fa2c31713d6b3a8016a0ab806ef408199b34b1b9ddd0d32db","object":"chat.completion","created":1779087372,"model":"gpt-5.5","choices":[{"index":0,"message":{"role":"assistant","content":"Other,Jackets,kakobuy,kakebuy2026,kekobuysheet,kakobuysheet2026,2026kakobuy,kakobuyspreadsheeet,kakobuylink,kakebuylist,Kakobuy MEGA Spreadsheet,kakobuysheetfind,kakobuysheetfind2026,2026kakobuysheetfind,kakobuysheet2026"},"finish_reason":"stop"}],"usage":{"prompt_tokens":643,"completion_tokens":219,"total_tokens":862}}</t>
        </is>
      </c>
      <c r="P81" t="inlineStr">
        <is>
          <t>Other,Jackets,kakobuy,kakebuy2026,kekobuysheet,kakobuysheet2026,2026kakobuy,kakobuyspreadsheeet,kakobuylink,kakebuylist,Kakobuy MEGA Spreadsheet,kakobuysheetfind,kakobuysheetfind2026,2026kakobuysheetfind,kakobuysheet2026</t>
        </is>
      </c>
      <c r="Q81" t="inlineStr">
        <is>
          <t>Burgundy, Fleece-Lined, Unisex</t>
        </is>
      </c>
      <c r="R81" t="inlineStr">
        <is>
          <t>recvjR8RzVA1Cm</t>
        </is>
      </c>
      <c r="S81" t="inlineStr">
        <is>
          <t>burgundy-fleece-zip-up-sports-jacket-recvjr8rzva1cm</t>
        </is>
      </c>
      <c r="T81"/>
      <c r="U81"/>
      <c r="V81"/>
      <c r="W81" t="inlineStr">
        <is>
          <t>{"id":"resp_004d7e382729ce70016a0ab24853fc819ba208f2ba08a273de","object":"chat.completion","created":1779085901,"model":"gpt-5.5","choices":[{"index":0,"message":{"role":"assistant","content":"酒红色运动系列立领拉链夹克，保暖抓绒面料，胸前sports刺绣，双侧拉链口袋，简约休闲男女外套"},"finish_reason":"stop"}],"usage":{"prompt_tokens":1161,"completion_tokens":96,"total_tokens":1257}}</t>
        </is>
      </c>
      <c r="X81" t="inlineStr">
        <is>
          <t>酒红色运动系列立领拉链夹克，保暖抓绒面料，胸前sports刺绣，双侧拉链口袋，简约休闲男女外套</t>
        </is>
      </c>
    </row>
    <row r="82" ht="25.5" customHeight="1">
      <c r="A82">
        <v>1839115443</v>
      </c>
      <c r="B82">
        <v>7769086044</v>
      </c>
      <c r="C82" s="2" t="str">
        <f>=HYPERLINK("https://weidian.com/item.html?itemID=7769086044", "https://weidian.com/item.html?itemID=7769086044")</f>
        <v>https://weidian.com/item.html?itemID=7769086044</v>
      </c>
      <c r="D82"/>
      <c r="E82" s="2" t="str">
        <f>=HYPERLINK("https://si.geilicdn.com/open1839115443-252808396-62bf0000019e3423a03e0a8133b0_780_746.jpg?w=640&amp;h=640", "https://si.geilicdn.com/open1839115443-252808396-62bf0000019e3423a03e0a8133b0_780_746.jpg?w=640&amp;h=640")</f>
        <v>https://si.geilicdn.com/open1839115443-252808396-62bf0000019e3423a03e0a8133b0_780_746.jpg?w=640&amp;h=640</v>
      </c>
      <c r="F82" t="inlineStr">
        <is>
          <t>Hoodies</t>
        </is>
      </c>
      <c r="G82" t="inlineStr">
        <is>
          <t>Other</t>
        </is>
      </c>
      <c r="H82">
        <v>272</v>
      </c>
      <c r="I82">
        <v>39.42</v>
      </c>
      <c r="J82" t="inlineStr">
        <is>
          <t>{"id":"resp_0b5da0b06369aa88016a0ab5d83cb4819b9ecdf8280ab5c9b9","object":"chat.completion","created":1779086815,"model":"gpt-5.5","choices":[{"index":0,"message":{"role":"assistant","content":"HoodiesOther Gray Embroidered Fleece Oversized Hoodie"},"finish_reason":"stop"}],"usage":{"prompt_tokens":726,"completion_tokens":328,"total_tokens":1054}}</t>
        </is>
      </c>
      <c r="K82" t="inlineStr">
        <is>
          <t>HoodiesOther Gray Embroidered Fleece Oversized Hoodie</t>
        </is>
      </c>
      <c r="L82" t="inlineStr">
        <is>
          <t>{"id":"resp_0627a8b66b590e91016a0ab4a60b4c819ba2e3f4cc0121b59e","object":"chat.completion","created":1779086504,"model":"gpt-5.5","choices":[{"index":0,"message":{"role":"assistant","content":"HoodiesOther Gray fleece cotton hoodie, small letter embroidery, kangaroo pocket, oversized unisex casual streetwear pullover sweatshirt for men and women"},"finish_reason":"stop"}],"usage":{"prompt_tokens":747,"completion_tokens":67,"total_tokens":814}}</t>
        </is>
      </c>
      <c r="M82" t="inlineStr">
        <is>
          <t>{"alt-svc":"h3=\":443\"; ma=2592000","connection":"close","content-length":"447","content-type":"application/json; charset=utf-8","date":"Mon, 18 May 2026 06:41:44 GMT","referrer-policy":"strict-origin-when-cross-origin","server":"Caddy","strict-transport-security":"max-age=31536000; includeSubDomains; preload","vary":"Accept-Encoding","x-content-type-options":"nosniff","x-frame-options":"DENY","x-new-api-version":"v1.0.0-rc.2","x-oneapi-request-id":"202605180641415047953018268d9d6QQX1FVjA","x-request-id":"f04c06e0-2d97-473d-9593-d4e45d758ae4"}</t>
        </is>
      </c>
      <c r="N82" t="inlineStr">
        <is>
          <t>HoodiesOther Gray fleece cotton hoodie, small letter embroidery, kangaroo pocket, oversized unisex casual streetwear pullover sweatshirt for men and women</t>
        </is>
      </c>
      <c r="O82" t="inlineStr">
        <is>
          <t>{"id":"resp_0df940ade54e85a7016a0ab7fc43cc819bb299954631c4cf49","object":"chat.completion","created":1779087364,"model":"gpt-5.5","choices":[{"index":0,"message":{"role":"assistant","content":"Other Hoodies kakobuy, Other Hoodies kakebuy2026, Other Hoodies kekobuysheet, Other Hoodies kakobuysheet2026, Other Hoodies 2026kakobuy, Other Hoodies kakobuyspreadsheeet, Other Hoodies kakobuylink, Other Hoodies kakebuylist, Other Hoodies Kakobuy MEGA Spreadsheet, Other Hoodies kakobuysheetfind, Other Hoodies kakobuysheetfind2026, Other Hoodies 2026kakobuysheetfind, Other Hoodies kakobuysheet2026"},"finish_reason":"stop"}],"usage":{"prompt_tokens":644,"completion_tokens":391,"total_tokens":1035}}</t>
        </is>
      </c>
      <c r="P82" t="inlineStr">
        <is>
          <t>Other Hoodies kakobuy, Other Hoodies kakebuy2026, Other Hoodies kekobuysheet, Other Hoodies kakobuysheet2026, Other Hoodies 2026kakobuy, Other Hoodies kakobuyspreadsheeet, Other Hoodies kakobuylink, Other Hoodies kakebuylist, Other Hoodies Kakobuy MEGA Spreadsheet, Other Hoodies kakobuysheetfind, Other Hoodies kakobuysheetfind2026, Other Hoodies 2026kakobuysheetfind, Other Hoodies kakobuysheet2026</t>
        </is>
      </c>
      <c r="Q82" t="inlineStr">
        <is>
          <t>Gray, Unisex, Streetwear, Fleece-Lined</t>
        </is>
      </c>
      <c r="R82" t="inlineStr">
        <is>
          <t>recvjR8RzVydHQ</t>
        </is>
      </c>
      <c r="S82" t="inlineStr">
        <is>
          <t>gray-embroidered-fleece-oversized-hoodie-recvjr8rzvydhq</t>
        </is>
      </c>
      <c r="T82"/>
      <c r="U82"/>
      <c r="V82"/>
      <c r="W82" t="inlineStr">
        <is>
          <t>{"id":"resp_0a25b7192ba7e34b016a0ab28515688194a08b5e763fe16d37","object":"chat.completion","created":1779085960,"model":"gpt-5.5","choices":[{"index":0,"message":{"role":"assistant","content":"灰色基础系列连帽卫衣，柔软棉质加绒面料，小字母刺绣标识，袋鼠兜设计，宽松休闲男女同款街头风帽衫"},"finish_reason":"stop"}],"usage":{"prompt_tokens":1166,"completion_tokens":115,"total_tokens":1281}}</t>
        </is>
      </c>
      <c r="X82" t="inlineStr">
        <is>
          <t>灰色基础系列连帽卫衣，柔软棉质加绒面料，小字母刺绣标识，袋鼠兜设计，宽松休闲男女同款街头风帽衫</t>
        </is>
      </c>
    </row>
    <row r="83" ht="25.5" customHeight="1">
      <c r="A83">
        <v>1839115443</v>
      </c>
      <c r="B83">
        <v>7766076413</v>
      </c>
      <c r="C83" s="2" t="str">
        <f>=HYPERLINK("https://weidian.com/item.html?itemID=7766076413", "https://weidian.com/item.html?itemID=7766076413")</f>
        <v>https://weidian.com/item.html?itemID=7766076413</v>
      </c>
      <c r="D83"/>
      <c r="E83" s="2" t="str">
        <f>=HYPERLINK("https://si.geilicdn.com/open1839115443-252808396-03790000019e342380080a23b4de_1066_1066.jpg?w=640&amp;h=640", "https://si.geilicdn.com/open1839115443-252808396-03790000019e342380080a23b4de_1066_1066.jpg?w=640&amp;h=640")</f>
        <v>https://si.geilicdn.com/open1839115443-252808396-03790000019e342380080a23b4de_1066_1066.jpg?w=640&amp;h=640</v>
      </c>
      <c r="F83" t="inlineStr">
        <is>
          <t>Jackets</t>
        </is>
      </c>
      <c r="G83" t="inlineStr">
        <is>
          <t>Other</t>
        </is>
      </c>
      <c r="H83">
        <v>320</v>
      </c>
      <c r="I83">
        <v>46.38</v>
      </c>
      <c r="J83" t="inlineStr">
        <is>
          <t>{"id":"resp_03ff59818ed34baa016a0ab6213fa8819bac031e5b49d217d5","object":"chat.completion","created":1779086889,"model":"gpt-5.5","choices":[{"index":0,"message":{"role":"assistant","content":"Light Blue Lightweight Hooded Windbreaker Jacket Men Women"},"finish_reason":"stop"}],"usage":{"prompt_tokens":721,"completion_tokens":375,"total_tokens":1096}}</t>
        </is>
      </c>
      <c r="K83" t="inlineStr">
        <is>
          <t>Light Blue Lightweight Hooded Windbreaker Jacket Men Women</t>
        </is>
      </c>
      <c r="L83" t="inlineStr">
        <is>
          <t>{"id":"resp_086a9ca840d75acd016a0ab5236018819baa0c58bba7d6b7cb","object":"chat.completion","created":1779086633,"model":"gpt-5.5","choices":[{"index":0,"message":{"role":"assistant","content":"JacketsOther Light Blue Hooded Windbreaker Jacket, lightweight tech fabric, zip-up drawstring hood, unisex spring fall outdoor commuter coat"},"finish_reason":"stop"}],"usage":{"prompt_tokens":740,"completion_tokens":261,"total_tokens":1001}}</t>
        </is>
      </c>
      <c r="M83" t="inlineStr">
        <is>
          <t>{"alt-svc":"h3=\":443\"; ma=2592000","connection":"close","content-length":"435","content-type":"application/json; charset=utf-8","date":"Mon, 18 May 2026 06:43:53 GMT","referrer-policy":"strict-origin-when-cross-origin","server":"nginx/1.24.0 (Ubuntu)","strict-transport-security":"max-age=31536000; includeSubDomains; preload","vary":"Accept-Encoding","via":"1.1 Caddy","x-content-type-options":"nosniff","x-frame-options":"DENY","x-new-api-version":"v1.0.0-rc.2","x-oneapi-request-id":"20260518064347158250518268d9d6zvMBhFr5","x-request-id":"31fe3ef2-e54b-40f7-a3b5-07f5cd8daff8"}</t>
        </is>
      </c>
      <c r="N83" t="inlineStr">
        <is>
          <t>JacketsOther Light Blue Hooded Windbreaker Jacket, lightweight tech fabric, zip-up drawstring hood, unisex spring fall outdoor commuter coat</t>
        </is>
      </c>
      <c r="O83" t="inlineStr">
        <is>
          <t>{"id":"resp_0222be3df9a8f4b6016a0ab823a7bc819ab4af881b738e2870","object":"chat.completion","created":1779087402,"model":"gpt-5.5","choices":[{"index":0,"message":{"role":"assistant","content":"Other Jackets kakobuy, Other Jackets kakebuy2026, Other Jackets kekobuysheet, Other Jackets kakobuysheet2026, Other Jackets 2026kakobuy, Other Jackets kakobuyspreadsheeet, Other Jackets kakobuylink, Other Jackets kakebuylist, Other Jackets Kakobuy MEGA Spreadsheet, Other Jackets kakobuysheetfind, Other Jackets kakobuysheetfind2026, Other Jackets 2026kakobuysheetfind, Other Jackets kakobuysheet2026"},"finish_reason":"stop"}],"usage":{"prompt_tokens":643,"completion_tokens":304,"total_tokens":947}}</t>
        </is>
      </c>
      <c r="P83" t="inlineStr">
        <is>
          <t>Other Jackets kakobuy, Other Jackets kakebuy2026, Other Jackets kekobuysheet, Other Jackets kakobuysheet2026, Other Jackets 2026kakobuy, Other Jackets kakobuyspreadsheeet, Other Jackets kakobuylink, Other Jackets kakebuylist, Other Jackets Kakobuy MEGA Spreadsheet, Other Jackets kakobuysheetfind, Other Jackets kakobuysheetfind2026, Other Jackets 2026kakobuysheetfind, Other Jackets kakobuysheet2026</t>
        </is>
      </c>
      <c r="Q83" t="inlineStr">
        <is>
          <t>Lightweight, Unisex, Spring And Autumn, Outdoor, Blue, Windproof</t>
        </is>
      </c>
      <c r="R83" t="inlineStr">
        <is>
          <t>recvjR8RzVTZRi</t>
        </is>
      </c>
      <c r="S83" t="inlineStr">
        <is>
          <t>light-blue-lightweight-hooded-windbreaker-jacket-recvjr8rzvtzri</t>
        </is>
      </c>
      <c r="T83"/>
      <c r="U83"/>
      <c r="V83"/>
      <c r="W83" t="inlineStr">
        <is>
          <t>{"id":"resp_0034ee49193e8237016a0ab204e9dc8193a75ccdcbcb815871","object":"chat.completion","created":1779085833,"model":"gpt-5.5","choices":[{"index":0,"message":{"role":"assistant","content":"浅蓝色连帽防风夹克，轻薄机能面料，拉链开合与抽绳帽设计，休闲户外通勤风，男女通用春秋外套"},"finish_reason":"stop"}],"usage":{"prompt_tokens":1161,"completion_tokens":96,"total_tokens":1257}}</t>
        </is>
      </c>
      <c r="X83" t="inlineStr">
        <is>
          <t>浅蓝色连帽防风夹克，轻薄机能面料，拉链开合与抽绳帽设计，休闲户外通勤风，男女通用春秋外套</t>
        </is>
      </c>
    </row>
    <row r="84" ht="25.5" customHeight="1">
      <c r="A84">
        <v>1839115443</v>
      </c>
      <c r="B84">
        <v>7766097857</v>
      </c>
      <c r="C84" s="2" t="str">
        <f>=HYPERLINK("https://weidian.com/item.html?itemID=7766097857", "https://weidian.com/item.html?itemID=7766097857")</f>
        <v>https://weidian.com/item.html?itemID=7766097857</v>
      </c>
      <c r="D84"/>
      <c r="E84" s="2" t="str">
        <f>=HYPERLINK("https://si.geilicdn.com/open1839115443-252808396-00550000019e34015a120a22d249_1316_1316.jpg?w=640&amp;h=640", "https://si.geilicdn.com/open1839115443-252808396-00550000019e34015a120a22d249_1316_1316.jpg?w=640&amp;h=640")</f>
        <v>https://si.geilicdn.com/open1839115443-252808396-00550000019e34015a120a22d249_1316_1316.jpg?w=640&amp;h=640</v>
      </c>
      <c r="F84" t="inlineStr">
        <is>
          <t>Pans</t>
        </is>
      </c>
      <c r="G84" t="inlineStr">
        <is>
          <t>Essentials</t>
        </is>
      </c>
      <c r="H84">
        <v>54.2</v>
      </c>
      <c r="I84">
        <v>7.85</v>
      </c>
      <c r="J84" t="inlineStr">
        <is>
          <t>{"id":"resp_0b21b30cdf398bd9016a0ab66bd4d4819a87782f8e31e5ed29","object":"chat.completion","created":1779086966,"model":"gpt-5.5","choices":[{"index":0,"message":{"role":"assistant","content":"Fear of God Essentials Gray Terry Unisex Drawstring Sweat Shorts"},"finish_reason":"stop"}],"usage":{"prompt_tokens":730,"completion_tokens":529,"total_tokens":1259}}</t>
        </is>
      </c>
      <c r="K84" t="inlineStr">
        <is>
          <t>Fear of God Essentials Gray Terry Unisex Drawstring Sweat Shorts</t>
        </is>
      </c>
      <c r="L84" t="inlineStr">
        <is>
          <t>{"id":"resp_0b789b99cd01f6c3016a0ab488fdc8819a8369930ed7ada120","object":"chat.completion","created":1779086476,"model":"gpt-5.5","choices":[{"index":0,"message":{"role":"assistant","content":"PansEssentials Essentials Fear of God gray cotton terry shorts, unisex 5-point streetwear sweat shorts with elastic drawstring waist and minimalist logo patch"},"finish_reason":"stop"}],"usage":{"prompt_tokens":741,"completion_tokens":123,"total_tokens":864}}</t>
        </is>
      </c>
      <c r="M84" t="inlineStr">
        <is>
          <t>{"alt-svc":"h3=\":443\"; ma=2592000","connection":"close","content-length":"452","content-type":"application/json; charset=utf-8","date":"Mon, 18 May 2026 06:41:16 GMT","referrer-policy":"strict-origin-when-cross-origin","server":"Caddy","strict-transport-security":"max-age=31536000; includeSubDomains; preload","vary":"Accept-Encoding","x-content-type-options":"nosniff","x-frame-options":"DENY","x-new-api-version":"v1.0.0-rc.2","x-oneapi-request-id":"202605180641121806128978268d9d6M5G0DiNr","x-request-id":"d56cda5f-58ea-4daa-9fc9-ad1892896829"}</t>
        </is>
      </c>
      <c r="N84" t="inlineStr">
        <is>
          <t>PansEssentials Essentials Fear of God gray cotton terry shorts, unisex 5-point streetwear sweat shorts with elastic drawstring waist and minimalist logo patch</t>
        </is>
      </c>
      <c r="O84" t="inlineStr">
        <is>
          <t>{"id":"resp_03d14bd9561dd536016a0ab7e568d48196b8c673d2e544f390","object":"chat.completion","created":1779087344,"model":"gpt-5.5","choices":[{"index":0,"message":{"role":"assistant","content":"Essentials shorts kakobuy, Essentials shorts kakebuy2026, Essentials shorts kekobuysheet, Essentials shorts kakobuysheet2026, Essentials shorts 2026kakobuy, Essentials shorts kakobuyspreadsheeet, Essentials shorts kakobuylink, Essentials shorts kakebuylist, Essentials shorts Kakobuy MEGA Spreadsheet, Essentials shorts kakobuysheetfind, Essentials shorts kakobuysheetfind2026, Essentials shorts 2026kakobuysheetfind, Essentials shorts kakobuysheet2026"},"finish_reason":"stop"}],"usage":{"prompt_tokens":644,"completion_tokens":546,"total_tokens":1190}}</t>
        </is>
      </c>
      <c r="P84" t="inlineStr">
        <is>
          <t>Essentials shorts kakobuy, Essentials shorts kakebuy2026, Essentials shorts kekobuysheet, Essentials shorts kakobuysheet2026, Essentials shorts 2026kakobuy, Essentials shorts kakobuyspreadsheeet, Essentials shorts kakobuylink, Essentials shorts kakebuylist, Essentials shorts Kakobuy MEGA Spreadsheet, Essentials shorts kakobuysheetfind, Essentials shorts kakobuysheetfind2026, Essentials shorts 2026kakobuysheetfind, Essentials shorts kakobuysheet2026</t>
        </is>
      </c>
      <c r="Q84" t="inlineStr">
        <is>
          <t>Streetwear, Gray, Unisex, Minimalist</t>
        </is>
      </c>
      <c r="R84" t="inlineStr">
        <is>
          <t>recvjR8RzVOp8Z</t>
        </is>
      </c>
      <c r="S84" t="inlineStr">
        <is>
          <t>fear-of-god-essentials-gray-terry-sweat-shorts-recvjr8rzvop8z</t>
        </is>
      </c>
      <c r="T84"/>
      <c r="U84"/>
      <c r="V84"/>
      <c r="W84" t="inlineStr">
        <is>
          <t>{"id":"resp_09b096278d1a0d26016a0ab2a74fb08195a734c5bd63f6488d","object":"chat.completion","created":1779085997,"model":"gpt-5.5","choices":[{"index":0,"message":{"role":"assistant","content":"灰色Essentials Fear of God短裤，棉质毛圈面料，松紧抽绳腰头，极简Logo贴标，男女同款街头休闲运动五分裤"},"finish_reason":"stop"}],"usage":{"prompt_tokens":1163,"completion_tokens":172,"total_tokens":1335}}</t>
        </is>
      </c>
      <c r="X84" t="inlineStr">
        <is>
          <t>灰色Essentials Fear of God短裤，棉质毛圈面料，松紧抽绳腰头，极简Logo贴标，男女同款街头休闲运动五分裤</t>
        </is>
      </c>
    </row>
    <row r="85" ht="25.5" customHeight="1">
      <c r="A85">
        <v>1839115443</v>
      </c>
      <c r="B85">
        <v>7768947102</v>
      </c>
      <c r="C85" s="2" t="str">
        <f>=HYPERLINK("https://weidian.com/item.html?itemID=7768947102", "https://weidian.com/item.html?itemID=7768947102")</f>
        <v>https://weidian.com/item.html?itemID=7768947102</v>
      </c>
      <c r="D85"/>
      <c r="E85" s="2" t="str">
        <f>=HYPERLINK("https://si.geilicdn.com/open1839115443-252808396-6e680000019e3401c6d30aa08269-unadjust_1024_1024.png?w=640&amp;h=640", "https://si.geilicdn.com/open1839115443-252808396-6e680000019e3401c6d30aa08269-unadjust_1024_1024.png?w=640&amp;h=640")</f>
        <v>https://si.geilicdn.com/open1839115443-252808396-6e680000019e3401c6d30aa08269-unadjust_1024_1024.png?w=640&amp;h=640</v>
      </c>
      <c r="F85" t="inlineStr">
        <is>
          <t>Jackets</t>
        </is>
      </c>
      <c r="G85" t="inlineStr">
        <is>
          <t>Alo</t>
        </is>
      </c>
      <c r="H85">
        <v>383</v>
      </c>
      <c r="I85">
        <v>55.51</v>
      </c>
      <c r="J85" t="inlineStr">
        <is>
          <t>{"id":"resp_0f088fffb9f35c37016a0ab6bb1c48819894722d16d5f1dcc5","object":"chat.completion","created":1779087041,"model":"gpt-5.5","choices":[{"index":0,"message":{"role":"assistant","content":"Alo Navy Colorblock Hooded Windbreaker Jacket Unisex Coat"},"finish_reason":"stop"}],"usage":{"prompt_tokens":730,"completion_tokens":225,"total_tokens":955}}</t>
        </is>
      </c>
      <c r="K85" t="inlineStr">
        <is>
          <t>Alo Navy Colorblock Hooded Windbreaker Jacket Unisex Coat</t>
        </is>
      </c>
      <c r="L85" t="inlineStr">
        <is>
          <t>{"id":"resp_0e18d6370b6474a3016a0ab525bb48819b88d84703995c3f81","object":"chat.completion","created":1779086633,"model":"gpt-5.5","choices":[{"index":0,"message":{"role":"assistant","content":"JacketsAloAlo navy colorblock hooded windbreaker jacket, windproof tech fabric, big logo print, unisex outdoor sports casual streetwear coat"},"finish_reason":"stop"}],"usage":{"prompt_tokens":741,"completion_tokens":119,"total_tokens":860}}</t>
        </is>
      </c>
      <c r="M85" t="inlineStr">
        <is>
          <t>{"alt-svc":"h3=\":443\"; ma=2592000","connection":"close","content-length":"434","content-type":"application/json; charset=utf-8","date":"Mon, 18 May 2026 06:43:53 GMT","referrer-policy":"strict-origin-when-cross-origin","server":"nginx/1.24.0 (Ubuntu)","strict-transport-security":"max-age=31536000; includeSubDomains; preload","vary":"Accept-Encoding","via":"1.1 Caddy","x-content-type-options":"nosniff","x-frame-options":"DENY","x-new-api-version":"v1.0.0-rc.2","x-oneapi-request-id":"202605180643492471895018268d9d6ERalNzWR","x-request-id":"032f3fbf-9d79-4d30-9539-74c9254d3623"}</t>
        </is>
      </c>
      <c r="N85" t="inlineStr">
        <is>
          <t>JacketsAloAlo navy colorblock hooded windbreaker jacket, windproof tech fabric, big logo print, unisex outdoor sports casual streetwear coat</t>
        </is>
      </c>
      <c r="O85" t="inlineStr">
        <is>
          <t>{"id":"resp_02eefe1d2b63cd56016a0ab7221e5c819aa65f4eb837034cad","object":"chat.completion","created":1779087144,"model":"gpt-5.5","choices":[{"index":0,"message":{"role":"assistant","content":"Alo Jackets kakobuy, Alo Jackets kakebuy2026, Alo Jackets kekobuysheet, Alo Jackets kakobuysheet2026, Alo Jackets 2026kakobuy, Alo Jackets kakobuyspreadsheeet, Alo Jackets kakobuylink, Alo Jackets kakebuylist, Alo Jackets Kakobuy MEGA Spreadsheet, Alo Jackets kakobuysheetfind, Alo Jackets kakobuysheetfind2026, Alo Jackets 2026kakobuysheetfind, Alo Jackets kakobuysheet2026"},"finish_reason":"stop"}],"usage":{"prompt_tokens":644,"completion_tokens":227,"total_tokens":871}}</t>
        </is>
      </c>
      <c r="P85" t="inlineStr">
        <is>
          <t>Alo Jackets kakobuy, Alo Jackets kakebuy2026, Alo Jackets kekobuysheet, Alo Jackets kakobuysheet2026, Alo Jackets 2026kakobuy, Alo Jackets kakobuyspreadsheeet, Alo Jackets kakobuylink, Alo Jackets kakebuylist, Alo Jackets Kakobuy MEGA Spreadsheet, Alo Jackets kakobuysheetfind, Alo Jackets kakobuysheetfind2026, Alo Jackets 2026kakobuysheetfind, Alo Jackets kakobuysheet2026</t>
        </is>
      </c>
      <c r="Q85" t="inlineStr">
        <is>
          <t>Navy, Color Block, Windproof, Outdoor, Streetwear, Unisex</t>
        </is>
      </c>
      <c r="R85" t="inlineStr">
        <is>
          <t>recvjR8RzVEG24</t>
        </is>
      </c>
      <c r="S85" t="inlineStr">
        <is>
          <t>alo-navy-colorblock-hooded-windbreaker-recvjr8rzveg24</t>
        </is>
      </c>
      <c r="T85"/>
      <c r="U85"/>
      <c r="V85"/>
      <c r="W85" t="inlineStr">
        <is>
          <t>{"id":"resp_0ce13dd36e121043016a0ab2e39050819aa65a4ae60260b088","object":"chat.completion","created":1779086053,"model":"gpt-5.5","choices":[{"index":0,"message":{"role":"assistant","content":"Alo：深蓝拼色连帽冲锋夹克，防风机能面料，大Logo印花，户外运动休闲风，男女通用潮流外套"},"finish_reason":"stop"}],"usage":{"prompt_tokens":1171,"completion_tokens":40,"total_tokens":1211}}</t>
        </is>
      </c>
      <c r="X85" t="inlineStr">
        <is>
          <t>Alo：深蓝拼色连帽冲锋夹克，防风机能面料，大Logo印花，户外运动休闲风，男女通用潮流外套</t>
        </is>
      </c>
    </row>
    <row r="86" ht="25.5" customHeight="1">
      <c r="A86">
        <v>1839115443</v>
      </c>
      <c r="B86">
        <v>7766074423</v>
      </c>
      <c r="C86" s="2" t="str">
        <f>=HYPERLINK("https://weidian.com/item.html?itemID=7766074423", "https://weidian.com/item.html?itemID=7766074423")</f>
        <v>https://weidian.com/item.html?itemID=7766074423</v>
      </c>
      <c r="D86"/>
      <c r="E86" s="2" t="str">
        <f>=HYPERLINK("https://si.geilicdn.com/open1839115443-252808396-006d0000019e340196910a22d249_800_800.jpg?w=640&amp;h=640", "https://si.geilicdn.com/open1839115443-252808396-006d0000019e340196910a22d249_800_800.jpg?w=640&amp;h=640")</f>
        <v>https://si.geilicdn.com/open1839115443-252808396-006d0000019e340196910a22d249_800_800.jpg?w=640&amp;h=640</v>
      </c>
      <c r="F86" t="inlineStr">
        <is>
          <t>T-Shirts</t>
        </is>
      </c>
      <c r="G86" t="inlineStr">
        <is>
          <t>Other</t>
        </is>
      </c>
      <c r="H86">
        <v>146</v>
      </c>
      <c r="I86">
        <v>21.16</v>
      </c>
      <c r="J86" t="inlineStr">
        <is>
          <t>{"id":"resp_07d8872e88828d78016a0ab66f43d4819a8d1348a07637120d","object":"chat.completion","created":1779086962,"model":"gpt-5.5","choices":[{"index":0,"message":{"role":"assistant","content":"Vintage Gray Black Raglan T-Shirt Cotton Unisex Streetwear"},"finish_reason":"stop"}],"usage":{"prompt_tokens":725,"completion_tokens":138,"total_tokens":863}}</t>
        </is>
      </c>
      <c r="K86" t="inlineStr">
        <is>
          <t>Vintage Gray Black Raglan T-Shirt Cotton Unisex Streetwear</t>
        </is>
      </c>
      <c r="L86" t="inlineStr">
        <is>
          <t>{"id":"resp_0ce6347122482ad2016a0ab46e8e68819abc9a9f39302aa061","object":"chat.completion","created":1779086451,"model":"gpt-5.5","choices":[{"index":0,"message":{"role":"assistant","content":"T-ShirtsOther Vintage gray-black raglan short sleeve T-shirt, soft breathable cotton, small chest totem logo, casual streetwear couple unisex top"},"finish_reason":"stop"}],"usage":{"prompt_tokens":734,"completion_tokens":180,"total_tokens":914}}</t>
        </is>
      </c>
      <c r="M86" t="inlineStr">
        <is>
          <t>{"alt-svc":"h3=\":443\"; ma=2592000","connection":"close","content-length":"439","content-type":"application/json; charset=utf-8","date":"Mon, 18 May 2026 06:40:51 GMT","referrer-policy":"strict-origin-when-cross-origin","server":"nginx/1.24.0 (Ubuntu)","strict-transport-security":"max-age=31536000; includeSubDomains; preload","vary":"Accept-Encoding","via":"1.1 Caddy","x-content-type-options":"nosniff","x-frame-options":"DENY","x-new-api-version":"v1.0.0-rc.2","x-oneapi-request-id":"20260518064046733108678268d9d6vjp3x9s9","x-request-id":"d657be0a-df94-4529-95ed-52d87313fd70"}</t>
        </is>
      </c>
      <c r="N86" t="inlineStr">
        <is>
          <t>T-ShirtsOther Vintage gray-black raglan short sleeve T-shirt, soft breathable cotton, small chest totem logo, casual streetwear couple unisex top</t>
        </is>
      </c>
      <c r="O86" t="inlineStr">
        <is>
          <t>{"id":"resp_080bccc538d4440b016a0ab81457e8819495862fa6a9c6d0f4","object":"chat.completion","created":1779087385,"model":"gpt-5.5","choices":[{"index":0,"message":{"role":"assistant","content":"Other T-Shirts kakobuy, Other T-Shirts kakebuy2026, Other T-Shirts kekobuysheet, Other T-Shirts kakobuysheet2026, Other T-Shirts 2026kakobuy, Other T-Shirts kakobuyspreadsheeet, Other T-Shirts kakobuylink, Other T-Shirts kakebuylist, Other T-Shirts Kakobuy MEGA Spreadsheet, Other T-Shirts kakobuysheetfind, Other T-Shirts kakobuysheetfind2026, Other T-Shirts 2026kakobuysheetfind, Other T-Shirts kakobuysheet2026"},"finish_reason":"stop"}],"usage":{"prompt_tokens":643,"completion_tokens":227,"total_tokens":870}}</t>
        </is>
      </c>
      <c r="P86" t="inlineStr">
        <is>
          <t>Other T-Shirts kakobuy, Other T-Shirts kakebuy2026, Other T-Shirts kekobuysheet, Other T-Shirts kakobuysheet2026, Other T-Shirts 2026kakobuy, Other T-Shirts kakobuyspreadsheeet, Other T-Shirts kakobuylink, Other T-Shirts kakebuylist, Other T-Shirts Kakobuy MEGA Spreadsheet, Other T-Shirts kakobuysheetfind, Other T-Shirts kakobuysheetfind2026, Other T-Shirts 2026kakobuysheetfind, Other T-Shirts kakobuysheet2026</t>
        </is>
      </c>
      <c r="Q86"/>
      <c r="R86" t="inlineStr">
        <is>
          <t>recvjR8RzVGf7J</t>
        </is>
      </c>
      <c r="S86" t="inlineStr">
        <is>
          <t>vintage-gray-black-raglan-t-shirt-recvjr8rzvgf7j</t>
        </is>
      </c>
      <c r="T86"/>
      <c r="U86"/>
      <c r="V86"/>
      <c r="W86" t="inlineStr">
        <is>
          <t>{"id":"resp_0c37c7546f637be0016a0ab342cb28819a9cec016dfaff7a59","object":"chat.completion","created":1779086150,"model":"gpt-5.5","choices":[{"index":0,"message":{"role":"assistant","content":"复古灰黑撞色插肩短袖T恤，柔软棉质透气面料，小胸标图腾，休闲街头风情侣男女款上衣"},"finish_reason":"stop"}],"usage":{"prompt_tokens":1157,"completion_tokens":133,"total_tokens":1290}}</t>
        </is>
      </c>
      <c r="X86" t="inlineStr">
        <is>
          <t>复古灰黑撞色插肩短袖T恤，柔软棉质透气面料，小胸标图腾，休闲街头风情侣男女款上衣</t>
        </is>
      </c>
    </row>
    <row r="87" ht="25.5" customHeight="1">
      <c r="A87">
        <v>1839115443</v>
      </c>
      <c r="B87">
        <v>7769097662</v>
      </c>
      <c r="C87" s="2" t="str">
        <f>=HYPERLINK("https://weidian.com/item.html?itemID=7769097662", "https://weidian.com/item.html?itemID=7769097662")</f>
        <v>https://weidian.com/item.html?itemID=7769097662</v>
      </c>
      <c r="D87"/>
      <c r="E87" s="2" t="str">
        <f>=HYPERLINK("https://si.geilicdn.com/open1839115443-252808396-794e0000019e3402482d0a23b4de_1000_1000.jpg?w=640&amp;h=640", "https://si.geilicdn.com/open1839115443-252808396-794e0000019e3402482d0a23b4de_1000_1000.jpg?w=640&amp;h=640")</f>
        <v>https://si.geilicdn.com/open1839115443-252808396-794e0000019e3402482d0a23b4de_1000_1000.jpg?w=640&amp;h=640</v>
      </c>
      <c r="F87" t="inlineStr">
        <is>
          <t>Hoodies</t>
        </is>
      </c>
      <c r="G87" t="inlineStr">
        <is>
          <t xml:space="preserve"> Lacoste</t>
        </is>
      </c>
      <c r="H87">
        <v>227</v>
      </c>
      <c r="I87">
        <v>32.9</v>
      </c>
      <c r="J87" t="inlineStr">
        <is>
          <t>{"id":"resp_05973e532cc8baca016a0ab61eafb0819997fc2119e6d7122d","object":"chat.completion","created":1779086886,"model":"gpt-5.5","choices":[{"index":0,"message":{"role":"assistant","content":"Lacoste Grey Zip-Up Hoodie Cotton Fleece Logo Jacket"},"finish_reason":"stop"}],"usage":{"prompt_tokens":726,"completion_tokens":121,"total_tokens":847}}</t>
        </is>
      </c>
      <c r="K87" t="inlineStr">
        <is>
          <t>Lacoste Grey Zip-Up Hoodie Cotton Fleece Logo Jacket</t>
        </is>
      </c>
      <c r="L87" t="inlineStr">
        <is>
          <t>{"id":"resp_0fd8e49f88a1abf4016a0ab4f0e9d88193aebcdc6079ce08d7","object":"chat.completion","created":1779086580,"model":"gpt-5.5","choices":[{"index":0,"message":{"role":"assistant","content":"Lacoste grey zip-up hoodie, cotton-blend fleece, embroidered crocodile logo, unisex casual sports full-zip hooded sweatshirt jacket."},"finish_reason":"stop"}],"usage":{"prompt_tokens":749,"completion_tokens":100,"total_tokens":849}}</t>
        </is>
      </c>
      <c r="M87" t="inlineStr">
        <is>
          <t>{"alt-svc":"h3=\":443\"; ma=2592000","connection":"close","content-length":"426","content-type":"application/json; charset=utf-8","date":"Mon, 18 May 2026 06:43:00 GMT","referrer-policy":"strict-origin-when-cross-origin","server":"Caddy","strict-transport-security":"max-age=31536000; includeSubDomains; preload","vary":"Accept-Encoding","x-content-type-options":"nosniff","x-frame-options":"DENY","x-new-api-version":"v1.0.0-rc.2","x-oneapi-request-id":"202605180642566425484028268d9d6vsBtsJdU","x-request-id":"b6bbe73f-26ae-4c92-90af-6476898cf8ff"}</t>
        </is>
      </c>
      <c r="N87" t="inlineStr">
        <is>
          <t>Lacoste grey zip-up hoodie, cotton-blend fleece, embroidered crocodile logo, unisex casual sports full-zip hooded sweatshirt jacket.</t>
        </is>
      </c>
      <c r="O87" t="inlineStr">
        <is>
          <t>{"id":"resp_016ebf0584e4c0c2016a0ab863b6f4819ab0507171575ab6c0","object":"chat.completion","created":1779087466,"model":"gpt-5.5","choices":[{"index":0,"message":{"role":"assistant","content":"Lacoste Hoodies kakobuy, Lacoste Hoodies kakebuy2026, Lacoste Hoodies kekobuysheet, Lacoste Hoodies kakobuysheet2026, Lacoste Hoodies 2026kakobuy, Lacoste Hoodies kakobuyspreadsheeet, Lacoste Hoodies kakobuylink, Lacoste Hoodies kakebuylist, Lacoste Hoodies Kakobuy MEGA Spreadsheet, Lacoste Hoodies kakobuysheetfind, Lacoste Hoodies kakobuysheetfind2026, Lacoste Hoodies 2026kakobuysheetfind, Lacoste Hoodies kakobuysheet2026"},"finish_reason":"stop"}],"usage":{"prompt_tokens":645,"completion_tokens":289,"total_tokens":934}}</t>
        </is>
      </c>
      <c r="P87" t="inlineStr">
        <is>
          <t>Lacoste Hoodies kakobuy, Lacoste Hoodies kakebuy2026, Lacoste Hoodies kekobuysheet, Lacoste Hoodies kakobuysheet2026, Lacoste Hoodies 2026kakobuy, Lacoste Hoodies kakobuyspreadsheeet, Lacoste Hoodies kakobuylink, Lacoste Hoodies kakebuylist, Lacoste Hoodies Kakobuy MEGA Spreadsheet, Lacoste Hoodies kakobuysheetfind, Lacoste Hoodies kakobuysheetfind2026, Lacoste Hoodies 2026kakobuysheetfind, Lacoste Hoodies kakobuysheet2026</t>
        </is>
      </c>
      <c r="Q87" t="inlineStr">
        <is>
          <t>Grey, Unisex, Sporty</t>
        </is>
      </c>
      <c r="R87" t="inlineStr">
        <is>
          <t>recvjR8RzVypO8</t>
        </is>
      </c>
      <c r="S87" t="inlineStr">
        <is>
          <t>lacoste-grey-zip-hoodie-cotton-fleece-logo-jacket-recvjr8rzvypo8</t>
        </is>
      </c>
      <c r="T87"/>
      <c r="U87"/>
      <c r="V87"/>
      <c r="W87" t="inlineStr">
        <is>
          <t>{"id":"resp_09d4bc3ad21eb76d016a0ab2ec6de0819bb2f9da01b8d62df3","object":"chat.completion","created":1779086070,"model":"gpt-5.5","choices":[{"index":0,"message":{"role":"assistant","content":"鳄鱼 Lacoste 灰色拉链连帽卫衣，棉质混纺抓绒面料，小鳄鱼Logo刺绣，休闲运动风男女通用开衫外套。"},"finish_reason":"stop"}],"usage":{"prompt_tokens":1170,"completion_tokens":134,"total_tokens":1304}}</t>
        </is>
      </c>
      <c r="X87" t="inlineStr">
        <is>
          <t>鳄鱼 Lacoste 灰色拉链连帽卫衣，棉质混纺抓绒面料，小鳄鱼Logo刺绣，休闲运动风男女通用开衫外套。</t>
        </is>
      </c>
    </row>
    <row r="88" ht="25.5" customHeight="1">
      <c r="A88">
        <v>1839115443</v>
      </c>
      <c r="B88">
        <v>7768999356</v>
      </c>
      <c r="C88" s="2" t="str">
        <f>=HYPERLINK("https://weidian.com/item.html?itemID=7768999356", "https://weidian.com/item.html?itemID=7768999356")</f>
        <v>https://weidian.com/item.html?itemID=7768999356</v>
      </c>
      <c r="D88"/>
      <c r="E88" s="2" t="str">
        <f>=HYPERLINK("https://si.geilicdn.com/open1839115443-252808396-093f0000019e341da52d0a22d249_1920_1920.jpg?w=640&amp;h=640", "https://si.geilicdn.com/open1839115443-252808396-093f0000019e341da52d0a22d249_1920_1920.jpg?w=640&amp;h=640")</f>
        <v>https://si.geilicdn.com/open1839115443-252808396-093f0000019e341da52d0a22d249_1920_1920.jpg?w=640&amp;h=640</v>
      </c>
      <c r="F88" t="inlineStr">
        <is>
          <t>T-Shirts</t>
        </is>
      </c>
      <c r="G88" t="inlineStr">
        <is>
          <t>Essentials</t>
        </is>
      </c>
      <c r="H88">
        <v>142</v>
      </c>
      <c r="I88">
        <v>20.58</v>
      </c>
      <c r="J88" t="inlineStr">
        <is>
          <t>{"id":"resp_0e13706329691681016a0ab5ad42288198a5aaf01229d6e96b","object":"chat.completion","created":1779086768,"model":"gpt-5.5","choices":[{"index":0,"message":{"role":"assistant","content":"Essentials Black T-Shirt Shorts Set Unisex Cotton Summer"},"finish_reason":"stop"}],"usage":{"prompt_tokens":728,"completion_tokens":132,"total_tokens":860}}</t>
        </is>
      </c>
      <c r="K88" t="inlineStr">
        <is>
          <t>Essentials Black T-Shirt Shorts Set Unisex Cotton Summer</t>
        </is>
      </c>
      <c r="L88" t="inlineStr">
        <is>
          <t>{"id":"resp_0db6d778975d0d41016a0ab4d8a8f0819bafd206fd4c4ab5c4","object":"chat.completion","created":1779086556,"model":"gpt-5.5","choices":[{"index":0,"message":{"role":"assistant","content":"Essentials Black T-Shirt &amp; Shorts Set, cotton breathable unisex summer 2-piece with small letter logo, loose casual streetwear outfit for men and women"},"finish_reason":"stop"}],"usage":{"prompt_tokens":746,"completion_tokens":132,"total_tokens":878}}</t>
        </is>
      </c>
      <c r="M88" t="inlineStr">
        <is>
          <t>{"alt-svc":"h3=\":443\"; ma=2592000","connection":"close","content-length":"450","content-type":"application/json; charset=utf-8","date":"Mon, 18 May 2026 06:42:36 GMT","referrer-policy":"strict-origin-when-cross-origin","server":"nginx/1.24.0 (Ubuntu)","strict-transport-security":"max-age=31536000; includeSubDomains; preload","vary":"Accept-Encoding","via":"1.1 Caddy","x-content-type-options":"nosniff","x-frame-options":"DENY","x-new-api-version":"v1.0.0-rc.2","x-oneapi-request-id":"202605180642323636416578268d9d6Z2BQSIS1","x-request-id":"b3e9d0b0-f2f3-48c1-9b29-3bedb53080e2"}</t>
        </is>
      </c>
      <c r="N88" t="inlineStr">
        <is>
          <t>Essentials Black T-Shirt &amp; Shorts Set, cotton breathable unisex summer 2-piece with small letter logo, loose casual streetwear outfit for men and women</t>
        </is>
      </c>
      <c r="O88" t="inlineStr">
        <is>
          <t>{"id":"resp_0010d6aced28dc73016a0ab833b4d0819aa3a7232308710d76","object":"chat.completion","created":1779087419,"model":"gpt-5.5","choices":[{"index":0,"message":{"role":"assistant","content":"Essentials T-Shirts kakobuy, Essentials T-Shirts kakebuy2026, Essentials T-Shirts kekobuysheet, Essentials T-Shirts kakobuysheet2026, Essentials T-Shirts 2026kakobuy, Essentials T-Shirts kakobuyspreadsheeet, Essentials T-Shirts kakobuylink, Essentials T-Shirts kakebuylist, Essentials T-Shirts Kakobuy MEGA Spreadsheet, Essentials T-Shirts kakobuysheetfind, Essentials T-Shirts kakobuysheetfind2026, Essentials T-Shirts 2026kakobuysheetfind, Essentials T-Shirts kakobuysheet2026"},"finish_reason":"stop"}],"usage":{"prompt_tokens":644,"completion_tokens":367,"total_tokens":1011}}</t>
        </is>
      </c>
      <c r="P88" t="inlineStr">
        <is>
          <t>Essentials T-Shirts kakobuy, Essentials T-Shirts kakebuy2026, Essentials T-Shirts kekobuysheet, Essentials T-Shirts kakobuysheet2026, Essentials T-Shirts 2026kakobuy, Essentials T-Shirts kakobuyspreadsheeet, Essentials T-Shirts kakobuylink, Essentials T-Shirts kakebuylist, Essentials T-Shirts Kakobuy MEGA Spreadsheet, Essentials T-Shirts kakobuysheetfind, Essentials T-Shirts kakobuysheetfind2026, Essentials T-Shirts 2026kakobuysheetfind, Essentials T-Shirts kakobuysheet2026</t>
        </is>
      </c>
      <c r="Q88" t="inlineStr">
        <is>
          <t>Black, Breathable, Unisex, Summer, Streetwear</t>
        </is>
      </c>
      <c r="R88" t="inlineStr">
        <is>
          <t>recvjR8RzVx8wy</t>
        </is>
      </c>
      <c r="S88" t="inlineStr">
        <is>
          <t>essentials-black-t-shirt-shorts-set-recvjr8rzvx8wy</t>
        </is>
      </c>
      <c r="T88"/>
      <c r="U88"/>
      <c r="V88"/>
      <c r="W88" t="inlineStr">
        <is>
          <t>{"id":"resp_04558984867f05f9016a0ab20eb724819790f11c279da6ec6e","object":"chat.completion","created":1779085843,"model":"gpt-5.5","choices":[{"index":0,"message":{"role":"assistant","content":"黑色 Essentials 短袖T恤短裤套装，棉质舒适透气，小字母Logo点缀，宽松休闲街头风，男女通用夏季两件套。"},"finish_reason":"stop"}],"usage":{"prompt_tokens":1167,"completion_tokens":140,"total_tokens":1307}}</t>
        </is>
      </c>
      <c r="X88" t="inlineStr">
        <is>
          <t>黑色 Essentials 短袖T恤短裤套装，棉质舒适透气，小字母Logo点缀，宽松休闲街头风，男女通用夏季两件套。</t>
        </is>
      </c>
    </row>
    <row r="89" ht="25.5" customHeight="1">
      <c r="A89">
        <v>1839115443</v>
      </c>
      <c r="B89">
        <v>7769111680</v>
      </c>
      <c r="C89" s="2" t="str">
        <f>=HYPERLINK("https://weidian.com/item.html?itemID=7769111680", "https://weidian.com/item.html?itemID=7769111680")</f>
        <v>https://weidian.com/item.html?itemID=7769111680</v>
      </c>
      <c r="D89"/>
      <c r="E89" s="2" t="str">
        <f>=HYPERLINK("https://si.geilicdn.com/open1839115443-252808396-00980000019e34293dd40aa08239_800_800.jpg?w=640&amp;h=640", "https://si.geilicdn.com/open1839115443-252808396-00980000019e34293dd40aa08239_800_800.jpg?w=640&amp;h=640")</f>
        <v>https://si.geilicdn.com/open1839115443-252808396-00980000019e34293dd40aa08239_800_800.jpg?w=640&amp;h=640</v>
      </c>
      <c r="F89" t="inlineStr">
        <is>
          <t>Hoodies</t>
        </is>
      </c>
      <c r="G89" t="inlineStr">
        <is>
          <t>Essentials</t>
        </is>
      </c>
      <c r="H89">
        <v>213</v>
      </c>
      <c r="I89">
        <v>30.87</v>
      </c>
      <c r="J89" t="inlineStr">
        <is>
          <t>{"id":"resp_0e62a4ae14efaeb5016a0ab5c9103081988c042748b26172ce","object":"chat.completion","created":1779086797,"model":"gpt-5.5","choices":[{"index":0,"message":{"role":"assistant","content":"Essentials White Logo Oversized Fleece Pullover Hoodie"},"finish_reason":"stop"}],"usage":{"prompt_tokens":723,"completion_tokens":134,"total_tokens":857}}</t>
        </is>
      </c>
      <c r="K89" t="inlineStr">
        <is>
          <t>Essentials White Logo Oversized Fleece Pullover Hoodie</t>
        </is>
      </c>
      <c r="L89" t="inlineStr">
        <is>
          <t>{"id":"resp_00ebaeb73ffa7957016a0ab4c228bc819bbc9b9b8dc85413b4","object":"chat.completion","created":1779086533,"model":"gpt-5.5","choices":[{"index":0,"message":{"role":"assistant","content":"HoodiesEssentials white logo hoodie, cotton-blend fleece pullover, warm oversized streetwear sweatshirt, unisex casual hooded top"},"finish_reason":"stop"}],"usage":{"prompt_tokens":739,"completion_tokens":120,"total_tokens":859}}</t>
        </is>
      </c>
      <c r="M89" t="inlineStr">
        <is>
          <t>{"alt-svc":"h3=\":443\"; ma=2592000","connection":"close","content-length":"423","content-type":"application/json; charset=utf-8","date":"Mon, 18 May 2026 06:42:13 GMT","referrer-policy":"strict-origin-when-cross-origin","server":"Caddy","strict-transport-security":"max-age=31536000; includeSubDomains; preload","vary":"Accept-Encoding","x-content-type-options":"nosniff","x-frame-options":"DENY","x-new-api-version":"v1.0.0-rc.2","x-oneapi-request-id":"202605180642097388996058268d9d6uEt9NBE4","x-request-id":"c34667c6-b358-42f8-bc87-c4f2bd2a3e41"}</t>
        </is>
      </c>
      <c r="N89" t="inlineStr">
        <is>
          <t>HoodiesEssentials white logo hoodie, cotton-blend fleece pullover, warm oversized streetwear sweatshirt, unisex casual hooded top</t>
        </is>
      </c>
      <c r="O89" t="inlineStr">
        <is>
          <t>{"id":"resp_09b303fff9b11c64016a0ab8723a7c819586c1b6ce9ef52bda","object":"chat.completion","created":1779087481,"model":"gpt-5.5","choices":[{"index":0,"message":{"role":"assistant","content":"Essentials Hoodies kakobuy, Essentials Hoodies kakebuy2026, Essentials Hoodies kekobuysheet, Essentials Hoodies kakobuysheet2026, Essentials Hoodies 2026kakobuy, Essentials Hoodies kakobuyspreadsheeet, Essentials Hoodies kakobuylink, Essentials Hoodies kakebuylist, Essentials Hoodies Kakobuy MEGA Spreadsheet, Essentials Hoodies kakobuysheetfind, Essentials Hoodies kakobuysheetfind2026, Essentials Hoodies 2026kakobuysheetfind, Essentials Hoodies kakobuysheet2026"},"finish_reason":"stop"}],"usage":{"prompt_tokens":645,"completion_tokens":270,"total_tokens":915}}</t>
        </is>
      </c>
      <c r="P89" t="inlineStr">
        <is>
          <t>Essentials Hoodies kakobuy, Essentials Hoodies kakebuy2026, Essentials Hoodies kekobuysheet, Essentials Hoodies kakobuysheet2026, Essentials Hoodies 2026kakobuy, Essentials Hoodies kakobuyspreadsheeet, Essentials Hoodies kakobuylink, Essentials Hoodies kakebuylist, Essentials Hoodies Kakobuy MEGA Spreadsheet, Essentials Hoodies kakobuysheetfind, Essentials Hoodies kakobuysheetfind2026, Essentials Hoodies 2026kakobuysheetfind, Essentials Hoodies kakobuysheet2026</t>
        </is>
      </c>
      <c r="Q89" t="inlineStr">
        <is>
          <t>White, Streetwear, Unisex, Fleece-Lined</t>
        </is>
      </c>
      <c r="R89" t="inlineStr">
        <is>
          <t>recvjR8RzV23Jp</t>
        </is>
      </c>
      <c r="S89" t="inlineStr">
        <is>
          <t>essentials-white-logo-oversized-fleece-pullover-hoodie-recvjr8rzv23jp</t>
        </is>
      </c>
      <c r="T89"/>
      <c r="U89"/>
      <c r="V89"/>
      <c r="W89" t="inlineStr">
        <is>
          <t>{"id":"resp_03604dd4c71609d8016a0ab2a5086881999a3bcbd4eb0125f9","object":"chat.completion","created":1779085993,"model":"gpt-5.5","choices":[{"index":0,"message":{"role":"assistant","content":"潮牌Essentials白色连帽卫衣，棉混纺抓绒保暖，胸前字母Logo印花，宽松街头休闲风男女同款帽衫"},"finish_reason":"stop"}],"usage":{"prompt_tokens":1158,"completion_tokens":178,"total_tokens":1336}}</t>
        </is>
      </c>
      <c r="X89" t="inlineStr">
        <is>
          <t>潮牌Essentials白色连帽卫衣，棉混纺抓绒保暖，胸前字母Logo印花，宽松街头休闲风男女同款帽衫</t>
        </is>
      </c>
    </row>
    <row r="90" ht="25.5" customHeight="1">
      <c r="A90">
        <v>1839115443</v>
      </c>
      <c r="B90">
        <v>7769003588</v>
      </c>
      <c r="C90" s="2" t="str">
        <f>=HYPERLINK("https://weidian.com/item.html?itemID=7769003588", "https://weidian.com/item.html?itemID=7769003588")</f>
        <v>https://weidian.com/item.html?itemID=7769003588</v>
      </c>
      <c r="D90"/>
      <c r="E90" s="2" t="str">
        <f>=HYPERLINK("https://si.geilicdn.com/open1839115443-252808396-79ce0000019e342999e90aa08269_1200_1200.jpg?w=640&amp;h=640", "https://si.geilicdn.com/open1839115443-252808396-79ce0000019e342999e90aa08269_1200_1200.jpg?w=640&amp;h=640")</f>
        <v>https://si.geilicdn.com/open1839115443-252808396-79ce0000019e342999e90aa08269_1200_1200.jpg?w=640&amp;h=640</v>
      </c>
      <c r="F90" t="inlineStr">
        <is>
          <t>Pans</t>
        </is>
      </c>
      <c r="G90" t="inlineStr">
        <is>
          <t xml:space="preserve">Prada </t>
        </is>
      </c>
      <c r="H90">
        <v>167</v>
      </c>
      <c r="I90">
        <v>24.2</v>
      </c>
      <c r="J90" t="inlineStr">
        <is>
          <t>{"id":"resp_0187c81909c9d3d6016a0ab6227dc0819789d213cb1a80557c","object":"chat.completion","created":1779086886,"model":"gpt-5.5","choices":[{"index":0,"message":{"role":"assistant","content":"Prada Triangle Logo Cotton Drawstring Unisex Jogger Pants"},"finish_reason":"stop"}],"usage":{"prompt_tokens":723,"completion_tokens":136,"total_tokens":859}}</t>
        </is>
      </c>
      <c r="K90" t="inlineStr">
        <is>
          <t>Prada Triangle Logo Cotton Drawstring Unisex Jogger Pants</t>
        </is>
      </c>
      <c r="L90" t="inlineStr">
        <is>
          <t>{"id":"resp_0656d1a3660d6031016a0ab4fce9a88199a9f7591c9655d2bc","object":"chat.completion","created":1779086592,"model":"gpt-5.5","choices":[{"index":0,"message":{"role":"assistant","content":"Prada grey triangle logo drawstring cotton sweatpants, loose unisex jogger pants with elastic cuffs, casual streetwear trousers for men and women"},"finish_reason":"stop"}],"usage":{"prompt_tokens":738,"completion_tokens":123,"total_tokens":861}}</t>
        </is>
      </c>
      <c r="M90" t="inlineStr">
        <is>
          <t>{"alt-svc":"h3=\":443\"; ma=2592000","connection":"close","content-length":"439","content-type":"application/json; charset=utf-8","date":"Mon, 18 May 2026 06:43:12 GMT","referrer-policy":"strict-origin-when-cross-origin","server":"nginx/1.24.0 (Ubuntu)","strict-transport-security":"max-age=31536000; includeSubDomains; preload","vary":"Accept-Encoding","via":"1.1 Caddy","x-content-type-options":"nosniff","x-frame-options":"DENY","x-new-api-version":"v1.0.0-rc.2","x-oneapi-request-id":"202605180643078320470628268d9d6SG6T7XiR","x-request-id":"4150eba8-1a34-47f1-97c2-d04bb2f8c84f"}</t>
        </is>
      </c>
      <c r="N90" t="inlineStr">
        <is>
          <t>Prada grey triangle logo drawstring cotton sweatpants, loose unisex jogger pants with elastic cuffs, casual streetwear trousers for men and women</t>
        </is>
      </c>
      <c r="O90" t="inlineStr">
        <is>
          <t>{"id":"resp_003a7a31d5920938016a0ab7fb9a3c8195862d6bcb78cc4ae0","object":"chat.completion","created":1779087363,"model":"gpt-5.5","choices":[{"index":0,"message":{"role":"assistant","content":"PansPrada pants kakobuy, PansPrada pants kakebuy2026, PansPrada pants kekobuysheet, PansPrada pants kakobuysheet2026, PansPrada pants 2026kakobuy, PansPrada pants kakobuyspreadsheeet, PansPrada pants kakobuylink, PansPrada pants kakebuylist, PansPrada pants Kakobuy MEGA Spreadsheet, PansPrada pants kakobuysheetfind, PansPrada pants kakobuysheetfind2026, PansPrada pants 2026kakobuysheetfind, PansPrada pants kakobuysheet2026"},"finish_reason":"stop"}],"usage":{"prompt_tokens":644,"completion_tokens":353,"total_tokens":997}}</t>
        </is>
      </c>
      <c r="P90" t="inlineStr">
        <is>
          <t>PansPrada pants kakobuy, PansPrada pants kakebuy2026, PansPrada pants kekobuysheet, PansPrada pants kakobuysheet2026, PansPrada pants 2026kakobuy, PansPrada pants kakobuyspreadsheeet, PansPrada pants kakobuylink, PansPrada pants kakebuylist, PansPrada pants Kakobuy MEGA Spreadsheet, PansPrada pants kakobuysheetfind, PansPrada pants kakobuysheetfind2026, PansPrada pants 2026kakobuysheetfind, PansPrada pants kakobuysheet2026</t>
        </is>
      </c>
      <c r="Q90" t="inlineStr">
        <is>
          <t>Grey, Streetwear, Unisex, Joggers</t>
        </is>
      </c>
      <c r="R90" t="inlineStr">
        <is>
          <t>recvjR8RzVaQFv</t>
        </is>
      </c>
      <c r="S90" t="inlineStr">
        <is>
          <t>prada-triangle-logo-cotton-jogger-pants-recvjr8rzvaqfv</t>
        </is>
      </c>
      <c r="T90"/>
      <c r="U90"/>
      <c r="V90"/>
      <c r="W90" t="inlineStr">
        <is>
          <t>{"id":"resp_04c0f4c233e2a43e016a0ab296ef588198a138fd08302173b1","object":"chat.completion","created":1779085980,"model":"gpt-5.5","choices":[{"index":0,"message":{"role":"assistant","content":"普拉达Prada 灰色三角标抽绳运动裤，棉质卫裤面料，休闲宽松束脚设计，男女通用潮流长裤"},"finish_reason":"stop"}],"usage":{"prompt_tokens":1163,"completion_tokens":127,"total_tokens":1290}}</t>
        </is>
      </c>
      <c r="X90" t="inlineStr">
        <is>
          <t>普拉达Prada 灰色三角标抽绳运动裤，棉质卫裤面料，休闲宽松束脚设计，男女通用潮流长裤</t>
        </is>
      </c>
    </row>
    <row r="91" ht="25.5" customHeight="1">
      <c r="A91">
        <v>1839115443</v>
      </c>
      <c r="B91">
        <v>7769025172</v>
      </c>
      <c r="C91" s="2" t="str">
        <f>=HYPERLINK("https://weidian.com/item.html?itemID=7769025172", "https://weidian.com/item.html?itemID=7769025172")</f>
        <v>https://weidian.com/item.html?itemID=7769025172</v>
      </c>
      <c r="D91"/>
      <c r="E91" s="2" t="str">
        <f>=HYPERLINK("https://si.geilicdn.com/open1839115443-252808396-6a6f0000019e34280ee50a8115c2_800_800.jpg?w=640&amp;h=640", "https://si.geilicdn.com/open1839115443-252808396-6a6f0000019e34280ee50a8115c2_800_800.jpg?w=640&amp;h=640")</f>
        <v>https://si.geilicdn.com/open1839115443-252808396-6a6f0000019e34280ee50a8115c2_800_800.jpg?w=640&amp;h=640</v>
      </c>
      <c r="F91" t="inlineStr">
        <is>
          <t>T-Shirts</t>
        </is>
      </c>
      <c r="G91" t="inlineStr">
        <is>
          <t>Other</t>
        </is>
      </c>
      <c r="H91">
        <v>121</v>
      </c>
      <c r="I91">
        <v>17.54</v>
      </c>
      <c r="J91" t="inlineStr">
        <is>
          <t>{"id":"resp_08bdf64a589fe989016a0ab5c162e08190a04c1e43ccec0cbf","object":"chat.completion","created":1779086788,"model":"gpt-5.5","choices":[{"index":0,"message":{"role":"assistant","content":"Unisex White Ink Totem Polo T-Shirt Jogger Set"},"finish_reason":"stop"}],"usage":{"prompt_tokens":733,"completion_tokens":115,"total_tokens":848}}</t>
        </is>
      </c>
      <c r="K91" t="inlineStr">
        <is>
          <t>Unisex White Ink Totem Polo T-Shirt Jogger Set</t>
        </is>
      </c>
      <c r="L91" t="inlineStr">
        <is>
          <t>{"id":"resp_044d2802f344f786016a0ab567e390819a939f77ed35195af4","object":"chat.completion","created":1779086698,"model":"gpt-5.5","choices":[{"index":0,"message":{"role":"assistant","content":"T-ShirtsOther White cotton polo T-shirt set, ink totem print patchwork, short sleeve top &amp; jogger pants, unisex summer casual sportswear two-piece outfit"},"finish_reason":"stop"}],"usage":{"prompt_tokens":738,"completion_tokens":75,"total_tokens":813}}</t>
        </is>
      </c>
      <c r="M91" t="inlineStr">
        <is>
          <t>{"alt-svc":"h3=\":443\"; ma=2592000","connection":"close","content-length":"451","content-type":"application/json; charset=utf-8","date":"Mon, 18 May 2026 06:44:58 GMT","referrer-policy":"strict-origin-when-cross-origin","server":"nginx/1.24.0 (Ubuntu)","strict-transport-security":"max-age=31536000; includeSubDomains; preload","vary":"Accept-Encoding","via":"1.1 Caddy","x-content-type-options":"nosniff","x-frame-options":"DENY","x-new-api-version":"v1.0.0-rc.2","x-oneapi-request-id":"202605180644553511359818268d9d6jy2QTvu1","x-request-id":"c61534f3-20ef-496c-96b3-53ad8b745be0"}</t>
        </is>
      </c>
      <c r="N91" t="inlineStr">
        <is>
          <t>T-ShirtsOther White cotton polo T-shirt set, ink totem print patchwork, short sleeve top &amp; jogger pants, unisex summer casual sportswear two-piece outfit</t>
        </is>
      </c>
      <c r="O91" t="inlineStr">
        <is>
          <t>{"id":"resp_0802e2b6261edaec016a0ab88c3480819aa51cb1faa96ccb16","object":"chat.completion","created":1779087505,"model":"gpt-5.5","choices":[{"index":0,"message":{"role":"assistant","content":"Other T-Shirts kakobuy, Other T-Shirts kakebuy2026, Other T-Shirts kekobuysheet, Other T-Shirts kakobuysheet2026, Other T-Shirts 2026kakobuy, Other T-Shirts kakobuyspreadsheeet, Other T-Shirts kakobuylink, Other T-Shirts kakebuylist, Other T-Shirts Kakobuy MEGA Spreadsheet, Other T-Shirts kakobuysheetfind, Other T-Shirts kakobuysheetfind2026, Other T-Shirts 2026kakobuysheetfind, Other T-Shirts kakobuysheet2026"},"finish_reason":"stop"}],"usage":{"prompt_tokens":643,"completion_tokens":249,"total_tokens":892}}</t>
        </is>
      </c>
      <c r="P91" t="inlineStr">
        <is>
          <t>Other T-Shirts kakobuy, Other T-Shirts kakebuy2026, Other T-Shirts kekobuysheet, Other T-Shirts kakobuysheet2026, Other T-Shirts 2026kakobuy, Other T-Shirts kakobuyspreadsheeet, Other T-Shirts kakobuylink, Other T-Shirts kakebuylist, Other T-Shirts Kakobuy MEGA Spreadsheet, Other T-Shirts kakobuysheetfind, Other T-Shirts kakobuysheetfind2026, Other T-Shirts 2026kakobuysheetfind, Other T-Shirts kakobuysheet2026</t>
        </is>
      </c>
      <c r="Q91" t="inlineStr">
        <is>
          <t>White, Summer, Unisex, Joggers</t>
        </is>
      </c>
      <c r="R91" t="inlineStr">
        <is>
          <t>recvjR8RzVEWuD</t>
        </is>
      </c>
      <c r="S91" t="inlineStr">
        <is>
          <t>unisex-white-ink-totem-polo-t-shirt-jogger-set-recvjr8rzvewud</t>
        </is>
      </c>
      <c r="T91"/>
      <c r="U91"/>
      <c r="V91"/>
      <c r="W91" t="inlineStr">
        <is>
          <t>{"id":"resp_0b112b36505e9be7016a0ab302e070819780ea2e234a4922b9","object":"chat.completion","created":1779086086,"model":"gpt-5.5","choices":[{"index":0,"message":{"role":"assistant","content":"夏季白色棉质短袖翻领T恤套装，水墨图腾印花拼接设计，休闲运动风男女同款潮流两件套"},"finish_reason":"stop"}],"usage":{"prompt_tokens":1165,"completion_tokens":103,"total_tokens":1268}}</t>
        </is>
      </c>
      <c r="X91" t="inlineStr">
        <is>
          <t>夏季白色棉质短袖翻领T恤套装，水墨图腾印花拼接设计，休闲运动风男女同款潮流两件套</t>
        </is>
      </c>
    </row>
    <row r="92" ht="25.5" customHeight="1">
      <c r="A92">
        <v>1839115443</v>
      </c>
      <c r="B92">
        <v>7769048906</v>
      </c>
      <c r="C92" s="2" t="str">
        <f>=HYPERLINK("https://weidian.com/item.html?itemID=7769048906", "https://weidian.com/item.html?itemID=7769048906")</f>
        <v>https://weidian.com/item.html?itemID=7769048906</v>
      </c>
      <c r="D92"/>
      <c r="E92" s="2" t="str">
        <f>=HYPERLINK("https://si.geilicdn.com/open1839115443-252808396-79780000019e342810300aa08269_784_784.jpg?w=640&amp;h=640", "https://si.geilicdn.com/open1839115443-252808396-79780000019e342810300aa08269_784_784.jpg?w=640&amp;h=640")</f>
        <v>https://si.geilicdn.com/open1839115443-252808396-79780000019e342810300aa08269_784_784.jpg?w=640&amp;h=640</v>
      </c>
      <c r="F92" t="inlineStr">
        <is>
          <t>Jackets</t>
        </is>
      </c>
      <c r="G92" t="inlineStr">
        <is>
          <t>Other</t>
        </is>
      </c>
      <c r="H92">
        <v>333</v>
      </c>
      <c r="I92">
        <v>48.26</v>
      </c>
      <c r="J92" t="inlineStr">
        <is>
          <t>{"id":"resp_0516760603b76d91016a0ab5ec0cb8819ba512bbd851bf4310","object":"chat.completion","created":1779086831,"model":"gpt-5.5","choices":[{"index":0,"message":{"role":"assistant","content":"Vintage Blue Stand Collar Jacket 3 Stripe Suede Windbreaker"},"finish_reason":"stop"}],"usage":{"prompt_tokens":727,"completion_tokens":134,"total_tokens":861}}</t>
        </is>
      </c>
      <c r="K92" t="inlineStr">
        <is>
          <t>Vintage Blue Stand Collar Jacket 3 Stripe Suede Windbreaker</t>
        </is>
      </c>
      <c r="L92" t="inlineStr">
        <is>
          <t>{"id":"resp_055251ebd45b0c62016a0ab552ca108199b935529ae1032798","object":"chat.completion","created":1779086678,"model":"gpt-5.5","choices":[{"index":0,"message":{"role":"assistant","content":"JacketsOther vintage blue stand collar jacket, suede-look fabric, 3 white sleeve stripes, frog buttons, unisex casual sport streetwear windbreaker coat"},"finish_reason":"stop"}],"usage":{"prompt_tokens":737,"completion_tokens":117,"total_tokens":854}}</t>
        </is>
      </c>
      <c r="M92" t="inlineStr">
        <is>
          <t>{"alt-svc":"h3=\":443\"; ma=2592000","connection":"close","content-length":"445","content-type":"application/json; charset=utf-8","date":"Mon, 18 May 2026 06:44:38 GMT","referrer-policy":"strict-origin-when-cross-origin","server":"Caddy","strict-transport-security":"max-age=31536000; includeSubDomains; preload","vary":"Accept-Encoding","x-content-type-options":"nosniff","x-frame-options":"DENY","x-new-api-version":"v1.0.0-rc.2","x-oneapi-request-id":"202605180644343049199518268d9d6OxE599X6","x-request-id":"ab7c5b2a-ad95-4c78-bb7e-21f14dad234b"}</t>
        </is>
      </c>
      <c r="N92" t="inlineStr">
        <is>
          <t>JacketsOther vintage blue stand collar jacket, suede-look fabric, 3 white sleeve stripes, frog buttons, unisex casual sport streetwear windbreaker coat</t>
        </is>
      </c>
      <c r="O92" t="inlineStr">
        <is>
          <t>{"id":"resp_09299d911a9c9f6f016a0ab85dd404819aa03c733e4855ccde","object":"chat.completion","created":1779087460,"model":"gpt-5.5","choices":[{"index":0,"message":{"role":"assistant","content":"Adidas Jackets kakobuy, Adidas Jackets kakebuy2026, Adidas Jackets kekobuysheet, Adidas Jackets kakobuysheet2026, Adidas Jackets 2026kakobuy, Adidas Jackets kakobuyspreadsheeet, Adidas Jackets kakobuylink, Adidas Jackets kakebuylist, Adidas Jackets Kakobuy MEGA Spreadsheet, Adidas Jackets kakobuysheetfind, Adidas Jackets kakobuysheetfind2026, Adidas Jackets 2026kakobuysheetfind, Adidas Jackets kakobuysheet2026"},"finish_reason":"stop"}],"usage":{"prompt_tokens":643,"completion_tokens":258,"total_tokens":901}}</t>
        </is>
      </c>
      <c r="P92" t="inlineStr">
        <is>
          <t>Adidas Jackets kakobuy, Adidas Jackets kakebuy2026, Adidas Jackets kekobuysheet, Adidas Jackets kakobuysheet2026, Adidas Jackets 2026kakobuy, Adidas Jackets kakobuyspreadsheeet, Adidas Jackets kakobuylink, Adidas Jackets kakebuylist, Adidas Jackets Kakobuy MEGA Spreadsheet, Adidas Jackets kakobuysheetfind, Adidas Jackets kakobuysheetfind2026, Adidas Jackets 2026kakobuysheetfind, Adidas Jackets kakobuysheet2026</t>
        </is>
      </c>
      <c r="Q92" t="inlineStr">
        <is>
          <t>Blue, Suede Leather, Unisex, Streetwear, Windproof</t>
        </is>
      </c>
      <c r="R92" t="inlineStr">
        <is>
          <t>recvjR8RzVpaf2</t>
        </is>
      </c>
      <c r="S92" t="inlineStr">
        <is>
          <t>vintage-blue-stand-collar-jacket-3-stripe-suede-windbreaker-recvjr8rzvpaf2</t>
        </is>
      </c>
      <c r="T92"/>
      <c r="U92"/>
      <c r="V92"/>
      <c r="W92" t="inlineStr">
        <is>
          <t>{"id":"resp_06ea2e8a77f5b9ca016a0ab2c5d100819b83c72e6c27738a3d","object":"chat.completion","created":1779086027,"model":"gpt-5.5","choices":[{"index":0,"message":{"role":"assistant","content":"复古蓝色立领夹克，翻毛感面料配三道白色袖条与盘扣设计，休闲运动风男女同款外套，街头百搭防风上衣"},"finish_reason":"stop"}],"usage":{"prompt_tokens":1153,"completion_tokens":103,"total_tokens":1256}}</t>
        </is>
      </c>
      <c r="X92" t="inlineStr">
        <is>
          <t>复古蓝色立领夹克，翻毛感面料配三道白色袖条与盘扣设计，休闲运动风男女同款外套，街头百搭防风上衣</t>
        </is>
      </c>
    </row>
    <row r="93" ht="25.5" customHeight="1">
      <c r="A93">
        <v>1839115443</v>
      </c>
      <c r="B93">
        <v>7769011226</v>
      </c>
      <c r="C93" s="2" t="str">
        <f>=HYPERLINK("https://weidian.com/item.html?itemID=7769011226", "https://weidian.com/item.html?itemID=7769011226")</f>
        <v>https://weidian.com/item.html?itemID=7769011226</v>
      </c>
      <c r="D93"/>
      <c r="E93" s="2" t="str">
        <f>=HYPERLINK("https://si.geilicdn.com/open1839115443-252808396-7b0e0000019e3403656f0a23b491_1500_1500.jpg?w=640&amp;h=640", "https://si.geilicdn.com/open1839115443-252808396-7b0e0000019e3403656f0a23b491_1500_1500.jpg?w=640&amp;h=640")</f>
        <v>https://si.geilicdn.com/open1839115443-252808396-7b0e0000019e3403656f0a23b491_1500_1500.jpg?w=640&amp;h=640</v>
      </c>
      <c r="F93" t="inlineStr">
        <is>
          <t>T-Shirts</t>
        </is>
      </c>
      <c r="G93" t="inlineStr">
        <is>
          <t>Arc teryx</t>
        </is>
      </c>
      <c r="H93">
        <v>129</v>
      </c>
      <c r="I93">
        <v>18.695652173913</v>
      </c>
      <c r="J93" t="inlineStr">
        <is>
          <t>{"id":"resp_06eb0e04ae01b6d1016a0ab641bd9081988863a9e6c298668a","object":"chat.completion","created":1779086917,"model":"gpt-5.5","choices":[{"index":0,"message":{"role":"assistant","content":"Arc'teryx White Cotton Bird Logo Short Sleeve T-Shirt"},"finish_reason":"stop"}],"usage":{"prompt_tokens":725,"completion_tokens":141,"total_tokens":866}}</t>
        </is>
      </c>
      <c r="K93" t="inlineStr">
        <is>
          <t>Arc'teryx White Cotton Bird Logo Short Sleeve T-Shirt</t>
        </is>
      </c>
      <c r="L93" t="inlineStr">
        <is>
          <t>{"id":"resp_0d010c598462b951016a0ab550c814819b840446c2e413350f","object":"chat.completion","created":1779086675,"model":"gpt-5.5","choices":[{"index":0,"message":{"role":"assistant","content":"Arc'teryx white short sleeve T-shirt, breathable cotton, embroidered bird logo chest, minimalist outdoor techwear style, unisex casual top."},"finish_reason":"stop"}],"usage":{"prompt_tokens":753,"completion_tokens":99,"total_tokens":852}}</t>
        </is>
      </c>
      <c r="M93" t="inlineStr">
        <is>
          <t>{"alt-svc":"h3=\":443\"; ma=2592000","connection":"close","content-length":"432","content-type":"application/json; charset=utf-8","date":"Mon, 18 May 2026 06:44:35 GMT","referrer-policy":"strict-origin-when-cross-origin","server":"Caddy","strict-transport-security":"max-age=31536000; includeSubDomains; preload","vary":"Accept-Encoding","x-content-type-options":"nosniff","x-frame-options":"DENY","x-new-api-version":"v1.0.0-rc.2","x-oneapi-request-id":"202605180644322030867788268d9d6MnapxEev","x-request-id":"6502b6af-f4fd-4343-abc4-62ff20a8cba4"}</t>
        </is>
      </c>
      <c r="N93" t="inlineStr">
        <is>
          <t>Arc'teryx white short sleeve T-shirt, breathable cotton, embroidered bird logo chest, minimalist outdoor techwear style, unisex casual top.</t>
        </is>
      </c>
      <c r="O93" t="inlineStr">
        <is>
          <t>{"id":"resp_027170c9cc2e7a5d016a0ab72a8528819092985fa457f86efc","object":"chat.completion","created":1779087153,"model":"gpt-5.5","choices":[{"index":0,"message":{"role":"assistant","content":"Arc'teryx T-Shirts kakobuy, Arc'teryx T-Shirts kakebuy2026, Arc'teryx T-Shirts kekobuysheet, Arc'teryx T-Shirts kakobuysheet2026, Arc'teryx T-Shirts 2026kakobuy, Arc'teryx T-Shirts kakobuyspreadsheeet, Arc'teryx T-Shirts kakobuylink, Arc'teryx T-Shirts kakebuylist, Arc'teryx T-Shirts Kakobuy MEGA Spreadsheet, Arc'teryx T-Shirts kakobuysheetfind, Arc'teryx T-Shirts kakobuysheetfind2026, Arc'teryx T-Shirts 2026kakobuysheetfind, Arc'teryx T-Shirts kakobuysheet2026"},"finish_reason":"stop"}],"usage":{"prompt_tokens":646,"completion_tokens":298,"total_tokens":944}}</t>
        </is>
      </c>
      <c r="P93" t="inlineStr">
        <is>
          <t>Arc'teryx T-Shirts kakobuy, Arc'teryx T-Shirts kakebuy2026, Arc'teryx T-Shirts kekobuysheet, Arc'teryx T-Shirts kakobuysheet2026, Arc'teryx T-Shirts 2026kakobuy, Arc'teryx T-Shirts kakobuyspreadsheeet, Arc'teryx T-Shirts kakobuylink, Arc'teryx T-Shirts kakebuylist, Arc'teryx T-Shirts Kakobuy MEGA Spreadsheet, Arc'teryx T-Shirts kakobuysheetfind, Arc'teryx T-Shirts kakobuysheetfind2026, Arc'teryx T-Shirts 2026kakobuysheetfind, Arc'teryx T-Shirts kakobuysheet2026</t>
        </is>
      </c>
      <c r="Q93" t="inlineStr">
        <is>
          <t>White, Breathable, Minimalist, Outdoor, Unisex</t>
        </is>
      </c>
      <c r="R93" t="inlineStr">
        <is>
          <t>recvjR8RzVlS9J</t>
        </is>
      </c>
      <c r="S93" t="inlineStr">
        <is>
          <t>arcteryx-white-cotton-bird-logo-t-shirt-recvjr8rzvl</t>
        </is>
      </c>
      <c r="T93"/>
      <c r="U93"/>
      <c r="V93"/>
      <c r="W93" t="inlineStr">
        <is>
          <t>{"id":"resp_0858a185c0f174fb016a0ab3441d588198a6426483555a385c","object":"chat.completion","created":1779086154,"model":"gpt-5.5","choices":[{"index":0,"message":{"role":"assistant","content":"始祖鸟 Arc'teryx 白色短袖T恤，棉质透气面料，胸前刺绣始祖鸟图腾，简约户外机能风，男女通用休闲上衣"},"finish_reason":"stop"}],"usage":{"prompt_tokens":1175,"completion_tokens":148,"total_tokens":1323}}</t>
        </is>
      </c>
      <c r="X93" t="inlineStr">
        <is>
          <t>始祖鸟 Arc'teryx 白色短袖T恤，棉质透气面料，胸前刺绣始祖鸟图腾，简约户外机能风，男女通用休闲上衣</t>
        </is>
      </c>
    </row>
    <row r="94" ht="25.5" customHeight="1">
      <c r="A94">
        <v>1839115443</v>
      </c>
      <c r="B94">
        <v>7769050592</v>
      </c>
      <c r="C94" s="2" t="str">
        <f>=HYPERLINK("https://weidian.com/item.html?itemID=7769050592", "https://weidian.com/item.html?itemID=7769050592")</f>
        <v>https://weidian.com/item.html?itemID=7769050592</v>
      </c>
      <c r="D94"/>
      <c r="E94" s="2" t="str">
        <f>=HYPERLINK("https://si.geilicdn.com/open1839115443-252808396-771f0000019e340bbc310aa08239_1200_1200.jpg?w=640&amp;h=640", "https://si.geilicdn.com/open1839115443-252808396-771f0000019e340bbc310aa08239_1200_1200.jpg?w=640&amp;h=640")</f>
        <v>https://si.geilicdn.com/open1839115443-252808396-771f0000019e340bbc310aa08239_1200_1200.jpg?w=640&amp;h=640</v>
      </c>
      <c r="F94" t="inlineStr">
        <is>
          <t>T-Shirts</t>
        </is>
      </c>
      <c r="G94" t="inlineStr">
        <is>
          <t>Stone Island</t>
        </is>
      </c>
      <c r="H94">
        <v>121</v>
      </c>
      <c r="I94">
        <v>17.54</v>
      </c>
      <c r="J94" t="inlineStr">
        <is>
          <t>{"id":"resp_0f3544821d1a4cce016a0ab695c4288198a6736f7a6c754116","object":"chat.completion","created":1779087001,"model":"gpt-5.5","choices":[{"index":0,"message":{"role":"assistant","content":"Stone Island Beige Compass Patch Cotton T-Shirt"},"finish_reason":"stop"}],"usage":{"prompt_tokens":710,"completion_tokens":118,"total_tokens":828}}</t>
        </is>
      </c>
      <c r="K94" t="inlineStr">
        <is>
          <t>Stone Island Beige Compass Patch Cotton T-Shirt</t>
        </is>
      </c>
      <c r="L94" t="inlineStr">
        <is>
          <t>{"id":"resp_0edb931934914c58016a0ab559cee4819bb62343b6f0f6bcf5","object":"chat.completion","created":1779086685,"model":"gpt-5.5","choices":[{"index":0,"message":{"role":"assistant","content":"Stone Island beige cotton short sleeve T-shirt with compass logo chest patch, crew neck relaxed unisex streetwear top"},"finish_reason":"stop"}],"usage":{"prompt_tokens":741,"completion_tokens":107,"total_tokens":848}}</t>
        </is>
      </c>
      <c r="M94" t="inlineStr">
        <is>
          <t>{"alt-svc":"h3=\":443\"; ma=2592000","connection":"close","content-length":"411","content-type":"application/json; charset=utf-8","date":"Mon, 18 May 2026 06:44:45 GMT","referrer-policy":"strict-origin-when-cross-origin","server":"nginx/1.24.0 (Ubuntu)","strict-transport-security":"max-age=31536000; includeSubDomains; preload","vary":"Accept-Encoding","via":"1.1 Caddy","x-content-type-options":"nosniff","x-frame-options":"DENY","x-new-api-version":"v1.0.0-rc.2","x-oneapi-request-id":"202605180644412571426718268d9d6UkCQzxcH","x-request-id":"0f88d9c6-5dd4-477a-9fc3-39f6bf21d3a3"}</t>
        </is>
      </c>
      <c r="N94" t="inlineStr">
        <is>
          <t>Stone Island beige cotton short sleeve T-shirt with compass logo chest patch, crew neck relaxed unisex streetwear top</t>
        </is>
      </c>
      <c r="O94" t="inlineStr">
        <is>
          <t>{"id":"resp_0f443ff8e456dece016a0ab7ec48888198abc60259b000d4dd","object":"chat.completion","created":1779087353,"model":"gpt-5.5","choices":[{"index":0,"message":{"role":"assistant","content":"Stone Island,T-Shirts,kakobuy, Stone Island,T-Shirts,kakebuy2026, Stone Island,T-Shirts,kekobuysheet, Stone Island,T-Shirts,kakobuysheet2026, Stone Island,T-Shirts,2026kakobuy, Stone Island,T-Shirts,kakobuyspreadsheeet, Stone Island,T-Shirts,kakobuylink, Stone Island,T-Shirts,kakebuylist, Stone Island,T-Shirts,Kakobuy MEGA Spreadsheet, Stone Island,T-Shirts,kakobuysheetfind, Stone Island,T-Shirts,kakobuysheetfind2026, Stone Island,T-Shirts,2026kakobuysheetfind, Stone Island,T-Shirts,kakobuysheet2026"},"finish_reason":"stop"}],"usage":{"prompt_tokens":644,"completion_tokens":535,"total_tokens":1179}}</t>
        </is>
      </c>
      <c r="P94" t="inlineStr">
        <is>
          <t>Stone Island,T-Shirts,kakobuy, Stone Island,T-Shirts,kakebuy2026, Stone Island,T-Shirts,kekobuysheet, Stone Island,T-Shirts,kakobuysheet2026, Stone Island,T-Shirts,2026kakobuy, Stone Island,T-Shirts,kakobuyspreadsheeet, Stone Island,T-Shirts,kakobuylink, Stone Island,T-Shirts,kakebuylist, Stone Island,T-Shirts,Kakobuy MEGA Spreadsheet, Stone Island,T-Shirts,kakobuysheetfind, Stone Island,T-Shirts,kakobuysheetfind2026, Stone Island,T-Shirts,2026kakobuysheetfind, Stone Island,T-Shirts,kakobuysheet2026</t>
        </is>
      </c>
      <c r="Q94" t="inlineStr">
        <is>
          <t>Beige, Unisex, Streetwear, Summer</t>
        </is>
      </c>
      <c r="R94" t="inlineStr">
        <is>
          <t>recvjR8RzVsgDn</t>
        </is>
      </c>
      <c r="S94" t="inlineStr">
        <is>
          <t>stone-island-beige-compass-patch-cotton-t-shirt-recvjr8rzvsgn</t>
        </is>
      </c>
      <c r="T94"/>
      <c r="U94"/>
      <c r="V94"/>
      <c r="W94" t="inlineStr">
        <is>
          <t>{"id":"resp_090f13d3f511977d016a0ab3013dd08198929a3c6f63090fc9","object":"chat.completion","created":1779086085,"model":"gpt-5.5","choices":[{"index":0,"message":{"role":"assistant","content":"斯通岛 Stone Island 米色纯棉短袖T恤，胸前罗盘徽标贴章，圆领休闲剪裁，男女同款街头机能风潮牌上衣"},"finish_reason":"stop"}],"usage":{"prompt_tokens":1161,"completion_tokens":163,"total_tokens":1324}}</t>
        </is>
      </c>
      <c r="X94" t="inlineStr">
        <is>
          <t>斯通岛 Stone Island 米色纯棉短袖T恤，胸前罗盘徽标贴章，圆领休闲剪裁，男女同款街头机能风潮牌上衣</t>
        </is>
      </c>
    </row>
    <row r="95" ht="25.5" customHeight="1">
      <c r="A95">
        <v>1839115443</v>
      </c>
      <c r="B95">
        <v>7769082038</v>
      </c>
      <c r="C95" s="2" t="str">
        <f>=HYPERLINK("https://weidian.com/item.html?itemID=7769082038", "https://weidian.com/item.html?itemID=7769082038")</f>
        <v>https://weidian.com/item.html?itemID=7769082038</v>
      </c>
      <c r="D95"/>
      <c r="E95" s="2" t="str">
        <f>=HYPERLINK("https://si.geilicdn.com/open1839115443-252808396-61190000019e340b95580a8115c2_1440_1440.jpg?w=640&amp;h=640", "https://si.geilicdn.com/open1839115443-252808396-61190000019e340b95580a8115c2_1440_1440.jpg?w=640&amp;h=640")</f>
        <v>https://si.geilicdn.com/open1839115443-252808396-61190000019e340b95580a8115c2_1440_1440.jpg?w=640&amp;h=640</v>
      </c>
      <c r="F95" t="inlineStr">
        <is>
          <t>T-Shirts</t>
        </is>
      </c>
      <c r="G95" t="inlineStr">
        <is>
          <t>Stone Island</t>
        </is>
      </c>
      <c r="H95">
        <v>160</v>
      </c>
      <c r="I95">
        <v>23.19</v>
      </c>
      <c r="J95" t="inlineStr">
        <is>
          <t>{"id":"resp_09e858e551c7f316016a0ab5b1e7bc819bbd36ac7ac4a0ca37","object":"chat.completion","created":1779086773,"model":"gpt-5.5","choices":[{"index":0,"message":{"role":"assistant","content":"Stone Island Black Cotton Compass Badge Unisex T-Shirt"},"finish_reason":"stop"}],"usage":{"prompt_tokens":722,"completion_tokens":138,"total_tokens":860}}</t>
        </is>
      </c>
      <c r="K95" t="inlineStr">
        <is>
          <t>Stone Island Black Cotton Compass Badge Unisex T-Shirt</t>
        </is>
      </c>
      <c r="L95" t="inlineStr">
        <is>
          <t>{"id":"resp_0618e6f877fecaa0016a0ab4bf06b08196bd6e9c266c9e3313","object":"chat.completion","created":1779086529,"model":"gpt-5.5","choices":[{"index":0,"message":{"role":"assistant","content":"Stone Island black cotton short sleeve T-shirt, compass arm badge, loose unisex streetwear tee, casual basic versatile top for men and women"},"finish_reason":"stop"}],"usage":{"prompt_tokens":739,"completion_tokens":88,"total_tokens":827}}</t>
        </is>
      </c>
      <c r="M95" t="inlineStr">
        <is>
          <t>{"alt-svc":"h3=\":443\"; ma=2592000","connection":"close","content-length":"433","content-type":"application/json; charset=utf-8","date":"Mon, 18 May 2026 06:42:09 GMT","referrer-policy":"strict-origin-when-cross-origin","server":"nginx/1.24.0 (Ubuntu)","strict-transport-security":"max-age=31536000; includeSubDomains; preload","vary":"Accept-Encoding","via":"1.1 Caddy","x-content-type-options":"nosniff","x-frame-options":"DENY","x-new-api-version":"v1.0.0-rc.2","x-oneapi-request-id":"202605180642068364723248268d9d6Fef04UA3","x-request-id":"16e2b874-a0e0-46f4-adcf-44a990cf4437"}</t>
        </is>
      </c>
      <c r="N95" t="inlineStr">
        <is>
          <t>Stone Island black cotton short sleeve T-shirt, compass arm badge, loose unisex streetwear tee, casual basic versatile top for men and women</t>
        </is>
      </c>
      <c r="O95" t="inlineStr">
        <is>
          <t>{"id":"resp_0db6ad6c7fcfa17f016a0ab87de6988196b7781d0b3235a16d","object":"chat.completion","created":1779087493,"model":"gpt-5.5","choices":[{"index":0,"message":{"role":"assistant","content":"Stone Island T-Shirts kakobuy, Stone Island T-Shirts kakebuy2026, Stone Island T-Shirts kekobuysheet, Stone Island T-Shirts kakobuysheet2026, Stone Island T-Shirts 2026kakobuy, Stone Island T-Shirts kakobuyspreadsheeet, Stone Island T-Shirts kakobuylink, Stone Island T-Shirts kakebuylist, Stone Island T-Shirts Kakobuy MEGA Spreadsheet, Stone Island T-Shirts kakobuysheetfind, Stone Island T-Shirts kakobuysheetfind2026, Stone Island T-Shirts 2026kakobuysheetfind, Stone Island T-Shirts kakobuysheet2026"},"finish_reason":"stop"}],"usage":{"prompt_tokens":644,"completion_tokens":241,"total_tokens":885}}</t>
        </is>
      </c>
      <c r="P95" t="inlineStr">
        <is>
          <t>Stone Island T-Shirts kakobuy, Stone Island T-Shirts kakebuy2026, Stone Island T-Shirts kekobuysheet, Stone Island T-Shirts kakobuysheet2026, Stone Island T-Shirts 2026kakobuy, Stone Island T-Shirts kakobuyspreadsheeet, Stone Island T-Shirts kakobuylink, Stone Island T-Shirts kakebuylist, Stone Island T-Shirts Kakobuy MEGA Spreadsheet, Stone Island T-Shirts kakobuysheetfind, Stone Island T-Shirts kakobuysheetfind2026, Stone Island T-Shirts 2026kakobuysheetfind, Stone Island T-Shirts kakobuysheet2026</t>
        </is>
      </c>
      <c r="Q95" t="inlineStr">
        <is>
          <t>Black, Unisex, Basic Style, Versatile, Summer</t>
        </is>
      </c>
      <c r="R95" t="inlineStr">
        <is>
          <t>recvjR8RzVAMlD</t>
        </is>
      </c>
      <c r="S95" t="inlineStr">
        <is>
          <t>stone-island-black-cotton-compass-badge-unisex-t-shirt-recvjr8rzvamld</t>
        </is>
      </c>
      <c r="T95"/>
      <c r="U95"/>
      <c r="V95"/>
      <c r="W95" t="inlineStr">
        <is>
          <t>{"id":"resp_06c6b1029c3097cd016a0ab3044d248198a186b7f3757fa451","object":"chat.completion","created":1779086091,"model":"gpt-5.5","choices":[{"index":0,"message":{"role":"assistant","content":"斯通岛Stone Island黑色棉质短袖T恤，罗盘臂章标识，宽松休闲街头风，男女同款基础百搭上衣"},"finish_reason":"stop"}],"usage":{"prompt_tokens":1165,"completion_tokens":145,"total_tokens":1310}}</t>
        </is>
      </c>
      <c r="X95" t="inlineStr">
        <is>
          <t>斯通岛Stone Island黑色棉质短袖T恤，罗盘臂章标识，宽松休闲街头风，男女同款基础百搭上衣</t>
        </is>
      </c>
    </row>
    <row r="96" ht="25.5" customHeight="1">
      <c r="A96">
        <v>1839115443</v>
      </c>
      <c r="B96">
        <v>7766006863</v>
      </c>
      <c r="C96" s="2" t="str">
        <f>=HYPERLINK("https://weidian.com/item.html?itemID=7766006863", "https://weidian.com/item.html?itemID=7766006863")</f>
        <v>https://weidian.com/item.html?itemID=7766006863</v>
      </c>
      <c r="D96"/>
      <c r="E96" s="2" t="str">
        <f>=HYPERLINK("https://si.geilicdn.com/open1839115443-252808396-61350000019e340be95a0a8115c2_1280_1280.jpg?w=640&amp;h=640", "https://si.geilicdn.com/open1839115443-252808396-61350000019e340be95a0a8115c2_1280_1280.jpg?w=640&amp;h=640")</f>
        <v>https://si.geilicdn.com/open1839115443-252808396-61350000019e340be95a0a8115c2_1280_1280.jpg?w=640&amp;h=640</v>
      </c>
      <c r="F96" t="inlineStr">
        <is>
          <t>T-Shirts</t>
        </is>
      </c>
      <c r="G96" t="inlineStr">
        <is>
          <t xml:space="preserve"> Prada</t>
        </is>
      </c>
      <c r="H96">
        <v>143</v>
      </c>
      <c r="I96">
        <v>20.72</v>
      </c>
      <c r="J96" t="inlineStr">
        <is>
          <t>{"id":"resp_0dd433430552ab77016a0ab668bef88193bfb8896b8936181f","object":"chat.completion","created":1779086957,"model":"gpt-5.5","choices":[{"index":0,"message":{"role":"assistant","content":"Prada Pixel Triangle Logo White Cotton Crew Neck T-Shirt"},"finish_reason":"stop"}],"usage":{"prompt_tokens":714,"completion_tokens":175,"total_tokens":889}}</t>
        </is>
      </c>
      <c r="K96" t="inlineStr">
        <is>
          <t>Prada Pixel Triangle Logo White Cotton Crew Neck T-Shirt</t>
        </is>
      </c>
      <c r="L96" t="inlineStr">
        <is>
          <t>{"id":"resp_0428652a2db33a7b016a0ab4ba49908198befe897e478a0935","object":"chat.completion","created":1779086525,"model":"gpt-5.5","choices":[{"index":0,"message":{"role":"assistant","content":"Prada white cotton crew neck T-shirt with pixel triangle logo, unisex short sleeve summer top, minimalist casual streetwear."},"finish_reason":"stop"}],"usage":{"prompt_tokens":746,"completion_tokens":105,"total_tokens":851}}</t>
        </is>
      </c>
      <c r="M96" t="inlineStr">
        <is>
          <t>{"alt-svc":"h3=\":443\"; ma=2592000","connection":"close","content-length":"418","content-type":"application/json; charset=utf-8","date":"Mon, 18 May 2026 06:42:05 GMT","referrer-policy":"strict-origin-when-cross-origin","server":"Caddy","strict-transport-security":"max-age=31536000; includeSubDomains; preload","vary":"Accept-Encoding","x-content-type-options":"nosniff","x-frame-options":"DENY","x-new-api-version":"v1.0.0-rc.2","x-oneapi-request-id":"202605180642017946028768268d9d6vrDXokcq","x-request-id":"96f6b839-5710-40c8-aa88-120f25c89b7a"}</t>
        </is>
      </c>
      <c r="N96" t="inlineStr">
        <is>
          <t>Prada white cotton crew neck T-shirt with pixel triangle logo, unisex short sleeve summer top, minimalist casual streetwear.</t>
        </is>
      </c>
      <c r="O96" t="inlineStr">
        <is>
          <t>{"id":"resp_0bd72a9b81954632016a0ab82d55bc8199b1ef3cce13a04d94","object":"chat.completion","created":1779087410,"model":"gpt-5.5","choices":[{"index":0,"message":{"role":"assistant","content":"Prada T-Shirts kakobuy, Prada T-Shirts kakebuy2026, Prada T-Shirts kekobuysheet, Prada T-Shirts kakobuysheet2026, Prada T-Shirts 2026kakobuy, Prada T-Shirts kakobuyspreadsheeet, Prada T-Shirts kakobuylink, Prada T-Shirts kakebuylist, Prada T-Shirts Kakobuy MEGA Spreadsheet, Prada T-Shirts kakobuysheetfind, Prada T-Shirts kakobuysheetfind2026, Prada T-Shirts 2026kakobuysheetfind, Prada T-Shirts kakobuysheet2026"},"finish_reason":"stop"}],"usage":{"prompt_tokens":643,"completion_tokens":222,"total_tokens":865}}</t>
        </is>
      </c>
      <c r="P96" t="inlineStr">
        <is>
          <t>Prada T-Shirts kakobuy, Prada T-Shirts kakebuy2026, Prada T-Shirts kekobuysheet, Prada T-Shirts kakobuysheet2026, Prada T-Shirts 2026kakobuy, Prada T-Shirts kakobuyspreadsheeet, Prada T-Shirts kakobuylink, Prada T-Shirts kakebuylist, Prada T-Shirts Kakobuy MEGA Spreadsheet, Prada T-Shirts kakobuysheetfind, Prada T-Shirts kakobuysheetfind2026, Prada T-Shirts 2026kakobuysheetfind, Prada T-Shirts kakobuysheet2026</t>
        </is>
      </c>
      <c r="Q96" t="inlineStr">
        <is>
          <t>White, Minimalist, Streetwear, Summer, Unisex</t>
        </is>
      </c>
      <c r="R96" t="inlineStr">
        <is>
          <t>recvjR8RzVgYuV</t>
        </is>
      </c>
      <c r="S96" t="inlineStr">
        <is>
          <t>prada-pixel-triangle-logo-white-cotton-crew-neck-t-shirt-recvjr8rzvgyuv</t>
        </is>
      </c>
      <c r="T96"/>
      <c r="U96"/>
      <c r="V96"/>
      <c r="W96" t="inlineStr">
        <is>
          <t>{"id":"resp_073a0a6334a05413016a0ab3266fbc8194b79229b936270001","object":"chat.completion","created":1779086122,"model":"gpt-5.5","choices":[{"index":0,"message":{"role":"assistant","content":"普拉达Prada 白色短袖T恤，纯棉圆领基础款，胸前像素三角Logo点缀，简约休闲街头风，男女同款夏季上衣。"},"finish_reason":"stop"}],"usage":{"prompt_tokens":1165,"completion_tokens":157,"total_tokens":1322}}</t>
        </is>
      </c>
      <c r="X96" t="inlineStr">
        <is>
          <t>普拉达Prada 白色短袖T恤，纯棉圆领基础款，胸前像素三角Logo点缀，简约休闲街头风，男女同款夏季上衣。</t>
        </is>
      </c>
    </row>
    <row r="97" ht="25.5" customHeight="1">
      <c r="A97">
        <v>1839115443</v>
      </c>
      <c r="B97">
        <v>7769028560</v>
      </c>
      <c r="C97" s="2" t="str">
        <f>=HYPERLINK("https://weidian.com/item.html?itemID=7769028560", "https://weidian.com/item.html?itemID=7769028560")</f>
        <v>https://weidian.com/item.html?itemID=7769028560</v>
      </c>
      <c r="D97"/>
      <c r="E97" s="2" t="str">
        <f>=HYPERLINK("https://si.geilicdn.com/open1839115443-252808396-02550000019e340becab0a22d249_1080_1080.jpg?w=640&amp;h=640", "https://si.geilicdn.com/open1839115443-252808396-02550000019e340becab0a22d249_1080_1080.jpg?w=640&amp;h=640")</f>
        <v>https://si.geilicdn.com/open1839115443-252808396-02550000019e340becab0a22d249_1080_1080.jpg?w=640&amp;h=640</v>
      </c>
      <c r="F97" t="inlineStr">
        <is>
          <t>T-Shirts</t>
        </is>
      </c>
      <c r="G97" t="inlineStr">
        <is>
          <t>Stone Island</t>
        </is>
      </c>
      <c r="H97">
        <v>143</v>
      </c>
      <c r="I97">
        <v>20.72</v>
      </c>
      <c r="J97" t="inlineStr">
        <is>
          <t>{"id":"resp_0e8b183c4cd889e0016a0ab6b10f3c8198b93557c89352c86f","object":"chat.completion","created":1779087027,"model":"gpt-5.5","choices":[{"index":0,"message":{"role":"assistant","content":"Stone Island Black Cotton Pique Polo Shirt"},"finish_reason":"stop"}],"usage":{"prompt_tokens":719,"completion_tokens":49,"total_tokens":768}}</t>
        </is>
      </c>
      <c r="K97" t="inlineStr">
        <is>
          <t>Stone Island Black Cotton Pique Polo Shirt</t>
        </is>
      </c>
      <c r="L97" t="inlineStr">
        <is>
          <t>{"id":"resp_0d534ba6fccf594e016a0ab4c1890c8199860bcab95836dfb5","object":"chat.completion","created":1779086532,"model":"gpt-5.5","choices":[{"index":0,"message":{"role":"assistant","content":"Stone Island classic black short sleeve polo shirt, cotton pique, button collar, chest compass logo patch, unisex casual streetwear tee."},"finish_reason":"stop"}],"usage":{"prompt_tokens":743,"completion_tokens":95,"total_tokens":838}}</t>
        </is>
      </c>
      <c r="M97" t="inlineStr">
        <is>
          <t>{"alt-svc":"h3=\":443\"; ma=2592000","connection":"close","content-length":"429","content-type":"application/json; charset=utf-8","date":"Mon, 18 May 2026 06:42:12 GMT","referrer-policy":"strict-origin-when-cross-origin","server":"Caddy","strict-transport-security":"max-age=31536000; includeSubDomains; preload","vary":"Accept-Encoding","x-content-type-options":"nosniff","x-frame-options":"DENY","x-new-api-version":"v1.0.0-rc.2","x-oneapi-request-id":"20260518064209700186098268d9d6V8jExeio","x-request-id":"ff88ed09-eb9f-4af8-9a5b-9de16e447267"}</t>
        </is>
      </c>
      <c r="N97" t="inlineStr">
        <is>
          <t>Stone Island classic black short sleeve polo shirt, cotton pique, button collar, chest compass logo patch, unisex casual streetwear tee.</t>
        </is>
      </c>
      <c r="O97" t="inlineStr">
        <is>
          <t>{"id":"resp_0228a11efdc414cc016a0ab89d33f08199813bbb2512ba6af8","object":"chat.completion","created":1779087523,"model":"gpt-5.5","choices":[{"index":0,"message":{"role":"assistant","content":"Stone Island T-Shirts kakobuy, Stone Island T-Shirts kakebuy2026, Stone Island T-Shirts kekobuysheet, Stone Island T-Shirts kakobuysheet2026, Stone Island T-Shirts 2026kakobuy, Stone Island T-Shirts kakobuyspreadsheeet, Stone Island T-Shirts kakobuylink, Stone Island T-Shirts kakebuylist, Stone Island T-Shirts Kakobuy MEGA Spreadsheet, Stone Island T-Shirts kakobuysheetfind, Stone Island T-Shirts kakobuysheetfind2026, Stone Island T-Shirts 2026kakobuysheetfind, Stone Island T-Shirts kakobuysheet2026"},"finish_reason":"stop"}],"usage":{"prompt_tokens":644,"completion_tokens":303,"total_tokens":947}}</t>
        </is>
      </c>
      <c r="P97" t="inlineStr">
        <is>
          <t>Stone Island T-Shirts kakobuy, Stone Island T-Shirts kakebuy2026, Stone Island T-Shirts kekobuysheet, Stone Island T-Shirts kakobuysheet2026, Stone Island T-Shirts 2026kakobuy, Stone Island T-Shirts kakobuyspreadsheeet, Stone Island T-Shirts kakobuylink, Stone Island T-Shirts kakebuylist, Stone Island T-Shirts Kakobuy MEGA Spreadsheet, Stone Island T-Shirts kakobuysheetfind, Stone Island T-Shirts kakobuysheetfind2026, Stone Island T-Shirts 2026kakobuysheetfind, Stone Island T-Shirts kakobuysheet2026</t>
        </is>
      </c>
      <c r="Q97" t="inlineStr">
        <is>
          <t>Black, Streetwear, Unisex, Summer</t>
        </is>
      </c>
      <c r="R97" t="inlineStr">
        <is>
          <t>recvjR8RzVjYwK</t>
        </is>
      </c>
      <c r="S97" t="inlineStr">
        <is>
          <t>stone-island-black-cotton-pique-polo-recvjr8rzvjywk</t>
        </is>
      </c>
      <c r="T97"/>
      <c r="U97"/>
      <c r="V97"/>
      <c r="W97" t="inlineStr">
        <is>
          <t>{"id":"resp_083349b025153020016a0ab263183081998c646ae30859738b","object":"chat.completion","created":1779085930,"model":"gpt-5.5","choices":[{"index":0,"message":{"role":"assistant","content":"经典Stone Island黑色短袖Polo衫，棉质珠地面料，翻领纽扣设计，胸前罗盘徽标贴章，男女通用休闲潮流T恤"},"finish_reason":"stop"}],"usage":{"prompt_tokens":1163,"completion_tokens":130,"total_tokens":1293}}</t>
        </is>
      </c>
      <c r="X97" t="inlineStr">
        <is>
          <t>经典Stone Island黑色短袖Polo衫，棉质珠地面料，翻领纽扣设计，胸前罗盘徽标贴章，男女通用休闲潮流T恤</t>
        </is>
      </c>
    </row>
    <row r="98" ht="25.5" customHeight="1">
      <c r="A98">
        <v>1839115443</v>
      </c>
      <c r="B98">
        <v>7769024972</v>
      </c>
      <c r="C98" s="2" t="str">
        <f>=HYPERLINK("https://weidian.com/item.html?itemID=7769024972", "https://weidian.com/item.html?itemID=7769024972")</f>
        <v>https://weidian.com/item.html?itemID=7769024972</v>
      </c>
      <c r="D98"/>
      <c r="E98" s="2" t="str">
        <f>=HYPERLINK("https://si.geilicdn.com/open1839115443-252808396-7a730000019e341363850a231226_1920_1920.jpg?w=640&amp;h=640", "https://si.geilicdn.com/open1839115443-252808396-7a730000019e341363850a231226_1920_1920.jpg?w=640&amp;h=640")</f>
        <v>https://si.geilicdn.com/open1839115443-252808396-7a730000019e341363850a231226_1920_1920.jpg?w=640&amp;h=640</v>
      </c>
      <c r="F98" t="inlineStr">
        <is>
          <t>T-Shirts</t>
        </is>
      </c>
      <c r="G98" t="inlineStr">
        <is>
          <t>Stone Island</t>
        </is>
      </c>
      <c r="H98">
        <v>161</v>
      </c>
      <c r="I98">
        <v>23.33</v>
      </c>
      <c r="J98" t="inlineStr">
        <is>
          <t>{"id":"resp_04bcb420b53dd9a4016a0ab5ced3c481958451da3fe010bd01","object":"chat.completion","created":1779086802,"model":"gpt-5.5","choices":[{"index":0,"message":{"role":"assistant","content":"Stone Island Gray Cotton Badge Sleeve T-Shirt Unisex"},"finish_reason":"stop"}],"usage":{"prompt_tokens":717,"completion_tokens":120,"total_tokens":837}}</t>
        </is>
      </c>
      <c r="K98" t="inlineStr">
        <is>
          <t>Stone Island Gray Cotton Badge Sleeve T-Shirt Unisex</t>
        </is>
      </c>
      <c r="L98" t="inlineStr">
        <is>
          <t>{"id":"resp_0c10d442a4f0cb9c016a0ab56c05f8819bb94e47123d01e3fd","object":"chat.completion","created":1779086702,"model":"gpt-5.5","choices":[{"index":0,"message":{"role":"assistant","content":"Stone Island gray short sleeve T-shirt, pure cotton breathable comfort, round sleeve badge, minimalist utility streetwear unisex casual top."},"finish_reason":"stop"}],"usage":{"prompt_tokens":740,"completion_tokens":61,"total_tokens":801}}</t>
        </is>
      </c>
      <c r="M98" t="inlineStr">
        <is>
          <t>{"alt-svc":"h3=\":443\"; ma=2592000","connection":"close","content-length":"433","content-type":"application/json; charset=utf-8","date":"Mon, 18 May 2026 06:45:02 GMT","referrer-policy":"strict-origin-when-cross-origin","server":"Caddy","strict-transport-security":"max-age=31536000; includeSubDomains; preload","vary":"Accept-Encoding","x-content-type-options":"nosniff","x-frame-options":"DENY","x-new-api-version":"v1.0.0-rc.2","x-oneapi-request-id":"202605180644594695204748268d9d6iRjtZBw6","x-request-id":"37e47e85-a72f-48c1-9275-d18a2908202e"}</t>
        </is>
      </c>
      <c r="N98" t="inlineStr">
        <is>
          <t>Stone Island gray short sleeve T-shirt, pure cotton breathable comfort, round sleeve badge, minimalist utility streetwear unisex casual top.</t>
        </is>
      </c>
      <c r="O98" t="inlineStr">
        <is>
          <t>{"id":"resp_0618ae6dbeaa5cd5016a0ab7467248819a96be8f98b409a732","object":"chat.completion","created":1779087180,"model":"gpt-5.5","choices":[{"index":0,"message":{"role":"assistant","content":"Stone Island T-Shirts kakobuy, Stone Island T-Shirts kakebuy2026, Stone Island T-Shirts kekobuysheet, Stone Island T-Shirts kakobuysheet2026, Stone Island T-Shirts 2026kakobuy, Stone Island T-Shirts kakobuyspreadsheeet, Stone Island T-Shirts kakobuylink, Stone Island T-Shirts kakebuylist, Stone Island T-Shirts Kakobuy MEGA Spreadsheet, Stone Island T-Shirts kakobuysheetfind, Stone Island T-Shirts kakobuysheetfind2026, Stone Island T-Shirts 2026kakobuysheetfind, Stone Island T-Shirts kakobuysheet2026"},"finish_reason":"stop"}],"usage":{"prompt_tokens":644,"completion_tokens":278,"total_tokens":922}}</t>
        </is>
      </c>
      <c r="P98" t="inlineStr">
        <is>
          <t>Stone Island T-Shirts kakobuy, Stone Island T-Shirts kakebuy2026, Stone Island T-Shirts kekobuysheet, Stone Island T-Shirts kakobuysheet2026, Stone Island T-Shirts 2026kakobuy, Stone Island T-Shirts kakobuyspreadsheeet, Stone Island T-Shirts kakobuylink, Stone Island T-Shirts kakebuylist, Stone Island T-Shirts Kakobuy MEGA Spreadsheet, Stone Island T-Shirts kakobuysheetfind, Stone Island T-Shirts kakobuysheetfind2026, Stone Island T-Shirts 2026kakobuysheetfind, Stone Island T-Shirts kakobuysheet2026</t>
        </is>
      </c>
      <c r="Q98" t="inlineStr">
        <is>
          <t>Gray, Breathable, Minimalist, Streetwear, Unisex</t>
        </is>
      </c>
      <c r="R98" t="inlineStr">
        <is>
          <t>recvjR8RzVkmmw</t>
        </is>
      </c>
      <c r="S98" t="inlineStr">
        <is>
          <t>stone-island-gray-cotton-badge-sleeve-t-shirt-recvjr8rzvkmmw</t>
        </is>
      </c>
      <c r="T98"/>
      <c r="U98"/>
      <c r="V98"/>
      <c r="W98" t="inlineStr">
        <is>
          <t>{"id":"resp_03d6a19239a649aa016a0ab26a5bac81908c92256f9ef49df5","object":"chat.completion","created":1779085936,"model":"gpt-5.5","choices":[{"index":0,"message":{"role":"assistant","content":"灰色Stone Island短袖T恤，纯棉舒适透气，袖章圆形图腾点缀，简约机能街头风，男女同款休闲上衣。"},"finish_reason":"stop"}],"usage":{"prompt_tokens":1161,"completion_tokens":206,"total_tokens":1367}}</t>
        </is>
      </c>
      <c r="X98" t="inlineStr">
        <is>
          <t>灰色Stone Island短袖T恤，纯棉舒适透气，袖章圆形图腾点缀，简约机能街头风，男女同款休闲上衣。</t>
        </is>
      </c>
    </row>
    <row r="99" ht="25.5" customHeight="1">
      <c r="A99">
        <v>1839115443</v>
      </c>
      <c r="B99">
        <v>7768842890</v>
      </c>
      <c r="C99" s="2" t="str">
        <f>=HYPERLINK("https://weidian.com/item.html?itemID=7768842890", "https://weidian.com/item.html?itemID=7768842890")</f>
        <v>https://weidian.com/item.html?itemID=7768842890</v>
      </c>
      <c r="D99"/>
      <c r="E99" s="2" t="str">
        <f>=HYPERLINK("https://si.geilicdn.com/open1839115443-252808396-7efb0000019e342185250aa08239_800_800.jpg?w=640&amp;h=640", "https://si.geilicdn.com/open1839115443-252808396-7efb0000019e342185250aa08239_800_800.jpg?w=640&amp;h=640")</f>
        <v>https://si.geilicdn.com/open1839115443-252808396-7efb0000019e342185250aa08239_800_800.jpg?w=640&amp;h=640</v>
      </c>
      <c r="F99" t="inlineStr">
        <is>
          <t>T-Shirts</t>
        </is>
      </c>
      <c r="G99" t="inlineStr">
        <is>
          <t>Other</t>
        </is>
      </c>
      <c r="H99">
        <v>129</v>
      </c>
      <c r="I99">
        <v>18.695652173913</v>
      </c>
      <c r="J99" t="inlineStr">
        <is>
          <t>{"id":"resp_0039858ede63791f016a0ab68d54148198bb41e3f61bf5c282","object":"chat.completion","created":1779086993,"model":"gpt-5.5","choices":[{"index":0,"message":{"role":"assistant","content":"Vintage Purple Oversized T-Shirt After Taste Star Tee"},"finish_reason":"stop"}],"usage":{"prompt_tokens":718,"completion_tokens":124,"total_tokens":842}}</t>
        </is>
      </c>
      <c r="K99" t="inlineStr">
        <is>
          <t>Vintage Purple Oversized T-Shirt After Taste Star Tee</t>
        </is>
      </c>
      <c r="L99" t="inlineStr">
        <is>
          <t>{"id":"resp_060b384a0a129a3f016a0ab529965c8195b0a8284fcd78b2ce","object":"chat.completion","created":1779086636,"model":"gpt-5.5","choices":[{"index":0,"message":{"role":"assistant","content":"T-ShirtsOther Vintage washed purple cotton oversized T-shirt, AFTER TASTE letter and star print, streetwear unisex short sleeve tee."},"finish_reason":"stop"}],"usage":{"prompt_tokens":736,"completion_tokens":114,"total_tokens":850}}</t>
        </is>
      </c>
      <c r="M99" t="inlineStr">
        <is>
          <t>{"alt-svc":"h3=\":443\"; ma=2592000","connection":"close","content-length":"426","content-type":"application/json; charset=utf-8","date":"Mon, 18 May 2026 06:43:56 GMT","referrer-policy":"strict-origin-when-cross-origin","server":"Caddy","strict-transport-security":"max-age=31536000; includeSubDomains; preload","vary":"Accept-Encoding","x-content-type-options":"nosniff","x-frame-options":"DENY","x-new-api-version":"v1.0.0-rc.2","x-oneapi-request-id":"202605180643533562750258268d9d6uIv4PaRV","x-request-id":"83973634-6981-4966-bce4-5dafef671dc8"}</t>
        </is>
      </c>
      <c r="N99" t="inlineStr">
        <is>
          <t>T-ShirtsOther Vintage washed purple cotton oversized T-shirt, AFTER TASTE letter and star print, streetwear unisex short sleeve tee.</t>
        </is>
      </c>
      <c r="O99" t="inlineStr">
        <is>
          <t>{"id":"resp_04c8e8b7e5cdcf67016a0ab831ccb481988489bf72e5759734","object":"chat.completion","created":1779087416,"model":"gpt-5.5","choices":[{"index":0,"message":{"role":"assistant","content":"Other T-Shirts kakobuy, Other T-Shirts kakebuy2026, Other T-Shirts kekobuysheet, Other T-Shirts kakobuysheet2026, Other T-Shirts 2026kakobuy, Other T-Shirts kakobuyspreadsheeet, Other T-Shirts kakobuylink, Other T-Shirts kakebuylist, Other T-Shirts Kakobuy MEGA Spreadsheet, Other T-Shirts kakobuysheetfind, Other T-Shirts kakobuysheetfind2026, Other T-Shirts 2026kakobuysheetfind, Other T-Shirts kakobuysheet2026"},"finish_reason":"stop"}],"usage":{"prompt_tokens":643,"completion_tokens":255,"total_tokens":898}}</t>
        </is>
      </c>
      <c r="P99" t="inlineStr">
        <is>
          <t>Other T-Shirts kakobuy, Other T-Shirts kakebuy2026, Other T-Shirts kekobuysheet, Other T-Shirts kakobuysheet2026, Other T-Shirts 2026kakobuy, Other T-Shirts kakobuyspreadsheeet, Other T-Shirts kakobuylink, Other T-Shirts kakebuylist, Other T-Shirts Kakobuy MEGA Spreadsheet, Other T-Shirts kakobuysheetfind, Other T-Shirts kakobuysheetfind2026, Other T-Shirts 2026kakobuysheetfind, Other T-Shirts kakobuysheet2026</t>
        </is>
      </c>
      <c r="Q99" t="inlineStr">
        <is>
          <t>Purple, Streetwear, Unisex, Summer</t>
        </is>
      </c>
      <c r="R99" t="inlineStr">
        <is>
          <t>recvjR8RzVPfx8</t>
        </is>
      </c>
      <c r="S99" t="inlineStr">
        <is>
          <t>vintage-purple-oversized-star-tee-recvjr8rzvpfx8</t>
        </is>
      </c>
      <c r="T99"/>
      <c r="U99"/>
      <c r="V99"/>
      <c r="W99" t="inlineStr">
        <is>
          <t>{"id":"resp_01c42357295a6769016a0ab307c6e8819793070105c42763ae","object":"chat.completion","created":1779086090,"model":"gpt-5.5","choices":[{"index":0,"message":{"role":"assistant","content":"复古紫色做旧短袖T恤，棉质宽松版型，AFTER TASTE字母与星形印花，街头潮流男女同款上衣"},"finish_reason":"stop"}],"usage":{"prompt_tokens":1157,"completion_tokens":105,"total_tokens":1262}}</t>
        </is>
      </c>
      <c r="X99" t="inlineStr">
        <is>
          <t>复古紫色做旧短袖T恤，棉质宽松版型，AFTER TASTE字母与星形印花，街头潮流男女同款上衣</t>
        </is>
      </c>
    </row>
    <row r="100" ht="25.5" customHeight="1">
      <c r="A100">
        <v>1839115443</v>
      </c>
      <c r="B100">
        <v>7766088091</v>
      </c>
      <c r="C100" s="2" t="str">
        <f>=HYPERLINK("https://weidian.com/item.html?itemID=7766088091", "https://weidian.com/item.html?itemID=7766088091")</f>
        <v>https://weidian.com/item.html?itemID=7766088091</v>
      </c>
      <c r="D100"/>
      <c r="E100" s="2" t="str">
        <f>=HYPERLINK("https://si.geilicdn.com/open1839115443-252808396-7d9d0000019e34215b4f0a231226_1600_1600.jpg?w=640&amp;h=640", "https://si.geilicdn.com/open1839115443-252808396-7d9d0000019e34215b4f0a231226_1600_1600.jpg?w=640&amp;h=640")</f>
        <v>https://si.geilicdn.com/open1839115443-252808396-7d9d0000019e34215b4f0a231226_1600_1600.jpg?w=640&amp;h=640</v>
      </c>
      <c r="F100" t="inlineStr">
        <is>
          <t>T-Shirts</t>
        </is>
      </c>
      <c r="G100" t="inlineStr">
        <is>
          <t xml:space="preserve"> C.P. Company</t>
        </is>
      </c>
      <c r="H100">
        <v>167</v>
      </c>
      <c r="I100">
        <v>24.2</v>
      </c>
      <c r="J100" t="inlineStr">
        <is>
          <t>{"id":"resp_08089c67a42d125f016a0ab5d023f8819b82fea7e4ed75e2b2","object":"chat.completion","created":1779086803,"model":"gpt-5.5","choices":[{"index":0,"message":{"role":"assistant","content":"C.P. Company White Cotton Graphic Logo T-Shirt Unisex"},"finish_reason":"stop"}],"usage":{"prompt_tokens":730,"completion_tokens":99,"total_tokens":829}}</t>
        </is>
      </c>
      <c r="K100" t="inlineStr">
        <is>
          <t>C.P. Company White Cotton Graphic Logo T-Shirt Unisex</t>
        </is>
      </c>
      <c r="L100" t="inlineStr">
        <is>
          <t>{"id":"resp_08b75b5d9166e368016a0ab488f72c819990f89775f321cd08","object":"chat.completion","created":1779086476,"model":"gpt-5.5","choices":[{"index":0,"message":{"role":"assistant","content":"C.P. Company white short sleeve T-shirt, breathable pure cotton, chest figure logo print, back letter totem graphic, casual streetwear unisex top"},"finish_reason":"stop"}],"usage":{"prompt_tokens":749,"completion_tokens":159,"total_tokens":908}}</t>
        </is>
      </c>
      <c r="M100" t="inlineStr">
        <is>
          <t>{"alt-svc":"h3=\":443\"; ma=2592000","connection":"close","content-length":"439","content-type":"application/json; charset=utf-8","date":"Mon, 18 May 2026 06:41:16 GMT","referrer-policy":"strict-origin-when-cross-origin","server":"Caddy","strict-transport-security":"max-age=31536000; includeSubDomains; preload","vary":"Accept-Encoding","x-content-type-options":"nosniff","x-frame-options":"DENY","x-new-api-version":"v1.0.0-rc.2","x-oneapi-request-id":"202605180641124947316008268d9d6TuNBCNDo","x-request-id":"8ce0338b-30df-4886-a816-f57a20c177c3"}</t>
        </is>
      </c>
      <c r="N100" t="inlineStr">
        <is>
          <t>C.P. Company white short sleeve T-shirt, breathable pure cotton, chest figure logo print, back letter totem graphic, casual streetwear unisex top</t>
        </is>
      </c>
      <c r="O100" t="inlineStr">
        <is>
          <t>{"id":"resp_0e9bc369c509eddb016a0ab7a6ed3c8196abf755b8be02ef17","object":"chat.completion","created":1779087276,"model":"gpt-5.5","choices":[{"index":0,"message":{"role":"assistant","content":"C.P. Company, T-Shirts, kakobuy, kakebuy2026, kekobuysheet, kakobuysheet2026, 2026kakobuy, kakobuyspreadsheeet, kakobuylink, kakebuylist, Kakobuy MEGA Spreadsheet, kakobuysheetfind, kakobuysheetfind2026, 2026kakobuysheetfind, kakobuysheet2026"},"finish_reason":"stop"}],"usage":{"prompt_tokens":646,"completion_tokens":246,"total_tokens":892}}</t>
        </is>
      </c>
      <c r="P100" t="inlineStr">
        <is>
          <t>C.P. Company, T-Shirts, kakobuy, kakebuy2026, kekobuysheet, kakobuysheet2026, 2026kakobuy, kakobuyspreadsheeet, kakobuylink, kakebuylist, Kakobuy MEGA Spreadsheet, kakobuysheetfind, kakobuysheetfind2026, 2026kakobuysheetfind, kakobuysheet2026</t>
        </is>
      </c>
      <c r="Q100" t="inlineStr">
        <is>
          <t>White, Breathable, Streetwear, Unisex</t>
        </is>
      </c>
      <c r="R100" t="inlineStr">
        <is>
          <t>recvjR8RzVtk2a</t>
        </is>
      </c>
      <c r="S100" t="inlineStr">
        <is>
          <t>c-p-company-white-cotton-graphic-logo-t-shirt-recvjr8rzvtk2a</t>
        </is>
      </c>
      <c r="T100"/>
      <c r="U100"/>
      <c r="V100"/>
      <c r="W100" t="inlineStr">
        <is>
          <t>{"id":"resp_0ebdc29d9a3eb2ae016a0ab2a28814819baad3470468696b8c","object":"chat.completion","created":1779085991,"model":"gpt-5.5","choices":[{"index":0,"message":{"role":"assistant","content":"白色C.P. Company短袖T恤，纯棉透气材质，胸前人物Logo印花，背面字母图腾设计，休闲街头风男女同款上衣"},"finish_reason":"stop"}],"usage":{"prompt_tokens":1175,"completion_tokens":200,"total_tokens":1375}}</t>
        </is>
      </c>
      <c r="X100" t="inlineStr">
        <is>
          <t>白色C.P. Company短袖T恤，纯棉透气材质，胸前人物Logo印花，背面字母图腾设计，休闲街头风男女同款上衣</t>
        </is>
      </c>
    </row>
    <row r="101" ht="25.5" customHeight="1">
      <c r="A101">
        <v>1839115443</v>
      </c>
      <c r="B101">
        <v>7769076320</v>
      </c>
      <c r="C101" s="2" t="str">
        <f>=HYPERLINK("https://weidian.com/item.html?itemID=7769076320", "https://weidian.com/item.html?itemID=7769076320")</f>
        <v>https://weidian.com/item.html?itemID=7769076320</v>
      </c>
      <c r="D101"/>
      <c r="E101" s="2" t="str">
        <f>=HYPERLINK("https://si.geilicdn.com/open1839115443-252808396-04710000019e34217d360a23b491_800_800.jpg?w=640&amp;h=640", "https://si.geilicdn.com/open1839115443-252808396-04710000019e34217d360a23b491_800_800.jpg?w=640&amp;h=640")</f>
        <v>https://si.geilicdn.com/open1839115443-252808396-04710000019e34217d360a23b491_800_800.jpg?w=640&amp;h=640</v>
      </c>
      <c r="F101" t="inlineStr">
        <is>
          <t>T-Shirts</t>
        </is>
      </c>
      <c r="G101" t="inlineStr">
        <is>
          <t>Comme des Garçons Play</t>
        </is>
      </c>
      <c r="H101">
        <v>119</v>
      </c>
      <c r="I101">
        <v>17.2463768115942</v>
      </c>
      <c r="J101" t="inlineStr">
        <is>
          <t>{"id":"resp_0ab82d8c582a3f13016a0ab5d4f16c8198a8ad0a6f8fc3923e","object":"chat.completion","created":1779086810,"model":"gpt-5.5","choices":[{"index":0,"message":{"role":"assistant","content":"Comme des Garçons Play Black Cotton Heart T-Shirt"},"finish_reason":"stop"}],"usage":{"prompt_tokens":730,"completion_tokens":262,"total_tokens":992}}</t>
        </is>
      </c>
      <c r="K101" t="inlineStr">
        <is>
          <t>Comme des Garçons Play Black Cotton Heart T-Shirt</t>
        </is>
      </c>
      <c r="L101" t="inlineStr">
        <is>
          <t>{"id":"resp_00ec5026ac6ee9fe016a0ab4c276708198bcdb3e986fe02e36","object":"chat.completion","created":1779086534,"model":"gpt-5.5","choices":[{"index":0,"message":{"role":"assistant","content":"Comme des Garçons Play Rei Kawakubo black cotton crew neck T-shirt with red heart eyes embroidery, unisex short sleeve casual streetwear basic tee."},"finish_reason":"stop"}],"usage":{"prompt_tokens":740,"completion_tokens":147,"total_tokens":887}}</t>
        </is>
      </c>
      <c r="M101" t="inlineStr">
        <is>
          <t>{"alt-svc":"h3=\":443\"; ma=2592000","connection":"close","content-length":"442","content-type":"application/json; charset=utf-8","date":"Mon, 18 May 2026 06:42:14 GMT","referrer-policy":"strict-origin-when-cross-origin","server":"nginx/1.24.0 (Ubuntu)","strict-transport-security":"max-age=31536000; includeSubDomains; preload","vary":"Accept-Encoding","via":"1.1 Caddy","x-content-type-options":"nosniff","x-frame-options":"DENY","x-new-api-version":"v1.0.0-rc.2","x-oneapi-request-id":"202605180642101581483718268d9d6TryneljY","x-request-id":"880cb56d-7727-4fbd-9fd5-0c297f1b62a3"}</t>
        </is>
      </c>
      <c r="N101" t="inlineStr">
        <is>
          <t>Comme des Garçons Play Rei Kawakubo black cotton crew neck T-shirt with red heart eyes embroidery, unisex short sleeve casual streetwear basic tee.</t>
        </is>
      </c>
      <c r="O101" t="inlineStr">
        <is>
          <t>{"id":"resp_015af4dade2a8412016a0ab8972ef4819a8fd661cd37f16b48","object":"chat.completion","created":1779087517,"model":"gpt-5.5","choices":[{"index":0,"message":{"role":"assistant","content":"Comme des Garçons Play T-Shirts kakobuy, Comme des Garçons Play T-Shirts kakebuy2026, Comme des Garçons Play T-Shirts kekobuysheet, Comme des Garçons Play T-Shirts kakobuysheet2026, Comme des Garçons Play T-Shirts 2026kakobuy, Comme des Garçons Play T-Shirts kakobuyspreadsheeet, Comme des Garçons Play T-Shirts kakobuylink, Comme des Garçons Play T-Shirts kakebuylist, Comme des Garçons Play T-Shirts Kakobuy MEGA Spreadsheet, Comme des Garçons Play T-Shirts kakobuysheetfind, Comme des Garçons Play T-Shirts kakobuysheetfind2026, Comme des Garçons Play T-Shirts 2026kakobuysheetfind, Comme des Garçons Play T-Shirts kakobuysheet2026"},"finish_reason":"stop"}],"usage":{"prompt_tokens":647,"completion_tokens":309,"total_tokens":956}}</t>
        </is>
      </c>
      <c r="P101" t="inlineStr">
        <is>
          <t>Comme des Garçons Play T-Shirts kakobuy, Comme des Garçons Play T-Shirts kakebuy2026, Comme des Garçons Play T-Shirts kekobuysheet, Comme des Garçons Play T-Shirts kakobuysheet2026, Comme des Garçons Play T-Shirts 2026kakobuy, Comme des Garçons Play T-Shirts kakobuyspreadsheeet, Comme des Garçons Play T-Shirts kakobuylink, Comme des Garçons Play T-Shirts kakebuylist, Comme des Garçons Play T-Shirts Kakobuy MEGA Spreadsheet, Comme des Garçons Play T-Shirts kakobuysheetfind, Comme des Garçons Play T-Shirts kakobuysheetfind2026, Comme des Garçons Play T-Shirts 2026kakobuysheetfind, Comme des Garçons Play T-Shirts kakobuysheet2026</t>
        </is>
      </c>
      <c r="Q101" t="inlineStr">
        <is>
          <t>Black, Streetwear, Basic Style, Unisex</t>
        </is>
      </c>
      <c r="R101" t="inlineStr">
        <is>
          <t>recvjR8ThhMu6e</t>
        </is>
      </c>
      <c r="S101" t="inlineStr">
        <is>
          <t>comme-des-garcons-play-black-cotton-heart-t-shirt-recvjr8thhmu6e</t>
        </is>
      </c>
      <c r="T101"/>
      <c r="U101"/>
      <c r="V101"/>
      <c r="W101" t="inlineStr">
        <is>
          <t>{"id":"resp_016db9495b79b200016a0ab2b88228819aa46413e84aff634e","object":"chat.completion","created":1779086012,"model":"gpt-5.5","choices":[{"index":0,"message":{"role":"assistant","content":"川久保玲Comme des Garçons Play黑色短袖T恤，纯棉圆领，红心眼睛刺绣标，男女同款休闲潮流基础款。"},"finish_reason":"stop"}],"usage":{"prompt_tokens":1165,"completion_tokens":172,"total_tokens":1337}}</t>
        </is>
      </c>
      <c r="X101" t="inlineStr">
        <is>
          <t>川久保玲Comme des Garçons Play黑色短袖T恤，纯棉圆领，红心眼睛刺绣标，男女同款休闲潮流基础款。</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