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ttleExplorerToys商品导入042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1654975475</v>
      </c>
      <c r="B2">
        <v>7622536218</v>
      </c>
      <c r="C2" s="2" t="str">
        <f>=HYPERLINK("https://weidian.com/item.html?itemID=7622536218", "https://weidian.com/item.html?itemID=7622536218")</f>
        <v>https://weidian.com/item.html?itemID=7622536218</v>
      </c>
      <c r="D2"/>
      <c r="E2" s="2" t="str">
        <f>=HYPERLINK("https://si.geilicdn.com/pcitem2014204438-6a1a0000019acfbb24740a8134f0_1440_1920.jpg?w=640&amp;h=640", "https://si.geilicdn.com/pcitem2014204438-6a1a0000019acfbb24740a8134f0_1440_1920.jpg?w=640&amp;h=640")</f>
        <v>https://si.geilicdn.com/pcitem2014204438-6a1a0000019acfbb24740a8134f0_1440_1920.jpg?w=640&amp;h=640</v>
      </c>
      <c r="F2" t="inlineStr">
        <is>
          <t>Accessories</t>
        </is>
      </c>
      <c r="G2" t="inlineStr">
        <is>
          <t>Hermes</t>
        </is>
      </c>
      <c r="H2">
        <v>460</v>
      </c>
      <c r="I2">
        <v>66.67</v>
      </c>
      <c r="J2" t="inlineStr">
        <is>
          <t>{"id":"chatcmpl-DYj1rJ4GmYqEmgmdjXY3Bsgsk9UeB","object":"chat.completion","created":1777168615,"model":"gpt-5-chat-2025-10-03","choices":[{"index":0,"message":{"role":"assistant","content":"Hermes Grey Taupe Epsom Leather Belt Silver H Buckle","refusal":null,"annotations":[]},"logprobs":null,"finish_reason":"stop"}],"usage":{"prompt_tokens":887,"completion_tokens":15,"total_tokens":902,"prompt_tokens_details":{"cached_tokens":0,"audio_tokens":0},"completion_tokens_details":{"reasoning_tokens":0,"audio_tokens":0,"accepted_prediction_tokens":0,"rejected_prediction_tokens":0}},"service_tier":"default","system_fingerprint":"fp_ad66631dec"}</t>
        </is>
      </c>
      <c r="K2" t="inlineStr">
        <is>
          <t>Hermes Grey Taupe Epsom Leather Belt Silver H Buckle</t>
        </is>
      </c>
      <c r="L2" t="inlineStr">
        <is>
          <t>{"id":"chatcmpl-DYiL3IiNOvVPXCIsqrTiDDi2GwXHa","object":"chat.completion","created":1777165961,"model":"gpt-5-chat-2025-10-03","choices":[{"index":0,"message":{"role":"assistant","content":"Hermes Grey-Taupe Epsom Leather Belt with Signature “H” Silver Engraved Buckle, Luxurious Unisex Design, Timeless and Elegant, Perfect Classic Accessory for Any Outfit.","refusal":null,"annotations":[]},"logprobs":null,"finish_reason":"stop"}],"usage":{"prompt_tokens":893,"completion_tokens":43,"total_tokens":936,"prompt_tokens_details":{"cached_tokens":0,"audio_tokens":0},"completion_tokens_details":{"reasoning_tokens":0,"audio_tokens":0,"accepted_prediction_tokens":0,"rejected_prediction_tokens":0}},"service_tier":"default","system_fingerprint":"fp_ad66631dec"}</t>
        </is>
      </c>
      <c r="M2" t="inlineStr">
        <is>
          <t>{"alt-svc":"h3=\":443\"; ma=2592000","apim-request-id":"5c98b2f0-1ef3-40a9-9c25-54674e8fb30c","azureml-model-session":"d20260405225800-40f19e54","cache-control":"no-cache","connection":"close","content-length":"980","content-type":"application/json","date":"Sun, 26 Apr 2026 01:12:42 GMT","server":"Caddy","skip-error-remapping":"true","strict-transport-security":"max-age=31536000; includeSubDomains; preload","x-content-type-options":"nosniff","x-ms-client-request-id":"Not-Set","x-ms-is-spilled-over":"false","x-ms-rai-invoked":"false","x-ms-region":"East US 2","x-new-api-version":"0.4.35","x-oneapi-request-id":"202604260112401861005628268d9d6ZS0kNY9v","x-ratelimit-abusepenalty-active":"False","x-ratelimit-limit-requests":"1000","x-ratelimit-limit-tokens":"1000000","x-ratelimit-remaining-requests":"999","x-ratelimit-remaining-tokens":"998345","x-ratelimit-renewalperiod-requests":"60","x-ratelimit-renewalperiod-tokens":"60","x-ratelimit-reset-requests":"60","x-ratelimit-reset-tokens":"99","x-request-id":"441e0a9d-c144-42f4-8080-78a249b2994e"}</t>
        </is>
      </c>
      <c r="N2" t="inlineStr">
        <is>
          <t>Hermes Grey-Taupe Epsom Leather Belt with Signature “H” Silver Engraved Buckle, Luxurious Unisex Design, Timeless and Elegant, Perfect Classic Accessory for Any Outfit.</t>
        </is>
      </c>
      <c r="O2" t="inlineStr">
        <is>
          <t>{"id":"chatcmpl-DYiW0A57XNd5Rv7hFoIznAAgkko9G","object":"chat.completion","created":1777166640,"model":"gpt-5-chat-2025-10-03","choices":[{"index":0,"message":{"role":"assistant","content":"Hermes,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 t="inlineStr">
        <is>
          <t>Hermes,Accessories,kakobuy,kakebuy2026,kekobuysheet,kakobuysheet2026,2026kakobuy,kakobuyspreadsheeet,kakobuylink,kakebuylist,Kakobuy MEGA Spreadsheet,kakobuysheetfind,kakobuysheetfind2026,2026kakobuysheetfind,kakobuysheet2026</t>
        </is>
      </c>
      <c r="Q2"/>
      <c r="R2" t="inlineStr">
        <is>
          <t>recvhju1Cr61AC</t>
        </is>
      </c>
      <c r="S2" t="inlineStr">
        <is>
          <t>hermes-grey-taupe-epsom-leather-belt-silver-h-buckle-recvhju1cr61ac</t>
        </is>
      </c>
      <c r="T2"/>
      <c r="U2"/>
      <c r="V2"/>
      <c r="W2" t="inlineStr">
        <is>
          <t>{"id":"chatcmpl-DYhtkLEIgTUsRCVWdAYwKrERkRCfp","object":"chat.completion","created":1777164268,"model":"gpt-5-chat-2025-10-03","choices":[{"index":0,"message":{"role":"assistant","content":"Hermes：灰褐色Epsom皮革腰带，采用标志性“H”金属扣设计，银色雕纹工艺彰显奢华质感，简约优雅风格，男女皆宜，经典百搭单品。","refusal":null,"annotations":[]},"logprobs":null,"finish_reason":"stop"}],"usage":{"prompt_tokens":1303,"completion_tokens":58,"total_tokens":1361,"prompt_tokens_details":{"cached_tokens":1280,"audio_tokens":0},"completion_tokens_details":{"reasoning_tokens":0,"audio_tokens":0,"accepted_prediction_tokens":0,"rejected_prediction_tokens":0}},"service_tier":"default","system_fingerprint":"fp_ad66631dec"}</t>
        </is>
      </c>
      <c r="X2" t="inlineStr">
        <is>
          <t>Hermes：灰褐色Epsom皮革腰带，采用标志性“H”金属扣设计，银色雕纹工艺彰显奢华质感，简约优雅风格，男女皆宜，经典百搭单品。</t>
        </is>
      </c>
    </row>
    <row r="3" ht="25.5" customHeight="1">
      <c r="A3">
        <v>1654975475</v>
      </c>
      <c r="B3">
        <v>7622506684</v>
      </c>
      <c r="C3" s="2" t="str">
        <f>=HYPERLINK("https://weidian.com/item.html?itemID=7622506684", "https://weidian.com/item.html?itemID=7622506684")</f>
        <v>https://weidian.com/item.html?itemID=7622506684</v>
      </c>
      <c r="D3"/>
      <c r="E3" s="2" t="str">
        <f>=HYPERLINK("https://si.geilicdn.com/pcitem2014204438-36740000019acfbb924a0a811411_1440_1920.jpg?w=640&amp;h=640", "https://si.geilicdn.com/pcitem2014204438-36740000019acfbb924a0a811411_1440_1920.jpg?w=640&amp;h=640")</f>
        <v>https://si.geilicdn.com/pcitem2014204438-36740000019acfbb924a0a811411_1440_1920.jpg?w=640&amp;h=640</v>
      </c>
      <c r="F3" t="inlineStr">
        <is>
          <t>Accessories</t>
        </is>
      </c>
      <c r="G3" t="inlineStr">
        <is>
          <t>Hermes</t>
        </is>
      </c>
      <c r="H3">
        <v>460</v>
      </c>
      <c r="I3">
        <v>66.67</v>
      </c>
      <c r="J3" t="inlineStr">
        <is>
          <t>{"id":"chatcmpl-DYiz4dTRIXmyNSwggU9C5IyDg91fm","object":"chat.completion","created":1777168442,"model":"gpt-5-chat-2025-10-03","choices":[{"index":0,"message":{"role":"assistant","content":"Hermes Black H Buckle Leather Belt for Men Women","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3" t="inlineStr">
        <is>
          <t>Hermes Black H Buckle Leather Belt for Men Women</t>
        </is>
      </c>
      <c r="L3" t="inlineStr">
        <is>
          <t>{"id":"chatcmpl-DYiL41ynVrWOcEW4Q8Rr5MRsdhRq0","object":"chat.completion","created":1777165962,"model":"gpt-5-chat-2025-10-03","choices":[{"index":0,"message":{"role":"assistant","content":"Hermes Black H Buckle Leather Belt crafted from premium grained calfskin with a silver-tone buckle. Its sleek design blends modern minimalism and timeless elegance, perfect for men and women.","refusal":null,"annotations":[]},"logprobs":null,"finish_reason":"stop"}],"usage":{"prompt_tokens":915,"completion_tokens":39,"total_tokens":954,"prompt_tokens_details":{"cached_tokens":0,"audio_tokens":0},"completion_tokens_details":{"reasoning_tokens":0,"audio_tokens":0,"accepted_prediction_tokens":0,"rejected_prediction_tokens":0}},"service_tier":"default","system_fingerprint":"fp_ad66631dec"}</t>
        </is>
      </c>
      <c r="M3" t="inlineStr">
        <is>
          <t>{"alt-svc":"h3=\":443\"; ma=2592000","apim-request-id":"b2d76c44-7cfa-45e5-b156-9eaf5851c9ec","azureml-model-session":"d20260402084046-4209e968","cache-control":"no-cache","connection":"close","content-length":"999","content-type":"application/json","date":"Sun, 26 Apr 2026 01:12:45 GMT","server":"Caddy","skip-error-remapping":"true","strict-transport-security":"max-age=31536000; includeSubDomains; preload","x-content-type-options":"nosniff","x-ms-client-request-id":"Not-Set","x-ms-is-spilled-over":"false","x-ms-rai-invoked":"false","x-ms-region":"Australia East","x-new-api-version":"0.4.35","x-oneapi-request-id":"202604260112398666349488268d9d6IS4XLSct","x-ratelimit-abusepenalty-active":"False","x-ratelimit-limit-requests":"1000","x-ratelimit-limit-tokens":"1000000","x-ratelimit-remaining-requests":"999","x-ratelimit-remaining-tokens":"998323","x-ratelimit-renewalperiod-requests":"60","x-ratelimit-renewalperiod-tokens":"60","x-ratelimit-reset-requests":"60","x-ratelimit-reset-tokens":"100","x-request-id":"2ddec16a-da72-4260-911f-899b3e9eb054"}</t>
        </is>
      </c>
      <c r="N3" t="inlineStr">
        <is>
          <t>Hermes Black H Buckle Leather Belt crafted from premium grained calfskin with a silver-tone buckle. Its sleek design blends modern minimalism and timeless elegance, perfect for men and women.</t>
        </is>
      </c>
      <c r="O3" t="inlineStr">
        <is>
          <t>{"id":"chatcmpl-DYiTEUMJUv4TDUNssAcA8p8ddZGu1","object":"chat.completion","created":1777166468,"model":"gpt-5-chat-2025-10-03","choices":[{"index":0,"message":{"role":"assistant","content":"Hermes,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3" t="inlineStr">
        <is>
          <t>Hermes, Belt, kakobuy, kakebuy2026, kekobuysheet, kakobuysheet2026, 2026kakobuy, kakobuyspreadsheeet, kakobuylink, kakebuylist, Kakobuy MEGA Spreadsheet, kakobuysheetfind, kakobuysheetfind2026, 2026kakobuysheetfind, kakobuysheet2026</t>
        </is>
      </c>
      <c r="Q3"/>
      <c r="R3" t="inlineStr">
        <is>
          <t>recvhju1Cr6UhK</t>
        </is>
      </c>
      <c r="S3" t="inlineStr">
        <is>
          <t>hermes-black-h-buckle-leather-belt-recvhju1cr6uhk</t>
        </is>
      </c>
      <c r="T3"/>
      <c r="U3"/>
      <c r="V3"/>
      <c r="W3" t="inlineStr">
        <is>
          <t>{"id":"chatcmpl-DYhsxBxavb4CLWoTSwDcDAsUYFfDa","object":"chat.completion","created":1777164219,"model":"gpt-5-chat-2025-10-03","choices":[{"index":0,"message":{"role":"assistant","content":"Hermes：黑色经典H扣皮带，甄选顶级粒面牛皮搭配银色金属扣饰，反光纹理优雅奢华。简约现代设计融合品牌标志元素，彰显精英品味。男女皆宜，日常与商务穿搭皆可轻松驾驭，尽显法式高贵格调。","refusal":null,"annotations":[]},"logprobs":null,"finish_reason":"stop"}],"usage":{"prompt_tokens":1295,"completion_tokens":84,"total_tokens":1379,"prompt_tokens_details":{"cached_tokens":0,"audio_tokens":0},"completion_tokens_details":{"reasoning_tokens":0,"audio_tokens":0,"accepted_prediction_tokens":0,"rejected_prediction_tokens":0}},"service_tier":"default","system_fingerprint":"fp_ad66631dec"}</t>
        </is>
      </c>
      <c r="X3" t="inlineStr">
        <is>
          <t>Hermes：黑色经典H扣皮带，甄选顶级粒面牛皮搭配银色金属扣饰，反光纹理优雅奢华。简约现代设计融合品牌标志元素，彰显精英品味。男女皆宜，日常与商务穿搭皆可轻松驾驭，尽显法式高贵格调。</t>
        </is>
      </c>
    </row>
    <row r="4" ht="25.5" customHeight="1">
      <c r="A4">
        <v>1654975475</v>
      </c>
      <c r="B4">
        <v>7619526865</v>
      </c>
      <c r="C4" s="2" t="str">
        <f>=HYPERLINK("https://weidian.com/item.html?itemID=7619526865", "https://weidian.com/item.html?itemID=7619526865")</f>
        <v>https://weidian.com/item.html?itemID=7619526865</v>
      </c>
      <c r="D4"/>
      <c r="E4" s="2" t="str">
        <f>=HYPERLINK("https://si.geilicdn.com/pcitem2014204438-38f40000019acfc2f8500a811411_1074_1074.jpg?w=640&amp;h=640", "https://si.geilicdn.com/pcitem2014204438-38f40000019acfc2f8500a811411_1074_1074.jpg?w=640&amp;h=640")</f>
        <v>https://si.geilicdn.com/pcitem2014204438-38f40000019acfc2f8500a811411_1074_1074.jpg?w=640&amp;h=640</v>
      </c>
      <c r="F4" t="inlineStr">
        <is>
          <t>Accessories</t>
        </is>
      </c>
      <c r="G4" t="inlineStr">
        <is>
          <t>Louis Vuitton</t>
        </is>
      </c>
      <c r="H4">
        <v>480</v>
      </c>
      <c r="I4">
        <v>69.5797101449275</v>
      </c>
      <c r="J4" t="inlineStr">
        <is>
          <t>{"id":"chatcmpl-DYiyrKDx1rqSvddWVtngTYx2wAWWT","object":"chat.completion","created":1777168429,"model":"gpt-5-chat-2025-10-03","choices":[{"index":0,"message":{"role":"assistant","content":"Louis Vuitton Men Grey Blue Leather Belt LV Buckle","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4" t="inlineStr">
        <is>
          <t>Louis Vuitton Men Grey Blue Leather Belt LV Buckle</t>
        </is>
      </c>
      <c r="L4" t="inlineStr">
        <is>
          <t>{"id":"chatcmpl-DYiEIjR8rm4xK9wjwr9VEC6atpfJH","object":"chat.completion","created":1777165542,"model":"gpt-5-chat-2025-10-03","choices":[{"index":0,"message":{"role":"assistant","content":"Louis Vuitton Men’s Grey-Blue Leather Belt, crafted from grained cowhide with signature LV metal buckle. A sleek, modern design that elevates both business and casual looks with luxury style.","refusal":null,"annotations":[]},"logprobs":null,"finish_reason":"stop"}],"usage":{"prompt_tokens":893,"completion_tokens":40,"total_tokens":933,"prompt_tokens_details":{"cached_tokens":0,"audio_tokens":0},"completion_tokens_details":{"reasoning_tokens":0,"audio_tokens":0,"accepted_prediction_tokens":0,"rejected_prediction_tokens":0}},"service_tier":"default","system_fingerprint":"fp_ad66631dec"}</t>
        </is>
      </c>
      <c r="M4" t="inlineStr">
        <is>
          <t>{"alt-svc":"h3=\":443\"; ma=2592000","apim-request-id":"1057f94e-2287-4390-b672-a6713c7d9734","azureml-model-session":"d20260402083108-57a85543","cache-control":"no-cache","connection":"close","content-length":"1001","content-type":"application/json","date":"Sun, 26 Apr 2026 01:05:44 GMT","server":"nginx","skip-error-remapping":"true","strict-transport-security":"max-age=31536000; includeSubDomains; preload","via":"1.1 Caddy","x-content-type-options":"nosniff","x-ms-client-request-id":"Not-Set","x-ms-is-spilled-over":"false","x-ms-rai-invoked":"false","x-ms-region":"Korea Central","x-new-api-version":"0.4.35","x-oneapi-request-id":"202604260105413591246778268d9d6ewdZId4M","x-ratelimit-abusepenalty-active":"False","x-ratelimit-limit-requests":"1000","x-ratelimit-limit-tokens":"1000000","x-ratelimit-remaining-requests":"999","x-ratelimit-remaining-tokens":"998345","x-ratelimit-renewalperiod-requests":"60","x-ratelimit-renewalperiod-tokens":"60","x-ratelimit-reset-requests":"60","x-ratelimit-reset-tokens":"99","x-request-id":"85a5765e-5c80-47d3-b0ef-7a26907c9df7"}</t>
        </is>
      </c>
      <c r="N4" t="inlineStr">
        <is>
          <t>Louis Vuitton Men’s Grey-Blue Leather Belt, crafted from grained cowhide with signature LV metal buckle. A sleek, modern design that elevates both business and casual looks with luxury style.</t>
        </is>
      </c>
      <c r="O4" t="inlineStr">
        <is>
          <t>{"id":"chatcmpl-DYiRmIQZ8cN8utElA9p1LtJoM3HS5","object":"chat.completion","created":1777166378,"model":"gpt-5-chat-2025-10-03","choices":[{"index":0,"message":{"role":"assistant","content":"Louis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4" t="inlineStr">
        <is>
          <t>Louis Vuitton, Accessories, kakobuy, kakebuy2026, kekobuysheet, kakobuysheet2026, 2026kakobuy, kakobuyspreadsheeet, kakobuylink, kakebuylist, Kakobuy MEGA Spreadsheet, kakobuysheetfind, kakobuysheetfind2026, 2026kakobuysheetfind, kakobuysheet2026</t>
        </is>
      </c>
      <c r="Q4" t="inlineStr">
        <is>
          <t>LV, Leather, Grey Blue, Business, Men</t>
        </is>
      </c>
      <c r="R4" t="inlineStr">
        <is>
          <t>recvhju1CrGOsl</t>
        </is>
      </c>
      <c r="S4" t="inlineStr">
        <is>
          <t>louis-vuitton-men-grey-blue-leather-belt-lv-buckle-recvhju1crgosl</t>
        </is>
      </c>
      <c r="T4"/>
      <c r="U4"/>
      <c r="V4"/>
      <c r="W4" t="inlineStr">
        <is>
          <t>{"id":"chatcmpl-DYhv1uNYEli44FEx61rgLMtN5tUeH","object":"chat.completion","created":1777164347,"model":"gpt-5-chat-2025-10-03","choices":[{"index":0,"message":{"role":"assistant","content":"Louis Vuitton：灰蓝色男士皮质腰带，采用粒面牛皮材质，搭配金属LV字母扣，简约都市设计，凸显高级质感与品牌标志性风格，适合商务与休闲场合佩戴。","refusal":null,"annotations":[]},"logprobs":null,"finish_reason":"stop"}],"usage":{"prompt_tokens":1299,"completion_tokens":60,"total_tokens":1359,"prompt_tokens_details":{"cached_tokens":0,"audio_tokens":0},"completion_tokens_details":{"reasoning_tokens":0,"audio_tokens":0,"accepted_prediction_tokens":0,"rejected_prediction_tokens":0}},"service_tier":"default","system_fingerprint":"fp_ad66631dec"}</t>
        </is>
      </c>
      <c r="X4" t="inlineStr">
        <is>
          <t>Louis Vuitton：灰蓝色男士皮质腰带，采用粒面牛皮材质，搭配金属LV字母扣，简约都市设计，凸显高级质感与品牌标志性风格，适合商务与休闲场合佩戴。</t>
        </is>
      </c>
    </row>
    <row r="5" ht="25.5" customHeight="1">
      <c r="A5">
        <v>1654975475</v>
      </c>
      <c r="B5">
        <v>7622551922</v>
      </c>
      <c r="C5" s="2" t="str">
        <f>=HYPERLINK("https://weidian.com/item.html?itemID=7622551922", "https://weidian.com/item.html?itemID=7622551922")</f>
        <v>https://weidian.com/item.html?itemID=7622551922</v>
      </c>
      <c r="D5"/>
      <c r="E5" s="2" t="str">
        <f>=HYPERLINK("https://si.geilicdn.com/pcitem2014204438-7bde0000019acfc08f410a2315ef_1512_2016.jpg?w=640&amp;h=640", "https://si.geilicdn.com/pcitem2014204438-7bde0000019acfc08f410a2315ef_1512_2016.jpg?w=640&amp;h=640")</f>
        <v>https://si.geilicdn.com/pcitem2014204438-7bde0000019acfc08f410a2315ef_1512_2016.jpg?w=640&amp;h=640</v>
      </c>
      <c r="F5" t="inlineStr">
        <is>
          <t>Accessories</t>
        </is>
      </c>
      <c r="G5" t="inlineStr">
        <is>
          <t>Dior</t>
        </is>
      </c>
      <c r="H5">
        <v>460</v>
      </c>
      <c r="I5">
        <v>66.67</v>
      </c>
      <c r="J5" t="inlineStr">
        <is>
          <t>{"id":"chatcmpl-DYiyAGE9abHXyo6IBKFrugXZx0c1l","object":"chat.completion","created":1777168386,"model":"gpt-5-chat-2025-10-03","choices":[{"index":0,"message":{"role":"assistant","content":"Dior Gray Blue CD Leather Belt Matte Black Buckle","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5" t="inlineStr">
        <is>
          <t>Dior Gray Blue CD Leather Belt Matte Black Buckle</t>
        </is>
      </c>
      <c r="L5" t="inlineStr">
        <is>
          <t>{"id":"chatcmpl-DYiFi5fT6fx0o7aTcdf3U97l5QyMM","object":"chat.completion","created":1777165630,"model":"gpt-5-chat-2025-10-03","choices":[{"index":0,"message":{"role":"assistant","content":"Dior Gray-Blue CD Leather Belt crafted from premium grained calfskin, featuring a matte black metal buckle. Unisex modern minimalist design embodies French elegance and contemporary luxury style.","refusal":null,"annotations":[]},"logprobs":null,"finish_reason":"stop"}],"usage":{"prompt_tokens":899,"completion_tokens":37,"total_tokens":936,"prompt_tokens_details":{"cached_tokens":0,"audio_tokens":0},"completion_tokens_details":{"reasoning_tokens":0,"audio_tokens":0,"accepted_prediction_tokens":0,"rejected_prediction_tokens":0}},"service_tier":"default","system_fingerprint":"fp_ad66631dec"}</t>
        </is>
      </c>
      <c r="M5" t="inlineStr">
        <is>
          <t>{"alt-svc":"h3=\":443\"; ma=2592000","apim-request-id":"e218faf7-3fdb-4ee0-8d62-f002c41b93a4","azureml-model-session":"d20260405225800-40f19e54","cache-control":"no-cache","connection":"close","content-length":"1003","content-type":"application/json","date":"Sun, 26 Apr 2026 01:07:11 GMT","server":"Caddy","skip-error-remapping":"true","strict-transport-security":"max-age=31536000; includeSubDomains; preload","x-content-type-options":"nosniff","x-ms-client-request-id":"Not-Set","x-ms-is-spilled-over":"false","x-ms-rai-invoked":"false","x-ms-region":"East US 2","x-new-api-version":"0.4.35","x-oneapi-request-id":"202604260107094689904488268d9d6XJn4ScfE","x-ratelimit-abusepenalty-active":"False","x-ratelimit-limit-requests":"1000","x-ratelimit-limit-tokens":"1000000","x-ratelimit-remaining-requests":"999","x-ratelimit-remaining-tokens":"998339","x-ratelimit-renewalperiod-requests":"60","x-ratelimit-renewalperiod-tokens":"60","x-ratelimit-reset-requests":"60","x-ratelimit-reset-tokens":"99","x-request-id":"a60d6d86-45c3-48af-bc21-b1f7f0bbe317"}</t>
        </is>
      </c>
      <c r="N5" t="inlineStr">
        <is>
          <t>Dior Gray-Blue CD Leather Belt crafted from premium grained calfskin, featuring a matte black metal buckle. Unisex modern minimalist design embodies French elegance and contemporary luxury style.</t>
        </is>
      </c>
      <c r="O5" t="inlineStr">
        <is>
          <t>{"id":"chatcmpl-DYiWgm3SuvJFvwCY2mxYo96hheC1U","object":"chat.completion","created":1777166682,"model":"gpt-5-chat-2025-10-03","choices":[{"index":0,"message":{"role":"assistant","content":"Dior,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5" t="inlineStr">
        <is>
          <t>Dior, Belt, kakobuy, kakebuy2026, kekobuysheet, kakobuysheet2026, 2026kakobuy, kakobuyspreadsheeet, kakobuylink, kakebuylist, Kakobuy MEGA Spreadsheet, kakobuysheetfind, kakobuysheetfind2026, 2026kakobuysheetfind, kakobuysheet2026</t>
        </is>
      </c>
      <c r="Q5" t="inlineStr">
        <is>
          <t>Dior, Leather, Grey Blue, Minimalist, Contemporary, Unisex</t>
        </is>
      </c>
      <c r="R5" t="inlineStr">
        <is>
          <t>recvhju1Crm4yj</t>
        </is>
      </c>
      <c r="S5" t="inlineStr">
        <is>
          <t>dior-gray-blue-cd-leather-belt-matte-black-buckle-recvhju1crm4yj</t>
        </is>
      </c>
      <c r="T5"/>
      <c r="U5"/>
      <c r="V5"/>
      <c r="W5" t="inlineStr">
        <is>
          <t>{"id":"chatcmpl-DYhpsKK0Oulo1eJb6fZLqoSiWDr8U","object":"chat.completion","created":1777164028,"model":"gpt-5-chat-2025-10-03","choices":[{"index":0,"message":{"role":"assistant","content":"Dior：灰蓝色CD双拼皮革腰带，甄选粒面牛皮材质，低调哑光黑色金属扣设计，展现简约现代风格，适合男女通用，彰显法式优雅格调与当代美学。","refusal":null,"annotations":[]},"logprobs":null,"finish_reason":"stop"}],"usage":{"prompt_tokens":1301,"completion_tokens":65,"total_tokens":1366,"prompt_tokens_details":{"cached_tokens":1280,"audio_tokens":0},"completion_tokens_details":{"reasoning_tokens":0,"audio_tokens":0,"accepted_prediction_tokens":0,"rejected_prediction_tokens":0}},"service_tier":"default","system_fingerprint":"fp_ad66631dec"}</t>
        </is>
      </c>
      <c r="X5" t="inlineStr">
        <is>
          <t>Dior：灰蓝色CD双拼皮革腰带，甄选粒面牛皮材质，低调哑光黑色金属扣设计，展现简约现代风格，适合男女通用，彰显法式优雅格调与当代美学。</t>
        </is>
      </c>
    </row>
    <row r="6" ht="25.5" customHeight="1">
      <c r="A6">
        <v>1654975475</v>
      </c>
      <c r="B6">
        <v>7622447506</v>
      </c>
      <c r="C6" s="2" t="str">
        <f>=HYPERLINK("https://weidian.com/item.html?itemID=7622447506", "https://weidian.com/item.html?itemID=7622447506")</f>
        <v>https://weidian.com/item.html?itemID=7622447506</v>
      </c>
      <c r="D6"/>
      <c r="E6" s="2" t="str">
        <f>=HYPERLINK("https://si.geilicdn.com/pcitem2014204438-42280000019acfbd4c5a0a210139_1080_1080.jpg?w=640&amp;h=640", "https://si.geilicdn.com/pcitem2014204438-42280000019acfbd4c5a0a210139_1080_1080.jpg?w=640&amp;h=640")</f>
        <v>https://si.geilicdn.com/pcitem2014204438-42280000019acfbd4c5a0a210139_1080_1080.jpg?w=640&amp;h=640</v>
      </c>
      <c r="F6" t="inlineStr">
        <is>
          <t>Accessories</t>
        </is>
      </c>
      <c r="G6" t="inlineStr">
        <is>
          <t>Louis Vuitton</t>
        </is>
      </c>
      <c r="H6">
        <v>520</v>
      </c>
      <c r="I6">
        <v>75.36</v>
      </c>
      <c r="J6" t="inlineStr">
        <is>
          <t>{"id":"chatcmpl-DYj0EfaR4JnPhGyBeOwcBUY72TbDk","object":"chat.completion","created":1777168514,"model":"gpt-5-chat-2025-10-03","choices":[{"index":0,"message":{"role":"assistant","content":"Louis Vuitton Men Black Leather Belt Set","refusal":null,"annotations":[]},"logprobs":null,"finish_reason":"stop"}],"usage":{"prompt_tokens":873,"completion_tokens":8,"total_tokens":881,"prompt_tokens_details":{"cached_tokens":0,"audio_tokens":0},"completion_tokens_details":{"reasoning_tokens":0,"audio_tokens":0,"accepted_prediction_tokens":0,"rejected_prediction_tokens":0}},"service_tier":"default","system_fingerprint":"fp_ad66631dec"}</t>
        </is>
      </c>
      <c r="K6" t="inlineStr">
        <is>
          <t>Louis Vuitton Men Black Leather Belt Set</t>
        </is>
      </c>
      <c r="L6" t="inlineStr">
        <is>
          <t>{"id":"chatcmpl-DYiIbeEAfRNy1QqsnRe7XM6LUJkAU","object":"chat.completion","created":1777165809,"model":"gpt-5-chat-2025-10-03","choices":[{"index":0,"message":{"role":"assistant","content":"Louis Vuitton classic black leather belt set with dual silver and gold LV buckles, crafted from premium calfskin, exuding modern luxury style for men’s business and casual wear.","refusal":null,"annotations":[]},"logprobs":null,"finish_reason":"stop"}],"usage":{"prompt_tokens":883,"completion_tokens":36,"total_tokens":919,"prompt_tokens_details":{"cached_tokens":0,"audio_tokens":0},"completion_tokens_details":{"reasoning_tokens":0,"audio_tokens":0,"accepted_prediction_tokens":0,"rejected_prediction_tokens":0}},"service_tier":"default","system_fingerprint":"fp_ad66631dec"}</t>
        </is>
      </c>
      <c r="M6" t="inlineStr">
        <is>
          <t>{"alt-svc":"h3=\":443\"; ma=2592000","apim-request-id":"0e95dd3a-b455-4215-849b-b696f98c3459","azureml-model-session":"d20260405225800-40f19e54","cache-control":"no-cache","connection":"close","content-length":"987","content-type":"application/json","date":"Sun, 26 Apr 2026 01:10:10 GMT","server":"Caddy","skip-error-remapping":"true","strict-transport-security":"max-age=31536000; includeSubDomains; preload","x-content-type-options":"nosniff","x-ms-client-request-id":"Not-Set","x-ms-is-spilled-over":"false","x-ms-rai-invoked":"false","x-ms-region":"East US 2","x-new-api-version":"0.4.35","x-oneapi-request-id":"202604260110086654257398268d9d6nyTvvUzS","x-ratelimit-abusepenalty-active":"False","x-ratelimit-limit-requests":"1000","x-ratelimit-limit-tokens":"1000000","x-ratelimit-remaining-requests":"999","x-ratelimit-remaining-tokens":"998355","x-ratelimit-renewalperiod-requests":"60","x-ratelimit-renewalperiod-tokens":"60","x-ratelimit-reset-requests":"60","x-ratelimit-reset-tokens":"98","x-request-id":"c696ca05-a535-42da-91ca-716032890f89"}</t>
        </is>
      </c>
      <c r="N6" t="inlineStr">
        <is>
          <t>Louis Vuitton classic black leather belt set with dual silver and gold LV buckles, crafted from premium calfskin, exuding modern luxury style for men’s business and casual wear.</t>
        </is>
      </c>
      <c r="O6" t="inlineStr">
        <is>
          <t>{"id":"chatcmpl-DYiT4OSqy8Dnpm8rom1rE9Zmwf5s0","object":"chat.completion","created":1777166458,"model":"gpt-5-chat-2025-10-03","choices":[{"index":0,"message":{"role":"assistant","content":"Louis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6" t="inlineStr">
        <is>
          <t>Louis Vuitton, Accessories, kakobuy, kakebuy2026, kekobuysheet, kakobuysheet2026, 2026kakobuy, kakobuyspreadsheeet, kakobuylink, kakebuylist, Kakobuy MEGA Spreadsheet, kakobuysheetfind, kakobuysheetfind2026, 2026kakobuysheetfind, kakobuysheet2026</t>
        </is>
      </c>
      <c r="Q6" t="inlineStr">
        <is>
          <t>LV, Leather, Black, Modern, Business, Men</t>
        </is>
      </c>
      <c r="R6" t="inlineStr">
        <is>
          <t>recvhju1CrT9pV</t>
        </is>
      </c>
      <c r="S6" t="inlineStr">
        <is>
          <t>louis-vuitton-men-black-leather-belt-recvhju1crt9pv</t>
        </is>
      </c>
      <c r="T6"/>
      <c r="U6"/>
      <c r="V6"/>
      <c r="W6" t="inlineStr">
        <is>
          <t>{"id":"chatcmpl-DYhplqhJtE8zW9kgkBakj4kKA3VPs","object":"chat.completion","created":1777164021,"model":"gpt-5-chat-2025-10-03","choices":[{"index":0,"message":{"role":"assistant","content":"Louis Vuitton：经典黑色双扣头皮质腰带套装，精选细腻牛皮，配银金双色LV标识扣，彰显现代奢华格调，男士商务休闲皆宜。","refusal":null,"annotations":[]},"logprobs":null,"finish_reason":"stop"}],"usage":{"prompt_tokens":1299,"completion_tokens":50,"total_tokens":1349,"prompt_tokens_details":{"cached_tokens":0,"audio_tokens":0},"completion_tokens_details":{"reasoning_tokens":0,"audio_tokens":0,"accepted_prediction_tokens":0,"rejected_prediction_tokens":0}},"service_tier":"default","system_fingerprint":"fp_ad66631dec"}</t>
        </is>
      </c>
      <c r="X6" t="inlineStr">
        <is>
          <t>Louis Vuitton：经典黑色双扣头皮质腰带套装，精选细腻牛皮，配银金双色LV标识扣，彰显现代奢华格调，男士商务休闲皆宜。</t>
        </is>
      </c>
    </row>
    <row r="7" ht="25.5" customHeight="1">
      <c r="A7">
        <v>1654975475</v>
      </c>
      <c r="B7">
        <v>7619295221</v>
      </c>
      <c r="C7" s="2" t="str">
        <f>=HYPERLINK("https://weidian.com/item.html?itemID=7619295221", "https://weidian.com/item.html?itemID=7619295221")</f>
        <v>https://weidian.com/item.html?itemID=7619295221</v>
      </c>
      <c r="D7"/>
      <c r="E7" s="2" t="str">
        <f>=HYPERLINK("https://si.geilicdn.com/pcitem2014204438-3efb0000019acd9f4a230a20e672_1512_2016.jpg?w=640&amp;h=640", "https://si.geilicdn.com/pcitem2014204438-3efb0000019acd9f4a230a20e672_1512_2016.jpg?w=640&amp;h=640")</f>
        <v>https://si.geilicdn.com/pcitem2014204438-3efb0000019acd9f4a230a20e672_1512_2016.jpg?w=640&amp;h=640</v>
      </c>
      <c r="F7" t="inlineStr">
        <is>
          <t>Accessories</t>
        </is>
      </c>
      <c r="G7" t="inlineStr">
        <is>
          <t>Gucci</t>
        </is>
      </c>
      <c r="H7">
        <v>460</v>
      </c>
      <c r="I7">
        <v>66.67</v>
      </c>
      <c r="J7" t="inlineStr">
        <is>
          <t>{"id":"chatcmpl-DYj0F4hS5Smv38mv4YWuQPuVs2nwb","object":"chat.completion","created":1777168515,"model":"gpt-5-chat-2025-10-03","choices":[{"index":0,"message":{"role":"assistant","content":"Gucci Grey Double G Embossed Leather Belt","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7" t="inlineStr">
        <is>
          <t>Gucci Grey Double G Embossed Leather Belt</t>
        </is>
      </c>
      <c r="L7" t="inlineStr">
        <is>
          <t>{"id":"chatcmpl-DYiKlmA08XQAQGcn2c80fxqPcD0Ax","object":"chat.completion","created":1777165943,"model":"gpt-5-chat-2025-10-03","choices":[{"index":0,"message":{"role":"assistant","content":"Gucci Grey Double G embossed leather belt with interlocking metal logo buckle, crafted from premium cowhide for a modern unisex design that exudes luxury, elegance, and timeless urban style.","refusal":null,"annotations":[]},"logprobs":null,"finish_reason":"stop"}],"usage":{"prompt_tokens":906,"completion_tokens":39,"total_tokens":945,"prompt_tokens_details":{"cached_tokens":0,"audio_tokens":0},"completion_tokens_details":{"reasoning_tokens":0,"audio_tokens":0,"accepted_prediction_tokens":0,"rejected_prediction_tokens":0}},"service_tier":"default","system_fingerprint":"fp_ad66631dec"}</t>
        </is>
      </c>
      <c r="M7" t="inlineStr">
        <is>
          <t>{"alt-svc":"h3=\":443\"; ma=2592000","apim-request-id":"7dffc766-6bad-4678-b0a5-025f1d2dceea","azureml-model-session":"d20260402074105-51db401e","cache-control":"no-cache","connection":"close","content-length":"998","content-type":"application/json","date":"Sun, 26 Apr 2026 01:12:26 GMT","server":"Caddy","skip-error-remapping":"true","strict-transport-security":"max-age=31536000; includeSubDomains; preload","x-content-type-options":"nosniff","x-ms-client-request-id":"Not-Set","x-ms-is-spilled-over":"false","x-ms-rai-invoked":"false","x-ms-region":"Australia East","x-new-api-version":"0.4.35","x-oneapi-request-id":"202604260112226296041108268d9d68h2k2c2N","x-ratelimit-abusepenalty-active":"False","x-ratelimit-limit-requests":"1000","x-ratelimit-limit-tokens":"1000000","x-ratelimit-remaining-requests":"999","x-ratelimit-remaining-tokens":"998332","x-ratelimit-renewalperiod-requests":"60","x-ratelimit-renewalperiod-tokens":"60","x-ratelimit-reset-requests":"60","x-ratelimit-reset-tokens":"100","x-request-id":"a0acc192-4a1b-42ab-ae1b-47d5f9ec8361"}</t>
        </is>
      </c>
      <c r="N7" t="inlineStr">
        <is>
          <t>Gucci Grey Double G embossed leather belt with interlocking metal logo buckle, crafted from premium cowhide for a modern unisex design that exudes luxury, elegance, and timeless urban style.</t>
        </is>
      </c>
      <c r="O7" t="inlineStr">
        <is>
          <t>{"id":"chatcmpl-DYiSRIQokxnHYC4XWLgYbmtHgZlEJ","object":"chat.completion","created":1777166419,"model":"gpt-5-chat-2025-10-03","choices":[{"index":0,"message":{"role":"assistant","content":"Gucci,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 t="inlineStr">
        <is>
          <t>Gucci, belt, kakobuy, kakebuy2026, kekobuysheet, kakobuysheet2026, 2026kakobuy, kakobuyspreadsheeet, kakobuylink, kakebuylist, Kakobuy MEGA Spreadsheet, kakobuysheetfind, kakobuysheetfind2026, 2026kakobuysheetfind, kakobuysheet2026</t>
        </is>
      </c>
      <c r="Q7" t="inlineStr">
        <is>
          <t>Cowhide, Grey, Elegant, Unisex</t>
        </is>
      </c>
      <c r="R7" t="inlineStr">
        <is>
          <t>recvhju1Cru2yV</t>
        </is>
      </c>
      <c r="S7" t="inlineStr">
        <is>
          <t>gucci-grey-double-g-embossed-leather-belt-recvhju1cru2yv</t>
        </is>
      </c>
      <c r="T7"/>
      <c r="U7"/>
      <c r="V7"/>
      <c r="W7" t="inlineStr">
        <is>
          <t>{"id":"chatcmpl-DYhoC8t0Zb4V9q5j1cv7jrm08psPR","object":"chat.completion","created":1777163924,"model":"gpt-5-chat-2025-10-03","choices":[{"index":0,"message":{"role":"assistant","content":"Gucci：灰色双G压纹皮质腰带，采用优质牛皮打造，搭配金属圆形交错Logo扣，彰显品牌工艺美学。经典简约设计融合现代都市格调，适合男女通用，展现高端时尚品味与精致格调。","refusal":null,"annotations":[]},"logprobs":null,"finish_reason":"stop"}],"usage":{"prompt_tokens":1303,"completion_tokens":71,"total_tokens":1374,"prompt_tokens_details":{"cached_tokens":1280,"audio_tokens":0},"completion_tokens_details":{"reasoning_tokens":0,"audio_tokens":0,"accepted_prediction_tokens":0,"rejected_prediction_tokens":0}},"service_tier":"default","system_fingerprint":"fp_ad66631dec"}</t>
        </is>
      </c>
      <c r="X7" t="inlineStr">
        <is>
          <t>Gucci：灰色双G压纹皮质腰带，采用优质牛皮打造，搭配金属圆形交错Logo扣，彰显品牌工艺美学。经典简约设计融合现代都市格调，适合男女通用，展现高端时尚品味与精致格调。</t>
        </is>
      </c>
    </row>
    <row r="8" ht="25.5" customHeight="1">
      <c r="A8">
        <v>1654975475</v>
      </c>
      <c r="B8">
        <v>7622054226</v>
      </c>
      <c r="C8" s="2" t="str">
        <f>=HYPERLINK("https://weidian.com/item.html?itemID=7622054226", "https://weidian.com/item.html?itemID=7622054226")</f>
        <v>https://weidian.com/item.html?itemID=7622054226</v>
      </c>
      <c r="D8"/>
      <c r="E8" s="2" t="str">
        <f>=HYPERLINK("https://si.geilicdn.com/pcitem2014204438-19380000019aca77477d0a20e672_1512_2016.jpg?w=750&amp;h=750&amp;cp=1", "https://si.geilicdn.com/pcitem2014204438-19380000019aca77477d0a20e672_1512_2016.jpg?w=750&amp;h=750&amp;cp=1")</f>
        <v>https://si.geilicdn.com/pcitem2014204438-19380000019aca77477d0a20e672_1512_2016.jpg?w=750&amp;h=750&amp;cp=1</v>
      </c>
      <c r="F8" t="inlineStr">
        <is>
          <t>Accessories</t>
        </is>
      </c>
      <c r="G8" t="inlineStr">
        <is>
          <t>Salvatore Ferragamo</t>
        </is>
      </c>
      <c r="H8">
        <v>460</v>
      </c>
      <c r="I8">
        <v>66.67</v>
      </c>
      <c r="J8" t="inlineStr">
        <is>
          <t>{"id":"chatcmpl-DYj2jjg3mCTbbAAb7ikNkKC8msL0C","object":"chat.completion","created":1777168669,"model":"gpt-5-chat-2025-10-03","choices":[{"index":0,"message":{"role":"assistant","content":"Ferragamo Gancini Gray Black Reversible Leather Belt","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8" t="inlineStr">
        <is>
          <t>Ferragamo Gancini Gray Black Reversible Leather Belt</t>
        </is>
      </c>
      <c r="L8" t="inlineStr">
        <is>
          <t>{"id":"chatcmpl-DYiFhpvCs5huYB887pAq1bFci4S8z","object":"chat.completion","created":1777165629,"model":"gpt-5-chat-2025-10-03","choices":[{"index":0,"message":{"role":"assistant","content":"Salvatore Ferragamo Gancini reversible belt in gray and black grained leather with gold double-ring buckle, unisex design, modern luxury style, showcasing timeless Italian elegance.","refusal":null,"annotations":[]},"logprobs":null,"finish_reason":"stop"}],"usage":{"prompt_tokens":903,"completion_tokens":37,"total_tokens":940,"prompt_tokens_details":{"cached_tokens":0,"audio_tokens":0},"completion_tokens_details":{"reasoning_tokens":0,"audio_tokens":0,"accepted_prediction_tokens":0,"rejected_prediction_tokens":0}},"service_tier":"default","system_fingerprint":"fp_ad66631dec"}</t>
        </is>
      </c>
      <c r="M8" t="inlineStr">
        <is>
          <t>{"alt-svc":"h3=\":443\"; ma=2592000","apim-request-id":"f5865eb0-af36-4491-95d2-5ddaf1486e5e","azureml-model-session":"d20260402075109-1fc5a0ec","cache-control":"no-cache","connection":"close","content-length":"989","content-type":"application/json","date":"Sun, 26 Apr 2026 01:07:11 GMT","server":"nginx","skip-error-remapping":"true","strict-transport-security":"max-age=31536000; includeSubDomains; preload","via":"1.1 Caddy","x-content-type-options":"nosniff","x-ms-client-request-id":"Not-Set","x-ms-is-spilled-over":"false","x-ms-rai-invoked":"false","x-ms-region":"Australia East","x-new-api-version":"0.4.35","x-oneapi-request-id":"202604260107085259113248268d9d65rfthl5U","x-ratelimit-abusepenalty-active":"False","x-ratelimit-limit-requests":"1000","x-ratelimit-limit-tokens":"1000000","x-ratelimit-remaining-requests":"999","x-ratelimit-remaining-tokens":"998335","x-ratelimit-renewalperiod-requests":"60","x-ratelimit-renewalperiod-tokens":"60","x-ratelimit-reset-requests":"60","x-ratelimit-reset-tokens":"99","x-request-id":"697ac702-50a3-4552-959a-0f9f4cfc5f7e"}</t>
        </is>
      </c>
      <c r="N8" t="inlineStr">
        <is>
          <t>Salvatore Ferragamo Gancini reversible belt in gray and black grained leather with gold double-ring buckle, unisex design, modern luxury style, showcasing timeless Italian elegance.</t>
        </is>
      </c>
      <c r="O8" t="inlineStr">
        <is>
          <t>{"id":"chatcmpl-DYiTMkSn58b8dkSh8AgU3Q07o7hn9","object":"chat.completion","created":1777166476,"model":"gpt-5-chat-2025-10-03","choices":[{"index":0,"message":{"role":"assistant","content":"Salvatore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8" t="inlineStr">
        <is>
          <t>Salvatore Ferragamo, Accessories, kakobuy, kakebuy2026, kekobuysheet, kakobuysheet2026, 2026kakobuy, kakobuyspreadsheeet, kakobuylink, kakebuylist, Kakobuy MEGA Spreadsheet, kakobuysheetfind, kakobuysheetfind2026, 2026kakobuysheetfind, kakobuysheet2026</t>
        </is>
      </c>
      <c r="Q8" t="inlineStr">
        <is>
          <t>Unisex, Modern, Gray, Black, Leather, Gold</t>
        </is>
      </c>
      <c r="R8" t="inlineStr">
        <is>
          <t>recvhju1CrLpqw</t>
        </is>
      </c>
      <c r="S8" t="inlineStr">
        <is>
          <t>ferragamo-gancini-gray-black-reversible-leather-belt-recvhju1crlpqw</t>
        </is>
      </c>
      <c r="T8"/>
      <c r="U8"/>
      <c r="V8"/>
      <c r="W8" t="inlineStr">
        <is>
          <t>{"id":"chatcmpl-DYhp3DLbMEBUYP0l4Zl9jyySZNFyZ","object":"chat.completion","created":1777163977,"model":"gpt-5-chat-2025-10-03","choices":[{"index":0,"message":{"role":"assistant","content":"Salvatore Ferragamo：Gancini系列灰黑双面皮革腰带，甄选粒面牛皮材质，搭配金色标志性双环扣设计，简约奢华风格，适合男女通用，展现现代优雅品味。","refusal":null,"annotations":[]},"logprobs":null,"finish_reason":"stop"}],"usage":{"prompt_tokens":1311,"completion_tokens":64,"total_tokens":1375,"prompt_tokens_details":{"cached_tokens":0,"audio_tokens":0},"completion_tokens_details":{"reasoning_tokens":0,"audio_tokens":0,"accepted_prediction_tokens":0,"rejected_prediction_tokens":0}},"service_tier":"default","system_fingerprint":"fp_ad66631dec"}</t>
        </is>
      </c>
      <c r="X8" t="inlineStr">
        <is>
          <t>Salvatore Ferragamo：Gancini系列灰黑双面皮革腰带，甄选粒面牛皮材质，搭配金色标志性双环扣设计，简约奢华风格，适合男女通用，展现现代优雅品味。</t>
        </is>
      </c>
    </row>
    <row r="9" ht="25.5" customHeight="1">
      <c r="A9">
        <v>1654975475</v>
      </c>
      <c r="B9">
        <v>7622080020</v>
      </c>
      <c r="C9" s="2" t="str">
        <f>=HYPERLINK("https://weidian.com/item.html?itemID=7622080020", "https://weidian.com/item.html?itemID=7622080020")</f>
        <v>https://weidian.com/item.html?itemID=7622080020</v>
      </c>
      <c r="D9"/>
      <c r="E9" s="2" t="str">
        <f>=HYPERLINK("https://si.geilicdn.com/pcitem2014204438-1f8c0000019aca791a5a0a81347d_1074_1074.jpg?w=640&amp;h=640", "https://si.geilicdn.com/pcitem2014204438-1f8c0000019aca791a5a0a81347d_1074_1074.jpg?w=640&amp;h=640")</f>
        <v>https://si.geilicdn.com/pcitem2014204438-1f8c0000019aca791a5a0a81347d_1074_1074.jpg?w=640&amp;h=640</v>
      </c>
      <c r="F9" t="inlineStr">
        <is>
          <t>Accessories</t>
        </is>
      </c>
      <c r="G9" t="inlineStr">
        <is>
          <t>Louis Vuitton</t>
        </is>
      </c>
      <c r="H9">
        <v>460</v>
      </c>
      <c r="I9">
        <v>66.67</v>
      </c>
      <c r="J9" t="inlineStr">
        <is>
          <t>{"id":"chatcmpl-DYj0ADGAwfoSml1KpkEHsu4RoCOle","object":"chat.completion","created":1777168510,"model":"gpt-5-chat-2025-10-03","choices":[{"index":0,"message":{"role":"assistant","content":"Louis Vuitton Men Brown Black Reversible Leather Belt","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9" t="inlineStr">
        <is>
          <t>Louis Vuitton Men Brown Black Reversible Leather Belt</t>
        </is>
      </c>
      <c r="L9" t="inlineStr">
        <is>
          <t>{"id":"chatcmpl-DYiL2YeAGMKaaow6P6Woj7faaqjxL","object":"chat.completion","created":1777165960,"model":"gpt-5-chat-2025-10-03","choices":[{"index":0,"message":{"role":"assistant","content":"Louis Vuitton Men’s Classic Brown and Black Reversible Leather Belt with Gold LV Buckle, crafted from premium grained cowhide, offering timeless elegance for both business and casual wear.","refusal":null,"annotations":[]},"logprobs":null,"finish_reason":"stop"}],"usage":{"prompt_tokens":896,"completion_tokens":37,"total_tokens":933,"prompt_tokens_details":{"cached_tokens":0,"audio_tokens":0},"completion_tokens_details":{"reasoning_tokens":0,"audio_tokens":0,"accepted_prediction_tokens":0,"rejected_prediction_tokens":0}},"service_tier":"default","system_fingerprint":"fp_ad66631dec"}</t>
        </is>
      </c>
      <c r="M9" t="inlineStr">
        <is>
          <t>{"alt-svc":"h3=\":443\"; ma=2592000","apim-request-id":"286976fa-37d7-4881-b8db-8a06be342e8f","azureml-model-session":"d20260402083108-57a85543","cache-control":"no-cache","connection":"close","content-length":"998","content-type":"application/json","date":"Sun, 26 Apr 2026 01:12:41 GMT","server":"nginx","skip-error-remapping":"true","strict-transport-security":"max-age=31536000; includeSubDomains; preload","via":"1.1 Caddy","x-content-type-options":"nosniff","x-ms-client-request-id":"Not-Set","x-ms-is-spilled-over":"false","x-ms-rai-invoked":"false","x-ms-region":"East US 2","x-new-api-version":"0.4.35","x-oneapi-request-id":"20260426011239586042448268d9d6IlwIhzFj","x-ratelimit-abusepenalty-active":"False","x-ratelimit-limit-requests":"1000","x-ratelimit-limit-tokens":"1000000","x-ratelimit-remaining-requests":"999","x-ratelimit-remaining-tokens":"998342","x-ratelimit-renewalperiod-requests":"60","x-ratelimit-renewalperiod-tokens":"60","x-ratelimit-reset-requests":"60","x-ratelimit-reset-tokens":"99","x-request-id":"96d2781d-6de3-46db-95ed-38b7062161e3"}</t>
        </is>
      </c>
      <c r="N9" t="inlineStr">
        <is>
          <t>Louis Vuitton Men’s Classic Brown and Black Reversible Leather Belt with Gold LV Buckle, crafted from premium grained cowhide, offering timeless elegance for both business and casual wear.</t>
        </is>
      </c>
      <c r="O9" t="inlineStr">
        <is>
          <t>{"id":"chatcmpl-DYiZKpNAP22FUBsRqKRv6r3aPXfqE","object":"chat.completion","created":1777166846,"model":"gpt-5-chat-2025-10-03","choices":[{"index":0,"message":{"role":"assistant","content":"Louis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 t="inlineStr">
        <is>
          <t>Louis Vuitton, belt, kakobuy, kakebuy2026, kekobuysheet, kakobuysheet2026, 2026kakobuy, kakobuyspreadsheeet, kakobuylink, kakebuylist, Kakobuy MEGA Spreadsheet, kakobuysheetfind, kakobuysheetfind2026, 2026kakobuysheetfind, kakobuysheet2026</t>
        </is>
      </c>
      <c r="Q9" t="inlineStr">
        <is>
          <t>LV, Leather, Brown, Black, Gold, Classic</t>
        </is>
      </c>
      <c r="R9" t="inlineStr">
        <is>
          <t>recvhju1CriG5x</t>
        </is>
      </c>
      <c r="S9" t="inlineStr">
        <is>
          <t>louis-vuitton-men-brown-black-reversible-leather-belt-recvhju1crig5x</t>
        </is>
      </c>
      <c r="T9"/>
      <c r="U9"/>
      <c r="V9"/>
      <c r="W9" t="inlineStr">
        <is>
          <t>{"id":"chatcmpl-DYhpPvj9hJa3IAQxE0TS4Mcx059AP","object":"chat.completion","created":1777163999,"model":"gpt-5-chat-2025-10-03","choices":[{"index":0,"message":{"role":"assistant","content":"Louis Vuitton：经典棕黑双面皮革腰带，配金色LV字母扣设计，彰显简约奢华质感，男士优雅都市风格，精选粒面牛皮打造，适合商务与休闲场合佩戴。","refusal":null,"annotations":[]},"logprobs":null,"finish_reason":"stop"}],"usage":{"prompt_tokens":1305,"completion_tokens":60,"total_tokens":1365,"prompt_tokens_details":{"cached_tokens":1280,"audio_tokens":0},"completion_tokens_details":{"reasoning_tokens":0,"audio_tokens":0,"accepted_prediction_tokens":0,"rejected_prediction_tokens":0}},"service_tier":"default","system_fingerprint":"fp_ad66631dec"}</t>
        </is>
      </c>
      <c r="X9" t="inlineStr">
        <is>
          <t>Louis Vuitton：经典棕黑双面皮革腰带，配金色LV字母扣设计，彰显简约奢华质感，男士优雅都市风格，精选粒面牛皮打造，适合商务与休闲场合佩戴。</t>
        </is>
      </c>
    </row>
    <row r="10" ht="25.5" customHeight="1">
      <c r="A10">
        <v>1654975475</v>
      </c>
      <c r="B10">
        <v>7619042511</v>
      </c>
      <c r="C10" s="2" t="str">
        <f>=HYPERLINK("https://weidian.com/item.html?itemID=7619042511", "https://weidian.com/item.html?itemID=7619042511")</f>
        <v>https://weidian.com/item.html?itemID=7619042511</v>
      </c>
      <c r="D10"/>
      <c r="E10" s="2" t="str">
        <f>=HYPERLINK("https://si.geilicdn.com/pcitem2014204438-672a0000019aca78af320a811411_1512_2016.jpg?w=640&amp;h=640", "https://si.geilicdn.com/pcitem2014204438-672a0000019aca78af320a811411_1512_2016.jpg?w=640&amp;h=640")</f>
        <v>https://si.geilicdn.com/pcitem2014204438-672a0000019aca78af320a811411_1512_2016.jpg?w=640&amp;h=640</v>
      </c>
      <c r="F10" t="inlineStr">
        <is>
          <t>Accessories</t>
        </is>
      </c>
      <c r="G10" t="inlineStr">
        <is>
          <t>Gucci</t>
        </is>
      </c>
      <c r="H10">
        <v>460</v>
      </c>
      <c r="I10">
        <v>66.67</v>
      </c>
      <c r="J10" t="inlineStr">
        <is>
          <t>{"id":"chatcmpl-DYiwLmswrSNwJXW7mGE5gsyz2k0Rf","object":"chat.completion","created":1777168273,"model":"gpt-5-chat-2025-10-03","choices":[{"index":0,"message":{"role":"assistant","content":"Gucci Black Leather Belt Red Green Web","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0" t="inlineStr">
        <is>
          <t>Gucci Black Leather Belt Red Green Web</t>
        </is>
      </c>
      <c r="L10" t="inlineStr">
        <is>
          <t>{"id":"chatcmpl-DYiHyMc0HMs5Sp0GtVhTAjkXZpabn","object":"chat.completion","created":1777165770,"model":"gpt-5-chat-2025-10-03","choices":[{"index":0,"message":{"role":"assistant","content":"Gucci Classic Black Leather Belt featuring iconic red-green web and black Double G buckle, unisex design showcasing Italian luxury, modern vintage elegance, and timeless fashion style.","refusal":null,"annotations":[]},"logprobs":null,"finish_reason":"stop"}],"usage":{"prompt_tokens":892,"completion_tokens":34,"total_tokens":926,"prompt_tokens_details":{"cached_tokens":0,"audio_tokens":0},"completion_tokens_details":{"reasoning_tokens":0,"audio_tokens":0,"accepted_prediction_tokens":0,"rejected_prediction_tokens":0}},"service_tier":"default","system_fingerprint":"fp_ad66631dec"}</t>
        </is>
      </c>
      <c r="M10" t="inlineStr">
        <is>
          <t>{"alt-svc":"h3=\":443\"; ma=2592000","apim-request-id":"c579243f-401f-4e2e-b50e-7af46963ce12","azureml-model-session":"d20260405225800-40f19e54","cache-control":"no-cache","connection":"close","content-length":"992","content-type":"application/json","date":"Sun, 26 Apr 2026 01:09:31 GMT","server":"nginx","skip-error-remapping":"true","strict-transport-security":"max-age=31536000; includeSubDomains; preload","via":"1.1 Caddy","x-content-type-options":"nosniff","x-ms-client-request-id":"Not-Set","x-ms-is-spilled-over":"false","x-ms-rai-invoked":"false","x-ms-region":"East US 2","x-new-api-version":"0.4.35","x-oneapi-request-id":"202604260109297275961908268d9d6KDCiSeNM","x-ratelimit-abusepenalty-active":"False","x-ratelimit-limit-requests":"1000","x-ratelimit-limit-tokens":"1000000","x-ratelimit-remaining-requests":"999","x-ratelimit-remaining-tokens":"998346","x-ratelimit-renewalperiod-requests":"60","x-ratelimit-renewalperiod-tokens":"60","x-ratelimit-reset-requests":"60","x-ratelimit-reset-tokens":"99","x-request-id":"ee1eecfc-d306-412e-a4a0-0a6541d26ff1"}</t>
        </is>
      </c>
      <c r="N10" t="inlineStr">
        <is>
          <t>Gucci Classic Black Leather Belt featuring iconic red-green web and black Double G buckle, unisex design showcasing Italian luxury, modern vintage elegance, and timeless fashion style.</t>
        </is>
      </c>
      <c r="O10" t="inlineStr">
        <is>
          <t>{"id":"chatcmpl-DYiTTM9ugrrMym8NpBa5KUI56HTNq","object":"chat.completion","created":1777166483,"model":"gpt-5-chat-2025-10-03","choices":[{"index":0,"message":{"role":"assistant","content":"Gucci,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 t="inlineStr">
        <is>
          <t>Gucci, Belt, kakobuy, kakebuy2026, kekobuysheet, kakobuysheet2026, 2026kakobuy, kakobuyspreadsheeet, kakobuylink, kakebuylist, Kakobuy MEGA Spreadsheet, kakobuysheetfind, kakobuysheetfind2026, 2026kakobuysheetfind, kakobuysheet2026</t>
        </is>
      </c>
      <c r="Q10" t="inlineStr">
        <is>
          <t>Black, Leather, Unisex, Classic</t>
        </is>
      </c>
      <c r="R10" t="inlineStr">
        <is>
          <t>recvhju1CrBGkY</t>
        </is>
      </c>
      <c r="S10" t="inlineStr">
        <is>
          <t>gucci-black-leather-belt-red-green-web-recvhju1crbgky</t>
        </is>
      </c>
      <c r="T10"/>
      <c r="U10"/>
      <c r="V10"/>
      <c r="W10" t="inlineStr">
        <is>
          <t>{"id":"chatcmpl-DYhubCvvm878XDvzHnEcu2NNzGnX3","object":"chat.completion","created":1777164321,"model":"gpt-5-chat-2025-10-03","choices":[{"index":0,"message":{"role":"assistant","content":"Gucci：经典黑色皮质腰带，标志性红绿织带拼接设计，搭配黑色双G金属扣，展现意式奢华质感与时尚格调，男女通用，彰显摩登复古魅力。","refusal":null,"annotations":[]},"logprobs":null,"finish_reason":"stop"}],"usage":{"prompt_tokens":1295,"completion_tokens":61,"total_tokens":1356,"prompt_tokens_details":{"cached_tokens":0,"audio_tokens":0},"completion_tokens_details":{"reasoning_tokens":0,"audio_tokens":0,"accepted_prediction_tokens":0,"rejected_prediction_tokens":0}},"service_tier":"default","system_fingerprint":"fp_ad66631dec"}</t>
        </is>
      </c>
      <c r="X10" t="inlineStr">
        <is>
          <t>Gucci：经典黑色皮质腰带，标志性红绿织带拼接设计，搭配黑色双G金属扣，展现意式奢华质感与时尚格调，男女通用，彰显摩登复古魅力。</t>
        </is>
      </c>
    </row>
    <row r="11" ht="25.5" customHeight="1">
      <c r="A11">
        <v>1654975475</v>
      </c>
      <c r="B11">
        <v>7619071713</v>
      </c>
      <c r="C11" s="2" t="str">
        <f>=HYPERLINK("https://weidian.com/item.html?itemID=7619071713", "https://weidian.com/item.html?itemID=7619071713")</f>
        <v>https://weidian.com/item.html?itemID=7619071713</v>
      </c>
      <c r="D11"/>
      <c r="E11" s="2" t="str">
        <f>=HYPERLINK("https://si.geilicdn.com/pcitem2014204438-7c530000019aca1187890a2102c5_1440_1920.jpg?w=640&amp;h=640", "https://si.geilicdn.com/pcitem2014204438-7c530000019aca1187890a2102c5_1440_1920.jpg?w=640&amp;h=640")</f>
        <v>https://si.geilicdn.com/pcitem2014204438-7c530000019aca1187890a2102c5_1440_1920.jpg?w=640&amp;h=640</v>
      </c>
      <c r="F11" t="inlineStr">
        <is>
          <t>Accessories</t>
        </is>
      </c>
      <c r="G11" t="inlineStr">
        <is>
          <t>Louis Vuitton</t>
        </is>
      </c>
      <c r="H11">
        <v>460</v>
      </c>
      <c r="I11">
        <v>66.67</v>
      </c>
      <c r="J11" t="inlineStr">
        <is>
          <t>{"id":"chatcmpl-DYj2TVMjJ5tVUhen1ITDsF2EzncB4","object":"chat.completion","created":1777168653,"model":"gpt-5-chat-2025-10-03","choices":[{"index":0,"message":{"role":"assistant","content":"Louis Vuitton Damier Graphite Black Men’s Leather Belt","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11" t="inlineStr">
        <is>
          <t>Louis Vuitton Damier Graphite Black Men’s Leather Belt</t>
        </is>
      </c>
      <c r="L11" t="inlineStr">
        <is>
          <t>{"id":"chatcmpl-DYiIkjLLoZkYrX1nJDwUuz9k0ZnMD","object":"chat.completion","created":1777165818,"model":"gpt-5-chat-2025-10-03","choices":[{"index":0,"message":{"role":"assistant","content":"Louis Vuitton Damier Graphite black checkered men’s belt crafted from imported calf leather with gold LV buckle, offering a modern luxury business style and timeless sophistication.","refusal":null,"annotations":[]},"logprobs":null,"finish_reason":"stop"}],"usage":{"prompt_tokens":888,"completion_tokens":33,"total_tokens":921,"prompt_tokens_details":{"cached_tokens":0,"audio_tokens":0},"completion_tokens_details":{"reasoning_tokens":0,"audio_tokens":0,"accepted_prediction_tokens":0,"rejected_prediction_tokens":0}},"service_tier":"default","system_fingerprint":"fp_ad66631dec"}</t>
        </is>
      </c>
      <c r="M11" t="inlineStr">
        <is>
          <t>{"alt-svc":"h3=\":443\"; ma=2592000","apim-request-id":"a81316f5-1ab9-4f3f-a457-f123a62ab91b","azureml-model-session":"d20260402084046-4209e968","cache-control":"no-cache","connection":"close","content-length":"991","content-type":"application/json","date":"Sun, 26 Apr 2026 01:10:20 GMT","server":"nginx","skip-error-remapping":"true","strict-transport-security":"max-age=31536000; includeSubDomains; preload","via":"1.1 Caddy","x-content-type-options":"nosniff","x-ms-client-request-id":"Not-Set","x-ms-is-spilled-over":"false","x-ms-rai-invoked":"false","x-ms-region":"UK South","x-new-api-version":"0.4.35","x-oneapi-request-id":"202604260110179423587488268d9d6UpJvMGF3","x-ratelimit-abusepenalty-active":"False","x-ratelimit-limit-requests":"1000","x-ratelimit-limit-tokens":"1000000","x-ratelimit-remaining-requests":"999","x-ratelimit-remaining-tokens":"998350","x-ratelimit-renewalperiod-requests":"60","x-ratelimit-renewalperiod-tokens":"60","x-ratelimit-reset-requests":"60","x-ratelimit-reset-tokens":"99","x-request-id":"e5a2926f-e4f4-4fd4-9ff0-c52a3d289d60"}</t>
        </is>
      </c>
      <c r="N11" t="inlineStr">
        <is>
          <t>Louis Vuitton Damier Graphite black checkered men’s belt crafted from imported calf leather with gold LV buckle, offering a modern luxury business style and timeless sophistication.</t>
        </is>
      </c>
      <c r="O11" t="inlineStr">
        <is>
          <t>{"id":"chatcmpl-DYiSn062re9sUnOaB3Nzzb3u9YgcT","object":"chat.completion","created":1777166441,"model":"gpt-5-chat-2025-10-03","choices":[{"index":0,"message":{"role":"assistant","content":"Louis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 t="inlineStr">
        <is>
          <t>Louis Vuitton,Accessories,kakobuy,kakebuy2026,kekobuysheet,kakobuysheet2026,2026kakobuy,kakobuyspreadsheeet,kakobuylink,kakebuylist,Kakobuy MEGA Spreadsheet,kakobuysheetfind,kakobuysheetfind2026,2026kakobuysheetfind,kakobuysheet2026</t>
        </is>
      </c>
      <c r="Q11" t="inlineStr">
        <is>
          <t>LV, Leather, Business, Black, Gold, Men</t>
        </is>
      </c>
      <c r="R11" t="inlineStr">
        <is>
          <t>recvhju1CrxW3c</t>
        </is>
      </c>
      <c r="S11" t="inlineStr">
        <is>
          <t>louis-vuitton-damier-graphite-black-leather-belt-recvhju1crxw3c</t>
        </is>
      </c>
      <c r="T11"/>
      <c r="U11"/>
      <c r="V11"/>
      <c r="W11" t="inlineStr">
        <is>
          <t>{"id":"chatcmpl-DYhtk06loklAlIMmUMgmQqi1lPmx8","object":"chat.completion","created":1777164268,"model":"gpt-5-chat-2025-10-03","choices":[{"index":0,"message":{"role":"assistant","content":"Louis Vuitton：Damier Graphite黑色棋盘格男士皮带，以进口小牛皮打造，搭配金色LV字母扣，展现摩登奢华商务风格，经典百搭，尽显高端品味。","refusal":null,"annotations":[]},"logprobs":null,"finish_reason":"stop"}],"usage":{"prompt_tokens":1299,"completion_tokens":55,"total_tokens":1354,"prompt_tokens_details":{"cached_tokens":0,"audio_tokens":0},"completion_tokens_details":{"reasoning_tokens":0,"audio_tokens":0,"accepted_prediction_tokens":0,"rejected_prediction_tokens":0}},"service_tier":"default","system_fingerprint":"fp_ad66631dec"}</t>
        </is>
      </c>
      <c r="X11" t="inlineStr">
        <is>
          <t>Louis Vuitton：Damier Graphite黑色棋盘格男士皮带，以进口小牛皮打造，搭配金色LV字母扣，展现摩登奢华商务风格，经典百搭，尽显高端品味。</t>
        </is>
      </c>
    </row>
    <row r="12" ht="25.5" customHeight="1">
      <c r="A12">
        <v>1654975475</v>
      </c>
      <c r="B12">
        <v>7622014132</v>
      </c>
      <c r="C12" s="2" t="str">
        <f>=HYPERLINK("https://weidian.com/item.html?itemID=7622014132", "https://weidian.com/item.html?itemID=7622014132")</f>
        <v>https://weidian.com/item.html?itemID=7622014132</v>
      </c>
      <c r="D12"/>
      <c r="E12" s="2" t="str">
        <f>=HYPERLINK("https://si.geilicdn.com/pcitem2014204438-01290000019aca13e9d70a2301b4_1440_1920.jpg?w=640&amp;h=640", "https://si.geilicdn.com/pcitem2014204438-01290000019aca13e9d70a2301b4_1440_1920.jpg?w=640&amp;h=640")</f>
        <v>https://si.geilicdn.com/pcitem2014204438-01290000019aca13e9d70a2301b4_1440_1920.jpg?w=640&amp;h=640</v>
      </c>
      <c r="F12" t="inlineStr">
        <is>
          <t>Accessories</t>
        </is>
      </c>
      <c r="G12" t="inlineStr">
        <is>
          <t>Gucci</t>
        </is>
      </c>
      <c r="H12">
        <v>460</v>
      </c>
      <c r="I12">
        <v>66.67</v>
      </c>
      <c r="J12" t="inlineStr">
        <is>
          <t>{"id":"chatcmpl-DYj1yqdtuyc3Eoc2cp3vLAdFbCGSk","object":"chat.completion","created":1777168622,"model":"gpt-5-chat-2025-10-03","choices":[{"index":0,"message":{"role":"assistant","content":"Gucci Black Gray GG Leather Belt Gold Buckle","refusal":null,"annotations":[]},"logprobs":null,"finish_reason":"stop"}],"usage":{"prompt_tokens":861,"completion_tokens":11,"total_tokens":872,"prompt_tokens_details":{"cached_tokens":0,"audio_tokens":0},"completion_tokens_details":{"reasoning_tokens":0,"audio_tokens":0,"accepted_prediction_tokens":0,"rejected_prediction_tokens":0}},"service_tier":"default","system_fingerprint":"fp_ad66631dec"}</t>
        </is>
      </c>
      <c r="K12" t="inlineStr">
        <is>
          <t>Gucci Black Gray GG Leather Belt Gold Buckle</t>
        </is>
      </c>
      <c r="L12" t="inlineStr">
        <is>
          <t>{"id":"chatcmpl-DYiJ14jRtLVMEdipP24apdhuoEBBn","object":"chat.completion","created":1777165835,"model":"gpt-5-chat-2025-10-03","choices":[{"index":0,"message":{"role":"assistant","content":"Gucci Black Gray GG Pattern Leather Belt with Matte Gold Double G Buckle, Unisex Luxury Accessory Blending Modern and Vintage Italian Style.","refusal":null,"annotations":[]},"logprobs":null,"finish_reason":"stop"}],"usage":{"prompt_tokens":882,"completion_tokens":30,"total_tokens":912,"prompt_tokens_details":{"cached_tokens":0,"audio_tokens":0},"completion_tokens_details":{"reasoning_tokens":0,"audio_tokens":0,"accepted_prediction_tokens":0,"rejected_prediction_tokens":0}},"service_tier":"default","system_fingerprint":"fp_ad66631dec"}</t>
        </is>
      </c>
      <c r="M12" t="inlineStr">
        <is>
          <t>{"alt-svc":"h3=\":443\"; ma=2592000","apim-request-id":"6b0f11da-10e8-4e9a-9209-0028b94b8c8e","azureml-model-session":"d20260402084046-4209e968","cache-control":"no-cache","connection":"close","content-length":"948","content-type":"application/json","date":"Sun, 26 Apr 2026 01:10:36 GMT","server":"nginx","skip-error-remapping":"true","strict-transport-security":"max-age=31536000; includeSubDomains; preload","via":"1.1 Caddy","x-content-type-options":"nosniff","x-ms-client-request-id":"Not-Set","x-ms-is-spilled-over":"false","x-ms-rai-invoked":"false","x-ms-region":"Switzerland North","x-new-api-version":"0.4.35","x-oneapi-request-id":"202604260110342041553358268d9d6qyd2sOxt","x-ratelimit-abusepenalty-active":"False","x-ratelimit-limit-requests":"1000","x-ratelimit-limit-tokens":"1000000","x-ratelimit-remaining-requests":"999","x-ratelimit-remaining-tokens":"998356","x-ratelimit-renewalperiod-requests":"60","x-ratelimit-renewalperiod-tokens":"60","x-ratelimit-reset-requests":"83","x-ratelimit-reset-tokens":"98","x-request-id":"cdb16369-9289-48ab-8a64-52c3f7ac222e"}</t>
        </is>
      </c>
      <c r="N12" t="inlineStr">
        <is>
          <t>Gucci Black Gray GG Pattern Leather Belt with Matte Gold Double G Buckle, Unisex Luxury Accessory Blending Modern and Vintage Italian Style.</t>
        </is>
      </c>
      <c r="O12" t="inlineStr">
        <is>
          <t>{"id":"chatcmpl-DYiXOnEVsZnaa9Xk93gZaQ7SgdnLU","object":"chat.completion","created":1777166726,"model":"gpt-5-chat-2025-10-03","choices":[{"index":0,"message":{"role":"assistant","content":"Gucci,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 t="inlineStr">
        <is>
          <t>Gucci, belt, kakobuy, kakebuy2026, kekobuysheet, kakobuysheet2026, 2026kakobuy, kakobuyspreadsheeet, kakobuylink, kakebuylist, Kakobuy MEGA Spreadsheet, kakobuysheetfind, kakobuysheetfind2026, 2026kakobuysheetfind, kakobuysheet2026</t>
        </is>
      </c>
      <c r="Q12" t="inlineStr">
        <is>
          <t>Black, Grey, Leather, Unisex, Modern, Vintage</t>
        </is>
      </c>
      <c r="R12" t="inlineStr">
        <is>
          <t>recvhju1CrnzjS</t>
        </is>
      </c>
      <c r="S12" t="inlineStr">
        <is>
          <t>gucci-gg-leather-belt-gold-buckle-recvhju1crnzjs</t>
        </is>
      </c>
      <c r="T12"/>
      <c r="U12"/>
      <c r="V12"/>
      <c r="W12" t="inlineStr">
        <is>
          <t>{"id":"chatcmpl-DYho9Xpg4Zx7YsDrxnwod0BFvWE5Y","object":"chat.completion","created":1777163921,"model":"gpt-5-chat-2025-10-03","choices":[{"index":0,"message":{"role":"assistant","content":"Gucci：经典黑灰GG图案皮质腰带，配以哑光金色双G金属扣，彰显意式奢华格调，男女皆宜，现代复古融合设计。","refusal":null,"annotations":[]},"logprobs":null,"finish_reason":"stop"}],"usage":{"prompt_tokens":1301,"completion_tokens":48,"total_tokens":1349,"prompt_tokens_details":{"cached_tokens":0,"audio_tokens":0},"completion_tokens_details":{"reasoning_tokens":0,"audio_tokens":0,"accepted_prediction_tokens":0,"rejected_prediction_tokens":0}},"service_tier":"default","system_fingerprint":"fp_ad66631dec"}</t>
        </is>
      </c>
      <c r="X12" t="inlineStr">
        <is>
          <t>Gucci：经典黑灰GG图案皮质腰带，配以哑光金色双G金属扣，彰显意式奢华格调，男女皆宜，现代复古融合设计。</t>
        </is>
      </c>
    </row>
    <row r="13" ht="25.5" customHeight="1">
      <c r="A13">
        <v>1654975475</v>
      </c>
      <c r="B13">
        <v>7621968306</v>
      </c>
      <c r="C13" s="2" t="str">
        <f>=HYPERLINK("https://weidian.com/item.html?itemID=7621968306", "https://weidian.com/item.html?itemID=7621968306")</f>
        <v>https://weidian.com/item.html?itemID=7621968306</v>
      </c>
      <c r="D13"/>
      <c r="E13" s="2" t="str">
        <f>=HYPERLINK("https://si.geilicdn.com/pcitem2014204438-74ee0000019aca103abe0a20e7c7_1440_1920.jpg?w=640&amp;h=640", "https://si.geilicdn.com/pcitem2014204438-74ee0000019aca103abe0a20e7c7_1440_1920.jpg?w=640&amp;h=640")</f>
        <v>https://si.geilicdn.com/pcitem2014204438-74ee0000019aca103abe0a20e7c7_1440_1920.jpg?w=640&amp;h=640</v>
      </c>
      <c r="F13" t="inlineStr">
        <is>
          <t>Accessories</t>
        </is>
      </c>
      <c r="G13" t="inlineStr">
        <is>
          <t>Bally</t>
        </is>
      </c>
      <c r="H13">
        <v>460</v>
      </c>
      <c r="I13">
        <v>66.67</v>
      </c>
      <c r="J13" t="inlineStr">
        <is>
          <t>{"id":"chatcmpl-DYj1guwECzMnZBuA6DHK6eb6fMGWr","object":"chat.completion","created":1777168604,"model":"gpt-5-chat-2025-10-03","choices":[{"index":0,"message":{"role":"assistant","content":"Bally Lago Dark Brown Leather Men Belt","refusal":null,"annotations":[]},"logprobs":null,"finish_reason":"stop"}],"usage":{"prompt_tokens":859,"completion_tokens":9,"total_tokens":868,"prompt_tokens_details":{"cached_tokens":0,"audio_tokens":0},"completion_tokens_details":{"reasoning_tokens":0,"audio_tokens":0,"accepted_prediction_tokens":0,"rejected_prediction_tokens":0}},"service_tier":"default","system_fingerprint":"fp_ad66631dec"}</t>
        </is>
      </c>
      <c r="K13" t="inlineStr">
        <is>
          <t>Bally Lago Dark Brown Leather Men Belt</t>
        </is>
      </c>
      <c r="L13" t="inlineStr">
        <is>
          <t>{"id":"chatcmpl-DYiJHDOojPrC8oA8t8GAhYTKygKAd","object":"chat.completion","created":1777165851,"model":"gpt-5-chat-2025-10-03","choices":[{"index":0,"message":{"role":"assistant","content":"Bally Lago Men’s Belt in Dark Brown Genuine Leather with Silver B Buckle, Swiss craftsmanship meets modern business elegance for refined gentleman style.","refusal":null,"annotations":[]},"logprobs":null,"finish_reason":"stop"}],"usage":{"prompt_tokens":885,"completion_tokens":29,"total_tokens":914,"prompt_tokens_details":{"cached_tokens":0,"audio_tokens":0},"completion_tokens_details":{"reasoning_tokens":0,"audio_tokens":0,"accepted_prediction_tokens":0,"rejected_prediction_tokens":0}},"service_tier":"default","system_fingerprint":"fp_ad66631dec"}</t>
        </is>
      </c>
      <c r="M13" t="inlineStr">
        <is>
          <t>{"alt-svc":"h3=\":443\"; ma=2592000","apim-request-id":"399389a6-502f-4ecc-81ca-1d172b80648d","azureml-model-session":"d20260405212659-a9daa006","cache-control":"no-cache","connection":"close","content-length":"963","content-type":"application/json","date":"Sun, 26 Apr 2026 01:10:52 GMT","server":"nginx","skip-error-remapping":"true","strict-transport-security":"max-age=31536000; includeSubDomains; preload","via":"1.1 Caddy","x-content-type-options":"nosniff","x-ms-client-request-id":"Not-Set","x-ms-is-spilled-over":"false","x-ms-rai-invoked":"false","x-ms-region":"East US","x-new-api-version":"0.4.35","x-oneapi-request-id":"2026042601105033310208268d9d6nsfEb7Ei","x-ratelimit-abusepenalty-active":"False","x-ratelimit-limit-requests":"1000","x-ratelimit-limit-tokens":"1000000","x-ratelimit-remaining-requests":"999","x-ratelimit-remaining-tokens":"998353","x-ratelimit-renewalperiod-requests":"60","x-ratelimit-renewalperiod-tokens":"60","x-ratelimit-reset-requests":"60","x-ratelimit-reset-tokens":"98","x-request-id":"92a92fd0-b5cf-419c-9c1d-814165a34c9d"}</t>
        </is>
      </c>
      <c r="N13" t="inlineStr">
        <is>
          <t>Bally Lago Men’s Belt in Dark Brown Genuine Leather with Silver B Buckle, Swiss craftsmanship meets modern business elegance for refined gentleman style.</t>
        </is>
      </c>
      <c r="O13" t="inlineStr">
        <is>
          <t>{"id":"chatcmpl-DYiUynXEuh8zJDK7jPsxiy8fPCE8C","object":"chat.completion","created":1777166576,"model":"gpt-5-chat-2025-10-03","choices":[{"index":0,"message":{"role":"assistant","content":"Bally,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 t="inlineStr">
        <is>
          <t>Bally,Belt,kakobuy,kakebuy2026,kekobuysheet,kakobuysheet2026,2026kakobuy,kakobuyspreadsheeet,kakobuylink,kakebuylist,Kakobuy MEGA Spreadsheet,kakobuysheetfind,kakobuysheetfind2026,2026kakobuysheetfind,kakobuysheet2026</t>
        </is>
      </c>
      <c r="Q13" t="inlineStr">
        <is>
          <t>Dark Brown, Genuine Leather, Silver, Business, Men</t>
        </is>
      </c>
      <c r="R13" t="inlineStr">
        <is>
          <t>recvhju1Cr6hwr</t>
        </is>
      </c>
      <c r="S13" t="inlineStr">
        <is>
          <t>bally-lago-dark-brown-leather-men-belt-recvhju1cr6hwr</t>
        </is>
      </c>
      <c r="T13"/>
      <c r="U13"/>
      <c r="V13"/>
      <c r="W13" t="inlineStr">
        <is>
          <t>{"id":"chatcmpl-DYhr4QpYoespLYeOrNNY4ztY5b4RY","object":"chat.completion","created":1777164102,"model":"gpt-5-chat-2025-10-03","choices":[{"index":0,"message":{"role":"assistant","content":"Bally：Lago系列深棕色男士真皮腰带，饰以银色B字母扣，简约商务风格设计，彰显瑞士精湛工艺与现代绅士魅力。","refusal":null,"annotations":[]},"logprobs":null,"finish_reason":"stop"}],"usage":{"prompt_tokens":1301,"completion_tokens":51,"total_tokens":1352,"prompt_tokens_details":{"cached_tokens":0,"audio_tokens":0},"completion_tokens_details":{"reasoning_tokens":0,"audio_tokens":0,"accepted_prediction_tokens":0,"rejected_prediction_tokens":0}},"service_tier":"default","system_fingerprint":"fp_ad66631dec"}</t>
        </is>
      </c>
      <c r="X13" t="inlineStr">
        <is>
          <t>Bally：Lago系列深棕色男士真皮腰带，饰以银色B字母扣，简约商务风格设计，彰显瑞士精湛工艺与现代绅士魅力。</t>
        </is>
      </c>
    </row>
    <row r="14" ht="25.5" customHeight="1">
      <c r="A14">
        <v>1654975475</v>
      </c>
      <c r="B14">
        <v>7622023956</v>
      </c>
      <c r="C14" s="2" t="str">
        <f>=HYPERLINK("https://weidian.com/item.html?itemID=7622023956", "https://weidian.com/item.html?itemID=7622023956")</f>
        <v>https://weidian.com/item.html?itemID=7622023956</v>
      </c>
      <c r="D14"/>
      <c r="E14" s="2" t="str">
        <f>=HYPERLINK("https://si.geilicdn.com/pcitem2014204438-05ab0000019aca13539c0a23057e_1440_1920.jpg?w=640&amp;h=640", "https://si.geilicdn.com/pcitem2014204438-05ab0000019aca13539c0a23057e_1440_1920.jpg?w=640&amp;h=640")</f>
        <v>https://si.geilicdn.com/pcitem2014204438-05ab0000019aca13539c0a23057e_1440_1920.jpg?w=640&amp;h=640</v>
      </c>
      <c r="F14" t="inlineStr">
        <is>
          <t>Accessories</t>
        </is>
      </c>
      <c r="G14" t="inlineStr">
        <is>
          <t>Salvatore Ferragamo</t>
        </is>
      </c>
      <c r="H14">
        <v>460</v>
      </c>
      <c r="I14">
        <v>66.67</v>
      </c>
      <c r="J14" t="inlineStr">
        <is>
          <t>{"id":"chatcmpl-DYiwrV6xus26Xwua6abQPXdUnjdXe","object":"chat.completion","created":1777168305,"model":"gpt-5-chat-2025-10-03","choices":[{"index":0,"message":{"role":"assistant","content":"Salvatore Ferragamo Navy Leather Belt Gold Gancini Buckle","refusal":null,"annotations":[]},"logprobs":null,"finish_reason":"stop"}],"usage":{"prompt_tokens":876,"completion_tokens":15,"total_tokens":891,"prompt_tokens_details":{"cached_tokens":0,"audio_tokens":0},"completion_tokens_details":{"reasoning_tokens":0,"audio_tokens":0,"accepted_prediction_tokens":0,"rejected_prediction_tokens":0}},"service_tier":"default","system_fingerprint":"fp_ad66631dec"}</t>
        </is>
      </c>
      <c r="K14" t="inlineStr">
        <is>
          <t>Salvatore Ferragamo Navy Leather Belt Gold Gancini Buckle</t>
        </is>
      </c>
      <c r="L14" t="inlineStr">
        <is>
          <t>{"id":"chatcmpl-DYiIMY6y5gBvRlEgv6297dQV2dqY8","object":"chat.completion","created":1777165794,"model":"gpt-5-chat-2025-10-03","choices":[{"index":0,"message":{"role":"assistant","content":"Salvatore Ferragamo classic navy leather belt with textured gold Double Gancini buckle. Crafted from premium cowhide, unisex design blends Italian luxury with timeless modern elegance.","refusal":null,"annotations":[]},"logprobs":null,"finish_reason":"stop"}],"usage":{"prompt_tokens":909,"completion_tokens":36,"total_tokens":945,"prompt_tokens_details":{"cached_tokens":0,"audio_tokens":0},"completion_tokens_details":{"reasoning_tokens":0,"audio_tokens":0,"accepted_prediction_tokens":0,"rejected_prediction_tokens":0}},"service_tier":"default","system_fingerprint":"fp_ad66631dec"}</t>
        </is>
      </c>
      <c r="M14" t="inlineStr">
        <is>
          <t>{"alt-svc":"h3=\":443\"; ma=2592000","apim-request-id":"d1e2d9c7-ddb5-41c3-b924-79d7d48c1757","azureml-model-session":"d20260402083108-57a85543","cache-control":"no-cache","connection":"close","content-length":"992","content-type":"application/json","date":"Sun, 26 Apr 2026 01:09:55 GMT","server":"Caddy","skip-error-remapping":"true","strict-transport-security":"max-age=31536000; includeSubDomains; preload","x-content-type-options":"nosniff","x-ms-client-request-id":"Not-Set","x-ms-is-spilled-over":"false","x-ms-rai-invoked":"false","x-ms-region":"East US","x-new-api-version":"0.4.35","x-oneapi-request-id":"202604260109533333678148268d9d6nHflTvpu","x-ratelimit-abusepenalty-active":"False","x-ratelimit-limit-requests":"1000","x-ratelimit-limit-tokens":"1000000","x-ratelimit-remaining-requests":"999","x-ratelimit-remaining-tokens":"998329","x-ratelimit-renewalperiod-requests":"60","x-ratelimit-renewalperiod-tokens":"60","x-ratelimit-reset-requests":"60","x-ratelimit-reset-tokens":"100","x-request-id":"454e30e4-70f7-49a8-8ba4-ee38602023ec"}</t>
        </is>
      </c>
      <c r="N14" t="inlineStr">
        <is>
          <t>Salvatore Ferragamo classic navy leather belt with textured gold Double Gancini buckle. Crafted from premium cowhide, unisex design blends Italian luxury with timeless modern elegance.</t>
        </is>
      </c>
      <c r="O14" t="inlineStr">
        <is>
          <t>{"id":"chatcmpl-DYiVN5Vsr5gCerlg1SBQhfFGhpUke","object":"chat.completion","created":1777166601,"model":"gpt-5-chat-2025-10-03","choices":[{"index":0,"message":{"role":"assistant","content":"Salvatore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4" t="inlineStr">
        <is>
          <t>Salvatore Ferragamo, Accessories, kakobuy, kakebuy2026, kekobuysheet, kakobuysheet2026, 2026kakobuy, kakobuyspreadsheeet, kakobuylink, kakebuylist, Kakobuy MEGA Spreadsheet, kakobuysheetfind, kakobuysheetfind2026, 2026kakobuysheetfind, kakobuysheet2026</t>
        </is>
      </c>
      <c r="Q14" t="inlineStr">
        <is>
          <t>Navy, Leather, Cowhide, Unisex, Classic, Elegant</t>
        </is>
      </c>
      <c r="R14" t="inlineStr">
        <is>
          <t>recvhju1CrIetf</t>
        </is>
      </c>
      <c r="S14" t="inlineStr">
        <is>
          <t>ferragamo-navy-leather-belt-gancini-buckle-recvhju1crietf</t>
        </is>
      </c>
      <c r="T14"/>
      <c r="U14"/>
      <c r="V14"/>
      <c r="W14" t="inlineStr">
        <is>
          <t>{"id":"chatcmpl-DYhnmr2cetVgSFhxtiXN9CYNK8OB6","object":"chat.completion","created":1777163898,"model":"gpt-5-chat-2025-10-03","choices":[{"index":0,"message":{"role":"assistant","content":"Salvatore Ferragamo：经典深蓝色皮质双Gancini金属扣腰带，甄选头层牛皮材质，金色雕纹扣环彰显精致意式工艺，适合男女通用，融合现代奢华与永恒优雅，演绎都市商务格调。","refusal":null,"annotations":[]},"logprobs":null,"finish_reason":"stop"}],"usage":{"prompt_tokens":1305,"completion_tokens":73,"total_tokens":1378,"prompt_tokens_details":{"cached_tokens":0,"audio_tokens":0},"completion_tokens_details":{"reasoning_tokens":0,"audio_tokens":0,"accepted_prediction_tokens":0,"rejected_prediction_tokens":0}},"service_tier":"default","system_fingerprint":"fp_ad66631dec"}</t>
        </is>
      </c>
      <c r="X14" t="inlineStr">
        <is>
          <t>Salvatore Ferragamo：经典深蓝色皮质双Gancini金属扣腰带，甄选头层牛皮材质，金色雕纹扣环彰显精致意式工艺，适合男女通用，融合现代奢华与永恒优雅，演绎都市商务格调。</t>
        </is>
      </c>
    </row>
    <row r="15" ht="25.5" customHeight="1">
      <c r="A15">
        <v>1654975475</v>
      </c>
      <c r="B15">
        <v>7621951146</v>
      </c>
      <c r="C15" s="2" t="str">
        <f>=HYPERLINK("https://weidian.com/item.html?itemID=7621951146", "https://weidian.com/item.html?itemID=7621951146")</f>
        <v>https://weidian.com/item.html?itemID=7621951146</v>
      </c>
      <c r="D15"/>
      <c r="E15" s="2" t="str">
        <f>=HYPERLINK("https://si.geilicdn.com/pcitem2014204438-79c40000019aca2225060a239846_1512_2016.jpg?w=640&amp;h=640", "https://si.geilicdn.com/pcitem2014204438-79c40000019aca2225060a239846_1512_2016.jpg?w=640&amp;h=640")</f>
        <v>https://si.geilicdn.com/pcitem2014204438-79c40000019aca2225060a239846_1512_2016.jpg?w=640&amp;h=640</v>
      </c>
      <c r="F15" t="inlineStr">
        <is>
          <t>Accessories</t>
        </is>
      </c>
      <c r="G15" t="inlineStr">
        <is>
          <t>Salvatore Ferragamo</t>
        </is>
      </c>
      <c r="H15">
        <v>460</v>
      </c>
      <c r="I15">
        <v>66.67</v>
      </c>
      <c r="J15" t="inlineStr">
        <is>
          <t>{"id":"chatcmpl-DYj1ePUGiYBjsh4GcWT1wZUJrXy2t","object":"chat.completion","created":1777168602,"model":"gpt-5-chat-2025-10-03","choices":[{"index":0,"message":{"role":"assistant","content":"Salvatore Ferragamo Gray Black Reversible Leather Belt","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15" t="inlineStr">
        <is>
          <t>Salvatore Ferragamo Gray Black Reversible Leather Belt</t>
        </is>
      </c>
      <c r="L15" t="inlineStr">
        <is>
          <t>{"id":"chatcmpl-DYiCrwEpvAe5ZoXLA0hIrjI4N0Wi7","object":"chat.completion","created":1777165453,"model":"gpt-5-chat-2025-10-03","choices":[{"index":0,"message":{"role":"assistant","content":"Salvatore Ferragamo classic reversible leather belt in gray and black, crafted from premium cowhide, featuring a luxurious gold-tone buckle, refined minimal style for modern men with Italian elegance.","refusal":null,"annotations":[]},"logprobs":null,"finish_reason":"stop"}],"usage":{"prompt_tokens":905,"completion_tokens":38,"total_tokens":943,"prompt_tokens_details":{"cached_tokens":0,"audio_tokens":0},"completion_tokens_details":{"reasoning_tokens":0,"audio_tokens":0,"accepted_prediction_tokens":0,"rejected_prediction_tokens":0}},"service_tier":"default","system_fingerprint":"fp_ad66631dec"}</t>
        </is>
      </c>
      <c r="M15" t="inlineStr">
        <is>
          <t>{"alt-svc":"h3=\":443\"; ma=2592000","apim-request-id":"87f5d75f-61ff-476f-aa77-cdb92a2e1317","azureml-model-session":"d20260405225800-40f19e54","cache-control":"no-cache","connection":"close","content-length":"1008","content-type":"application/json","date":"Sun, 26 Apr 2026 01:04:15 GMT","server":"nginx","skip-error-remapping":"true","strict-transport-security":"max-age=31536000; includeSubDomains; preload","via":"1.1 Caddy","x-content-type-options":"nosniff","x-ms-client-request-id":"Not-Set","x-ms-is-spilled-over":"false","x-ms-rai-invoked":"false","x-ms-region":"Japan East","x-new-api-version":"0.4.35","x-oneapi-request-id":"202604260104123860746238268d9d6QvpUx20o","x-ratelimit-abusepenalty-active":"False","x-ratelimit-limit-requests":"1000","x-ratelimit-limit-tokens":"1000000","x-ratelimit-remaining-requests":"999","x-ratelimit-remaining-tokens":"998333","x-ratelimit-renewalperiod-requests":"60","x-ratelimit-renewalperiod-tokens":"60","x-ratelimit-reset-requests":"60","x-ratelimit-reset-tokens":"100","x-request-id":"f16d97c8-df49-4251-82af-9f567873a358"}</t>
        </is>
      </c>
      <c r="N15" t="inlineStr">
        <is>
          <t>Salvatore Ferragamo classic reversible leather belt in gray and black, crafted from premium cowhide, featuring a luxurious gold-tone buckle, refined minimal style for modern men with Italian elegance.</t>
        </is>
      </c>
      <c r="O15" t="inlineStr">
        <is>
          <t>{"id":"chatcmpl-DYiWaQmp69tN5tDO5q2awnqHcNplB","object":"chat.completion","created":1777166676,"model":"gpt-5-chat-2025-10-03","choices":[{"index":0,"message":{"role":"assistant","content":"Salvatore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5" t="inlineStr">
        <is>
          <t>Salvatore Ferragamo, Accessories, kakobuy, kakebuy2026, kekobuysheet, kakobuysheet2026, 2026kakobuy, kakobuyspreadsheeet, kakobuylink, kakebuylist, Kakobuy MEGA Spreadsheet, kakobuysheetfind, kakobuysheetfind2026, 2026kakobuysheetfind, kakobuysheet2026</t>
        </is>
      </c>
      <c r="Q15"/>
      <c r="R15" t="inlineStr">
        <is>
          <t>recvhju1CriiRI</t>
        </is>
      </c>
      <c r="S15" t="inlineStr">
        <is>
          <t>ferragamo-gray-black-reversible-leather-belt-recvhju1criir</t>
        </is>
      </c>
      <c r="T15"/>
      <c r="U15"/>
      <c r="V15"/>
      <c r="W15" t="inlineStr">
        <is>
          <t>{"id":"chatcmpl-DYhqARTDxGoBGMYGXeoSOKXBZhcLg","object":"chat.completion","created":1777164046,"model":"gpt-5-chat-2025-10-03","choices":[{"index":0,"message":{"role":"assistant","content":"Salvatore Ferragamo：经典双面皮革腰带，灰黑双色设计，甄选头层牛皮质感细腻，金属质扣彰显奢华格调，优雅简约风格，适合现代都市男士，融合品牌意式精工与时尚美学。","refusal":null,"annotations":[]},"logprobs":null,"finish_reason":"stop"}],"usage":{"prompt_tokens":1301,"completion_tokens":71,"total_tokens":1372,"prompt_tokens_details":{"cached_tokens":0,"audio_tokens":0},"completion_tokens_details":{"reasoning_tokens":0,"audio_tokens":0,"accepted_prediction_tokens":0,"rejected_prediction_tokens":0}},"service_tier":"default","system_fingerprint":"fp_ad66631dec"}</t>
        </is>
      </c>
      <c r="X15" t="inlineStr">
        <is>
          <t>Salvatore Ferragamo：经典双面皮革腰带，灰黑双色设计，甄选头层牛皮质感细腻，金属质扣彰显奢华格调，优雅简约风格，适合现代都市男士，融合品牌意式精工与时尚美学。</t>
        </is>
      </c>
    </row>
    <row r="16" ht="25.5" customHeight="1">
      <c r="A16">
        <v>1654975475</v>
      </c>
      <c r="B16">
        <v>7621915144</v>
      </c>
      <c r="C16" s="2" t="str">
        <f>=HYPERLINK("https://weidian.com/item.html?itemID=7621915144", "https://weidian.com/item.html?itemID=7621915144")</f>
        <v>https://weidian.com/item.html?itemID=7621915144</v>
      </c>
      <c r="D16"/>
      <c r="E16" s="2" t="str">
        <f>=HYPERLINK("https://si.geilicdn.com/pcitem2014204438-4cb20000019aca21948d0a811411_1440_1920.jpg?w=640&amp;h=640", "https://si.geilicdn.com/pcitem2014204438-4cb20000019aca21948d0a811411_1440_1920.jpg?w=640&amp;h=640")</f>
        <v>https://si.geilicdn.com/pcitem2014204438-4cb20000019aca21948d0a811411_1440_1920.jpg?w=640&amp;h=640</v>
      </c>
      <c r="F16" t="inlineStr">
        <is>
          <t>Accessories</t>
        </is>
      </c>
      <c r="G16" t="inlineStr">
        <is>
          <t>Salvatore Ferragamo</t>
        </is>
      </c>
      <c r="H16">
        <v>460</v>
      </c>
      <c r="I16">
        <v>66.67</v>
      </c>
      <c r="J16" t="inlineStr">
        <is>
          <t>{"id":"chatcmpl-DYj2S4wXLP7pP93ypeEDFPN0NE9gj","object":"chat.completion","created":1777168652,"model":"gpt-5-chat-2025-10-03","choices":[{"index":0,"message":{"role":"assistant","content":"Salvatore Ferragamo Black Leather Gancini Belt","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6" t="inlineStr">
        <is>
          <t>Salvatore Ferragamo Black Leather Gancini Belt</t>
        </is>
      </c>
      <c r="L16" t="inlineStr">
        <is>
          <t>{"id":"chatcmpl-DYiEi1DWKS0jOdPJd0dg7Kt8QPND9","object":"chat.completion","created":1777165568,"model":"gpt-5-chat-2025-10-03","choices":[{"index":0,"message":{"role":"assistant","content":"Salvatore Ferragamo black embossed leather belt with signature double Gancini silver buckle, unisex design, exuding Italian luxury for both business and casual style.","refusal":null,"annotations":[]},"logprobs":null,"finish_reason":"stop"}],"usage":{"prompt_tokens":895,"completion_tokens":34,"total_tokens":929,"prompt_tokens_details":{"cached_tokens":0,"audio_tokens":0},"completion_tokens_details":{"reasoning_tokens":0,"audio_tokens":0,"accepted_prediction_tokens":0,"rejected_prediction_tokens":0}},"service_tier":"default","system_fingerprint":"fp_ad66631dec"}</t>
        </is>
      </c>
      <c r="M16" t="inlineStr">
        <is>
          <t>{"alt-svc":"h3=\":443\"; ma=2592000","apim-request-id":"8c381572-bd94-431e-af5f-77d0c537785b","azureml-model-session":"d20260405225800-40f19e54","cache-control":"no-cache","connection":"close","content-length":"974","content-type":"application/json","date":"Sun, 26 Apr 2026 01:06:10 GMT","server":"nginx","skip-error-remapping":"true","strict-transport-security":"max-age=31536000; includeSubDomains; preload","via":"1.1 Caddy","x-content-type-options":"nosniff","x-ms-client-request-id":"Not-Set","x-ms-is-spilled-over":"false","x-ms-rai-invoked":"false","x-ms-region":"UK South","x-new-api-version":"0.4.35","x-oneapi-request-id":"20260426010608730264858268d9d628UYeqH5","x-ratelimit-abusepenalty-active":"False","x-ratelimit-limit-requests":"1000","x-ratelimit-limit-tokens":"1000000","x-ratelimit-remaining-requests":"999","x-ratelimit-remaining-tokens":"998343","x-ratelimit-renewalperiod-requests":"60","x-ratelimit-renewalperiod-tokens":"60","x-ratelimit-reset-requests":"60","x-ratelimit-reset-tokens":"99","x-request-id":"ed183c9a-d92f-4883-aa1c-f9de966b1643"}</t>
        </is>
      </c>
      <c r="N16" t="inlineStr">
        <is>
          <t>Salvatore Ferragamo black embossed leather belt with signature double Gancini silver buckle, unisex design, exuding Italian luxury for both business and casual style.</t>
        </is>
      </c>
      <c r="O16" t="inlineStr">
        <is>
          <t>{"id":"chatcmpl-DYiYEui4c4Y94A1x4KwX1zopuBukW","object":"chat.completion","created":1777166778,"model":"gpt-5-chat-2025-10-03","choices":[{"index":0,"message":{"role":"assistant","content":"Salvatore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6" t="inlineStr">
        <is>
          <t>Salvatore Ferragamo, Accessories, kakobuy, kakebuy2026, kekobuysheet, kakobuysheet2026, 2026kakobuy, kakobuyspreadsheeet, kakobuylink, kakebuylist, Kakobuy MEGA Spreadsheet, kakobuysheetfind, kakobuysheetfind2026, 2026kakobuysheetfind, kakobuysheet2026</t>
        </is>
      </c>
      <c r="Q16" t="inlineStr">
        <is>
          <t>Black, Leather, Business, Unisex, Silver</t>
        </is>
      </c>
      <c r="R16" t="inlineStr">
        <is>
          <t>recvhju1CriRw6</t>
        </is>
      </c>
      <c r="S16" t="inlineStr">
        <is>
          <t>ferragamo-black-leather-gancini-belt-recvhju1crirw6</t>
        </is>
      </c>
      <c r="T16"/>
      <c r="U16"/>
      <c r="V16"/>
      <c r="W16" t="inlineStr">
        <is>
          <t>{"id":"chatcmpl-DYhrotyjOFIAs9MKIvvFqwZARfwUE","object":"chat.completion","created":1777164148,"model":"gpt-5-chat-2025-10-03","choices":[{"index":0,"message":{"role":"assistant","content":"Salvatore Ferragamo：黑色双Gancini腰带，精选压纹牛皮材质，配亮银双环扣设计，彰显意式奢华格调，男女通用款，经典优雅，适合商务与休闲穿搭。","refusal":null,"annotations":[]},"logprobs":null,"finish_reason":"stop"}],"usage":{"prompt_tokens":1303,"completion_tokens":60,"total_tokens":1363,"prompt_tokens_details":{"cached_tokens":1280,"audio_tokens":0},"completion_tokens_details":{"reasoning_tokens":0,"audio_tokens":0,"accepted_prediction_tokens":0,"rejected_prediction_tokens":0}},"service_tier":"default","system_fingerprint":"fp_ad66631dec"}</t>
        </is>
      </c>
      <c r="X16" t="inlineStr">
        <is>
          <t>Salvatore Ferragamo：黑色双Gancini腰带，精选压纹牛皮材质，配亮银双环扣设计，彰显意式奢华格调，男女通用款，经典优雅，适合商务与休闲穿搭。</t>
        </is>
      </c>
    </row>
    <row r="17" ht="25.5" customHeight="1">
      <c r="A17">
        <v>1654975475</v>
      </c>
      <c r="B17">
        <v>7621970628</v>
      </c>
      <c r="C17" s="2" t="str">
        <f>=HYPERLINK("https://weidian.com/item.html?itemID=7621970628", "https://weidian.com/item.html?itemID=7621970628")</f>
        <v>https://weidian.com/item.html?itemID=7621970628</v>
      </c>
      <c r="D17"/>
      <c r="E17" s="2" t="str">
        <f>=HYPERLINK("https://si.geilicdn.com/pcitem2014204438-00c30000019aca0f9a430a23038e_1080_1620.jpg?w=640&amp;h=640", "https://si.geilicdn.com/pcitem2014204438-00c30000019aca0f9a430a23038e_1080_1620.jpg?w=640&amp;h=640")</f>
        <v>https://si.geilicdn.com/pcitem2014204438-00c30000019aca0f9a430a23038e_1080_1620.jpg?w=640&amp;h=640</v>
      </c>
      <c r="F17" t="inlineStr">
        <is>
          <t>Accessories</t>
        </is>
      </c>
      <c r="G17" t="inlineStr">
        <is>
          <t>Hermes</t>
        </is>
      </c>
      <c r="H17">
        <v>460</v>
      </c>
      <c r="I17">
        <v>66.67</v>
      </c>
      <c r="J17" t="inlineStr">
        <is>
          <t>{"id":"chatcmpl-DYj0XEuIRJsOTc1hSU1ycv1YZoEJw","object":"chat.completion","created":1777168533,"model":"gpt-5-chat-2025-10-03","choices":[{"index":0,"message":{"role":"assistant","content":"Hermes Lago Double Wrap Light Brown Belt","refusal":null,"annotations":[]},"logprobs":null,"finish_reason":"stop"}],"usage":{"prompt_tokens":875,"completion_tokens":9,"total_tokens":884,"prompt_tokens_details":{"cached_tokens":0,"audio_tokens":0},"completion_tokens_details":{"reasoning_tokens":0,"audio_tokens":0,"accepted_prediction_tokens":0,"rejected_prediction_tokens":0}},"service_tier":"default","system_fingerprint":"fp_ad66631dec"}</t>
        </is>
      </c>
      <c r="K17" t="inlineStr">
        <is>
          <t>Hermes Lago Double Wrap Light Brown Belt</t>
        </is>
      </c>
      <c r="L17" t="inlineStr">
        <is>
          <t>{"id":"chatcmpl-DYiECgl1guQHUquo8rXjciztgPdj8","object":"chat.completion","created":1777165536,"model":"gpt-5-chat-2025-10-03","choices":[{"index":0,"message":{"role":"assistant","content":"Hermes Lago Double Wrap Belt in Light Brown Epsom Leather with Silver H Buckle, unisex minimalist design, French luxury elegance, crafted for modern style and timeless sophistication.","refusal":null,"annotations":[]},"logprobs":null,"finish_reason":"stop"}],"usage":{"prompt_tokens":914,"completion_tokens":37,"total_tokens":951,"prompt_tokens_details":{"cached_tokens":0,"audio_tokens":0},"completion_tokens_details":{"reasoning_tokens":0,"audio_tokens":0,"accepted_prediction_tokens":0,"rejected_prediction_tokens":0}},"service_tier":"default","system_fingerprint":"fp_ad66631dec"}</t>
        </is>
      </c>
      <c r="M17" t="inlineStr">
        <is>
          <t>{"alt-svc":"h3=\":443\"; ma=2592000","apim-request-id":"30bcf9b0-d6b4-4668-b7a1-06b4d30ee687","azureml-model-session":"d20260405225800-40f19e54","cache-control":"no-cache","connection":"close","content-length":"991","content-type":"application/json","date":"Sun, 26 Apr 2026 01:05:38 GMT","server":"Caddy","skip-error-remapping":"true","strict-transport-security":"max-age=31536000; includeSubDomains; preload","x-content-type-options":"nosniff","x-ms-client-request-id":"Not-Set","x-ms-is-spilled-over":"false","x-ms-rai-invoked":"false","x-ms-region":"Japan East","x-new-api-version":"0.4.35","x-oneapi-request-id":"202604260105359744391088268d9d67GabRZGB","x-ratelimit-abusepenalty-active":"False","x-ratelimit-limit-requests":"1000","x-ratelimit-limit-tokens":"1000000","x-ratelimit-remaining-requests":"999","x-ratelimit-remaining-tokens":"998324","x-ratelimit-renewalperiod-requests":"60","x-ratelimit-renewalperiod-tokens":"60","x-ratelimit-reset-requests":"60","x-ratelimit-reset-tokens":"100","x-request-id":"d89ab00a-28c5-4142-8061-007cd92e3103"}</t>
        </is>
      </c>
      <c r="N17" t="inlineStr">
        <is>
          <t>Hermes Lago Double Wrap Belt in Light Brown Epsom Leather with Silver H Buckle, unisex minimalist design, French luxury elegance, crafted for modern style and timeless sophistication.</t>
        </is>
      </c>
      <c r="O17" t="inlineStr">
        <is>
          <t>{"id":"chatcmpl-DYiRCgHc0RgDsDvS1HXkBbAak5Gvk","object":"chat.completion","created":1777166342,"model":"gpt-5-chat-2025-10-03","choices":[{"index":0,"message":{"role":"assistant","content":"Hermes,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 t="inlineStr">
        <is>
          <t>Hermes,Accessories,kakobuy,kakebuy2026,kekobuysheet,kakobuysheet2026,2026kakobuy,kakobuyspreadsheeet,kakobuylink,kakebuylist,Kakobuy MEGA Spreadsheet,kakobuysheetfind,kakobuysheetfind2026,2026kakobuysheetfind,kakobuysheet2026</t>
        </is>
      </c>
      <c r="Q17"/>
      <c r="R17" t="inlineStr">
        <is>
          <t>recvhju1Crytx3</t>
        </is>
      </c>
      <c r="S17" t="inlineStr">
        <is>
          <t>hermes-lago-double-wrap-light-brown-belt-recvhju1crytx3</t>
        </is>
      </c>
      <c r="T17"/>
      <c r="U17"/>
      <c r="V17"/>
      <c r="W17" t="inlineStr">
        <is>
          <t>{"id":"chatcmpl-DYhswTPbE79AhcW9nrzu99Zm9usnY","object":"chat.completion","created":1777164218,"model":"gpt-5-chat-2025-10-03","choices":[{"index":0,"message":{"role":"assistant","content":"Hermes：经典Lago系列浅褐色牛皮双圈腰带，甄选Epsom纹理皮革搭配银色H扣设计，极简优雅中性风格，彰显法式高奢品味，适合男女通用，融合现代优雅与实用功能，尽显品牌匠心魅力。","refusal":null,"annotations":[]},"logprobs":null,"finish_reason":"stop"}],"usage":{"prompt_tokens":1301,"completion_tokens":80,"total_tokens":1381,"prompt_tokens_details":{"cached_tokens":1280,"audio_tokens":0},"completion_tokens_details":{"reasoning_tokens":0,"audio_tokens":0,"accepted_prediction_tokens":0,"rejected_prediction_tokens":0}},"service_tier":"default","system_fingerprint":"fp_ad66631dec"}</t>
        </is>
      </c>
      <c r="X17" t="inlineStr">
        <is>
          <t>Hermes：经典Lago系列浅褐色牛皮双圈腰带，甄选Epsom纹理皮革搭配银色H扣设计，极简优雅中性风格，彰显法式高奢品味，适合男女通用，融合现代优雅与实用功能，尽显品牌匠心魅力。</t>
        </is>
      </c>
    </row>
    <row r="18" ht="25.5" customHeight="1">
      <c r="A18">
        <v>1654975475</v>
      </c>
      <c r="B18">
        <v>7621990418</v>
      </c>
      <c r="C18" s="2" t="str">
        <f>=HYPERLINK("https://weidian.com/item.html?itemID=7621990418", "https://weidian.com/item.html?itemID=7621990418")</f>
        <v>https://weidian.com/item.html?itemID=7621990418</v>
      </c>
      <c r="D18"/>
      <c r="E18" s="2" t="str">
        <f>=HYPERLINK("https://si.geilicdn.com/pcitem2014204438-27300000019aca12c4ba0a2103bd_1080_1440.jpg?w=640&amp;h=640", "https://si.geilicdn.com/pcitem2014204438-27300000019aca12c4ba0a2103bd_1080_1440.jpg?w=640&amp;h=640")</f>
        <v>https://si.geilicdn.com/pcitem2014204438-27300000019aca12c4ba0a2103bd_1080_1440.jpg?w=640&amp;h=640</v>
      </c>
      <c r="F18" t="inlineStr">
        <is>
          <t>Accessories</t>
        </is>
      </c>
      <c r="G18" t="inlineStr">
        <is>
          <t>Loewe</t>
        </is>
      </c>
      <c r="H18">
        <v>440</v>
      </c>
      <c r="I18">
        <v>63.77</v>
      </c>
      <c r="J18" t="inlineStr">
        <is>
          <t>{"id":"chatcmpl-DYj0MLsIsBsl0n7WZt8vRJeGz2j58","object":"chat.completion","created":1777168522,"model":"gpt-5-chat-2025-10-03","choices":[{"index":0,"message":{"role":"assistant","content":"Loewe Classic Black Double Wrap Leather Bracelet Unisex","refusal":null,"annotations":[]},"logprobs":null,"finish_reason":"stop"}],"usage":{"prompt_tokens":874,"completion_tokens":12,"total_tokens":886,"prompt_tokens_details":{"cached_tokens":0,"audio_tokens":0},"completion_tokens_details":{"reasoning_tokens":0,"audio_tokens":0,"accepted_prediction_tokens":0,"rejected_prediction_tokens":0}},"service_tier":"default","system_fingerprint":"fp_ad66631dec"}</t>
        </is>
      </c>
      <c r="K18" t="inlineStr">
        <is>
          <t>Loewe Classic Black Double Wrap Leather Bracelet Unisex</t>
        </is>
      </c>
      <c r="L18" t="inlineStr">
        <is>
          <t>{"id":"chatcmpl-DYiDq0OzyqyyaPdF5PsX8uQHrV8tP","object":"chat.completion","created":1777165514,"model":"gpt-5-chat-2025-10-03","choices":[{"index":0,"message":{"role":"assistant","content":"Loewe Classic Black Double Wrap Leather Bracelet, crafted from smooth grained calfskin with metal Anagram buckle, minimalist luxury unisex design perfect for daily and casual wear.","refusal":null,"annotations":[]},"logprobs":null,"finish_reason":"stop"}],"usage":{"prompt_tokens":902,"completion_tokens":36,"total_tokens":938,"prompt_tokens_details":{"cached_tokens":0,"audio_tokens":0},"completion_tokens_details":{"reasoning_tokens":0,"audio_tokens":0,"accepted_prediction_tokens":0,"rejected_prediction_tokens":0}},"service_tier":"default","system_fingerprint":"fp_ad66631dec"}</t>
        </is>
      </c>
      <c r="M18" t="inlineStr">
        <is>
          <t>{"alt-svc":"h3=\":443\"; ma=2592000","apim-request-id":"b1235c91-23e5-45fc-bfb5-f733d162e1e7","azureml-model-session":"d20260405212659-a9daa006","cache-control":"no-cache","connection":"close","content-length":"988","content-type":"application/json","date":"Sun, 26 Apr 2026 01:05:16 GMT","server":"nginx","skip-error-remapping":"true","strict-transport-security":"max-age=31536000; includeSubDomains; preload","via":"1.1 Caddy","x-content-type-options":"nosniff","x-ms-client-request-id":"Not-Set","x-ms-is-spilled-over":"false","x-ms-rai-invoked":"false","x-ms-region":"Korea Central","x-new-api-version":"0.4.35","x-oneapi-request-id":"202604260105135847044728268d9d6AWY11dvY","x-ratelimit-abusepenalty-active":"False","x-ratelimit-limit-requests":"1000","x-ratelimit-limit-tokens":"1000000","x-ratelimit-remaining-requests":"999","x-ratelimit-remaining-tokens":"998336","x-ratelimit-renewalperiod-requests":"60","x-ratelimit-renewalperiod-tokens":"60","x-ratelimit-reset-requests":"60","x-ratelimit-reset-tokens":"99","x-request-id":"3df8973b-81cb-4d89-b54a-2b6b03c14309"}</t>
        </is>
      </c>
      <c r="N18" t="inlineStr">
        <is>
          <t>Loewe Classic Black Double Wrap Leather Bracelet, crafted from smooth grained calfskin with metal Anagram buckle, minimalist luxury unisex design perfect for daily and casual wear.</t>
        </is>
      </c>
      <c r="O18" t="inlineStr">
        <is>
          <t>{"id":"chatcmpl-DYiYCnNWmmmVC7L2vcsi0uZTZck9A","object":"chat.completion","created":1777166776,"model":"gpt-5-chat-2025-10-03","choices":[{"index":0,"message":{"role":"assistant","content":"Loewe,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8" t="inlineStr">
        <is>
          <t>Loewe,Accessories,kakobuy,kakebuy2026,kekobuysheet,kakobuysheet2026,2026kakobuy,kakobuyspreadsheeet,kakobuylink,kakebuylist,Kakobuy MEGA Spreadsheet,kakobuysheetfind,kakobuysheetfind2026,2026kakobuysheetfind,kakobuysheet2026</t>
        </is>
      </c>
      <c r="Q18"/>
      <c r="R18" t="inlineStr">
        <is>
          <t>recvhju1CrOuM3</t>
        </is>
      </c>
      <c r="S18" t="inlineStr">
        <is>
          <t>loewe-classic-black-double-wrap-leather-bracelet-recvhju1croum3</t>
        </is>
      </c>
      <c r="T18"/>
      <c r="U18"/>
      <c r="V18"/>
      <c r="W18" t="inlineStr">
        <is>
          <t>{"id":"chatcmpl-DYhtqoQ4jV8Iv1XShxW38DkDrJt6S","object":"chat.completion","created":1777164274,"model":"gpt-5-chat-2025-10-03","choices":[{"index":0,"message":{"role":"assistant","content":"Loewe：经典黑色皮革双圈手环，甄选柔滑粒面牛皮，搭配金属Anagram标志扣，极简奢华设计，男女皆宜，彰显品牌百年工艺与现代格调，适合日常与休闲穿搭。","refusal":null,"annotations":[]},"logprobs":null,"finish_reason":"stop"}],"usage":{"prompt_tokens":1301,"completion_tokens":68,"total_tokens":1369,"prompt_tokens_details":{"cached_tokens":0,"audio_tokens":0},"completion_tokens_details":{"reasoning_tokens":0,"audio_tokens":0,"accepted_prediction_tokens":0,"rejected_prediction_tokens":0}},"service_tier":"default","system_fingerprint":"fp_ad66631dec"}</t>
        </is>
      </c>
      <c r="X18" t="inlineStr">
        <is>
          <t>Loewe：经典黑色皮革双圈手环，甄选柔滑粒面牛皮，搭配金属Anagram标志扣，极简奢华设计，男女皆宜，彰显品牌百年工艺与现代格调，适合日常与休闲穿搭。</t>
        </is>
      </c>
    </row>
    <row r="19" ht="25.5" customHeight="1">
      <c r="A19">
        <v>1654975475</v>
      </c>
      <c r="B19">
        <v>7622055708</v>
      </c>
      <c r="C19" s="2" t="str">
        <f>=HYPERLINK("https://weidian.com/item.html?itemID=7622055708", "https://weidian.com/item.html?itemID=7622055708")</f>
        <v>https://weidian.com/item.html?itemID=7622055708</v>
      </c>
      <c r="D19"/>
      <c r="E19" s="2" t="str">
        <f>=HYPERLINK("https://si.geilicdn.com/pcitem2014204438-586d0000019aca1224d80a2304aa_1440_1920.jpg?w=640&amp;h=640", "https://si.geilicdn.com/pcitem2014204438-586d0000019aca1224d80a2304aa_1440_1920.jpg?w=640&amp;h=640")</f>
        <v>https://si.geilicdn.com/pcitem2014204438-586d0000019aca1224d80a2304aa_1440_1920.jpg?w=640&amp;h=640</v>
      </c>
      <c r="F19" t="inlineStr">
        <is>
          <t>Accessories</t>
        </is>
      </c>
      <c r="G19" t="inlineStr">
        <is>
          <t>Salvatore Ferragamo</t>
        </is>
      </c>
      <c r="H19">
        <v>460</v>
      </c>
      <c r="I19">
        <v>66.67</v>
      </c>
      <c r="J19" t="inlineStr">
        <is>
          <t>{"id":"chatcmpl-DYixrCmQrHVotBjhuWekEb5zyMatT","object":"chat.completion","created":1777168367,"model":"gpt-5-chat-2025-10-03","choices":[{"index":0,"message":{"role":"assistant","content":"Salvatore Ferragamo Gancini Black Leather Men Belt","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19" t="inlineStr">
        <is>
          <t>Salvatore Ferragamo Gancini Black Leather Men Belt</t>
        </is>
      </c>
      <c r="L19" t="inlineStr">
        <is>
          <t>{"id":"chatcmpl-DYiIGTBoqoTFGd3kbULZzw7DkxVjq","object":"chat.completion","created":1777165788,"model":"gpt-5-chat-2025-10-03","choices":[{"index":0,"message":{"role":"assistant","content":"Salvatore Ferragamo Gancini Men’s Black Leather Belt, crafted from premium genuine leather with a silver-tone double Gancini buckle, a refined expression of modern Italian luxury.","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19" t="inlineStr">
        <is>
          <t>{"alt-svc":"h3=\":443\"; ma=2592000","apim-request-id":"f9179b74-4e08-4b4c-9e0f-dfe72577de9e","azureml-model-session":"d20260402084046-4209e968","cache-control":"no-cache","connection":"close","content-length":"989","content-type":"application/json","date":"Sun, 26 Apr 2026 01:09:49 GMT","server":"nginx","skip-error-remapping":"true","strict-transport-security":"max-age=31536000; includeSubDomains; preload","via":"1.1 Caddy","x-content-type-options":"nosniff","x-ms-client-request-id":"Not-Set","x-ms-is-spilled-over":"false","x-ms-rai-invoked":"false","x-ms-region":"Sweden Central","x-new-api-version":"0.4.35","x-oneapi-request-id":"202604260109474640024618268d9d6UQ7qLcx0","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2b71662a-b4a4-4997-ba03-65fa0b070b2e"}</t>
        </is>
      </c>
      <c r="N19" t="inlineStr">
        <is>
          <t>Salvatore Ferragamo Gancini Men’s Black Leather Belt, crafted from premium genuine leather with a silver-tone double Gancini buckle, a refined expression of modern Italian luxury.</t>
        </is>
      </c>
      <c r="O19" t="inlineStr">
        <is>
          <t>{"id":"chatcmpl-DYiYXLaFaRa61UvqysNzpKBFs8v3A","object":"chat.completion","created":1777166797,"model":"gpt-5-chat-2025-10-03","choices":[{"index":0,"message":{"role":"assistant","content":"Salvatore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9" t="inlineStr">
        <is>
          <t>Salvatore Ferragamo,Accessories,kakobuy,kakebuy2026,kekobuysheet,kakobuysheet2026,2026kakobuy,kakobuyspreadsheeet,kakobuylink,kakebuylist,Kakobuy MEGA Spreadsheet,kakobuysheetfind,kakobuysheetfind2026,2026kakobuysheetfind,kakobuysheet2026</t>
        </is>
      </c>
      <c r="Q19" t="inlineStr">
        <is>
          <t>Men, Black, Leather, Genuine Leather, Silver</t>
        </is>
      </c>
      <c r="R19" t="inlineStr">
        <is>
          <t>recvhju1CrO93s</t>
        </is>
      </c>
      <c r="S19" t="inlineStr">
        <is>
          <t>ferragamo-gancini-black-leather-belt-recvhju1cr</t>
        </is>
      </c>
      <c r="T19"/>
      <c r="U19"/>
      <c r="V19"/>
      <c r="W19" t="inlineStr">
        <is>
          <t>{"id":"chatcmpl-DYhpNXFqoQwAJE0FxoH7IinzUBdCp","object":"chat.completion","created":1777163997,"model":"gpt-5-chat-2025-10-03","choices":[{"index":0,"message":{"role":"assistant","content":"Salvatore Ferragamo：Gancini系列黑色男士真皮腰带，采用头层牛皮材质与银色金属双环扣设计，简约典雅，彰显现代意式奢华格调。","refusal":null,"annotations":[]},"logprobs":null,"finish_reason":"stop"}],"usage":{"prompt_tokens":1305,"completion_tokens":53,"total_tokens":1358,"prompt_tokens_details":{"cached_tokens":1280,"audio_tokens":0},"completion_tokens_details":{"reasoning_tokens":0,"audio_tokens":0,"accepted_prediction_tokens":0,"rejected_prediction_tokens":0}},"service_tier":"default","system_fingerprint":"fp_ad66631dec"}</t>
        </is>
      </c>
      <c r="X19" t="inlineStr">
        <is>
          <t>Salvatore Ferragamo：Gancini系列黑色男士真皮腰带，采用头层牛皮材质与银色金属双环扣设计，简约典雅，彰显现代意式奢华格调。</t>
        </is>
      </c>
    </row>
    <row r="20" ht="25.5" customHeight="1">
      <c r="A20">
        <v>1654975475</v>
      </c>
      <c r="B20">
        <v>7618737523</v>
      </c>
      <c r="C20" s="2" t="str">
        <f>=HYPERLINK("https://weidian.com/item.html?itemID=7618737523", "https://weidian.com/item.html?itemID=7618737523")</f>
        <v>https://weidian.com/item.html?itemID=7618737523</v>
      </c>
      <c r="D20"/>
      <c r="E20" s="2" t="str">
        <f>=HYPERLINK("https://si.geilicdn.com/pcitem2014204438-3f850000019ac9709daa0a239646_750_1000.jpg?w=640&amp;h=640", "https://si.geilicdn.com/pcitem2014204438-3f850000019ac9709daa0a239646_750_1000.jpg?w=640&amp;h=640")</f>
        <v>https://si.geilicdn.com/pcitem2014204438-3f850000019ac9709daa0a239646_750_1000.jpg?w=640&amp;h=640</v>
      </c>
      <c r="F20" t="inlineStr">
        <is>
          <t>Electronic</t>
        </is>
      </c>
      <c r="G20" t="inlineStr">
        <is>
          <t>Marshall</t>
        </is>
      </c>
      <c r="H20">
        <v>390</v>
      </c>
      <c r="I20">
        <v>56.52</v>
      </c>
      <c r="J20" t="inlineStr">
        <is>
          <t>{"id":"chatcmpl-DYiy9leY3MgUDl6C8f4TuZtClM99y","object":"chat.completion","created":1777168385,"model":"gpt-5-chat-2025-10-03","choices":[{"index":0,"message":{"role":"assistant","content":"Marshall Vintage Bluetooth Portable Speaker Retro Style","refusal":null,"annotations":[]},"logprobs":null,"finish_reason":"stop"}],"usage":{"prompt_tokens":872,"completion_tokens":8,"total_tokens":880,"prompt_tokens_details":{"cached_tokens":0,"audio_tokens":0},"completion_tokens_details":{"reasoning_tokens":0,"audio_tokens":0,"accepted_prediction_tokens":0,"rejected_prediction_tokens":0}},"service_tier":"default","system_fingerprint":"fp_ad66631dec"}</t>
        </is>
      </c>
      <c r="K20" t="inlineStr">
        <is>
          <t>Marshall Vintage Bluetooth Portable Speaker Retro Style</t>
        </is>
      </c>
      <c r="L20" t="inlineStr">
        <is>
          <t>{"id":"chatcmpl-DYiEHxFsptapIGLWmj8Cnwm5GkeSj","object":"chat.completion","created":1777165541,"model":"gpt-5-chat-2025-10-03","choices":[{"index":0,"message":{"role":"assistant","content":"Marshall Portable Bluetooth Speaker: classic checkered mesh design, vintage leather texture, powerful stereo sound, wireless, lightweight and stylish, perfect for travel and parties with British rock flair.","refusal":null,"annotations":[]},"logprobs":null,"finish_reason":"stop"}],"usage":{"prompt_tokens":912,"completion_tokens":36,"total_tokens":948,"prompt_tokens_details":{"cached_tokens":0,"audio_tokens":0},"completion_tokens_details":{"reasoning_tokens":0,"audio_tokens":0,"accepted_prediction_tokens":0,"rejected_prediction_tokens":0}},"service_tier":"default","system_fingerprint":"fp_ad66631dec"}</t>
        </is>
      </c>
      <c r="M20" t="inlineStr">
        <is>
          <t>{"alt-svc":"h3=\":443\"; ma=2592000","apim-request-id":"20141874-3fe7-473b-bfbf-d681b641fdc1","azureml-model-session":"d20260405225800-40f19e54","cache-control":"no-cache","connection":"close","content-length":"1014","content-type":"application/json","date":"Sun, 26 Apr 2026 01:05:43 GMT","server":"nginx","skip-error-remapping":"true","strict-transport-security":"max-age=31536000; includeSubDomains; preload","via":"1.1 Caddy","x-content-type-options":"nosniff","x-ms-client-request-id":"Not-Set","x-ms-is-spilled-over":"false","x-ms-rai-invoked":"false","x-ms-region":"Japan East","x-new-api-version":"0.4.35","x-oneapi-request-id":"202604260105408406654438268d9d6xlcMuZpE","x-ratelimit-abusepenalty-active":"False","x-ratelimit-limit-requests":"1000","x-ratelimit-limit-tokens":"1000000","x-ratelimit-remaining-requests":"999","x-ratelimit-remaining-tokens":"998326","x-ratelimit-renewalperiod-requests":"60","x-ratelimit-renewalperiod-tokens":"60","x-ratelimit-reset-requests":"60","x-ratelimit-reset-tokens":"100","x-request-id":"eb80e350-d5db-47c5-b6d2-59c39c591a2b"}</t>
        </is>
      </c>
      <c r="N20" t="inlineStr">
        <is>
          <t>Marshall Portable Bluetooth Speaker: classic checkered mesh design, vintage leather texture, powerful stereo sound, wireless, lightweight and stylish, perfect for travel and parties with British rock flair.</t>
        </is>
      </c>
      <c r="O20" t="inlineStr">
        <is>
          <t>{"id":"chatcmpl-DYiTjyrkINaw31IyIj04K7xoklyu7","object":"chat.completion","created":1777166499,"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20" t="inlineStr">
        <is>
          <t>Marshall,speaker,kakobuy,kakebuy2026,kekobuysheet,kakobuysheet2026,2026kakobuy,kakobuyspreadsheeet,kakobuylink,kakebuylist,Kakobuy MEGA Spreadsheet,kakobuysheetfind,kakobuysheetfind2026,2026kakobuysheetfind,kakobuysheet2026</t>
        </is>
      </c>
      <c r="Q20" t="inlineStr">
        <is>
          <t>Marshall, Vintage, Lightweight, Classic</t>
        </is>
      </c>
      <c r="R20" t="inlineStr">
        <is>
          <t>recvhju1Cr3WZC</t>
        </is>
      </c>
      <c r="S20" t="inlineStr">
        <is>
          <t>marshall-vintage-bluetooth-portable-speaker-retro-style-recvhju1cr3wz</t>
        </is>
      </c>
      <c r="T20"/>
      <c r="U20"/>
      <c r="V20"/>
      <c r="W20" t="inlineStr">
        <is>
          <t>{"id":"chatcmpl-DYhp0L4QKxPRExLqJ3JzlDfZT4kxp","object":"chat.completion","created":1777163974,"model":"gpt-5-chat-2025-10-03","choices":[{"index":0,"message":{"role":"assistant","content":"Marshall：黑色便携式蓝牙音箱，经典格纹网面设计，复古皮革质感外壳，融合摇滚与现代美学。轻巧手提造型，强劲立体音效，支持无线连接，男女皆宜，彰显英伦复古音响风格，适合日常出行与音乐派对。","refusal":null,"annotations":[]},"logprobs":null,"finish_reason":"stop"}],"usage":{"prompt_tokens":1293,"completion_tokens":82,"total_tokens":1375,"prompt_tokens_details":{"cached_tokens":1280,"audio_tokens":0},"completion_tokens_details":{"reasoning_tokens":0,"audio_tokens":0,"accepted_prediction_tokens":0,"rejected_prediction_tokens":0}},"service_tier":"default","system_fingerprint":"fp_ad66631dec"}</t>
        </is>
      </c>
      <c r="X20" t="inlineStr">
        <is>
          <t>Marshall：黑色便携式蓝牙音箱，经典格纹网面设计，复古皮革质感外壳，融合摇滚与现代美学。轻巧手提造型，强劲立体音效，支持无线连接，男女皆宜，彰显英伦复古音响风格，适合日常出行与音乐派对。</t>
        </is>
      </c>
    </row>
    <row r="21" ht="25.5" customHeight="1">
      <c r="A21">
        <v>1654975475</v>
      </c>
      <c r="B21">
        <v>7618757393</v>
      </c>
      <c r="C21" s="2" t="str">
        <f>=HYPERLINK("https://weidian.com/item.html?itemID=7618757393", "https://weidian.com/item.html?itemID=7618757393")</f>
        <v>https://weidian.com/item.html?itemID=7618757393</v>
      </c>
      <c r="D21"/>
      <c r="E21" s="2" t="str">
        <f>=HYPERLINK("https://si.geilicdn.com/pcitem2014204438-25d80000019ac971344c0a2304aa_1442_1922.jpg?w=640&amp;h=640", "https://si.geilicdn.com/pcitem2014204438-25d80000019ac971344c0a2304aa_1442_1922.jpg?w=640&amp;h=640")</f>
        <v>https://si.geilicdn.com/pcitem2014204438-25d80000019ac971344c0a2304aa_1442_1922.jpg?w=640&amp;h=640</v>
      </c>
      <c r="F21" t="inlineStr">
        <is>
          <t>Electronic</t>
        </is>
      </c>
      <c r="G21" t="inlineStr">
        <is>
          <t>JBL</t>
        </is>
      </c>
      <c r="H21">
        <v>396</v>
      </c>
      <c r="I21">
        <v>57.39</v>
      </c>
      <c r="J21" t="inlineStr">
        <is>
          <t>{"id":"chatcmpl-DYiwps4x0wTfkX9Wtjumk6AObKTea","object":"chat.completion","created":1777168303,"model":"gpt-5-chat-2025-10-03","choices":[{"index":0,"message":{"role":"assistant","content":"JBL Xtreme 3 Wireless Bluetooth Speaker Waterproof Black","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21" t="inlineStr">
        <is>
          <t>JBL Xtreme 3 Wireless Bluetooth Speaker Waterproof Black</t>
        </is>
      </c>
      <c r="L21" t="inlineStr">
        <is>
          <t>{"id":"chatcmpl-DYiCU5Aqk8MQWCysM9Ia8q60TC5M8","object":"chat.completion","created":1777165430,"model":"gpt-5-chat-2025-10-03","choices":[{"index":0,"message":{"role":"assistant","content":"JBL Xtreme 3 Portable Bluetooth Speaker Black – waterproof fabric, cylindrical design, deep bass, stereo sound, long battery life, wireless connection, shoulder strap for outdoor and home use.","refusal":null,"annotations":[]},"logprobs":null,"finish_reason":"stop"}],"usage":{"prompt_tokens":912,"completion_tokens":39,"total_tokens":951,"prompt_tokens_details":{"cached_tokens":0,"audio_tokens":0},"completion_tokens_details":{"reasoning_tokens":0,"audio_tokens":0,"accepted_prediction_tokens":0,"rejected_prediction_tokens":0}},"service_tier":"default","system_fingerprint":"fp_ad66631dec"}</t>
        </is>
      </c>
      <c r="M21" t="inlineStr">
        <is>
          <t>{"alt-svc":"h3=\":443\"; ma=2592000","apim-request-id":"21595ff3-7d15-41cf-b148-4ca03dc1c8ea","azureml-model-session":"d20260405225800-40f19e54","cache-control":"no-cache","connection":"close","content-length":"1002","content-type":"application/json","date":"Sun, 26 Apr 2026 01:03:51 GMT","server":"Caddy","skip-error-remapping":"true","strict-transport-security":"max-age=31536000; includeSubDomains; preload","x-content-type-options":"nosniff","x-ms-client-request-id":"Not-Set","x-ms-is-spilled-over":"false","x-ms-rai-invoked":"false","x-ms-region":"UK South","x-new-api-version":"0.4.35","x-oneapi-request-id":"202604260103494711169048268d9d6SbMiQuch","x-ratelimit-abusepenalty-active":"False","x-ratelimit-limit-requests":"1000","x-ratelimit-limit-tokens":"1000000","x-ratelimit-remaining-requests":"999","x-ratelimit-remaining-tokens":"998326","x-ratelimit-renewalperiod-requests":"60","x-ratelimit-renewalperiod-tokens":"60","x-ratelimit-reset-requests":"60","x-ratelimit-reset-tokens":"100","x-request-id":"db9015a1-87a3-4659-a9e3-0e84fe1d1700"}</t>
        </is>
      </c>
      <c r="N21" t="inlineStr">
        <is>
          <t>JBL Xtreme 3 Portable Bluetooth Speaker Black – waterproof fabric, cylindrical design, deep bass, stereo sound, long battery life, wireless connection, shoulder strap for outdoor and home use.</t>
        </is>
      </c>
      <c r="O21" t="inlineStr">
        <is>
          <t>{"id":"chatcmpl-DYiXAA1ONMXPN1qTs6msbOxiaIR9h","object":"chat.completion","created":1777166712,"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1" t="inlineStr">
        <is>
          <t>JBL,speaker,kakobuy,kakebuy2026,kekobuysheet,kakobuysheet2026,2026kakobuy,kakobuyspreadsheeet,kakobuylink,kakebuylist,Kakobuy MEGA Spreadsheet,kakobuysheetfind,kakobuysheetfind2026,2026kakobuysheetfind,kakobuysheet2026</t>
        </is>
      </c>
      <c r="Q21"/>
      <c r="R21" t="inlineStr">
        <is>
          <t>recvhju1Cr8vPe</t>
        </is>
      </c>
      <c r="S21" t="inlineStr">
        <is>
          <t>jbl-xtreme-3-bluetooth-speaker-black-recvhju1cr8vpe</t>
        </is>
      </c>
      <c r="T21"/>
      <c r="U21"/>
      <c r="V21"/>
      <c r="W21" t="inlineStr">
        <is>
          <t>{"id":"chatcmpl-DYhqgZso29BmKuQOkvD4gdFSiNkg0","object":"chat.completion","created":1777164078,"model":"gpt-5-chat-2025-10-03","choices":[{"index":0,"message":{"role":"assistant","content":"JBL：Xtreme 3 黑色便携蓝牙音箱，织物防水材质搭配圆筒设计，内置强劲低音与立体声效，支持长效续航与无线连接，附肩带便携出行，彰显现代简约科技风，适合男女户外休闲与居家使用。","refusal":null,"annotations":[]},"logprobs":null,"finish_reason":"stop"}],"usage":{"prompt_tokens":1299,"completion_tokens":79,"total_tokens":1378,"prompt_tokens_details":{"cached_tokens":0,"audio_tokens":0},"completion_tokens_details":{"reasoning_tokens":0,"audio_tokens":0,"accepted_prediction_tokens":0,"rejected_prediction_tokens":0}},"service_tier":"default","system_fingerprint":"fp_ad66631dec"}</t>
        </is>
      </c>
      <c r="X21" t="inlineStr">
        <is>
          <t>JBL：Xtreme 3 黑色便携蓝牙音箱，织物防水材质搭配圆筒设计，内置强劲低音与立体声效，支持长效续航与无线连接，附肩带便携出行，彰显现代简约科技风，适合男女户外休闲与居家使用。</t>
        </is>
      </c>
    </row>
    <row r="22" ht="25.5" customHeight="1">
      <c r="A22">
        <v>1654975475</v>
      </c>
      <c r="B22">
        <v>7621790854</v>
      </c>
      <c r="C22" s="2" t="str">
        <f>=HYPERLINK("https://weidian.com/item.html?itemID=7621790854", "https://weidian.com/item.html?itemID=7621790854")</f>
        <v>https://weidian.com/item.html?itemID=7621790854</v>
      </c>
      <c r="D22"/>
      <c r="E22" s="2" t="str">
        <f>=HYPERLINK("https://si.geilicdn.com/pcitem2014204438-5a890000019ac9739d920a2315ef_1440_1920.jpg?w=640&amp;h=640", "https://si.geilicdn.com/pcitem2014204438-5a890000019ac9739d920a2315ef_1440_1920.jpg?w=640&amp;h=640")</f>
        <v>https://si.geilicdn.com/pcitem2014204438-5a890000019ac9739d920a2315ef_1440_1920.jpg?w=640&amp;h=640</v>
      </c>
      <c r="F22" t="inlineStr">
        <is>
          <t>Electronic</t>
        </is>
      </c>
      <c r="G22" t="inlineStr">
        <is>
          <t>Marshall</t>
        </is>
      </c>
      <c r="H22">
        <v>700</v>
      </c>
      <c r="I22">
        <v>101.45</v>
      </c>
      <c r="J22" t="inlineStr">
        <is>
          <t>{"id":"chatcmpl-DYixWeiB7c0jMus9WFtJBMxfFxIGL","object":"chat.completion","created":1777168346,"model":"gpt-5-chat-2025-10-03","choices":[{"index":0,"message":{"role":"assistant","content":"Marshall Emberton II Black Portable Bluetooth Speaker 30H","refusal":null,"annotations":[]},"logprobs":null,"finish_reason":"stop"}],"usage":{"prompt_tokens":886,"completion_tokens":12,"total_tokens":898,"prompt_tokens_details":{"cached_tokens":0,"audio_tokens":0},"completion_tokens_details":{"reasoning_tokens":0,"audio_tokens":0,"accepted_prediction_tokens":0,"rejected_prediction_tokens":0}},"service_tier":"default","system_fingerprint":"fp_ad66631dec"}</t>
        </is>
      </c>
      <c r="K22" t="inlineStr">
        <is>
          <t>Marshall Emberton II Black Portable Bluetooth Speaker 30H</t>
        </is>
      </c>
      <c r="L22" t="inlineStr">
        <is>
          <t>{"id":"chatcmpl-DYiEql09kD4hyF9GymAeTqPYsar8x","object":"chat.completion","created":1777165576,"model":"gpt-5-chat-2025-10-03","choices":[{"index":0,"message":{"role":"assistant","content":"Marshall Emberton II Black Bluetooth Speaker – classic retro grille, stereo sound, 30-hour playtime, splash &amp; dust resistant, silicone body, touch control, portable design with rock spirit and iconic British style.","refusal":null,"annotations":[]},"logprobs":null,"finish_reason":"stop"}],"usage":{"prompt_tokens":934,"completion_tokens":43,"total_tokens":977,"prompt_tokens_details":{"cached_tokens":0,"audio_tokens":0},"completion_tokens_details":{"reasoning_tokens":0,"audio_tokens":0,"accepted_prediction_tokens":0,"rejected_prediction_tokens":0}},"service_tier":"default","system_fingerprint":"fp_ad66631dec"}</t>
        </is>
      </c>
      <c r="M22" t="inlineStr">
        <is>
          <t>{"alt-svc":"h3=\":443\"; ma=2592000","apim-request-id":"5260e675-ca9d-46bc-8161-9a724282de74","azureml-model-session":"d20260402084046-4209e968","cache-control":"no-cache","connection":"close","content-length":"1024","content-type":"application/json","date":"Sun, 26 Apr 2026 01:06:18 GMT","server":"nginx","skip-error-remapping":"true","strict-transport-security":"max-age=31536000; includeSubDomains; preload","vary":"Accept-Encoding","via":"1.1 Caddy","x-content-type-options":"nosniff","x-ms-client-request-id":"Not-Set","x-ms-is-spilled-over":"false","x-ms-rai-invoked":"false","x-ms-region":"Switzerland North","x-new-api-version":"0.4.35","x-oneapi-request-id":"20260426010616519173288268d9d6u3WtBOjj","x-ratelimit-abusepenalty-active":"False","x-ratelimit-limit-requests":"1000","x-ratelimit-limit-tokens":"1000000","x-ratelimit-remaining-requests":"999","x-ratelimit-remaining-tokens":"998304","x-ratelimit-renewalperiod-requests":"60","x-ratelimit-renewalperiod-tokens":"60","x-ratelimit-reset-requests":"60","x-ratelimit-reset-tokens":"101","x-request-id":"426922d3-e7a5-4b94-8d73-590a2c027032"}</t>
        </is>
      </c>
      <c r="N22" t="inlineStr">
        <is>
          <t>Marshall Emberton II Black Bluetooth Speaker – classic retro grille, stereo sound, 30-hour playtime, splash &amp; dust resistant, silicone body, touch control, portable design with rock spirit and iconic British style.</t>
        </is>
      </c>
      <c r="O22" t="inlineStr">
        <is>
          <t>{"id":"chatcmpl-DYiVORptbPHnwdOpVGjexB967GbSj","object":"chat.completion","created":1777166602,"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22" t="inlineStr">
        <is>
          <t>Marshall,Speaker,kakobuy,kakebuy2026,kekobuysheet,kakobuysheet2026,2026kakobuy,kakobuyspreadsheeet,kakobuylink,kakebuylist,Kakobuy MEGA Spreadsheet,kakobuysheetfind,kakobuysheetfind2026,2026kakobuysheetfind,kakobuysheet2026</t>
        </is>
      </c>
      <c r="Q22" t="inlineStr">
        <is>
          <t>Marshall, Retro, Black, Classic</t>
        </is>
      </c>
      <c r="R22" t="inlineStr">
        <is>
          <t>recvhju1CrPz1X</t>
        </is>
      </c>
      <c r="S22" t="inlineStr">
        <is>
          <t>marshall-emberton-ii-black-portable-bluetooth-speaker-30h-recvhju1crpz1x</t>
        </is>
      </c>
      <c r="T22"/>
      <c r="U22"/>
      <c r="V22"/>
      <c r="W22" t="inlineStr">
        <is>
          <t>{"id":"chatcmpl-DYhoF4y2ncWJt2ZunlTykF7NLrOaP","object":"chat.completion","created":1777163927,"model":"gpt-5-chat-2025-10-03","choices":[{"index":0,"message":{"role":"assistant","content":"Marshall：Emberton II 黑色蓝牙音箱，经典复古格栅设计，立体声双扬声器结构，续航达30小时。机身采用防溅防尘硅胶材质，触控按键搭配金属细节，延续摇滚精神与英伦美学。便携式造型，男女皆宜，适合户外与室内使用，融合现代科技与品牌传奇音质。","refusal":null,"annotations":[]},"logprobs":null,"finish_reason":"stop"}],"usage":{"prompt_tokens":1297,"completion_tokens":102,"total_tokens":1399,"prompt_tokens_details":{"cached_tokens":1280,"audio_tokens":0},"completion_tokens_details":{"reasoning_tokens":0,"audio_tokens":0,"accepted_prediction_tokens":0,"rejected_prediction_tokens":0}},"service_tier":"default","system_fingerprint":"fp_ad66631dec"}</t>
        </is>
      </c>
      <c r="X22" t="inlineStr">
        <is>
          <t>Marshall：Emberton II 黑色蓝牙音箱，经典复古格栅设计，立体声双扬声器结构，续航达30小时。机身采用防溅防尘硅胶材质，触控按键搭配金属细节，延续摇滚精神与英伦美学。便携式造型，男女皆宜，适合户外与室内使用，融合现代科技与品牌传奇音质。</t>
        </is>
      </c>
    </row>
    <row r="23" ht="25.5" customHeight="1">
      <c r="A23">
        <v>1654975475</v>
      </c>
      <c r="B23">
        <v>7621828146</v>
      </c>
      <c r="C23" s="2" t="str">
        <f>=HYPERLINK("https://weidian.com/item.html?itemID=7621828146", "https://weidian.com/item.html?itemID=7621828146")</f>
        <v>https://weidian.com/item.html?itemID=7621828146</v>
      </c>
      <c r="D23"/>
      <c r="E23" s="2" t="str">
        <f>=HYPERLINK("https://si.geilicdn.com/pcitem2014204438-52470000019ac97a5fee0a207569_1440_1920.jpg?w=640&amp;h=640", "https://si.geilicdn.com/pcitem2014204438-52470000019ac97a5fee0a207569_1440_1920.jpg?w=640&amp;h=640")</f>
        <v>https://si.geilicdn.com/pcitem2014204438-52470000019ac97a5fee0a207569_1440_1920.jpg?w=640&amp;h=640</v>
      </c>
      <c r="F23" t="inlineStr">
        <is>
          <t>Electronic</t>
        </is>
      </c>
      <c r="G23" t="inlineStr">
        <is>
          <t xml:space="preserve"> BE@RBRICK</t>
        </is>
      </c>
      <c r="H23">
        <v>1120</v>
      </c>
      <c r="I23">
        <v>162.32</v>
      </c>
      <c r="J23" t="inlineStr">
        <is>
          <t>{"id":"chatcmpl-DYj0rTTuLCtqH3HnCekzPVWaiD3QD","object":"chat.completion","created":1777168553,"model":"gpt-5-chat-2025-10-03","choices":[{"index":0,"message":{"role":"assistant","content":"BE@RBRICK Electronic Black Transparent Resin Art Toy Decor","refusal":null,"annotations":[]},"logprobs":null,"finish_reason":"stop"}],"usage":{"prompt_tokens":864,"completion_tokens":13,"total_tokens":877,"prompt_tokens_details":{"cached_tokens":0,"audio_tokens":0},"completion_tokens_details":{"reasoning_tokens":0,"audio_tokens":0,"accepted_prediction_tokens":0,"rejected_prediction_tokens":0}},"service_tier":"default","system_fingerprint":"fp_ad66631dec"}</t>
        </is>
      </c>
      <c r="K23" t="inlineStr">
        <is>
          <t>BE@RBRICK Electronic Black Transparent Resin Art Toy Decor</t>
        </is>
      </c>
      <c r="L23" t="inlineStr">
        <is>
          <t>{"id":"chatcmpl-DYiJe4vSYMfYqNAylAlLZJXzeTHeN","object":"chat.completion","created":1777165874,"model":"gpt-5-chat-2025-10-03","choices":[{"index":0,"message":{"role":"assistant","content":"BE@RBRICK Electronic Black Transparent Figure – Durable resin art toy with futuristic mechanical design, perfect modern home décor and collectible neutral display piece.","refusal":null,"annotations":[]},"logprobs":null,"finish_reason":"stop"}],"usage":{"prompt_tokens":880,"completion_tokens":30,"total_tokens":910,"prompt_tokens_details":{"cached_tokens":0,"audio_tokens":0},"completion_tokens_details":{"reasoning_tokens":0,"audio_tokens":0,"accepted_prediction_tokens":0,"rejected_prediction_tokens":0}},"service_tier":"default","system_fingerprint":"fp_ad66631dec"}</t>
        </is>
      </c>
      <c r="M23" t="inlineStr">
        <is>
          <t>{"alt-svc":"h3=\":443\"; ma=2592000","apim-request-id":"f9961b27-5092-4a37-b897-4b09148a771c","azureml-model-session":"d20260405225800-40f19e54","cache-control":"no-cache","connection":"close","content-length":"980","content-type":"application/json","date":"Sun, 26 Apr 2026 01:11:16 GMT","server":"Caddy","skip-error-remapping":"true","strict-transport-security":"max-age=31536000; includeSubDomains; preload","x-content-type-options":"nosniff","x-ms-client-request-id":"Not-Set","x-ms-is-spilled-over":"false","x-ms-rai-invoked":"false","x-ms-region":"Switzerland North","x-new-api-version":"0.4.35","x-oneapi-request-id":"2026042601111478447208268d9d6zTtAEONE","x-ratelimit-abusepenalty-active":"False","x-ratelimit-limit-requests":"1000","x-ratelimit-limit-tokens":"1000000","x-ratelimit-remaining-requests":"999","x-ratelimit-remaining-tokens":"998358","x-ratelimit-renewalperiod-requests":"60","x-ratelimit-renewalperiod-tokens":"60","x-ratelimit-reset-requests":"60","x-ratelimit-reset-tokens":"98","x-request-id":"26a72708-031b-493d-a177-339db265cf4a"}</t>
        </is>
      </c>
      <c r="N23" t="inlineStr">
        <is>
          <t>BE@RBRICK Electronic Black Transparent Figure – Durable resin art toy with futuristic mechanical design, perfect modern home décor and collectible neutral display piece.</t>
        </is>
      </c>
      <c r="O23" t="inlineStr">
        <is>
          <t>{"id":"chatcmpl-DYiYkkncNkvwFczb1VR04Uiq2rhCv","object":"chat.completion","created":1777166810,"model":"gpt-5-chat-2025-10-03","choices":[{"index":0,"message":{"role":"assistant","content":"Electronic BE@RBRICK, collectible figure,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96,"total_tokens":881,"prompt_tokens_details":{"cached_tokens":0,"audio_tokens":0},"completion_tokens_details":{"reasoning_tokens":0,"audio_tokens":0,"accepted_prediction_tokens":0,"rejected_prediction_tokens":0}},"service_tier":"default","system_fingerprint":"fp_ad66631dec"}</t>
        </is>
      </c>
      <c r="P23" t="inlineStr">
        <is>
          <t>Electronic BE@RBRICK, collectible figure, kakobuy, kakebuy2026, kekobuysheet, kakobuysheet2026, 2026kakobuy, kakobuyspreadsheeet, kakobuylink, kakebuylist, Kakobuy MEGA Spreadsheet, kakobuysheetfind, kakobuysheetfind2026, 2026kakobuysheetfind, kakobuysheet2026</t>
        </is>
      </c>
      <c r="Q23"/>
      <c r="R23" t="inlineStr">
        <is>
          <t>recvhju1CrcVrY</t>
        </is>
      </c>
      <c r="S23" t="inlineStr">
        <is>
          <t>bearbrick-electronic-black-transparent-resin-recvhju1crcvry</t>
        </is>
      </c>
      <c r="T23"/>
      <c r="U23"/>
      <c r="V23"/>
      <c r="W23" t="inlineStr">
        <is>
          <t>{"id":"chatcmpl-DYhv9rh3GFFWaKK8Vo4J8pGwgkVMB","object":"chat.completion","created":1777164355,"model":"gpt-5-chat-2025-10-03","choices":[{"index":0,"message":{"role":"assistant","content":"BE@RBRICK：黑色透明电子系列潮玩公仔，硬质树脂材质，机械内部设计彰显未来科技风，中性收藏摆件，现代艺术装饰佳品。","refusal":null,"annotations":[]},"logprobs":null,"finish_reason":"stop"}],"usage":{"prompt_tokens":1303,"completion_tokens":45,"total_tokens":1348,"prompt_tokens_details":{"cached_tokens":0,"audio_tokens":0},"completion_tokens_details":{"reasoning_tokens":0,"audio_tokens":0,"accepted_prediction_tokens":0,"rejected_prediction_tokens":0}},"service_tier":"default","system_fingerprint":"fp_ad66631dec"}</t>
        </is>
      </c>
      <c r="X23" t="inlineStr">
        <is>
          <t>BE@RBRICK：黑色透明电子系列潮玩公仔，硬质树脂材质，机械内部设计彰显未来科技风，中性收藏摆件，现代艺术装饰佳品。</t>
        </is>
      </c>
    </row>
    <row r="24" ht="25.5" customHeight="1">
      <c r="A24">
        <v>1654975475</v>
      </c>
      <c r="B24">
        <v>7618838605</v>
      </c>
      <c r="C24" s="2" t="str">
        <f>=HYPERLINK("https://weidian.com/item.html?itemID=7618838605", "https://weidian.com/item.html?itemID=7618838605")</f>
        <v>https://weidian.com/item.html?itemID=7618838605</v>
      </c>
      <c r="D24"/>
      <c r="E24" s="2" t="str">
        <f>=HYPERLINK("https://si.geilicdn.com/pcitem2014204438-23150000019ac97b2f010a210139_1442_1922.jpg?w=640&amp;h=640", "https://si.geilicdn.com/pcitem2014204438-23150000019ac97b2f010a210139_1442_1922.jpg?w=640&amp;h=640")</f>
        <v>https://si.geilicdn.com/pcitem2014204438-23150000019ac97b2f010a210139_1442_1922.jpg?w=640&amp;h=640</v>
      </c>
      <c r="F24" t="inlineStr">
        <is>
          <t>Electronic</t>
        </is>
      </c>
      <c r="G24" t="inlineStr">
        <is>
          <t>JBL</t>
        </is>
      </c>
      <c r="H24">
        <v>350</v>
      </c>
      <c r="I24">
        <v>50.72</v>
      </c>
      <c r="J24" t="inlineStr">
        <is>
          <t>{"id":"chatcmpl-DYj1ZcRQUKnm6dDXJzYns3TPlAJTE","object":"chat.completion","created":1777168597,"model":"gpt-5-chat-2025-10-03","choices":[{"index":0,"message":{"role":"assistant","content":"JBL GO4 Blue-Black Waterproof Portable Bluetooth Speaker","refusal":null,"annotations":[]},"logprobs":null,"finish_reason":"stop"}],"usage":{"prompt_tokens":887,"completion_tokens":12,"total_tokens":899,"prompt_tokens_details":{"cached_tokens":0,"audio_tokens":0},"completion_tokens_details":{"reasoning_tokens":0,"audio_tokens":0,"accepted_prediction_tokens":0,"rejected_prediction_tokens":0}},"service_tier":"default","system_fingerprint":"fp_ad66631dec"}</t>
        </is>
      </c>
      <c r="K24" t="inlineStr">
        <is>
          <t>JBL GO4 Blue-Black Waterproof Portable Bluetooth Speaker</t>
        </is>
      </c>
      <c r="L24" t="inlineStr">
        <is>
          <t>{"id":"chatcmpl-DYiGYB380iXH3c2hjNbqSNOntdqQ2","object":"chat.completion","created":1777165682,"model":"gpt-5-chat-2025-10-03","choices":[{"index":0,"message":{"role":"assistant","content":"JBL GO4 Blue-Black Portable Bluetooth Speaker, waterproof and dustproof fabric cover, compact body with high-fidelity sound, long battery life, sleek modern design, ideal for outdoor travel and daily use.","refusal":null,"annotations":[]},"logprobs":null,"finish_reason":"stop"}],"usage":{"prompt_tokens":899,"completion_tokens":43,"total_tokens":942,"prompt_tokens_details":{"cached_tokens":0,"audio_tokens":0},"completion_tokens_details":{"reasoning_tokens":0,"audio_tokens":0,"accepted_prediction_tokens":0,"rejected_prediction_tokens":0}},"service_tier":"default","system_fingerprint":"fp_ad66631dec"}</t>
        </is>
      </c>
      <c r="M24" t="inlineStr">
        <is>
          <t>{"alt-svc":"h3=\":443\"; ma=2592000","apim-request-id":"242b6451-af05-46e0-9c7d-46c9a602138f","azureml-model-session":"d20260402084046-4209e968","cache-control":"no-cache","connection":"close","content-length":"1012","content-type":"application/json","date":"Sun, 26 Apr 2026 01:08:04 GMT","server":"nginx","skip-error-remapping":"true","strict-transport-security":"max-age=31536000; includeSubDomains; preload","via":"1.1 Caddy","x-content-type-options":"nosniff","x-ms-client-request-id":"Not-Set","x-ms-is-spilled-over":"false","x-ms-rai-invoked":"false","x-ms-region":"Japan East","x-new-api-version":"0.4.35","x-oneapi-request-id":"202604260108014789542028268d9d6lpWiWsS6","x-ratelimit-abusepenalty-active":"False","x-ratelimit-limit-requests":"1000","x-ratelimit-limit-tokens":"1000000","x-ratelimit-remaining-requests":"999","x-ratelimit-remaining-tokens":"998339","x-ratelimit-renewalperiod-requests":"60","x-ratelimit-renewalperiod-tokens":"60","x-ratelimit-reset-requests":"60","x-ratelimit-reset-tokens":"99","x-request-id":"37c323db-a1e7-4ec4-8914-f0e918df9928"}</t>
        </is>
      </c>
      <c r="N24" t="inlineStr">
        <is>
          <t>JBL GO4 Blue-Black Portable Bluetooth Speaker, waterproof and dustproof fabric cover, compact body with high-fidelity sound, long battery life, sleek modern design, ideal for outdoor travel and daily use.</t>
        </is>
      </c>
      <c r="O24" t="inlineStr">
        <is>
          <t>{"id":"chatcmpl-DYiUXR9O7oAUkdCrjzXQeNabUwpAh","object":"chat.completion","created":1777166549,"model":"gpt-5-chat-2025-10-03","choices":[{"index":0,"message":{"role":"assistant","content":"JBL, Bluetooth Speaker,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24" t="inlineStr">
        <is>
          <t>JBL, Bluetooth Speaker, kakobuy, kakebuy2026, kekobuysheet, kakobuysheet2026, 2026kakobuy, kakobuyspreadsheeet, kakobuylink, kakebuylist, Kakobuy MEGA Spreadsheet, kakobuysheetfind, kakobuysheetfind2026, 2026kakobuysheetfind, kakobuysheet2026</t>
        </is>
      </c>
      <c r="Q24"/>
      <c r="R24" t="inlineStr">
        <is>
          <t>recvhju1Cr3Ou8</t>
        </is>
      </c>
      <c r="S24" t="inlineStr">
        <is>
          <t>jbl-go4-blue-black-recvhju1cr3ou8</t>
        </is>
      </c>
      <c r="T24"/>
      <c r="U24"/>
      <c r="V24"/>
      <c r="W24" t="inlineStr">
        <is>
          <t>{"id":"chatcmpl-DYhujuCX27hH6QqNume19btE9PqLY","object":"chat.completion","created":1777164329,"model":"gpt-5-chat-2025-10-03","choices":[{"index":0,"message":{"role":"assistant","content":"JBL：GO4蓝黑色便携蓝牙音箱，采用防水防尘织物网罩设计，小巧机身搭载高保真音效，充电续航持久，彰显现代简约科技风，适合男女户外旅行及日常休闲使用。","refusal":null,"annotations":[]},"logprobs":null,"finish_reason":"stop"}],"usage":{"prompt_tokens":1297,"completion_tokens":67,"total_tokens":1364,"prompt_tokens_details":{"cached_tokens":0,"audio_tokens":0},"completion_tokens_details":{"reasoning_tokens":0,"audio_tokens":0,"accepted_prediction_tokens":0,"rejected_prediction_tokens":0}},"service_tier":"default","system_fingerprint":"fp_ad66631dec"}</t>
        </is>
      </c>
      <c r="X24" t="inlineStr">
        <is>
          <t>JBL：GO4蓝黑色便携蓝牙音箱，采用防水防尘织物网罩设计，小巧机身搭载高保真音效，充电续航持久，彰显现代简约科技风，适合男女户外旅行及日常休闲使用。</t>
        </is>
      </c>
    </row>
    <row r="25" ht="25.5" customHeight="1">
      <c r="A25">
        <v>1654975475</v>
      </c>
      <c r="B25">
        <v>7618832851</v>
      </c>
      <c r="C25" s="2" t="str">
        <f>=HYPERLINK("https://weidian.com/item.html?itemID=7618832851", "https://weidian.com/item.html?itemID=7618832851")</f>
        <v>https://weidian.com/item.html?itemID=7618832851</v>
      </c>
      <c r="D25"/>
      <c r="E25" s="2" t="str">
        <f>=HYPERLINK("https://si.geilicdn.com/pcitem2014204438-41a70000019ac97ba87d0a231177_1536_1536.jpg?w=640&amp;h=640", "https://si.geilicdn.com/pcitem2014204438-41a70000019ac97ba87d0a231177_1536_1536.jpg?w=640&amp;h=640")</f>
        <v>https://si.geilicdn.com/pcitem2014204438-41a70000019ac97ba87d0a231177_1536_1536.jpg?w=640&amp;h=640</v>
      </c>
      <c r="F25" t="inlineStr">
        <is>
          <t>Electronic</t>
        </is>
      </c>
      <c r="G25" t="inlineStr">
        <is>
          <t>Marshall</t>
        </is>
      </c>
      <c r="H25">
        <v>680</v>
      </c>
      <c r="I25">
        <v>98.55</v>
      </c>
      <c r="J25" t="inlineStr">
        <is>
          <t>{"id":"chatcmpl-DYiypYbg4JQxedWIp3fBKzEh4P1cx","object":"chat.completion","created":1777168427,"model":"gpt-5-chat-2025-10-03","choices":[{"index":0,"message":{"role":"assistant","content":"Marshall Rainbow Gradient Retro Bluetooth Speaker","refusal":null,"annotations":[]},"logprobs":null,"finish_reason":"stop"}],"usage":{"prompt_tokens":866,"completion_tokens":7,"total_tokens":873,"prompt_tokens_details":{"cached_tokens":0,"audio_tokens":0},"completion_tokens_details":{"reasoning_tokens":0,"audio_tokens":0,"accepted_prediction_tokens":0,"rejected_prediction_tokens":0}},"service_tier":"default","system_fingerprint":"fp_ad66631dec"}</t>
        </is>
      </c>
      <c r="K25" t="inlineStr">
        <is>
          <t>Marshall Rainbow Gradient Retro Bluetooth Speaker</t>
        </is>
      </c>
      <c r="L25" t="inlineStr">
        <is>
          <t>{"id":"chatcmpl-DYiG09U27bm218uRNFUSjInHBpO6c","object":"chat.completion","created":1777165648,"model":"gpt-5-chat-2025-10-03","choices":[{"index":0,"message":{"role":"assistant","content":"Marshall Limited Rainbow Gradient Portable Bluetooth Speaker—premium leather and metal mesh design blending retro rock with modern style, powerful stereo sound, lightweight and wireless for daily use.","refusal":null,"annotations":[]},"logprobs":null,"finish_reason":"stop"}],"usage":{"prompt_tokens":912,"completion_tokens":33,"total_tokens":945,"prompt_tokens_details":{"cached_tokens":0,"audio_tokens":0},"completion_tokens_details":{"reasoning_tokens":0,"audio_tokens":0,"accepted_prediction_tokens":0,"rejected_prediction_tokens":0}},"service_tier":"default","system_fingerprint":"fp_ad66631dec"}</t>
        </is>
      </c>
      <c r="M25" t="inlineStr">
        <is>
          <t>{"alt-svc":"h3=\":443\"; ma=2592000","apim-request-id":"c3420f71-eef9-4ffb-a6d0-e0403d301d9a","azureml-model-session":"d20260405225800-40f19e54","cache-control":"no-cache","connection":"close","content-length":"1010","content-type":"application/json","date":"Sun, 26 Apr 2026 01:07:30 GMT","server":"nginx","skip-error-remapping":"true","strict-transport-security":"max-age=31536000; includeSubDomains; preload","via":"1.1 Caddy","x-content-type-options":"nosniff","x-ms-client-request-id":"Not-Set","x-ms-is-spilled-over":"false","x-ms-rai-invoked":"false","x-ms-region":"Australia East","x-new-api-version":"0.4.35","x-oneapi-request-id":"202604260107269681674778268d9d6XJkIjHLe","x-ratelimit-abusepenalty-active":"False","x-ratelimit-limit-requests":"1000","x-ratelimit-limit-tokens":"1000000","x-ratelimit-remaining-requests":"999","x-ratelimit-remaining-tokens":"998326","x-ratelimit-renewalperiod-requests":"60","x-ratelimit-renewalperiod-tokens":"60","x-ratelimit-reset-requests":"60","x-ratelimit-reset-tokens":"100","x-request-id":"8e4845e9-b52e-40c5-8eec-7e4c4740d042"}</t>
        </is>
      </c>
      <c r="N25" t="inlineStr">
        <is>
          <t>Marshall Limited Rainbow Gradient Portable Bluetooth Speaker—premium leather and metal mesh design blending retro rock with modern style, powerful stereo sound, lightweight and wireless for daily use.</t>
        </is>
      </c>
      <c r="O25" t="inlineStr">
        <is>
          <t>{"id":"chatcmpl-DYiWDaoYmZZFtnNHgsFHyXqHAhhMs","object":"chat.completion","created":1777166653,"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25" t="inlineStr">
        <is>
          <t>Marshall,Speaker,kakobuy,kakebuy2026,kekobuysheet,kakobuysheet2026,2026kakobuy,kakobuyspreadsheeet,kakobuylink,kakebuylist,Kakobuy MEGA Spreadsheet,kakobuysheetfind,kakobuysheetfind2026,2026kakobuysheetfind,kakobuysheet2026</t>
        </is>
      </c>
      <c r="Q25" t="inlineStr">
        <is>
          <t>Marshall, Leather, Mesh, Retro, Lightweight</t>
        </is>
      </c>
      <c r="R25" t="inlineStr">
        <is>
          <t>recvhju1CrjIsQ</t>
        </is>
      </c>
      <c r="S25" t="inlineStr">
        <is>
          <t>marshall-rainbow-gradient-retro-bluetooth-speaker-recvhju1crjisq</t>
        </is>
      </c>
      <c r="T25"/>
      <c r="U25"/>
      <c r="V25"/>
      <c r="W25" t="inlineStr">
        <is>
          <t>{"id":"chatcmpl-DYhrmWsypQYbiaozurjbbYmkDfv0D","object":"chat.completion","created":1777164146,"model":"gpt-5-chat-2025-10-03","choices":[{"index":0,"message":{"role":"assistant","content":"Marshall：限量彩虹渐变便携蓝牙音箱，采用优质皮革包覆与金属网面设计，融合复古摇滚与现代潮流元素，轻巧便携，支持无线立体声播放，音质澎湃饱满，适合男女日常使用，展现个性与音律热情。","refusal":null,"annotations":[]},"logprobs":null,"finish_reason":"stop"}],"usage":{"prompt_tokens":1297,"completion_tokens":80,"total_tokens":1377,"prompt_tokens_details":{"cached_tokens":0,"audio_tokens":0},"completion_tokens_details":{"reasoning_tokens":0,"audio_tokens":0,"accepted_prediction_tokens":0,"rejected_prediction_tokens":0}},"service_tier":"default","system_fingerprint":"fp_ad66631dec"}</t>
        </is>
      </c>
      <c r="X25" t="inlineStr">
        <is>
          <t>Marshall：限量彩虹渐变便携蓝牙音箱，采用优质皮革包覆与金属网面设计，融合复古摇滚与现代潮流元素，轻巧便携，支持无线立体声播放，音质澎湃饱满，适合男女日常使用，展现个性与音律热情。</t>
        </is>
      </c>
    </row>
    <row r="26" ht="25.5" customHeight="1">
      <c r="A26">
        <v>1654975475</v>
      </c>
      <c r="B26">
        <v>7621839942</v>
      </c>
      <c r="C26" s="2" t="str">
        <f>=HYPERLINK("https://weidian.com/item.html?itemID=7621839942", "https://weidian.com/item.html?itemID=7621839942")</f>
        <v>https://weidian.com/item.html?itemID=7621839942</v>
      </c>
      <c r="D26"/>
      <c r="E26" s="2" t="str">
        <f>=HYPERLINK("https://si.geilicdn.com/pcitem2014204438-54d10000019ac97c1a540a8133cc_1440_1920.jpg?w=640&amp;h=640", "https://si.geilicdn.com/pcitem2014204438-54d10000019ac97c1a540a8133cc_1440_1920.jpg?w=640&amp;h=640")</f>
        <v>https://si.geilicdn.com/pcitem2014204438-54d10000019ac97c1a540a8133cc_1440_1920.jpg?w=640&amp;h=640</v>
      </c>
      <c r="F26" t="inlineStr">
        <is>
          <t>Electronic</t>
        </is>
      </c>
      <c r="G26" t="inlineStr">
        <is>
          <t>Marshall</t>
        </is>
      </c>
      <c r="H26">
        <v>340</v>
      </c>
      <c r="I26">
        <v>49.2898550724637</v>
      </c>
      <c r="J26" t="inlineStr">
        <is>
          <t>{"id":"chatcmpl-DYj0bAWEU6KwL6IYXkpb8sbbAjQwd","object":"chat.completion","created":1777168537,"model":"gpt-5-chat-2025-10-03","choices":[{"index":0,"message":{"role":"assistant","content":"Marshall Retro Black Bluetooth Speaker 15H Playtime","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26" t="inlineStr">
        <is>
          <t>Marshall Retro Black Bluetooth Speaker 15H Playtime</t>
        </is>
      </c>
      <c r="L26" t="inlineStr">
        <is>
          <t>{"id":"chatcmpl-DYiH7Vt0dFUzHmPrYRdU4Vq5fbrNx","object":"chat.completion","created":1777165717,"model":"gpt-5-chat-2025-10-03","choices":[{"index":0,"message":{"role":"assistant","content":"Marshall Portable Bluetooth Speaker – Black retro rock design with gold logo and knobs, 15-hour battery life, hi-fi stereo sound, metal and leather texture, perfect for urban or outdoor lifestyle.","refusal":null,"annotations":[]},"logprobs":null,"finish_reason":"stop"}],"usage":{"prompt_tokens":918,"completion_tokens":39,"total_tokens":957,"prompt_tokens_details":{"cached_tokens":0,"audio_tokens":0},"completion_tokens_details":{"reasoning_tokens":0,"audio_tokens":0,"accepted_prediction_tokens":0,"rejected_prediction_tokens":0}},"service_tier":"default","system_fingerprint":"fp_ad66631dec"}</t>
        </is>
      </c>
      <c r="M26" t="inlineStr">
        <is>
          <t>{"alt-svc":"h3=\":443\"; ma=2592000","apim-request-id":"cafe1704-5279-445d-84bb-e07da092b998","azureml-model-session":"d20260402084046-4209e968","cache-control":"no-cache","connection":"close","content-length":"1006","content-type":"application/json","date":"Sun, 26 Apr 2026 01:08:38 GMT","server":"Caddy","skip-error-remapping":"true","strict-transport-security":"max-age=31536000; includeSubDomains; preload","x-content-type-options":"nosniff","x-ms-client-request-id":"Not-Set","x-ms-is-spilled-over":"false","x-ms-rai-invoked":"false","x-ms-region":"East US","x-new-api-version":"0.4.35","x-oneapi-request-id":"20260426010836883025068268d9d6sF61uVdp","x-ratelimit-abusepenalty-active":"False","x-ratelimit-limit-requests":"1000","x-ratelimit-limit-tokens":"1000000","x-ratelimit-remaining-requests":"998","x-ratelimit-remaining-tokens":"998320","x-ratelimit-renewalperiod-requests":"60","x-ratelimit-renewalperiod-tokens":"60","x-ratelimit-reset-requests":"94","x-ratelimit-reset-tokens":"100","x-request-id":"1cd45e1e-67e2-4d39-ad8d-4edbd0c617f5"}</t>
        </is>
      </c>
      <c r="N26" t="inlineStr">
        <is>
          <t>Marshall Portable Bluetooth Speaker – Black retro rock design with gold logo and knobs, 15-hour battery life, hi-fi stereo sound, metal and leather texture, perfect for urban or outdoor lifestyle.</t>
        </is>
      </c>
      <c r="O26" t="inlineStr">
        <is>
          <t>{"id":"chatcmpl-DYiSpqbmNHPYVFWux2lKMmJXzRXnd","object":"chat.completion","created":1777166443,"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26" t="inlineStr">
        <is>
          <t>Marshall,Speaker,kakobuy,kakebuy2026,kekobuysheet,kakobuysheet2026,2026kakobuy,kakobuyspreadsheeet,kakobuylink,kakebuylist,Kakobuy MEGA Spreadsheet,kakobuysheetfind,kakobuysheetfind2026,2026kakobuysheetfind,kakobuysheet2026</t>
        </is>
      </c>
      <c r="Q26" t="inlineStr">
        <is>
          <t>Marshall, Black, Gold, Outdoor, Unisex</t>
        </is>
      </c>
      <c r="R26" t="inlineStr">
        <is>
          <t>recvhju1CrwFLV</t>
        </is>
      </c>
      <c r="S26" t="inlineStr">
        <is>
          <t>marshall-retro-black-bluetooth-speaker-15h-recvhju1crwflv</t>
        </is>
      </c>
      <c r="T26"/>
      <c r="U26"/>
      <c r="V26"/>
      <c r="W26" t="inlineStr">
        <is>
          <t>{"id":"chatcmpl-DYhvZXRx6hCL5R97zqYrV2nUxg9ih","object":"chat.completion","created":1777164381,"model":"gpt-5-chat-2025-10-03","choices":[{"index":0,"message":{"role":"assistant","content":"Marshall：黑色便携式蓝牙音箱，复古摇滚格纹网面设计，金色LOGO与旋钮点缀质感十足。兼具15小时续航与高保真立体声效，金属与皮革混合材质彰显经典英伦风，男女皆宜，适用于现代都市与户外休闲场景。","refusal":null,"annotations":[]},"logprobs":null,"finish_reason":"stop"}],"usage":{"prompt_tokens":1299,"completion_tokens":85,"total_tokens":1384,"prompt_tokens_details":{"cached_tokens":1280,"audio_tokens":0},"completion_tokens_details":{"reasoning_tokens":0,"audio_tokens":0,"accepted_prediction_tokens":0,"rejected_prediction_tokens":0}},"service_tier":"default","system_fingerprint":"fp_ad66631dec"}</t>
        </is>
      </c>
      <c r="X26" t="inlineStr">
        <is>
          <t>Marshall：黑色便携式蓝牙音箱，复古摇滚格纹网面设计，金色LOGO与旋钮点缀质感十足。兼具15小时续航与高保真立体声效，金属与皮革混合材质彰显经典英伦风，男女皆宜，适用于现代都市与户外休闲场景。</t>
        </is>
      </c>
    </row>
    <row r="27" ht="25.5" customHeight="1">
      <c r="A27">
        <v>1654975475</v>
      </c>
      <c r="B27">
        <v>7618838481</v>
      </c>
      <c r="C27" s="2" t="str">
        <f>=HYPERLINK("https://weidian.com/item.html?itemID=7618838481", "https://weidian.com/item.html?itemID=7618838481")</f>
        <v>https://weidian.com/item.html?itemID=7618838481</v>
      </c>
      <c r="D27"/>
      <c r="E27" s="2" t="str">
        <f>=HYPERLINK("https://si.geilicdn.com/pcitem2014204438-0a700000019ac97815ba0a21146b_1170_2532.jpg?w=640&amp;h=640", "https://si.geilicdn.com/pcitem2014204438-0a700000019ac97815ba0a21146b_1170_2532.jpg?w=640&amp;h=640")</f>
        <v>https://si.geilicdn.com/pcitem2014204438-0a700000019ac97815ba0a21146b_1170_2532.jpg?w=640&amp;h=640</v>
      </c>
      <c r="F27" t="inlineStr">
        <is>
          <t>Electronic</t>
        </is>
      </c>
      <c r="G27" t="inlineStr">
        <is>
          <t>Marshall</t>
        </is>
      </c>
      <c r="H27">
        <v>476</v>
      </c>
      <c r="I27">
        <v>68.99</v>
      </c>
      <c r="J27" t="inlineStr">
        <is>
          <t>{"id":"chatcmpl-DYj0e2k3VVT51fD6ZifmMLAmGfqqu","object":"chat.completion","created":1777168540,"model":"gpt-5-chat-2025-10-03","choices":[{"index":0,"message":{"role":"assistant","content":"Marshall Motif ANC Black Bluetooth Earbuds","refusal":null,"annotations":[]},"logprobs":null,"finish_reason":"stop"}],"usage":{"prompt_tokens":1158,"completion_tokens":9,"total_tokens":1167,"prompt_tokens_details":{"cached_tokens":0,"audio_tokens":0},"completion_tokens_details":{"reasoning_tokens":0,"audio_tokens":0,"accepted_prediction_tokens":0,"rejected_prediction_tokens":0}},"service_tier":"default","system_fingerprint":"fp_ad66631dec"}</t>
        </is>
      </c>
      <c r="K27" t="inlineStr">
        <is>
          <t>Marshall Motif ANC Black Bluetooth Earbuds</t>
        </is>
      </c>
      <c r="L27" t="inlineStr">
        <is>
          <t>{"id":"chatcmpl-DYiGlMVbliD1B2XZ4GWBSy1L4e7TT","object":"chat.completion","created":1777165695,"model":"gpt-5-chat-2025-10-03","choices":[{"index":0,"message":{"role":"assistant","content":"Marshall Motif ANC Black True Wireless Bluetooth Earbuds with classic rock-textured leather design, active noise cancelling, high-fidelity sound, unisex retro industrial style, and British-inspired edge.","refusal":null,"annotations":[]},"logprobs":null,"finish_reason":"stop"}],"usage":{"prompt_tokens":1170,"completion_tokens":39,"total_tokens":1209,"prompt_tokens_details":{"cached_tokens":0,"audio_tokens":0},"completion_tokens_details":{"reasoning_tokens":0,"audio_tokens":0,"accepted_prediction_tokens":0,"rejected_prediction_tokens":0}},"service_tier":"default","system_fingerprint":"fp_ad66631dec"}</t>
        </is>
      </c>
      <c r="M27" t="inlineStr">
        <is>
          <t>{"alt-svc":"h3=\":443\"; ma=2592000","apim-request-id":"dd4a2ecf-9709-4c58-976a-2fd2b33a562b","azureml-model-session":"d20260402084046-4209e968","cache-control":"no-cache","connection":"close","content-length":"1013","content-type":"application/json","date":"Sun, 26 Apr 2026 01:08:17 GMT","server":"nginx","skip-error-remapping":"true","strict-transport-security":"max-age=31536000; includeSubDomains; preload","via":"1.1 Caddy","x-content-type-options":"nosniff","x-ms-client-request-id":"Not-Set","x-ms-is-spilled-over":"false","x-ms-rai-invoked":"false","x-ms-region":"Sweden Central","x-new-api-version":"0.4.35","x-oneapi-request-id":"202604260108149728427928268d9d6e9qfjIK1","x-ratelimit-abusepenalty-active":"False","x-ratelimit-key":"gpt-5-chat-global","x-ratelimit-limit-requests":"1000","x-ratelimit-limit-tokens":"1000000","x-ratelimit-remaining-requests":"999","x-ratelimit-remaining-tokens":"998067","x-ratelimit-renewalperiod-requests":"60","x-ratelimit-renewalperiod-tokens":"60","x-ratelimit-reset-requests":"60","x-ratelimit-reset-tokens":"115","x-request-id":"1e581c11-cf17-43a5-bce8-6f64608f8c2e"}</t>
        </is>
      </c>
      <c r="N27" t="inlineStr">
        <is>
          <t>Marshall Motif ANC Black True Wireless Bluetooth Earbuds with classic rock-textured leather design, active noise cancelling, high-fidelity sound, unisex retro industrial style, and British-inspired edge.</t>
        </is>
      </c>
      <c r="O27" t="inlineStr">
        <is>
          <t>{"id":"chatcmpl-DYiY93FbAlap98daCLtW9DXRtP5GO","object":"chat.completion","created":1777166773,"model":"gpt-5-chat-2025-10-03","choices":[{"index":0,"message":{"role":"assistant","content":"Marshall, Bluetooth Earphones, kakobuy, kakebuy2026, kekobuysheet, kakobuysheet2026, 2026kakobuy, kakobuyspreadsheeet, kakobuylink, kakebuylist, Kakobuy MEGA Spreadsheet, kakobuysheetfind, kakobuysheetfind2026, 2026kakobuysheetfind, kakobuysheet2026","refusal":null,"annotations":[]},"logprobs":null,"finish_reason":"stop"}],"usage":{"prompt_tokens":1061,"completion_tokens":92,"total_tokens":1153,"prompt_tokens_details":{"cached_tokens":0,"audio_tokens":0},"completion_tokens_details":{"reasoning_tokens":0,"audio_tokens":0,"accepted_prediction_tokens":0,"rejected_prediction_tokens":0}},"service_tier":"default","system_fingerprint":"fp_ad66631dec"}</t>
        </is>
      </c>
      <c r="P27" t="inlineStr">
        <is>
          <t>Marshall, Bluetooth Earphones, kakobuy, kakebuy2026, kekobuysheet, kakobuysheet2026, 2026kakobuy, kakobuyspreadsheeet, kakobuylink, kakebuylist, Kakobuy MEGA Spreadsheet, kakobuysheetfind, kakobuysheetfind2026, 2026kakobuysheetfind, kakobuysheet2026</t>
        </is>
      </c>
      <c r="Q27" t="inlineStr">
        <is>
          <t>Marshall, Unisex, Retro, Industrial, Leather</t>
        </is>
      </c>
      <c r="R27" t="inlineStr">
        <is>
          <t>recvhju1Crder2</t>
        </is>
      </c>
      <c r="S27" t="inlineStr">
        <is>
          <t>marshall-motif-anc-black-bluetooth-earbuds-recvhju1crder2</t>
        </is>
      </c>
      <c r="T27"/>
      <c r="U27"/>
      <c r="V27"/>
      <c r="W27" t="inlineStr">
        <is>
          <t>{"id":"chatcmpl-DYhtp46VHZ2ZsoqwCeQ54JWjCRY9A","object":"chat.completion","created":1777164273,"model":"gpt-5-chat-2025-10-03","choices":[{"index":0,"message":{"role":"assistant","content":"Marshall：Motif ANC 黑色真无线蓝牙耳机，经典摇滚纹理皮质设计，主动降噪与高保真音效兼备，男女皆宜，复古工业风格，彰显品牌个性与英伦格调。","refusal":null,"annotations":[]},"logprobs":null,"finish_reason":"stop"}],"usage":{"prompt_tokens":1577,"completion_tokens":58,"total_tokens":1635,"prompt_tokens_details":{"cached_tokens":0,"audio_tokens":0},"completion_tokens_details":{"reasoning_tokens":0,"audio_tokens":0,"accepted_prediction_tokens":0,"rejected_prediction_tokens":0}},"service_tier":"default","system_fingerprint":"fp_ad66631dec"}</t>
        </is>
      </c>
      <c r="X27" t="inlineStr">
        <is>
          <t>Marshall：Motif ANC 黑色真无线蓝牙耳机，经典摇滚纹理皮质设计，主动降噪与高保真音效兼备，男女皆宜，复古工业风格，彰显品牌个性与英伦格调。</t>
        </is>
      </c>
    </row>
    <row r="28" ht="25.5" customHeight="1">
      <c r="A28">
        <v>1654975475</v>
      </c>
      <c r="B28">
        <v>7621800986</v>
      </c>
      <c r="C28" s="2" t="str">
        <f>=HYPERLINK("https://weidian.com/item.html?itemID=7621800986", "https://weidian.com/item.html?itemID=7621800986")</f>
        <v>https://weidian.com/item.html?itemID=7621800986</v>
      </c>
      <c r="D28"/>
      <c r="E28" s="2" t="str">
        <f>=HYPERLINK("https://si.geilicdn.com/pcitem2014204438-4c4d0000019ac978978b0a2102c5_1442_1922.jpg?w=640&amp;h=640", "https://si.geilicdn.com/pcitem2014204438-4c4d0000019ac978978b0a2102c5_1442_1922.jpg?w=640&amp;h=640")</f>
        <v>https://si.geilicdn.com/pcitem2014204438-4c4d0000019ac978978b0a2102c5_1442_1922.jpg?w=640&amp;h=640</v>
      </c>
      <c r="F28" t="inlineStr">
        <is>
          <t>Electronic</t>
        </is>
      </c>
      <c r="G28" t="inlineStr">
        <is>
          <t>Hereciage</t>
        </is>
      </c>
      <c r="H28">
        <v>1040</v>
      </c>
      <c r="I28">
        <v>150.72</v>
      </c>
      <c r="J28" t="inlineStr">
        <is>
          <t>{"id":"chatcmpl-DYix989wEbJH0LpaqNFFoACpfnhYJ","object":"chat.completion","created":1777168323,"model":"gpt-5-chat-2025-10-03","choices":[{"index":0,"message":{"role":"assistant","content":"HERECIAGE Retro Glass Bluetooth Speaker","refusal":null,"annotations":[]},"logprobs":null,"finish_reason":"stop"}],"usage":{"prompt_tokens":872,"completion_tokens":8,"total_tokens":880,"prompt_tokens_details":{"cached_tokens":0,"audio_tokens":0},"completion_tokens_details":{"reasoning_tokens":0,"audio_tokens":0,"accepted_prediction_tokens":0,"rejected_prediction_tokens":0}},"service_tier":"default","system_fingerprint":"fp_ad66631dec"}</t>
        </is>
      </c>
      <c r="K28" t="inlineStr">
        <is>
          <t>HERECIAGE Retro Glass Bluetooth Speaker</t>
        </is>
      </c>
      <c r="L28" t="inlineStr">
        <is>
          <t>{"id":"chatcmpl-DYiICDJWchR9nJElPaGWR41Vp8oGP","object":"chat.completion","created":1777165784,"model":"gpt-5-chat-2025-10-03","choices":[{"index":0,"message":{"role":"assistant","content":"HERECIAGE The Speak Retro Bluetooth Speaker—glass body, metal details, clear rich sound. Aesthetic meets technology, perfect for modern home décor and immersive music enjoyment.","refusal":null,"annotations":[]},"logprobs":null,"finish_reason":"stop"}],"usage":{"prompt_tokens":904,"completion_tokens":35,"total_tokens":939,"prompt_tokens_details":{"cached_tokens":0,"audio_tokens":0},"completion_tokens_details":{"reasoning_tokens":0,"audio_tokens":0,"accepted_prediction_tokens":0,"rejected_prediction_tokens":0}},"service_tier":"default","system_fingerprint":"fp_ad66631dec"}</t>
        </is>
      </c>
      <c r="M28" t="inlineStr">
        <is>
          <t>{"alt-svc":"h3=\":443\"; ma=2592000","apim-request-id":"1121b4e8-4e91-4edc-bd33-6c4492cade20","azureml-model-session":"d20260402084046-4209e968","cache-control":"no-cache","connection":"close","content-length":"988","content-type":"application/json","date":"Sun, 26 Apr 2026 01:09:46 GMT","server":"Caddy","skip-error-remapping":"true","strict-transport-security":"max-age=31536000; includeSubDomains; preload","x-content-type-options":"nosniff","x-ms-client-request-id":"Not-Set","x-ms-is-spilled-over":"false","x-ms-rai-invoked":"false","x-ms-region":"UK South","x-new-api-version":"0.4.35","x-oneapi-request-id":"202604260109436772068438268d9d6mjB6MunW","x-ratelimit-abusepenalty-active":"False","x-ratelimit-limit-requests":"1000","x-ratelimit-limit-tokens":"1000000","x-ratelimit-remaining-requests":"999","x-ratelimit-remaining-tokens":"998334","x-ratelimit-renewalperiod-requests":"60","x-ratelimit-renewalperiod-tokens":"60","x-ratelimit-reset-requests":"60","x-ratelimit-reset-tokens":"99","x-request-id":"ae692eeb-9c5a-4ade-b685-6b8960fd74cb"}</t>
        </is>
      </c>
      <c r="N28" t="inlineStr">
        <is>
          <t>HERECIAGE The Speak Retro Bluetooth Speaker—glass body, metal details, clear rich sound. Aesthetic meets technology, perfect for modern home décor and immersive music enjoyment.</t>
        </is>
      </c>
      <c r="O28" t="inlineStr">
        <is>
          <t>{"id":"chatcmpl-DYiTdRPdLG0yzUU0WgHKarLUyUqBc","object":"chat.completion","created":1777166493,"model":"gpt-5-chat-2025-10-03","choices":[{"index":0,"message":{"role":"assistant","content":"HERECIAGE,Speaker,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28" t="inlineStr">
        <is>
          <t>HERECIAGE,Speaker,kakobuy,kakebuy2026,kekobuysheet,kakobuysheet2026,2026kakobuy,kakobuyspreadsheeet,kakobuylink,kakebuylist,Kakobuy MEGA Spreadsheet,kakobuysheetfind,kakobuysheetfind2026,2026kakobuysheetfind,kakobuysheet2026</t>
        </is>
      </c>
      <c r="Q28"/>
      <c r="R28" t="inlineStr">
        <is>
          <t>recvhju1CrAR3L</t>
        </is>
      </c>
      <c r="S28" t="inlineStr">
        <is>
          <t>hereciage-retro-glass-bluetooth-speaker-recvhju1crar3l</t>
        </is>
      </c>
      <c r="T28"/>
      <c r="U28"/>
      <c r="V28"/>
      <c r="W28" t="inlineStr">
        <is>
          <t>{"id":"chatcmpl-DYht7laUMtfh0BQSrr3ZrhW7uW0l7","object":"chat.completion","created":1777164229,"model":"gpt-5-chat-2025-10-03","choices":[{"index":0,"message":{"role":"assistant","content":"Hereciage：The Speak黑色蓝牙复古电子音响，玻璃机身搭配金属细节设计，音质澄澈饱满，兼具美学与科技感，桌面装饰与音乐享受完美融合，现代风格家居优选。","refusal":null,"annotations":[]},"logprobs":null,"finish_reason":"stop"}],"usage":{"prompt_tokens":1307,"completion_tokens":67,"total_tokens":1374,"prompt_tokens_details":{"cached_tokens":1280,"audio_tokens":0},"completion_tokens_details":{"reasoning_tokens":0,"audio_tokens":0,"accepted_prediction_tokens":0,"rejected_prediction_tokens":0}},"service_tier":"default","system_fingerprint":"fp_ad66631dec"}</t>
        </is>
      </c>
      <c r="X28" t="inlineStr">
        <is>
          <t>Hereciage：The Speak黑色蓝牙复古电子音响，玻璃机身搭配金属细节设计，音质澄澈饱满，兼具美学与科技感，桌面装饰与音乐享受完美融合，现代风格家居优选。</t>
        </is>
      </c>
    </row>
    <row r="29" ht="25.5" customHeight="1">
      <c r="A29">
        <v>1654975475</v>
      </c>
      <c r="B29">
        <v>7621759350</v>
      </c>
      <c r="C29" s="2" t="str">
        <f>=HYPERLINK("https://weidian.com/item.html?itemID=7621759350", "https://weidian.com/item.html?itemID=7621759350")</f>
        <v>https://weidian.com/item.html?itemID=7621759350</v>
      </c>
      <c r="D29"/>
      <c r="E29" s="2" t="str">
        <f>=HYPERLINK("https://si.geilicdn.com/pcitem2014204438-41560000019ac97ac4f20a231177_1442_1922.jpg?w=640&amp;h=640", "https://si.geilicdn.com/pcitem2014204438-41560000019ac97ac4f20a231177_1442_1922.jpg?w=640&amp;h=640")</f>
        <v>https://si.geilicdn.com/pcitem2014204438-41560000019ac97ac4f20a231177_1442_1922.jpg?w=640&amp;h=640</v>
      </c>
      <c r="F29" t="inlineStr">
        <is>
          <t>Electronic</t>
        </is>
      </c>
      <c r="G29" t="inlineStr">
        <is>
          <t xml:space="preserve"> BE@RBRICK</t>
        </is>
      </c>
      <c r="H29">
        <v>1120</v>
      </c>
      <c r="I29">
        <v>162.32</v>
      </c>
      <c r="J29" t="inlineStr">
        <is>
          <t>{"id":"chatcmpl-DYj0IlwrQ5KSy9JrXkYz8XuWSgu6S","object":"chat.completion","created":1777168518,"model":"gpt-5-chat-2025-10-03","choices":[{"index":0,"message":{"role":"assistant","content":"BE@RBRICK Electronic Transparent Bluetooth Speaker Black","refusal":null,"annotations":[]},"logprobs":null,"finish_reason":"stop"}],"usage":{"prompt_tokens":876,"completion_tokens":11,"total_tokens":887,"prompt_tokens_details":{"cached_tokens":0,"audio_tokens":0},"completion_tokens_details":{"reasoning_tokens":0,"audio_tokens":0,"accepted_prediction_tokens":0,"rejected_prediction_tokens":0}},"service_tier":"default","system_fingerprint":"fp_ad66631dec"}</t>
        </is>
      </c>
      <c r="K29" t="inlineStr">
        <is>
          <t>BE@RBRICK Electronic Transparent Bluetooth Speaker Black</t>
        </is>
      </c>
      <c r="L29" t="inlineStr">
        <is>
          <t>{"id":"chatcmpl-DYiDViNQde1aBrLQN6BhyggAtwWzb","object":"chat.completion","created":1777165493,"model":"gpt-5-chat-2025-10-03","choices":[{"index":0,"message":{"role":"assistant","content":"BE@RBRICK Electronic Transparent Bluetooth Speaker, black electroplated gloss finish, ABS resin futuristic design, tech-art collectible for men and women, modern urban aesthetic décor.","refusal":null,"annotations":[]},"logprobs":null,"finish_reason":"stop"}],"usage":{"prompt_tokens":891,"completion_tokens":36,"total_tokens":927,"prompt_tokens_details":{"cached_tokens":0,"audio_tokens":0},"completion_tokens_details":{"reasoning_tokens":0,"audio_tokens":0,"accepted_prediction_tokens":0,"rejected_prediction_tokens":0}},"service_tier":"default","system_fingerprint":"fp_ad66631dec"}</t>
        </is>
      </c>
      <c r="M29" t="inlineStr">
        <is>
          <t>{"alt-svc":"h3=\":443\"; ma=2592000","apim-request-id":"9afc4a3b-9d38-4cdc-958c-3b8c96b026a6","azureml-model-session":"d20260402084046-4209e968","cache-control":"no-cache","connection":"close","content-length":"993","content-type":"application/json","date":"Sun, 26 Apr 2026 01:04:54 GMT","server":"nginx","skip-error-remapping":"true","strict-transport-security":"max-age=31536000; includeSubDomains; preload","via":"1.1 Caddy","x-content-type-options":"nosniff","x-ms-client-request-id":"Not-Set","x-ms-is-spilled-over":"false","x-ms-rai-invoked":"false","x-ms-region":"East US 2","x-new-api-version":"0.4.35","x-oneapi-request-id":"202604260104522548384848268d9d6tL2jbnd9","x-ratelimit-abusepenalty-active":"False","x-ratelimit-limit-requests":"1000","x-ratelimit-limit-tokens":"1000000","x-ratelimit-remaining-requests":"999","x-ratelimit-remaining-tokens":"998347","x-ratelimit-renewalperiod-requests":"60","x-ratelimit-renewalperiod-tokens":"60","x-ratelimit-reset-requests":"60","x-ratelimit-reset-tokens":"99","x-request-id":"b25f32d9-5f8f-426c-87f2-c267b26930af"}</t>
        </is>
      </c>
      <c r="N29" t="inlineStr">
        <is>
          <t>BE@RBRICK Electronic Transparent Bluetooth Speaker, black electroplated gloss finish, ABS resin futuristic design, tech-art collectible for men and women, modern urban aesthetic décor.</t>
        </is>
      </c>
      <c r="O29" t="inlineStr">
        <is>
          <t>{"id":"chatcmpl-DYiVna6K0xsliqM6zlOVtJ7jcrqo1","object":"chat.completion","created":1777166627,"model":"gpt-5-chat-2025-10-03","choices":[{"index":0,"message":{"role":"assistant","content":"BE@RBRICK, Electronic,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29" t="inlineStr">
        <is>
          <t>BE@RBRICK, Electronic, kakobuy, kakebuy2026, kekobuysheet, kakobuysheet2026, 2026kakobuy, kakobuyspreadsheeet, kakobuylink, kakebuylist, Kakobuy MEGA Spreadsheet, kakobuysheetfind, kakobuysheetfind2026, 2026kakobuysheetfind, kakobuysheet2026</t>
        </is>
      </c>
      <c r="Q29"/>
      <c r="R29" t="inlineStr">
        <is>
          <t>recvhju1CrS4gN</t>
        </is>
      </c>
      <c r="S29" t="inlineStr">
        <is>
          <t>bearbrick-electronic-transparent-bluetooth-speaker-black-recvhju1crS4gN</t>
        </is>
      </c>
      <c r="T29"/>
      <c r="U29"/>
      <c r="V29"/>
      <c r="W29" t="inlineStr">
        <is>
          <t>{"id":"chatcmpl-DYhqZxK4LuM7zj0WLlsNEdmVyS970","object":"chat.completion","created":1777164071,"model":"gpt-5-chat-2025-10-03","choices":[{"index":0,"message":{"role":"assistant","content":"BE@RBRICK透明蓝牙音响系列，黑色高光电镀质感，ABS树脂材质打造未来主义设计，潮流艺术收藏品，男女皆宜，融合科技与玩趣，彰显现代都市审美。","refusal":null,"annotations":[]},"logprobs":null,"finish_reason":"stop"}],"usage":{"prompt_tokens":1303,"completion_tokens":56,"total_tokens":1359,"prompt_tokens_details":{"cached_tokens":0,"audio_tokens":0},"completion_tokens_details":{"reasoning_tokens":0,"audio_tokens":0,"accepted_prediction_tokens":0,"rejected_prediction_tokens":0}},"service_tier":"default","system_fingerprint":"fp_ad66631dec"}</t>
        </is>
      </c>
      <c r="X29" t="inlineStr">
        <is>
          <t>BE@RBRICK透明蓝牙音响系列，黑色高光电镀质感，ABS树脂材质打造未来主义设计，潮流艺术收藏品，男女皆宜，融合科技与玩趣，彰显现代都市审美。</t>
        </is>
      </c>
    </row>
    <row r="30" ht="25.5" customHeight="1">
      <c r="A30">
        <v>1654975475</v>
      </c>
      <c r="B30">
        <v>7618850211</v>
      </c>
      <c r="C30" s="2" t="str">
        <f>=HYPERLINK("https://weidian.com/item.html?itemID=7618850211", "https://weidian.com/item.html?itemID=7618850211")</f>
        <v>https://weidian.com/item.html?itemID=7618850211</v>
      </c>
      <c r="D30"/>
      <c r="E30" s="2" t="str">
        <f>=HYPERLINK("https://si.geilicdn.com/pcitem2014204438-51680000019ac97c8f100a23047e_1080_1080.jpg?w=640&amp;h=640", "https://si.geilicdn.com/pcitem2014204438-51680000019ac97c8f100a23047e_1080_1080.jpg?w=640&amp;h=640")</f>
        <v>https://si.geilicdn.com/pcitem2014204438-51680000019ac97c8f100a23047e_1080_1080.jpg?w=640&amp;h=640</v>
      </c>
      <c r="F30" t="inlineStr">
        <is>
          <t>Electronic</t>
        </is>
      </c>
      <c r="G30" t="inlineStr">
        <is>
          <t>Marshall</t>
        </is>
      </c>
      <c r="H30">
        <v>350</v>
      </c>
      <c r="I30">
        <v>50.72</v>
      </c>
      <c r="J30" t="inlineStr">
        <is>
          <t>{"id":"chatcmpl-DYixA69vaNRBph3ALgHCd6SAx7yU3","object":"chat.completion","created":1777168324,"model":"gpt-5-chat-2025-10-03","choices":[{"index":0,"message":{"role":"assistant","content":"Marshall Classic Black Bluetooth Speaker Portable Wireless","refusal":null,"annotations":[]},"logprobs":null,"finish_reason":"stop"}],"usage":{"prompt_tokens":876,"completion_tokens":8,"total_tokens":884,"prompt_tokens_details":{"cached_tokens":0,"audio_tokens":0},"completion_tokens_details":{"reasoning_tokens":0,"audio_tokens":0,"accepted_prediction_tokens":0,"rejected_prediction_tokens":0}},"service_tier":"default","system_fingerprint":"fp_ad66631dec"}</t>
        </is>
      </c>
      <c r="K30" t="inlineStr">
        <is>
          <t>Marshall Classic Black Bluetooth Speaker Portable Wireless</t>
        </is>
      </c>
      <c r="L30" t="inlineStr">
        <is>
          <t>{"id":"chatcmpl-DYiIVgEMZ5ErzPmlhdONYEUFHZSR1","object":"chat.completion","created":1777165803,"model":"gpt-5-chat-2025-10-03","choices":[{"index":0,"message":{"role":"assistant","content":"Marshall Classic Black Portable Bluetooth Speaker with vintage leather texture, gold knobs, and logo. Rich, clear sound, long battery life, wireless design, blending modern tech and British rock style.","refusal":null,"annotations":[]},"logprobs":null,"finish_reason":"stop"}],"usage":{"prompt_tokens":916,"completion_tokens":38,"total_tokens":954,"prompt_tokens_details":{"cached_tokens":0,"audio_tokens":0},"completion_tokens_details":{"reasoning_tokens":0,"audio_tokens":0,"accepted_prediction_tokens":0,"rejected_prediction_tokens":0}},"service_tier":"default","system_fingerprint":"fp_ad66631dec"}</t>
        </is>
      </c>
      <c r="M30" t="inlineStr">
        <is>
          <t>{"alt-svc":"h3=\":443\"; ma=2592000","apim-request-id":"9ee8db9f-d5a7-469d-9d8d-996cb9196195","azureml-model-session":"d20260405225800-40f19e54","cache-control":"no-cache","connection":"close","content-length":"1009","content-type":"application/json","date":"Sun, 26 Apr 2026 01:10:04 GMT","server":"Caddy","skip-error-remapping":"true","strict-transport-security":"max-age=31536000; includeSubDomains; preload","x-content-type-options":"nosniff","x-ms-client-request-id":"Not-Set","x-ms-is-spilled-over":"false","x-ms-rai-invoked":"false","x-ms-region":"East US","x-new-api-version":"0.4.35","x-oneapi-request-id":"202604260110019073977998268d9d6isKPGgnD","x-ratelimit-abusepenalty-active":"False","x-ratelimit-limit-requests":"1000","x-ratelimit-limit-tokens":"1000000","x-ratelimit-remaining-requests":"999","x-ratelimit-remaining-tokens":"998322","x-ratelimit-renewalperiod-requests":"60","x-ratelimit-renewalperiod-tokens":"60","x-ratelimit-reset-requests":"60","x-ratelimit-reset-tokens":"100","x-request-id":"b80106db-c0b1-4f15-925c-257636ff10a2"}</t>
        </is>
      </c>
      <c r="N30" t="inlineStr">
        <is>
          <t>Marshall Classic Black Portable Bluetooth Speaker with vintage leather texture, gold knobs, and logo. Rich, clear sound, long battery life, wireless design, blending modern tech and British rock style.</t>
        </is>
      </c>
      <c r="O30" t="inlineStr">
        <is>
          <t>{"id":"chatcmpl-DYiTUDWleBUiLEbRPdvzESIztrrIP","object":"chat.completion","created":1777166484,"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30" t="inlineStr">
        <is>
          <t>Marshall,Speaker,kakobuy,kakebuy2026,kekobuysheet,kakobuysheet2026,2026kakobuy,kakobuyspreadsheeet,kakobuylink,kakebuylist,Kakobuy MEGA Spreadsheet,kakobuysheetfind,kakobuysheetfind2026,2026kakobuysheetfind,kakobuysheet2026</t>
        </is>
      </c>
      <c r="Q30" t="inlineStr">
        <is>
          <t>Marshall, Black, Vintage, Leather, Unisex</t>
        </is>
      </c>
      <c r="R30" t="inlineStr">
        <is>
          <t>recvhju1CrOudK</t>
        </is>
      </c>
      <c r="S30" t="inlineStr">
        <is>
          <t>marshall-classic-black-bluetooth-speaker-recvhju1croudk</t>
        </is>
      </c>
      <c r="T30"/>
      <c r="U30"/>
      <c r="V30"/>
      <c r="W30" t="inlineStr">
        <is>
          <t>{"id":"chatcmpl-DYhqaks5V2zaQt4xalgDNnWWsE1bs","object":"chat.completion","created":1777164072,"model":"gpt-5-chat-2025-10-03","choices":[{"index":0,"message":{"role":"assistant","content":"Marshall 经典黑色便携蓝牙音箱，复古皮革纹理外壳搭配金色旋钮与标志字标，造型硬朗典雅。支持无线播放与长续航设计，音质澄澈饱满。兼具现代科技与英伦摇滚美学，适合男女使用，彰显自由音乐格调。","refusal":null,"annotations":[]},"logprobs":null,"finish_reason":"stop"}],"usage":{"prompt_tokens":1297,"completion_tokens":84,"total_tokens":1381,"prompt_tokens_details":{"cached_tokens":1280,"audio_tokens":0},"completion_tokens_details":{"reasoning_tokens":0,"audio_tokens":0,"accepted_prediction_tokens":0,"rejected_prediction_tokens":0}},"service_tier":"default","system_fingerprint":"fp_ad66631dec"}</t>
        </is>
      </c>
      <c r="X30" t="inlineStr">
        <is>
          <t>Marshall 经典黑色便携蓝牙音箱，复古皮革纹理外壳搭配金色旋钮与标志字标，造型硬朗典雅。支持无线播放与长续航设计，音质澄澈饱满。兼具现代科技与英伦摇滚美学，适合男女使用，彰显自由音乐格调。</t>
        </is>
      </c>
    </row>
    <row r="31" ht="25.5" customHeight="1">
      <c r="A31">
        <v>1654975475</v>
      </c>
      <c r="B31">
        <v>7621719108</v>
      </c>
      <c r="C31" s="2" t="str">
        <f>=HYPERLINK("https://weidian.com/item.html?itemID=7621719108", "https://weidian.com/item.html?itemID=7621719108")</f>
        <v>https://weidian.com/item.html?itemID=7621719108</v>
      </c>
      <c r="D31"/>
      <c r="E31" s="2" t="str">
        <f>=HYPERLINK("https://si.geilicdn.com/pcitem2014204438-531e0000019ac9642f910a23111a_1080_1080.jpg?w=640&amp;h=640", "https://si.geilicdn.com/pcitem2014204438-531e0000019ac9642f910a23111a_1080_1080.jpg?w=640&amp;h=640")</f>
        <v>https://si.geilicdn.com/pcitem2014204438-531e0000019ac9642f910a23111a_1080_1080.jpg?w=640&amp;h=640</v>
      </c>
      <c r="F31" t="inlineStr">
        <is>
          <t>Electronic</t>
        </is>
      </c>
      <c r="G31" t="inlineStr">
        <is>
          <t>Harman Kardon</t>
        </is>
      </c>
      <c r="H31">
        <v>396</v>
      </c>
      <c r="I31">
        <v>57.39</v>
      </c>
      <c r="J31" t="inlineStr">
        <is>
          <t>{"id":"chatcmpl-DYiwQJonpKi66EvwzmG9TVqwW7PP5","object":"chat.completion","created":1777168278,"model":"gpt-5-chat-2025-10-03","choices":[{"index":0,"message":{"role":"assistant","content":"Harman Kardon Aura Studio Bluetooth Speaker LED 360 Sound","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31" t="inlineStr">
        <is>
          <t>Harman Kardon Aura Studio Bluetooth Speaker LED 360 Sound</t>
        </is>
      </c>
      <c r="L31" t="inlineStr">
        <is>
          <t>{"id":"chatcmpl-DYiHBBkywD2A1VO401NKdXLDKqH01","object":"chat.completion","created":1777165721,"model":"gpt-5-chat-2025-10-03","choices":[{"index":0,"message":{"role":"assistant","content":"Harman Kardon Aura Studio Bluetooth Speaker with 360° surround sound, transparent dome, colorful LED lighting, metal-plastic fusion design, modern minimalist style for home and leisure use.","refusal":null,"annotations":[]},"logprobs":null,"finish_reason":"stop"}],"usage":{"prompt_tokens":896,"completion_tokens":38,"total_tokens":934,"prompt_tokens_details":{"cached_tokens":0,"audio_tokens":0},"completion_tokens_details":{"reasoning_tokens":0,"audio_tokens":0,"accepted_prediction_tokens":0,"rejected_prediction_tokens":0}},"service_tier":"default","system_fingerprint":"fp_ad66631dec"}</t>
        </is>
      </c>
      <c r="M31" t="inlineStr">
        <is>
          <t>{"alt-svc":"h3=\":443\"; ma=2592000","apim-request-id":"94790539-2bc8-4abd-a900-0018dca44965","azureml-model-session":"d20260402084046-4209e968","cache-control":"no-cache","connection":"close","content-length":"998","content-type":"application/json","date":"Sun, 26 Apr 2026 01:08:42 GMT","server":"Caddy","skip-error-remapping":"true","strict-transport-security":"max-age=31536000; includeSubDomains; preload","x-content-type-options":"nosniff","x-ms-client-request-id":"Not-Set","x-ms-is-spilled-over":"false","x-ms-rai-invoked":"false","x-ms-region":"UK South","x-new-api-version":"0.4.35","x-oneapi-request-id":"202604260108407100184148268d9d6tFVTNqEY","x-ratelimit-abusepenalty-active":"False","x-ratelimit-limit-requests":"1000","x-ratelimit-limit-tokens":"1000000","x-ratelimit-remaining-requests":"998","x-ratelimit-remaining-tokens":"997048","x-ratelimit-renewalperiod-requests":"60","x-ratelimit-renewalperiod-tokens":"60","x-ratelimit-reset-requests":"100","x-ratelimit-reset-tokens":"177","x-request-id":"6cbd330e-94a6-4e35-8965-6dadf90d083d"}</t>
        </is>
      </c>
      <c r="N31" t="inlineStr">
        <is>
          <t>Harman Kardon Aura Studio Bluetooth Speaker with 360° surround sound, transparent dome, colorful LED lighting, metal-plastic fusion design, modern minimalist style for home and leisure use.</t>
        </is>
      </c>
      <c r="O31" t="inlineStr">
        <is>
          <t>{"id":"chatcmpl-DYiRQ0ZTNSpQQ5zXZbtNqGYSM7QKu","object":"chat.completion","created":1777166356,"model":"gpt-5-chat-2025-10-03","choices":[{"index":0,"message":{"role":"assistant","content":"Harman Kardon,Speaker,kakobuy,kakebuy2026,kekobuysheet,kakobuysheet2026,2026kakobuy,kakobuyspreadsheeet,kakobuylink,kakebuylist,Kakobuy MEGA Spreadsheet,kakobuysheetfind,kakobuysheetfind2026,2026kakobuysheetfind,kakobuysheet2026","refusal":null,"annotations":[]},"logprobs":null,"finish_reason":"stop"}],"usage":{"prompt_tokens":784,"completion_tokens":89,"total_tokens":873,"prompt_tokens_details":{"cached_tokens":0,"audio_tokens":0},"completion_tokens_details":{"reasoning_tokens":0,"audio_tokens":0,"accepted_prediction_tokens":0,"rejected_prediction_tokens":0}},"service_tier":"default","system_fingerprint":"fp_ad66631dec"}</t>
        </is>
      </c>
      <c r="P31" t="inlineStr">
        <is>
          <t>Harman Kardon,Speaker,kakobuy,kakebuy2026,kekobuysheet,kakobuysheet2026,2026kakobuy,kakobuyspreadsheeet,kakobuylink,kakebuylist,Kakobuy MEGA Spreadsheet,kakobuysheetfind,kakobuysheetfind2026,2026kakobuysheetfind,kakobuysheet2026</t>
        </is>
      </c>
      <c r="Q31"/>
      <c r="R31" t="inlineStr">
        <is>
          <t>recvhju1CrtQ51</t>
        </is>
      </c>
      <c r="S31" t="inlineStr">
        <is>
          <t>harman-kardon-aura-studio-bluetooth-speaker-led-360-sound-recvhju1crtq51</t>
        </is>
      </c>
      <c r="T31"/>
      <c r="U31"/>
      <c r="V31"/>
      <c r="W31" t="inlineStr">
        <is>
          <t>{"id":"chatcmpl-DYhsLxju6CyfcpbJBaAhG1XZK7TMW","object":"chat.completion","created":1777164181,"model":"gpt-5-chat-2025-10-03","choices":[{"index":0,"message":{"role":"assistant","content":"Harman Kardon：Aura Studio系列七彩蓝牙音响，透明玻璃罩与环形LED炫光设计，塑料与金属融合材质，360度环绕立体声，现代简约科技风格，家用与休闲皆宜。","refusal":null,"annotations":[]},"logprobs":null,"finish_reason":"stop"}],"usage":{"prompt_tokens":1303,"completion_tokens":61,"total_tokens":1364,"prompt_tokens_details":{"cached_tokens":0,"audio_tokens":0},"completion_tokens_details":{"reasoning_tokens":0,"audio_tokens":0,"accepted_prediction_tokens":0,"rejected_prediction_tokens":0}},"service_tier":"default","system_fingerprint":"fp_ad66631dec"}</t>
        </is>
      </c>
      <c r="X31" t="inlineStr">
        <is>
          <t>Harman Kardon：Aura Studio系列七彩蓝牙音响，透明玻璃罩与环形LED炫光设计，塑料与金属融合材质，360度环绕立体声，现代简约科技风格，家用与休闲皆宜。</t>
        </is>
      </c>
    </row>
    <row r="32" ht="25.5" customHeight="1">
      <c r="A32">
        <v>1654975475</v>
      </c>
      <c r="B32">
        <v>7621711268</v>
      </c>
      <c r="C32" s="2" t="str">
        <f>=HYPERLINK("https://weidian.com/item.html?itemID=7621711268", "https://weidian.com/item.html?itemID=7621711268")</f>
        <v>https://weidian.com/item.html?itemID=7621711268</v>
      </c>
      <c r="D32"/>
      <c r="E32" s="2" t="str">
        <f>=HYPERLINK("https://si.geilicdn.com/pcitem2014204438-220e0000019ac964a81a0a20e2c5_1284_962.jpg?w=640&amp;h=640", "https://si.geilicdn.com/pcitem2014204438-220e0000019ac964a81a0a20e2c5_1284_962.jpg?w=640&amp;h=640")</f>
        <v>https://si.geilicdn.com/pcitem2014204438-220e0000019ac964a81a0a20e2c5_1284_962.jpg?w=640&amp;h=640</v>
      </c>
      <c r="F32" t="inlineStr">
        <is>
          <t>Electronic</t>
        </is>
      </c>
      <c r="G32" t="inlineStr">
        <is>
          <t>JBL</t>
        </is>
      </c>
      <c r="H32">
        <v>390</v>
      </c>
      <c r="I32">
        <v>56.52</v>
      </c>
      <c r="J32" t="inlineStr">
        <is>
          <t>{"id":"chatcmpl-DYj2kvoA0Ltnt1nXGztLm4e0PUNyq","object":"chat.completion","created":1777168670,"model":"gpt-5-chat-2025-10-03","choices":[{"index":0,"message":{"role":"assistant","content":"JBL Cream Beige Bluetooth Speaker 360° Sound Light","refusal":null,"annotations":[]},"logprobs":null,"finish_reason":"stop"}],"usage":{"prompt_tokens":599,"completion_tokens":12,"total_tokens":611,"prompt_tokens_details":{"cached_tokens":0,"audio_tokens":0},"completion_tokens_details":{"reasoning_tokens":0,"audio_tokens":0,"accepted_prediction_tokens":0,"rejected_prediction_tokens":0}},"service_tier":"default","system_fingerprint":"fp_ad66631dec"}</t>
        </is>
      </c>
      <c r="K32" t="inlineStr">
        <is>
          <t>JBL Cream Beige Bluetooth Speaker 360° Sound Light</t>
        </is>
      </c>
      <c r="L32" t="inlineStr">
        <is>
          <t>{"id":"chatcmpl-DYiJoC2NscKj903a6O7moMQQmY9DF","object":"chat.completion","created":1777165884,"model":"gpt-5-chat-2025-10-03","choices":[{"index":0,"message":{"role":"assistant","content":"JBL Cream Beige Portable Bluetooth Speaker, fabric-wrapped with soft ambient lights, stylish minimalist design, delivers powerful 360° surround sound, perfect for outdoor leisure, showcasing modern tech aesthetics.","refusal":null,"annotations":[]},"logprobs":null,"finish_reason":"stop"}],"usage":{"prompt_tokens":619,"completion_tokens":39,"total_tokens":658,"prompt_tokens_details":{"cached_tokens":0,"audio_tokens":0},"completion_tokens_details":{"reasoning_tokens":0,"audio_tokens":0,"accepted_prediction_tokens":0,"rejected_prediction_tokens":0}},"service_tier":"default","system_fingerprint":"fp_ad66631dec"}</t>
        </is>
      </c>
      <c r="M32" t="inlineStr">
        <is>
          <t>{"alt-svc":"h3=\":443\"; ma=2592000","apim-request-id":"c0f810f5-d2ea-4b23-b740-0c7a946c5bbf","azureml-model-session":"d20260402083108-57a85543","cache-control":"no-cache","connection":"close","content-length":"1023","content-type":"application/json","date":"Sun, 26 Apr 2026 01:11:25 GMT","server":"nginx","skip-error-remapping":"true","strict-transport-security":"max-age=31536000; includeSubDomains; preload","via":"1.1 Caddy","x-content-type-options":"nosniff","x-ms-client-request-id":"Not-Set","x-ms-is-spilled-over":"false","x-ms-rai-invoked":"false","x-ms-region":"East US","x-new-api-version":"0.4.35","x-oneapi-request-id":"20260426011124232977898268d9d6ka3cVisz","x-ratelimit-abusepenalty-active":"False","x-ratelimit-limit-requests":"1000","x-ratelimit-limit-tokens":"1000000","x-ratelimit-remaining-requests":"999","x-ratelimit-remaining-tokens":"998617","x-ratelimit-renewalperiod-requests":"60","x-ratelimit-renewalperiod-tokens":"60","x-ratelimit-reset-requests":"60","x-ratelimit-reset-tokens":"82","x-request-id":"cb727b73-f0fd-4690-bc7d-b6096f6129bc"}</t>
        </is>
      </c>
      <c r="N32" t="inlineStr">
        <is>
          <t>JBL Cream Beige Portable Bluetooth Speaker, fabric-wrapped with soft ambient lights, stylish minimalist design, delivers powerful 360° surround sound, perfect for outdoor leisure, showcasing modern tech aesthetics.</t>
        </is>
      </c>
      <c r="O32" t="inlineStr">
        <is>
          <t>{"id":"chatcmpl-DYiYIj9QNx2BL88izVKyycoNzRR6T","object":"chat.completion","created":1777166782,"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502,"completion_tokens":87,"total_tokens":589,"prompt_tokens_details":{"cached_tokens":0,"audio_tokens":0},"completion_tokens_details":{"reasoning_tokens":0,"audio_tokens":0,"accepted_prediction_tokens":0,"rejected_prediction_tokens":0}},"service_tier":"default","system_fingerprint":"fp_ad66631dec"}</t>
        </is>
      </c>
      <c r="P32" t="inlineStr">
        <is>
          <t>JBL,speaker,kakobuy,kakebuy2026,kekobuysheet,kakobuysheet2026,2026kakobuy,kakobuyspreadsheeet,kakobuylink,kakebuylist,Kakobuy MEGA Spreadsheet,kakobuysheetfind,kakobuysheetfind2026,2026kakobuysheetfind,kakobuysheet2026</t>
        </is>
      </c>
      <c r="Q32" t="inlineStr">
        <is>
          <t>Cream, Beige, Minimalist, Outdoor</t>
        </is>
      </c>
      <c r="R32" t="inlineStr">
        <is>
          <t>recvhju1CrfWw3</t>
        </is>
      </c>
      <c r="S32" t="inlineStr">
        <is>
          <t>jbl-cream-beige-bluetooth-speaker-360-sound-light-recvhju1crfww3</t>
        </is>
      </c>
      <c r="T32"/>
      <c r="U32"/>
      <c r="V32"/>
      <c r="W32" t="inlineStr">
        <is>
          <t>{"id":"chatcmpl-DYhuKb2gdxX1j2kWDylOw1lIYFNOP","object":"chat.completion","created":1777164304,"model":"gpt-5-chat-2025-10-03","choices":[{"index":0,"message":{"role":"assistant","content":"JBL：奶油米色便携蓝牙音箱，织物包覆材质搭配柔和灯效设计，时尚简约风格，立体环绕音效震撼有力，适合男女户外休闲使用，彰显现代科技美学。","refusal":null,"annotations":[]},"logprobs":null,"finish_reason":"stop"}],"usage":{"prompt_tokens":1023,"completion_tokens":64,"total_tokens":1087,"prompt_tokens_details":{"cached_tokens":0,"audio_tokens":0},"completion_tokens_details":{"reasoning_tokens":0,"audio_tokens":0,"accepted_prediction_tokens":0,"rejected_prediction_tokens":0}},"service_tier":"default","system_fingerprint":"fp_ad66631dec"}</t>
        </is>
      </c>
      <c r="X32" t="inlineStr">
        <is>
          <t>JBL：奶油米色便携蓝牙音箱，织物包覆材质搭配柔和灯效设计，时尚简约风格，立体环绕音效震撼有力，适合男女户外休闲使用，彰显现代科技美学。</t>
        </is>
      </c>
    </row>
    <row r="33" ht="25.5" customHeight="1">
      <c r="A33">
        <v>1654975475</v>
      </c>
      <c r="B33">
        <v>7621812118</v>
      </c>
      <c r="C33" s="2" t="str">
        <f>=HYPERLINK("https://weidian.com/item.html?itemID=7621812118", "https://weidian.com/item.html?itemID=7621812118")</f>
        <v>https://weidian.com/item.html?itemID=7621812118</v>
      </c>
      <c r="D33"/>
      <c r="E33" s="2" t="str">
        <f>=HYPERLINK("https://si.geilicdn.com/pcitem2014204438-3ed20000019ac965d3950a20e7c7_1440_1920.jpg?w=750&amp;h=750&amp;cp=1", "https://si.geilicdn.com/pcitem2014204438-3ed20000019ac965d3950a20e7c7_1440_1920.jpg?w=750&amp;h=750&amp;cp=1")</f>
        <v>https://si.geilicdn.com/pcitem2014204438-3ed20000019ac965d3950a20e7c7_1440_1920.jpg?w=750&amp;h=750&amp;cp=1</v>
      </c>
      <c r="F33" t="inlineStr">
        <is>
          <t>Electronic</t>
        </is>
      </c>
      <c r="G33" t="inlineStr">
        <is>
          <t>Beats</t>
        </is>
      </c>
      <c r="H33">
        <v>460</v>
      </c>
      <c r="I33">
        <v>66.67</v>
      </c>
      <c r="J33" t="inlineStr">
        <is>
          <t>{"id":"chatcmpl-DYj2gkF8OsYMwaf8vGWO8DJAuEmzO","object":"chat.completion","created":1777168666,"model":"gpt-5-chat-2025-10-03","choices":[{"index":0,"message":{"role":"assistant","content":"ElectronicBeats Beats Pill Red Bluetooth Speaker Portable","refusal":null,"annotations":[]},"logprobs":null,"finish_reason":"stop"}],"usage":{"prompt_tokens":885,"completion_tokens":10,"total_tokens":895,"prompt_tokens_details":{"cached_tokens":0,"audio_tokens":0},"completion_tokens_details":{"reasoning_tokens":0,"audio_tokens":0,"accepted_prediction_tokens":0,"rejected_prediction_tokens":0}},"service_tier":"default","system_fingerprint":"fp_ad66631dec"}</t>
        </is>
      </c>
      <c r="K33" t="inlineStr">
        <is>
          <t>ElectronicBeats Beats Pill Red Bluetooth Speaker Portable</t>
        </is>
      </c>
      <c r="L33" t="inlineStr">
        <is>
          <t>{"id":"chatcmpl-DYiCfpfY0eXAJse7Q491AOCtAqQC3","object":"chat.completion","created":1777165441,"model":"gpt-5-chat-2025-10-03","choices":[{"index":0,"message":{"role":"assistant","content":"ElectronicBeatsBeats Pill Red Bluetooth Speaker—sleek design with durable metal mesh, delivers clear 3D sound, wireless connection, long battery life, perfect for modern minimalists and tech lovers.","refusal":null,"annotations":[]},"logprobs":null,"finish_reason":"stop"}],"usage":{"prompt_tokens":909,"completion_tokens":42,"total_tokens":951,"prompt_tokens_details":{"cached_tokens":0,"audio_tokens":0},"completion_tokens_details":{"reasoning_tokens":0,"audio_tokens":0,"accepted_prediction_tokens":0,"rejected_prediction_tokens":0}},"service_tier":"default","system_fingerprint":"fp_ad66631dec"}</t>
        </is>
      </c>
      <c r="M33" t="inlineStr">
        <is>
          <t>{"alt-svc":"h3=\":443\"; ma=2592000","apim-request-id":"4799c546-40bb-421e-849a-0092d0c9c137","azureml-model-session":"d20260402084046-4209e968","cache-control":"no-cache","connection":"close","content-length":"1008","content-type":"application/json","date":"Sun, 26 Apr 2026 01:04:02 GMT","server":"Caddy","skip-error-remapping":"true","strict-transport-security":"max-age=31536000; includeSubDomains; preload","x-content-type-options":"nosniff","x-ms-client-request-id":"Not-Set","x-ms-is-spilled-over":"false","x-ms-rai-invoked":"false","x-ms-region":"East US 2","x-new-api-version":"0.4.35","x-oneapi-request-id":"202604260104004298545358268d9d6tnmcw7T2","x-ratelimit-abusepenalty-active":"False","x-ratelimit-limit-requests":"1000","x-ratelimit-limit-tokens":"1000000","x-ratelimit-remaining-requests":"999","x-ratelimit-remaining-tokens":"997311","x-ratelimit-renewalperiod-requests":"60","x-ratelimit-renewalperiod-tokens":"60","x-ratelimit-reset-requests":"82","x-ratelimit-reset-tokens":"161","x-request-id":"26faec3d-3d1c-42cf-b097-6308cb7fcc4e"}</t>
        </is>
      </c>
      <c r="N33" t="inlineStr">
        <is>
          <t>ElectronicBeatsBeats Pill Red Bluetooth Speaker—sleek design with durable metal mesh, delivers clear 3D sound, wireless connection, long battery life, perfect for modern minimalists and tech lovers.</t>
        </is>
      </c>
      <c r="O33" t="inlineStr">
        <is>
          <t>{"id":"chatcmpl-DYiUF8UCzMkYOfOYYwZ7tKjz3zCtC","object":"chat.completion","created":1777166531,"model":"gpt-5-chat-2025-10-03","choices":[{"index":0,"message":{"role":"assistant","content":"Beats,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33" t="inlineStr">
        <is>
          <t>Beats,Speaker,kakobuy,kakebuy2026,kekobuysheet,kakobuysheet2026,2026kakobuy,kakobuyspreadsheeet,kakobuylink,kakebuylist,Kakobuy MEGA Spreadsheet,kakobuysheetfind,kakobuysheetfind2026,2026kakobuysheetfind,kakobuysheet2026</t>
        </is>
      </c>
      <c r="Q33"/>
      <c r="R33" t="inlineStr">
        <is>
          <t>recvhju1CrvLY2</t>
        </is>
      </c>
      <c r="S33" t="inlineStr">
        <is>
          <t>electronicbeats-beats-pill-red-bluetooth-speaker-portable-recvhju1crvly2</t>
        </is>
      </c>
      <c r="T33"/>
      <c r="U33"/>
      <c r="V33"/>
      <c r="W33" t="inlineStr">
        <is>
          <t>{"id":"chatcmpl-DYhtVAo6WVqjSEZOSoQ8vTpVMDH4N","object":"chat.completion","created":1777164253,"model":"gpt-5-chat-2025-10-03","choices":[{"index":0,"message":{"role":"assistant","content":"Beats：Pill系列红色便携式蓝牙音箱，采用高强度金属网罩与圆润流线设计，音质纯净立体，支持无线连接与长效续航，男女皆宜，现代极简风格，适合时尚与科技并行的生活方式。","refusal":null,"annotations":[]},"logprobs":null,"finish_reason":"stop"}],"usage":{"prompt_tokens":1311,"completion_tokens":70,"total_tokens":1381,"prompt_tokens_details":{"cached_tokens":1280,"audio_tokens":0},"completion_tokens_details":{"reasoning_tokens":0,"audio_tokens":0,"accepted_prediction_tokens":0,"rejected_prediction_tokens":0}},"service_tier":"default","system_fingerprint":"fp_ad66631dec"}</t>
        </is>
      </c>
      <c r="X33" t="inlineStr">
        <is>
          <t>Beats：Pill系列红色便携式蓝牙音箱，采用高强度金属网罩与圆润流线设计，音质纯净立体，支持无线连接与长效续航，男女皆宜，现代极简风格，适合时尚与科技并行的生活方式。</t>
        </is>
      </c>
    </row>
    <row r="34" ht="25.5" customHeight="1">
      <c r="A34">
        <v>1654975475</v>
      </c>
      <c r="B34">
        <v>7618830181</v>
      </c>
      <c r="C34" s="2" t="str">
        <f>=HYPERLINK("https://weidian.com/item.html?itemID=7618830181", "https://weidian.com/item.html?itemID=7618830181")</f>
        <v>https://weidian.com/item.html?itemID=7618830181</v>
      </c>
      <c r="D34"/>
      <c r="E34" s="2" t="str">
        <f>=HYPERLINK("https://si.geilicdn.com/pcitem2014204438-429d0000019ac9670ce70a2396f4_800_800.jpg?w=640&amp;h=640", "https://si.geilicdn.com/pcitem2014204438-429d0000019ac9670ce70a2396f4_800_800.jpg?w=640&amp;h=640")</f>
        <v>https://si.geilicdn.com/pcitem2014204438-429d0000019ac9670ce70a2396f4_800_800.jpg?w=640&amp;h=640</v>
      </c>
      <c r="F34" t="inlineStr">
        <is>
          <t>Electronic</t>
        </is>
      </c>
      <c r="G34" t="inlineStr">
        <is>
          <t>Marshall</t>
        </is>
      </c>
      <c r="H34">
        <v>700</v>
      </c>
      <c r="I34">
        <v>101.45</v>
      </c>
      <c r="J34" t="inlineStr">
        <is>
          <t>{"id":"chatcmpl-DYiwjM4zamiISaCea7W9N6gj2vVwC","object":"chat.completion","created":1777168297,"model":"gpt-5-chat-2025-10-03","choices":[{"index":0,"message":{"role":"assistant","content":"Marshall Green Waterproof Portable Bluetooth Speaker","refusal":null,"annotations":[]},"logprobs":null,"finish_reason":"stop"}],"usage":{"prompt_tokens":870,"completion_tokens":7,"total_tokens":877,"prompt_tokens_details":{"cached_tokens":0,"audio_tokens":0},"completion_tokens_details":{"reasoning_tokens":0,"audio_tokens":0,"accepted_prediction_tokens":0,"rejected_prediction_tokens":0}},"service_tier":"default","system_fingerprint":"fp_ad66631dec"}</t>
        </is>
      </c>
      <c r="K34" t="inlineStr">
        <is>
          <t>Marshall Green Waterproof Portable Bluetooth Speaker</t>
        </is>
      </c>
      <c r="L34" t="inlineStr">
        <is>
          <t>{"id":"chatcmpl-DYiEwaAgVh9SO3HtIOHFZgP7aFLfs","object":"chat.completion","created":1777165582,"model":"gpt-5-chat-2025-10-03","choices":[{"index":0,"message":{"role":"assistant","content":"Marshall Green Waterproof Portable Bluetooth Speaker with rugged silicone body and metal grille design, retro rock style, HD stereo sound, long battery life, perfect for outdoor and urban use.","refusal":null,"annotations":[]},"logprobs":null,"finish_reason":"stop"}],"usage":{"prompt_tokens":894,"completion_tokens":35,"total_tokens":929,"prompt_tokens_details":{"cached_tokens":0,"audio_tokens":0},"completion_tokens_details":{"reasoning_tokens":0,"audio_tokens":0,"accepted_prediction_tokens":0,"rejected_prediction_tokens":0}},"service_tier":"default","system_fingerprint":"fp_ad66631dec"}</t>
        </is>
      </c>
      <c r="M34" t="inlineStr">
        <is>
          <t>{"alt-svc":"h3=\":443\"; ma=2592000","apim-request-id":"806beadd-e78b-4755-9bff-e45a532eccbf","azureml-model-session":"d20260402084046-4209e968","cache-control":"no-cache","connection":"close","content-length":"1000","content-type":"application/json","date":"Sun, 26 Apr 2026 01:06:25 GMT","server":"Caddy","skip-error-remapping":"true","strict-transport-security":"max-age=31536000; includeSubDomains; preload","x-content-type-options":"nosniff","x-ms-client-request-id":"Not-Set","x-ms-is-spilled-over":"false","x-ms-rai-invoked":"false","x-ms-region":"Korea Central","x-new-api-version":"0.4.35","x-oneapi-request-id":"202604260106219679478108268d9d6qhcOrLB5","x-ratelimit-abusepenalty-active":"False","x-ratelimit-limit-requests":"1000","x-ratelimit-limit-tokens":"1000000","x-ratelimit-remaining-requests":"999","x-ratelimit-remaining-tokens":"998344","x-ratelimit-renewalperiod-requests":"60","x-ratelimit-renewalperiod-tokens":"60","x-ratelimit-reset-requests":"60","x-ratelimit-reset-tokens":"99","x-request-id":"bd45574c-55ac-403d-aa1a-4396fdb1b2db"}</t>
        </is>
      </c>
      <c r="N34" t="inlineStr">
        <is>
          <t>Marshall Green Waterproof Portable Bluetooth Speaker with rugged silicone body and metal grille design, retro rock style, HD stereo sound, long battery life, perfect for outdoor and urban use.</t>
        </is>
      </c>
      <c r="O34" t="inlineStr">
        <is>
          <t>{"id":"chatcmpl-DYiZ82I1wRebzapAe1qYgCX8OVTq0","object":"chat.completion","created":1777166834,"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34" t="inlineStr">
        <is>
          <t>Marshall,Speaker,kakobuy,kakebuy2026,kekobuysheet,kakobuysheet2026,2026kakobuy,kakobuyspreadsheeet,kakobuylink,kakebuylist,Kakobuy MEGA Spreadsheet,kakobuysheetfind,kakobuysheetfind2026,2026kakobuysheetfind,kakobuysheet2026</t>
        </is>
      </c>
      <c r="Q34" t="inlineStr">
        <is>
          <t>Marshall, Green, Waterproof, Outdoor, Retro, Unisex</t>
        </is>
      </c>
      <c r="R34" t="inlineStr">
        <is>
          <t>recvhju1CrZ8sx</t>
        </is>
      </c>
      <c r="S34" t="inlineStr">
        <is>
          <t>marshall-green-waterproof-portable-bluetooth-speaker-recvhju1crz8sx</t>
        </is>
      </c>
      <c r="T34"/>
      <c r="U34"/>
      <c r="V34"/>
      <c r="W34" t="inlineStr">
        <is>
          <t>{"id":"chatcmpl-DYhsdBydllnksO8adUcj2DFXxjFPy","object":"chat.completion","created":1777164199,"model":"gpt-5-chat-2025-10-03","choices":[{"index":0,"message":{"role":"assistant","content":"Marshall：绿色防水便携蓝牙音箱，采用坚固硅胶机身与金属网格设计，彰显复古摇滚风格，支持高清立体声与长续航功能，男女皆宜，适合户外休闲与都市出行。","refusal":null,"annotations":[]},"logprobs":null,"finish_reason":"stop"}],"usage":{"prompt_tokens":1295,"completion_tokens":63,"total_tokens":1358,"prompt_tokens_details":{"cached_tokens":0,"audio_tokens":0},"completion_tokens_details":{"reasoning_tokens":0,"audio_tokens":0,"accepted_prediction_tokens":0,"rejected_prediction_tokens":0}},"service_tier":"default","system_fingerprint":"fp_ad66631dec"}</t>
        </is>
      </c>
      <c r="X34" t="inlineStr">
        <is>
          <t>Marshall：绿色防水便携蓝牙音箱，采用坚固硅胶机身与金属网格设计，彰显复古摇滚风格，支持高清立体声与长续航功能，男女皆宜，适合户外休闲与都市出行。</t>
        </is>
      </c>
    </row>
    <row r="35" ht="25.5" customHeight="1">
      <c r="A35">
        <v>1654975475</v>
      </c>
      <c r="B35">
        <v>7618748835</v>
      </c>
      <c r="C35" s="2" t="str">
        <f>=HYPERLINK("https://weidian.com/item.html?itemID=7618748835", "https://weidian.com/item.html?itemID=7618748835")</f>
        <v>https://weidian.com/item.html?itemID=7618748835</v>
      </c>
      <c r="D35"/>
      <c r="E35" s="2" t="str">
        <f>=HYPERLINK("https://si.geilicdn.com/pcitem2014204438-3d940000019ac96794d10a20e273_1440_1863.jpg?w=640&amp;h=640", "https://si.geilicdn.com/pcitem2014204438-3d940000019ac96794d10a20e273_1440_1863.jpg?w=640&amp;h=640")</f>
        <v>https://si.geilicdn.com/pcitem2014204438-3d940000019ac96794d10a20e273_1440_1863.jpg?w=640&amp;h=640</v>
      </c>
      <c r="F35" t="inlineStr">
        <is>
          <t>Electronic</t>
        </is>
      </c>
      <c r="G35" t="inlineStr">
        <is>
          <t>Marshall</t>
        </is>
      </c>
      <c r="H35">
        <v>700</v>
      </c>
      <c r="I35">
        <v>101.45</v>
      </c>
      <c r="J35" t="inlineStr">
        <is>
          <t>{"id":"chatcmpl-DYiwn92dfb2ScRR2zW2etwS3tDvEd","object":"chat.completion","created":1777168301,"model":"gpt-5-chat-2025-10-03","choices":[{"index":0,"message":{"role":"assistant","content":"Marshall Emberton New Year Edition Bluetooth Speaker Green","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35" t="inlineStr">
        <is>
          <t>Marshall Emberton New Year Edition Bluetooth Speaker Green</t>
        </is>
      </c>
      <c r="L35" t="inlineStr">
        <is>
          <t>{"id":"chatcmpl-DYiIdbBArNnwHXI3MFk5kfKa66Pkt","object":"chat.completion","created":1777165811,"model":"gpt-5-chat-2025-10-03","choices":[{"index":0,"message":{"role":"assistant","content":"Marshall Emberton New Year Edition Bluetooth Speaker in Olive Green with retro metal grille, 32h playtime, waterproof, portable design and iconic British rock sound for stylish music lovers.","refusal":null,"annotations":[]},"logprobs":null,"finish_reason":"stop"}],"usage":{"prompt_tokens":908,"completion_tokens":37,"total_tokens":945,"prompt_tokens_details":{"cached_tokens":0,"audio_tokens":0},"completion_tokens_details":{"reasoning_tokens":0,"audio_tokens":0,"accepted_prediction_tokens":0,"rejected_prediction_tokens":0}},"service_tier":"default","system_fingerprint":"fp_ad66631dec"}</t>
        </is>
      </c>
      <c r="M35" t="inlineStr">
        <is>
          <t>{"alt-svc":"h3=\":443\"; ma=2592000","apim-request-id":"7505dc06-1646-4c73-ac56-66e8768e65e0","azureml-model-session":"d20260405225800-40f19e54","cache-control":"no-cache","connection":"close","content-length":"998","content-type":"application/json","date":"Sun, 26 Apr 2026 01:10:13 GMT","server":"Caddy","skip-error-remapping":"true","strict-transport-security":"max-age=31536000; includeSubDomains; preload","x-content-type-options":"nosniff","x-ms-client-request-id":"Not-Set","x-ms-is-spilled-over":"false","x-ms-rai-invoked":"false","x-ms-region":"Sweden Central","x-new-api-version":"0.4.35","x-oneapi-request-id":"202604260110106568481048268d9d6zOYKG05K","x-ratelimit-abusepenalty-active":"False","x-ratelimit-key":"gpt-5-chat-global","x-ratelimit-limit-requests":"1000","x-ratelimit-limit-tokens":"1000000","x-ratelimit-remaining-requests":"999","x-ratelimit-remaining-tokens":"998330","x-ratelimit-renewalperiod-requests":"60","x-ratelimit-renewalperiod-tokens":"60","x-ratelimit-reset-requests":"60","x-ratelimit-reset-tokens":"100","x-request-id":"7d47b3a2-acc9-42e2-803d-fdefe023b4fc"}</t>
        </is>
      </c>
      <c r="N35" t="inlineStr">
        <is>
          <t>Marshall Emberton New Year Edition Bluetooth Speaker in Olive Green with retro metal grille, 32h playtime, waterproof, portable design and iconic British rock sound for stylish music lovers.</t>
        </is>
      </c>
      <c r="O35" t="inlineStr">
        <is>
          <t>{"id":"chatcmpl-DYiX3gyxgbGekxFtK3V3nGbbMfz5j","object":"chat.completion","created":1777166705,"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35" t="inlineStr">
        <is>
          <t>Marshall,Speaker,kakobuy,kakebuy2026,kekobuysheet,kakobuysheet2026,2026kakobuy,kakobuyspreadsheeet,kakobuylink,kakebuylist,Kakobuy MEGA Spreadsheet,kakobuysheetfind,kakobuysheetfind2026,2026kakobuysheetfind,kakobuysheet2026</t>
        </is>
      </c>
      <c r="Q35" t="inlineStr">
        <is>
          <t>Marshall, Olive Green, Retro, Waterproof, All Seasons</t>
        </is>
      </c>
      <c r="R35" t="inlineStr">
        <is>
          <t>recvhju1CrdLAz</t>
        </is>
      </c>
      <c r="S35" t="inlineStr">
        <is>
          <t>marshall-emberton-green-recvhju1crdlaz</t>
        </is>
      </c>
      <c r="T35"/>
      <c r="U35"/>
      <c r="V35"/>
      <c r="W35" t="inlineStr">
        <is>
          <t>{"id":"chatcmpl-DYht5Ia19kejCpF6QbkqsdxKiinCj","object":"chat.completion","created":1777164227,"model":"gpt-5-chat-2025-10-03","choices":[{"index":0,"message":{"role":"assistant","content":"Marshall：Emberton音箱新春限定款，橄榄绿机身搭配复古金属网面设计，延续英伦摇滚风格，支持蓝牙连接与32小时续航，便携防水，适合男女通用，融合现代工艺与经典音质，彰显独立品味。","refusal":null,"annotations":[]},"logprobs":null,"finish_reason":"stop"}],"usage":{"prompt_tokens":1297,"completion_tokens":76,"total_tokens":1373,"prompt_tokens_details":{"cached_tokens":0,"audio_tokens":0},"completion_tokens_details":{"reasoning_tokens":0,"audio_tokens":0,"accepted_prediction_tokens":0,"rejected_prediction_tokens":0}},"service_tier":"default","system_fingerprint":"fp_ad66631dec"}</t>
        </is>
      </c>
      <c r="X35" t="inlineStr">
        <is>
          <t>Marshall：Emberton音箱新春限定款，橄榄绿机身搭配复古金属网面设计，延续英伦摇滚风格，支持蓝牙连接与32小时续航，便携防水，适合男女通用，融合现代工艺与经典音质，彰显独立品味。</t>
        </is>
      </c>
    </row>
    <row r="36" ht="25.5" customHeight="1">
      <c r="A36">
        <v>1654975475</v>
      </c>
      <c r="B36">
        <v>7621829670</v>
      </c>
      <c r="C36" s="2" t="str">
        <f>=HYPERLINK("https://weidian.com/item.html?itemID=7621829670", "https://weidian.com/item.html?itemID=7621829670")</f>
        <v>https://weidian.com/item.html?itemID=7621829670</v>
      </c>
      <c r="D36"/>
      <c r="E36" s="2" t="str">
        <f>=HYPERLINK("https://si.geilicdn.com/pcitem2014204438-12bd0000019ac96836440a811411_1512_1512.jpg?w=640&amp;h=640", "https://si.geilicdn.com/pcitem2014204438-12bd0000019ac96836440a811411_1512_1512.jpg?w=640&amp;h=640")</f>
        <v>https://si.geilicdn.com/pcitem2014204438-12bd0000019ac96836440a811411_1512_1512.jpg?w=640&amp;h=640</v>
      </c>
      <c r="F36" t="inlineStr">
        <is>
          <t>Electronic</t>
        </is>
      </c>
      <c r="G36" t="inlineStr">
        <is>
          <t>JBL</t>
        </is>
      </c>
      <c r="H36">
        <v>300</v>
      </c>
      <c r="I36">
        <v>43.48</v>
      </c>
      <c r="J36" t="inlineStr">
        <is>
          <t>{"id":"chatcmpl-DYj1v5V7hPHgF9wdXBmCnUaIF3Qcl","object":"chat.completion","created":1777168619,"model":"gpt-5-chat-2025-10-03","choices":[{"index":0,"message":{"role":"assistant","content":"JBL Flip 6 Red Waterproof Bluetooth Speaker 12H Playtime","refusal":null,"annotations":[]},"logprobs":null,"finish_reason":"stop"}],"usage":{"prompt_tokens":879,"completion_tokens":15,"total_tokens":894,"prompt_tokens_details":{"cached_tokens":0,"audio_tokens":0},"completion_tokens_details":{"reasoning_tokens":0,"audio_tokens":0,"accepted_prediction_tokens":0,"rejected_prediction_tokens":0}},"service_tier":"default","system_fingerprint":"fp_ad66631dec"}</t>
        </is>
      </c>
      <c r="K36" t="inlineStr">
        <is>
          <t>JBL Flip 6 Red Waterproof Bluetooth Speaker 12H Playtime</t>
        </is>
      </c>
      <c r="L36" t="inlineStr">
        <is>
          <t>{"id":"chatcmpl-DYiFCvZ2caq8asCai2NLYFR60OY1c","object":"chat.completion","created":1777165598,"model":"gpt-5-chat-2025-10-03","choices":[{"index":0,"message":{"role":"assistant","content":"JBL Flip 6 Red Portable Bluetooth Speaker, waterproof durable fabric, powerful stereo sound with dual bass, 12H playtime, stylish design perfect for outdoor fun for men and women.","refusal":null,"annotations":[]},"logprobs":null,"finish_reason":"stop"}],"usage":{"prompt_tokens":887,"completion_tokens":39,"total_tokens":926,"prompt_tokens_details":{"cached_tokens":0,"audio_tokens":0},"completion_tokens_details":{"reasoning_tokens":0,"audio_tokens":0,"accepted_prediction_tokens":0,"rejected_prediction_tokens":0}},"service_tier":"default","system_fingerprint":"fp_ad66631dec"}</t>
        </is>
      </c>
      <c r="M36" t="inlineStr">
        <is>
          <t>{"alt-svc":"h3=\":443\"; ma=2592000","apim-request-id":"9a0d7204-9d07-4bb8-ab74-f4c072062dbd","azureml-model-session":"d20260405225800-40f19e54","cache-control":"no-cache","connection":"close","content-length":"987","content-type":"application/json","date":"Sun, 26 Apr 2026 01:06:40 GMT","server":"nginx","skip-error-remapping":"true","strict-transport-security":"max-age=31536000; includeSubDomains; preload","via":"1.1 Caddy","x-content-type-options":"nosniff","x-ms-client-request-id":"Not-Set","x-ms-is-spilled-over":"false","x-ms-rai-invoked":"false","x-ms-region":"UK South","x-new-api-version":"0.4.35","x-oneapi-request-id":"20260426010638238268208268d9d6YpPwX5bZ","x-ratelimit-abusepenalty-active":"False","x-ratelimit-limit-requests":"1000","x-ratelimit-limit-tokens":"1000000","x-ratelimit-remaining-requests":"999","x-ratelimit-remaining-tokens":"998351","x-ratelimit-renewalperiod-requests":"60","x-ratelimit-renewalperiod-tokens":"60","x-ratelimit-reset-requests":"60","x-ratelimit-reset-tokens":"98","x-request-id":"f58e7c92-5ae6-4cec-875d-1f3f80d8be75"}</t>
        </is>
      </c>
      <c r="N36" t="inlineStr">
        <is>
          <t>JBL Flip 6 Red Portable Bluetooth Speaker, waterproof durable fabric, powerful stereo sound with dual bass, 12H playtime, stylish design perfect for outdoor fun for men and women.</t>
        </is>
      </c>
      <c r="O36" t="inlineStr">
        <is>
          <t>{"id":"chatcmpl-DYiU6hmCpPfdUeTGvEnzDOqSXUn9h","object":"chat.completion","created":1777166522,"model":"gpt-5-chat-2025-10-03","choices":[{"index":0,"message":{"role":"assistant","content":"JBL, Bluetooth Speaker,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92,"total_tokens":874,"prompt_tokens_details":{"cached_tokens":0,"audio_tokens":0},"completion_tokens_details":{"reasoning_tokens":0,"audio_tokens":0,"accepted_prediction_tokens":0,"rejected_prediction_tokens":0}},"service_tier":"default","system_fingerprint":"fp_ad66631dec"}</t>
        </is>
      </c>
      <c r="P36" t="inlineStr">
        <is>
          <t>JBL, Bluetooth Speaker, kakobuy, kakebuy2026, kekobuysheet, kakobuysheet2026, 2026kakobuy, kakobuyspreadsheeet, kakobuylink, kakebuylist, Kakobuy MEGA Spreadsheet, kakobuysheetfind, kakobuysheetfind2026, 2026kakobuysheetfind, kakobuysheet2026</t>
        </is>
      </c>
      <c r="Q36"/>
      <c r="R36" t="inlineStr">
        <is>
          <t>recvhju1CrmaaP</t>
        </is>
      </c>
      <c r="S36" t="inlineStr">
        <is>
          <t>jbl-flip-6-red-waterproof-bluetooth-speaker-12h-playtime-recvhju1crmaap</t>
        </is>
      </c>
      <c r="T36"/>
      <c r="U36"/>
      <c r="V36"/>
      <c r="W36" t="inlineStr">
        <is>
          <t>{"id":"chatcmpl-DYhv3fXMglEu1ZdMQuQ31tykt20UH","object":"chat.completion","created":1777164349,"model":"gpt-5-chat-2025-10-03","choices":[{"index":0,"message":{"role":"assistant","content":"JBL：Flip6 红色便携式蓝牙音箱，防水耐用织物外壳，立体声双低音增强设计，12小时续航，时尚动感风格，适合男女户外休闲使用。","refusal":null,"annotations":[]},"logprobs":null,"finish_reason":"stop"}],"usage":{"prompt_tokens":1295,"completion_tokens":56,"total_tokens":1351,"prompt_tokens_details":{"cached_tokens":0,"audio_tokens":0},"completion_tokens_details":{"reasoning_tokens":0,"audio_tokens":0,"accepted_prediction_tokens":0,"rejected_prediction_tokens":0}},"service_tier":"default","system_fingerprint":"fp_ad66631dec"}</t>
        </is>
      </c>
      <c r="X36" t="inlineStr">
        <is>
          <t>JBL：Flip6 红色便携式蓝牙音箱，防水耐用织物外壳，立体声双低音增强设计，12小时续航，时尚动感风格，适合男女户外休闲使用。</t>
        </is>
      </c>
    </row>
    <row r="37" ht="25.5" customHeight="1">
      <c r="A37">
        <v>1654975475</v>
      </c>
      <c r="B37">
        <v>7618820659</v>
      </c>
      <c r="C37" s="2" t="str">
        <f>=HYPERLINK("https://weidian.com/item.html?itemID=7618820659", "https://weidian.com/item.html?itemID=7618820659")</f>
        <v>https://weidian.com/item.html?itemID=7618820659</v>
      </c>
      <c r="D37"/>
      <c r="E37" s="2" t="str">
        <f>=HYPERLINK("https://si.geilicdn.com/pcitem2014204438-13850000019ac968cb250a231316_1080_1440.jpg?w=640&amp;h=640", "https://si.geilicdn.com/pcitem2014204438-13850000019ac968cb250a231316_1080_1440.jpg?w=640&amp;h=640")</f>
        <v>https://si.geilicdn.com/pcitem2014204438-13850000019ac968cb250a231316_1080_1440.jpg?w=640&amp;h=640</v>
      </c>
      <c r="F37" t="inlineStr">
        <is>
          <t>Electronic</t>
        </is>
      </c>
      <c r="G37" t="inlineStr">
        <is>
          <t>Marshall</t>
        </is>
      </c>
      <c r="H37">
        <v>480</v>
      </c>
      <c r="I37">
        <v>69.5797101449275</v>
      </c>
      <c r="J37" t="inlineStr">
        <is>
          <t>{"id":"chatcmpl-DYiyDRFz67tTxFjbHoyUs9aONDLJq","object":"chat.completion","created":1777168389,"model":"gpt-5-chat-2025-10-03","choices":[{"index":0,"message":{"role":"assistant","content":"Marshall M35 Bluetooth Speaker Set Black Gold 20H Playtime","refusal":null,"annotations":[]},"logprobs":null,"finish_reason":"stop"}],"usage":{"prompt_tokens":888,"completion_tokens":14,"total_tokens":902,"prompt_tokens_details":{"cached_tokens":0,"audio_tokens":0},"completion_tokens_details":{"reasoning_tokens":0,"audio_tokens":0,"accepted_prediction_tokens":0,"rejected_prediction_tokens":0}},"service_tier":"default","system_fingerprint":"fp_ad66631dec"}</t>
        </is>
      </c>
      <c r="K37" t="inlineStr">
        <is>
          <t>Marshall M35 Bluetooth Speaker Set Black Gold 20H Playtime</t>
        </is>
      </c>
      <c r="L37" t="inlineStr">
        <is>
          <t>{"id":"chatcmpl-DYiF1VtkizqqclV9LfVrYG9tV05Vc","object":"chat.completion","created":1777165587,"model":"gpt-5-chat-2025-10-03","choices":[{"index":0,"message":{"role":"assistant","content":"Marshall M35 Black Gold Portable Bluetooth Speaker Set, retro amp design with metal grille and leather texture, powerful 3D sound, wireless pairing &amp; dual mic karaoke, 20h playtime, British rock style.","refusal":null,"annotations":[]},"logprobs":null,"finish_reason":"stop"}],"usage":{"prompt_tokens":908,"completion_tokens":44,"total_tokens":952,"prompt_tokens_details":{"cached_tokens":0,"audio_tokens":0},"completion_tokens_details":{"reasoning_tokens":0,"audio_tokens":0,"accepted_prediction_tokens":0,"rejected_prediction_tokens":0}},"service_tier":"default","system_fingerprint":"fp_ad66631dec"}</t>
        </is>
      </c>
      <c r="M37" t="inlineStr">
        <is>
          <t>{"alt-svc":"h3=\":443\"; ma=2592000","apim-request-id":"35b8697e-097a-4769-8350-559860cb8e6b","azureml-model-session":"d20260405225800-40f19e54","cache-control":"no-cache","connection":"close","content-length":"1009","content-type":"application/json","date":"Sun, 26 Apr 2026 01:06:28 GMT","server":"Caddy","skip-error-remapping":"true","strict-transport-security":"max-age=31536000; includeSubDomains; preload","x-content-type-options":"nosniff","x-ms-client-request-id":"Not-Set","x-ms-is-spilled-over":"false","x-ms-rai-invoked":"false","x-ms-region":"East US","x-new-api-version":"0.4.35","x-oneapi-request-id":"202604260106226901107088268d9d6b4bnqQpP","x-ratelimit-abusepenalty-active":"False","x-ratelimit-limit-requests":"1000","x-ratelimit-limit-tokens":"1000000","x-ratelimit-remaining-requests":"999","x-ratelimit-remaining-tokens":"998330","x-ratelimit-renewalperiod-requests":"60","x-ratelimit-renewalperiod-tokens":"60","x-ratelimit-reset-requests":"60","x-ratelimit-reset-tokens":"100","x-request-id":"e25fb2a4-04d4-4ea9-bf56-79bdc812cf0d"}</t>
        </is>
      </c>
      <c r="N37" t="inlineStr">
        <is>
          <t>Marshall M35 Black Gold Portable Bluetooth Speaker Set, retro amp design with metal grille and leather texture, powerful 3D sound, wireless pairing &amp; dual mic karaoke, 20h playtime, British rock style.</t>
        </is>
      </c>
      <c r="O37" t="inlineStr">
        <is>
          <t>{"id":"chatcmpl-DYiX9Bcgaqlyh9Q7kPDSctbsK7wO7","object":"chat.completion","created":1777166711,"model":"gpt-5-chat-2025-10-03","choices":[{"index":0,"message":{"role":"assistant","content":"Marshall,wireless 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88,"total_tokens":869,"prompt_tokens_details":{"cached_tokens":0,"audio_tokens":0},"completion_tokens_details":{"reasoning_tokens":0,"audio_tokens":0,"accepted_prediction_tokens":0,"rejected_prediction_tokens":0}},"service_tier":"default","system_fingerprint":"fp_ad66631dec"}</t>
        </is>
      </c>
      <c r="P37" t="inlineStr">
        <is>
          <t>Marshall,wireless speaker,kakobuy,kakebuy2026,kekobuysheet,kakobuysheet2026,2026kakobuy,kakobuyspreadsheeet,kakobuylink,kakebuylist,Kakobuy MEGA Spreadsheet,kakobuysheetfind,kakobuysheetfind2026,2026kakobuysheetfind,kakobuysheet2026</t>
        </is>
      </c>
      <c r="Q37" t="inlineStr">
        <is>
          <t>Marshall, Black Gold, Retro</t>
        </is>
      </c>
      <c r="R37" t="inlineStr">
        <is>
          <t>recvhju1CrjQAw</t>
        </is>
      </c>
      <c r="S37" t="inlineStr">
        <is>
          <t>marshall-m35-bluetooth-speaker-recvhju1crjqaw</t>
        </is>
      </c>
      <c r="T37"/>
      <c r="U37"/>
      <c r="V37"/>
      <c r="W37" t="inlineStr">
        <is>
          <t>{"id":"chatcmpl-DYhqC1zVjOXqdrMtPebxu8rK4y9d4","object":"chat.completion","created":1777164048,"model":"gpt-5-chat-2025-10-03","choices":[{"index":0,"message":{"role":"assistant","content":"Marshall：M35黑金便携蓝牙音箱套装，复古琴箱设计，金属网面搭配皮革质感，音质澎湃立体，支持无线连接与双麦K歌功能，20小时续航，彰显英伦摇滚风格，适合男女户外休闲、派对娱乐使用。","refusal":null,"annotations":[]},"logprobs":null,"finish_reason":"stop"}],"usage":{"prompt_tokens":1291,"completion_tokens":79,"total_tokens":1370,"prompt_tokens_details":{"cached_tokens":1280,"audio_tokens":0},"completion_tokens_details":{"reasoning_tokens":0,"audio_tokens":0,"accepted_prediction_tokens":0,"rejected_prediction_tokens":0}},"service_tier":"default","system_fingerprint":"fp_ad66631dec"}</t>
        </is>
      </c>
      <c r="X37" t="inlineStr">
        <is>
          <t>Marshall：M35黑金便携蓝牙音箱套装，复古琴箱设计，金属网面搭配皮革质感，音质澎湃立体，支持无线连接与双麦K歌功能，20小时续航，彰显英伦摇滚风格，适合男女户外休闲、派对娱乐使用。</t>
        </is>
      </c>
    </row>
    <row r="38" ht="25.5" customHeight="1">
      <c r="A38">
        <v>1654975475</v>
      </c>
      <c r="B38">
        <v>7618820807</v>
      </c>
      <c r="C38" s="2" t="str">
        <f>=HYPERLINK("https://weidian.com/item.html?itemID=7618820807", "https://weidian.com/item.html?itemID=7618820807")</f>
        <v>https://weidian.com/item.html?itemID=7618820807</v>
      </c>
      <c r="D38"/>
      <c r="E38" s="2" t="str">
        <f>=HYPERLINK("https://si.geilicdn.com/pcitem2014204438-72f00000019ac96cd34c0a2103bd_1440_1920.jpg?w=640&amp;h=640", "https://si.geilicdn.com/pcitem2014204438-72f00000019ac96cd34c0a2103bd_1440_1920.jpg?w=640&amp;h=640")</f>
        <v>https://si.geilicdn.com/pcitem2014204438-72f00000019ac96cd34c0a2103bd_1440_1920.jpg?w=640&amp;h=640</v>
      </c>
      <c r="F38" t="inlineStr">
        <is>
          <t>Electronic</t>
        </is>
      </c>
      <c r="G38" t="inlineStr">
        <is>
          <t>Marshall</t>
        </is>
      </c>
      <c r="H38">
        <v>490</v>
      </c>
      <c r="I38">
        <v>71.01</v>
      </c>
      <c r="J38" t="inlineStr">
        <is>
          <t>{"id":"chatcmpl-DYj1ffOuQxO8Imnm2DvOoM6rLCqoD","object":"chat.completion","created":1777168603,"model":"gpt-5-chat-2025-10-03","choices":[{"index":0,"message":{"role":"assistant","content":"Marshall Black Gold Retro Bluetooth Speaker","refusal":null,"annotations":[]},"logprobs":null,"finish_reason":"stop"}],"usage":{"prompt_tokens":866,"completion_tokens":7,"total_tokens":873,"prompt_tokens_details":{"cached_tokens":0,"audio_tokens":0},"completion_tokens_details":{"reasoning_tokens":0,"audio_tokens":0,"accepted_prediction_tokens":0,"rejected_prediction_tokens":0}},"service_tier":"default","system_fingerprint":"fp_ad66631dec"}</t>
        </is>
      </c>
      <c r="K38" t="inlineStr">
        <is>
          <t>Marshall Black Gold Retro Bluetooth Speaker</t>
        </is>
      </c>
      <c r="L38" t="inlineStr">
        <is>
          <t>{"id":"chatcmpl-DYiFiwEChIBUzA0BBAKlaA2xm7MFU","object":"chat.completion","created":1777165630,"model":"gpt-5-chat-2025-10-03","choices":[{"index":0,"message":{"role":"assistant","content":"Marshall Black Gold Retro Portable Bluetooth Speaker – classic metal mesh and leather design, dual microphones, hi-fi stereo sound, vintage British rock style for men and women.","refusal":null,"annotations":[]},"logprobs":null,"finish_reason":"stop"}],"usage":{"prompt_tokens":906,"completion_tokens":33,"total_tokens":939,"prompt_tokens_details":{"cached_tokens":0,"audio_tokens":0},"completion_tokens_details":{"reasoning_tokens":0,"audio_tokens":0,"accepted_prediction_tokens":0,"rejected_prediction_tokens":0}},"service_tier":"default","system_fingerprint":"fp_ad66631dec"}</t>
        </is>
      </c>
      <c r="M38" t="inlineStr">
        <is>
          <t>{"alt-svc":"h3=\":443\"; ma=2592000","apim-request-id":"78a9d7b1-d5d4-4357-b181-dd987de7bd81","azureml-model-session":"d20260405221325-2e8d5e76","cache-control":"no-cache","connection":"close","content-length":"987","content-type":"application/json","date":"Sun, 26 Apr 2026 01:07:11 GMT","server":"Caddy","skip-error-remapping":"true","strict-transport-security":"max-age=31536000; includeSubDomains; preload","x-content-type-options":"nosniff","x-ms-client-request-id":"Not-Set","x-ms-is-spilled-over":"false","x-ms-rai-invoked":"false","x-ms-region":"East US 2","x-new-api-version":"0.4.35","x-oneapi-request-id":"202604260107095879563398268d9d6hfgsq8U3","x-ratelimit-abusepenalty-active":"False","x-ratelimit-limit-requests":"1000","x-ratelimit-limit-tokens":"1000000","x-ratelimit-remaining-requests":"999","x-ratelimit-remaining-tokens":"998332","x-ratelimit-renewalperiod-requests":"60","x-ratelimit-renewalperiod-tokens":"60","x-ratelimit-reset-requests":"60","x-ratelimit-reset-tokens":"100","x-request-id":"318faf94-247c-426a-9da9-57593b5a21d3"}</t>
        </is>
      </c>
      <c r="N38" t="inlineStr">
        <is>
          <t>Marshall Black Gold Retro Portable Bluetooth Speaker – classic metal mesh and leather design, dual microphones, hi-fi stereo sound, vintage British rock style for men and women.</t>
        </is>
      </c>
      <c r="O38" t="inlineStr">
        <is>
          <t>{"id":"chatcmpl-DYiZBcXAZYWF5VsM7BsohXr1sjjmk","object":"chat.completion","created":1777166837,"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38" t="inlineStr">
        <is>
          <t>Marshall,Speaker,kakobuy,kakebuy2026,kekobuysheet,kakobuysheet2026,2026kakobuy,kakobuyspreadsheeet,kakobuylink,kakebuylist,Kakobuy MEGA Spreadsheet,kakobuysheetfind,kakobuysheetfind2026,2026kakobuysheetfind,kakobuysheet2026</t>
        </is>
      </c>
      <c r="Q38" t="inlineStr">
        <is>
          <t>Marshall, Black Gold, Retro, Vintage, Unisex</t>
        </is>
      </c>
      <c r="R38" t="inlineStr">
        <is>
          <t>recvhju1CrZ7Id</t>
        </is>
      </c>
      <c r="S38" t="inlineStr">
        <is>
          <t>marshall-black-gold-retro-bluetooth-speaker-recvhju1crz7id</t>
        </is>
      </c>
      <c r="T38"/>
      <c r="U38"/>
      <c r="V38"/>
      <c r="W38" t="inlineStr">
        <is>
          <t>{"id":"chatcmpl-DYhsIztHrQJfVgJHMpdJ59XWjDJXd","object":"chat.completion","created":1777164178,"model":"gpt-5-chat-2025-10-03","choices":[{"index":0,"message":{"role":"assistant","content":"Marshall：黑金复古便携蓝牙音箱，甄选金属网面与皮质外壳设计，融合经典摇滚美学与现代音质科技，搭配双麦克风支持高保真立体声传输，适合男女使用，复古风格彰显英伦格调。","refusal":null,"annotations":[]},"logprobs":null,"finish_reason":"stop"}],"usage":{"prompt_tokens":1299,"completion_tokens":73,"total_tokens":1372,"prompt_tokens_details":{"cached_tokens":1280,"audio_tokens":0},"completion_tokens_details":{"reasoning_tokens":0,"audio_tokens":0,"accepted_prediction_tokens":0,"rejected_prediction_tokens":0}},"service_tier":"default","system_fingerprint":"fp_ad66631dec"}</t>
        </is>
      </c>
      <c r="X38" t="inlineStr">
        <is>
          <t>Marshall：黑金复古便携蓝牙音箱，甄选金属网面与皮质外壳设计，融合经典摇滚美学与现代音质科技，搭配双麦克风支持高保真立体声传输，适合男女使用，复古风格彰显英伦格调。</t>
        </is>
      </c>
    </row>
    <row r="39" ht="25.5" customHeight="1">
      <c r="A39">
        <v>1654975475</v>
      </c>
      <c r="B39">
        <v>7621750904</v>
      </c>
      <c r="C39" s="2" t="str">
        <f>=HYPERLINK("https://weidian.com/item.html?itemID=7621750904", "https://weidian.com/item.html?itemID=7621750904")</f>
        <v>https://weidian.com/item.html?itemID=7621750904</v>
      </c>
      <c r="D39"/>
      <c r="E39" s="2" t="str">
        <f>=HYPERLINK("https://si.geilicdn.com/pcitem2014204438-48660000019ac96d5adf0a2102c5_1074_1074.jpg?w=640&amp;h=640", "https://si.geilicdn.com/pcitem2014204438-48660000019ac96d5adf0a2102c5_1074_1074.jpg?w=640&amp;h=640")</f>
        <v>https://si.geilicdn.com/pcitem2014204438-48660000019ac96d5adf0a2102c5_1074_1074.jpg?w=640&amp;h=640</v>
      </c>
      <c r="F39" t="inlineStr">
        <is>
          <t>Toys</t>
        </is>
      </c>
      <c r="G39" t="inlineStr">
        <is>
          <t>BE@RBRICK</t>
        </is>
      </c>
      <c r="H39">
        <v>198</v>
      </c>
      <c r="I39">
        <v>28.695652173913</v>
      </c>
      <c r="J39" t="inlineStr">
        <is>
          <t>{"id":"chatcmpl-DYj1ILCG379O6YDVmCtX2q10KLv7c","object":"chat.completion","created":1777168580,"model":"gpt-5-chat-2025-10-03","choices":[{"index":0,"message":{"role":"assistant","content":"ToysBE@RBRICK White Bentley Limited Edition Art Figure","refusal":null,"annotations":[]},"logprobs":null,"finish_reason":"stop"}],"usage":{"prompt_tokens":883,"completion_tokens":14,"total_tokens":897,"prompt_tokens_details":{"cached_tokens":0,"audio_tokens":0},"completion_tokens_details":{"reasoning_tokens":0,"audio_tokens":0,"accepted_prediction_tokens":0,"rejected_prediction_tokens":0}},"service_tier":"default","system_fingerprint":"fp_ad66631dec"}</t>
        </is>
      </c>
      <c r="K39" t="inlineStr">
        <is>
          <t>ToysBE@RBRICK White Bentley Limited Edition Art Figure</t>
        </is>
      </c>
      <c r="L39" t="inlineStr">
        <is>
          <t>{"id":"chatcmpl-DYiEEIlCqHBK6ruvKV5gswCsUmFB3","object":"chat.completion","created":1777165538,"model":"gpt-5-chat-2025-10-03","choices":[{"index":0,"message":{"role":"assistant","content":"ToysBE@RBRICK White Limited Edition ABS Art Figure, featuring metallic Bentley emblem, sleek design and luxury minimalist aesthetics. Perfect for home décor, collectors, and modern art lovers.","refusal":null,"annotations":[]},"logprobs":null,"finish_reason":"stop"}],"usage":{"prompt_tokens":933,"completion_tokens":39,"total_tokens":972,"prompt_tokens_details":{"cached_tokens":0,"audio_tokens":0},"completion_tokens_details":{"reasoning_tokens":0,"audio_tokens":0,"accepted_prediction_tokens":0,"rejected_prediction_tokens":0}},"service_tier":"default","system_fingerprint":"fp_ad66631dec"}</t>
        </is>
      </c>
      <c r="M39" t="inlineStr">
        <is>
          <t>{"alt-svc":"h3=\":443\"; ma=2592000","apim-request-id":"b5235881-fe08-404f-b64a-549a7dd1e8b2","azureml-model-session":"d20260405225800-40f19e54","cache-control":"no-cache","connection":"close","content-length":"1001","content-type":"application/json","date":"Sun, 26 Apr 2026 01:05:40 GMT","server":"nginx","skip-error-remapping":"true","strict-transport-security":"max-age=31536000; includeSubDomains; preload","via":"1.1 Caddy","x-content-type-options":"nosniff","x-ms-client-request-id":"Not-Set","x-ms-is-spilled-over":"false","x-ms-rai-invoked":"false","x-ms-region":"UK South","x-new-api-version":"0.4.35","x-oneapi-request-id":"20260426010538124573888268d9d6ijz2Tpul","x-ratelimit-abusepenalty-active":"False","x-ratelimit-limit-requests":"1000","x-ratelimit-limit-tokens":"1000000","x-ratelimit-remaining-requests":"999","x-ratelimit-remaining-tokens":"998305","x-ratelimit-renewalperiod-requests":"60","x-ratelimit-renewalperiod-tokens":"60","x-ratelimit-reset-requests":"60","x-ratelimit-reset-tokens":"101","x-request-id":"0b4d29f7-bda2-490d-b07b-b89b652ac696"}</t>
        </is>
      </c>
      <c r="N39" t="inlineStr">
        <is>
          <t>ToysBE@RBRICK White Limited Edition ABS Art Figure, featuring metallic Bentley emblem, sleek design and luxury minimalist aesthetics. Perfect for home décor, collectors, and modern art lovers.</t>
        </is>
      </c>
      <c r="O39" t="inlineStr">
        <is>
          <t>{"id":"chatcmpl-DYiRXbn5IJ4IN7NxNgZA7wZKXZfYQ","object":"chat.completion","created":1777166363,"model":"gpt-5-chat-2025-10-03","choices":[{"index":0,"message":{"role":"assistant","content":"BE@RBRICK,Toy,kakobuy,kakebuy2026,kekobuysheet,kakobuysheet2026,2026kakobuy,kakobuyspreadsheeet,kakobuylink,kakebuylist,Kakobuy MEGA Spreadsheet,kakobuysheetfind,kakobuysheetfind2026,2026kakobuysheetfind,kakobuysheet2026","refusal":null,"annotations":[]},"logprobs":null,"finish_reason":"stop"}],"usage":{"prompt_tokens":786,"completion_tokens":90,"total_tokens":876,"prompt_tokens_details":{"cached_tokens":0,"audio_tokens":0},"completion_tokens_details":{"reasoning_tokens":0,"audio_tokens":0,"accepted_prediction_tokens":0,"rejected_prediction_tokens":0}},"service_tier":"default","system_fingerprint":"fp_ad66631dec"}</t>
        </is>
      </c>
      <c r="P39" t="inlineStr">
        <is>
          <t>BE@RBRICK,Toy,kakobuy,kakebuy2026,kekobuysheet,kakobuysheet2026,2026kakobuy,kakobuyspreadsheeet,kakobuylink,kakebuylist,Kakobuy MEGA Spreadsheet,kakobuysheetfind,kakobuysheetfind2026,2026kakobuysheetfind,kakobuysheet2026</t>
        </is>
      </c>
      <c r="Q39"/>
      <c r="R39" t="inlineStr">
        <is>
          <t>recvhju1CrOsZK</t>
        </is>
      </c>
      <c r="S39" t="inlineStr">
        <is>
          <t>toysbearbrick-white-bentley-recvhju1crosz</t>
        </is>
      </c>
      <c r="T39"/>
      <c r="U39"/>
      <c r="V39"/>
      <c r="W39" t="inlineStr">
        <is>
          <t>{"id":"chatcmpl-DYhoeQrzSmvIfVbTCf7VPAvVfi4HB","object":"chat.completion","created":1777163952,"model":"gpt-5-chat-2025-10-03","choices":[{"index":0,"message":{"role":"assistant","content":"BE@RBRICK 白色限量版潮流摆件，采用高光ABS材质打造，呈现简约奢华美学。胸前印有质感金属风标志图腾，流线型设计彰显工艺细节。男女皆宜，收藏与装饰兼备，现代艺术风格演绎跨界设计灵感，适合打造高端家居氛围。","refusal":null,"annotations":[]},"logprobs":null,"finish_reason":"stop"}],"usage":{"prompt_tokens":1310,"completion_tokens":94,"total_tokens":1404,"prompt_tokens_details":{"cached_tokens":1280,"audio_tokens":0},"completion_tokens_details":{"reasoning_tokens":0,"audio_tokens":0,"accepted_prediction_tokens":0,"rejected_prediction_tokens":0}},"service_tier":"default","system_fingerprint":"fp_ad66631dec"}</t>
        </is>
      </c>
      <c r="X39" t="inlineStr">
        <is>
          <t>BE@RBRICK 白色限量版潮流摆件，采用高光ABS材质打造，呈现简约奢华美学。胸前印有质感金属风标志图腾，流线型设计彰显工艺细节。男女皆宜，收藏与装饰兼备，现代艺术风格演绎跨界设计灵感，适合打造高端家居氛围。</t>
        </is>
      </c>
    </row>
    <row r="40" ht="25.5" customHeight="1">
      <c r="A40">
        <v>1654975475</v>
      </c>
      <c r="B40">
        <v>7621831800</v>
      </c>
      <c r="C40" s="2" t="str">
        <f>=HYPERLINK("https://weidian.com/item.html?itemID=7621831800", "https://weidian.com/item.html?itemID=7621831800")</f>
        <v>https://weidian.com/item.html?itemID=7621831800</v>
      </c>
      <c r="D40"/>
      <c r="E40" s="2" t="str">
        <f>=HYPERLINK("https://si.geilicdn.com/pcitem2014204438-48ff0000019ac96dbbf10a8134f0_1080_1364.jpg?w=640&amp;h=640", "https://si.geilicdn.com/pcitem2014204438-48ff0000019ac96dbbf10a8134f0_1080_1364.jpg?w=640&amp;h=640")</f>
        <v>https://si.geilicdn.com/pcitem2014204438-48ff0000019ac96dbbf10a8134f0_1080_1364.jpg?w=640&amp;h=640</v>
      </c>
      <c r="F40" t="inlineStr">
        <is>
          <t>Electronic</t>
        </is>
      </c>
      <c r="G40" t="inlineStr">
        <is>
          <t>Marshall</t>
        </is>
      </c>
      <c r="H40">
        <v>700</v>
      </c>
      <c r="I40">
        <v>101.45</v>
      </c>
      <c r="J40" t="inlineStr">
        <is>
          <t>{"id":"chatcmpl-DYiznYXp60KS3RHCHyQACEl17DJdz","object":"chat.completion","created":1777168487,"model":"gpt-5-chat-2025-10-03","choices":[{"index":0,"message":{"role":"assistant","content":"ElectronicMarshall Galaxy Series Starry Sky Bluetooth Speaker","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40" t="inlineStr">
        <is>
          <t>ElectronicMarshall Galaxy Series Starry Sky Bluetooth Speaker</t>
        </is>
      </c>
      <c r="L40" t="inlineStr">
        <is>
          <t>{"id":"chatcmpl-DYiFdzIfydklSYFCYHF6hZcrSqNeH","object":"chat.completion","created":1777165625,"model":"gpt-5-chat-2025-10-03","choices":[{"index":0,"message":{"role":"assistant","content":"ElectronicMarshall Galaxy Series Blue-Purple Starry Sky Bluetooth Speaker, round design with retro wooden tripod, blending visual art and Hi-Fi sound, ideal for stylish homes and music lovers.","refusal":null,"annotations":[]},"logprobs":null,"finish_reason":"stop"}],"usage":{"prompt_tokens":890,"completion_tokens":37,"total_tokens":927,"prompt_tokens_details":{"cached_tokens":0,"audio_tokens":0},"completion_tokens_details":{"reasoning_tokens":0,"audio_tokens":0,"accepted_prediction_tokens":0,"rejected_prediction_tokens":0}},"service_tier":"default","system_fingerprint":"fp_ad66631dec"}</t>
        </is>
      </c>
      <c r="M40" t="inlineStr">
        <is>
          <t>{"alt-svc":"h3=\":443\"; ma=2592000","apim-request-id":"4b859081-f947-43b6-b4c0-7a6b2ead7171","azureml-model-session":"d20260402083108-57a85543","cache-control":"no-cache","connection":"close","content-length":"1000","content-type":"application/json","date":"Sun, 26 Apr 2026 01:07:05 GMT","server":"Caddy","skip-error-remapping":"true","strict-transport-security":"max-age=31536000; includeSubDomains; preload","x-content-type-options":"nosniff","x-ms-client-request-id":"Not-Set","x-ms-is-spilled-over":"false","x-ms-rai-invoked":"false","x-ms-region":"East US","x-new-api-version":"0.4.35","x-oneapi-request-id":"202604260107039723656488268d9d6VFXfPtnW","x-ratelimit-abusepenalty-active":"False","x-ratelimit-limit-requests":"1000","x-ratelimit-limit-tokens":"1000000","x-ratelimit-remaining-requests":"999","x-ratelimit-remaining-tokens":"998348","x-ratelimit-renewalperiod-requests":"60","x-ratelimit-renewalperiod-tokens":"60","x-ratelimit-reset-requests":"60","x-ratelimit-reset-tokens":"99","x-request-id":"6a49a945-87d5-4f0c-a04f-3a44298ab7e5"}</t>
        </is>
      </c>
      <c r="N40" t="inlineStr">
        <is>
          <t>ElectronicMarshall Galaxy Series Blue-Purple Starry Sky Bluetooth Speaker, round design with retro wooden tripod, blending visual art and Hi-Fi sound, ideal for stylish homes and music lovers.</t>
        </is>
      </c>
      <c r="O40" t="inlineStr">
        <is>
          <t>{"id":"chatcmpl-DYiWzd8VqGwWjB0hekQK8w1apgkGU","object":"chat.completion","created":1777166701,"model":"gpt-5-chat-2025-10-03","choices":[{"index":0,"message":{"role":"assistant","content":"Electronic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87,"total_tokens":868,"prompt_tokens_details":{"cached_tokens":0,"audio_tokens":0},"completion_tokens_details":{"reasoning_tokens":0,"audio_tokens":0,"accepted_prediction_tokens":0,"rejected_prediction_tokens":0}},"service_tier":"default","system_fingerprint":"fp_ad66631dec"}</t>
        </is>
      </c>
      <c r="P40" t="inlineStr">
        <is>
          <t>ElectronicMarshall,speaker,kakobuy,kakebuy2026,kekobuysheet,kakobuysheet2026,2026kakobuy,kakobuyspreadsheeet,kakobuylink,kakebuylist,Kakobuy MEGA Spreadsheet,kakobuysheetfind,kakobuysheetfind2026,2026kakobuysheetfind,kakobuysheet2026</t>
        </is>
      </c>
      <c r="Q40" t="inlineStr">
        <is>
          <t>Marshall, Blue, Purple, Retro, Artistic Style, Home Style</t>
        </is>
      </c>
      <c r="R40" t="inlineStr">
        <is>
          <t>recvhju1Cr4GiC</t>
        </is>
      </c>
      <c r="S40" t="inlineStr">
        <is>
          <t>electronicmarshall-galaxy-starry-sky-speaker-recvhju1cr4gic</t>
        </is>
      </c>
      <c r="T40"/>
      <c r="U40"/>
      <c r="V40"/>
      <c r="W40" t="inlineStr">
        <is>
          <t>{"id":"chatcmpl-DYhupDut5T0GR017tSb1xMhQ5Je6b","object":"chat.completion","created":1777164335,"model":"gpt-5-chat-2025-10-03","choices":[{"index":0,"message":{"role":"assistant","content":"Marshall：银河系列蓝紫色星空圆形蓝牙音箱，复古木质三脚架设计，视觉艺术与高保真音质结合，时尚家居与音乐爱好者必备，兼具装饰与实用功能。","refusal":null,"annotations":[]},"logprobs":null,"finish_reason":"stop"}],"usage":{"prompt_tokens":1299,"completion_tokens":57,"total_tokens":1356,"prompt_tokens_details":{"cached_tokens":0,"audio_tokens":0},"completion_tokens_details":{"reasoning_tokens":0,"audio_tokens":0,"accepted_prediction_tokens":0,"rejected_prediction_tokens":0}},"service_tier":"default","system_fingerprint":"fp_ad66631dec"}</t>
        </is>
      </c>
      <c r="X40" t="inlineStr">
        <is>
          <t>Marshall：银河系列蓝紫色星空圆形蓝牙音箱，复古木质三脚架设计，视觉艺术与高保真音质结合，时尚家居与音乐爱好者必备，兼具装饰与实用功能。</t>
        </is>
      </c>
    </row>
    <row r="41" ht="25.5" customHeight="1">
      <c r="A41">
        <v>1654975475</v>
      </c>
      <c r="B41">
        <v>7618747335</v>
      </c>
      <c r="C41" s="2" t="str">
        <f>=HYPERLINK("https://weidian.com/item.html?itemID=7618747335", "https://weidian.com/item.html?itemID=7618747335")</f>
        <v>https://weidian.com/item.html?itemID=7618747335</v>
      </c>
      <c r="D41"/>
      <c r="E41" s="2" t="str">
        <f>=HYPERLINK("https://si.geilicdn.com/pcitem2014204438-50200000019ac96e4e460a8133cc_1442_1922.jpg?w=640&amp;h=640", "https://si.geilicdn.com/pcitem2014204438-50200000019ac96e4e460a8133cc_1442_1922.jpg?w=640&amp;h=640")</f>
        <v>https://si.geilicdn.com/pcitem2014204438-50200000019ac96e4e460a8133cc_1442_1922.jpg?w=640&amp;h=640</v>
      </c>
      <c r="F41" t="inlineStr">
        <is>
          <t>Electronic</t>
        </is>
      </c>
      <c r="G41" t="inlineStr">
        <is>
          <t>JBL</t>
        </is>
      </c>
      <c r="H41">
        <v>216</v>
      </c>
      <c r="I41">
        <v>31.3</v>
      </c>
      <c r="J41" t="inlineStr">
        <is>
          <t>{"id":"chatcmpl-DYixsxroDZkFdxasj9fGD1AOb9qv4","object":"chat.completion","created":1777168368,"model":"gpt-5-chat-2025-10-03","choices":[{"index":0,"message":{"role":"assistant","content":"JBL GO4 Black Waterproof Portable Bluetooth Speaker","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41" t="inlineStr">
        <is>
          <t>JBL GO4 Black Waterproof Portable Bluetooth Speaker</t>
        </is>
      </c>
      <c r="L41" t="inlineStr">
        <is>
          <t>{"id":"chatcmpl-DYiG0aibjAP73LUqZJWNFeg2NUDW0","object":"chat.completion","created":1777165648,"model":"gpt-5-chat-2025-10-03","choices":[{"index":0,"message":{"role":"assistant","content":"JBL GO4 Black Waterproof Bluetooth Speaker – durable fabric, portable loop design, compact size with powerful stereo sound, sleek minimalist style for outdoor, travel, and daily music enjoyment.","refusal":null,"annotations":[]},"logprobs":null,"finish_reason":"stop"}],"usage":{"prompt_tokens":901,"completion_tokens":37,"total_tokens":938,"prompt_tokens_details":{"cached_tokens":0,"audio_tokens":0},"completion_tokens_details":{"reasoning_tokens":0,"audio_tokens":0,"accepted_prediction_tokens":0,"rejected_prediction_tokens":0}},"service_tier":"default","system_fingerprint":"fp_ad66631dec"}</t>
        </is>
      </c>
      <c r="M41" t="inlineStr">
        <is>
          <t>{"alt-svc":"h3=\":443\"; ma=2592000","apim-request-id":"2fbd73ed-7e41-4cc3-b3ce-8be5f0bb0cb6","azureml-model-session":"d20260402084046-4209e968","cache-control":"no-cache","connection":"close","content-length":"1004","content-type":"application/json","date":"Sun, 26 Apr 2026 01:07:29 GMT","server":"nginx","skip-error-remapping":"true","strict-transport-security":"max-age=31536000; includeSubDomains; preload","via":"1.1 Caddy","x-content-type-options":"nosniff","x-ms-client-request-id":"Not-Set","x-ms-is-spilled-over":"false","x-ms-rai-invoked":"false","x-ms-region":"UK South","x-new-api-version":"0.4.35","x-oneapi-request-id":"202604260107268678822128268d9d6q2nORNnT","x-ratelimit-abusepenalty-active":"False","x-ratelimit-limit-requests":"1000","x-ratelimit-limit-tokens":"1000000","x-ratelimit-remaining-requests":"999","x-ratelimit-remaining-tokens":"998337","x-ratelimit-renewalperiod-requests":"60","x-ratelimit-renewalperiod-tokens":"60","x-ratelimit-reset-requests":"60","x-ratelimit-reset-tokens":"99","x-request-id":"1abb64e6-8959-4c2e-a54b-e5514d4cff1d"}</t>
        </is>
      </c>
      <c r="N41" t="inlineStr">
        <is>
          <t>JBL GO4 Black Waterproof Bluetooth Speaker – durable fabric, portable loop design, compact size with powerful stereo sound, sleek minimalist style for outdoor, travel, and daily music enjoyment.</t>
        </is>
      </c>
      <c r="O41" t="inlineStr">
        <is>
          <t>{"id":"chatcmpl-DYiU75n2FBlI9tR8wY8cjOCHxIMVl","object":"chat.completion","created":1777166523,"model":"gpt-5-chat-2025-10-03","choices":[{"index":0,"message":{"role":"assistant","content":"JBL,Bluetooth 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41" t="inlineStr">
        <is>
          <t>JBL,Bluetooth Speaker,kakobuy,kakebuy2026,kekobuysheet,kakobuysheet2026,2026kakobuy,kakobuyspreadsheeet,kakobuylink,kakebuylist,Kakobuy MEGA Spreadsheet,kakobuysheetfind,kakobuysheetfind2026,2026kakobuysheetfind,kakobuysheet2026</t>
        </is>
      </c>
      <c r="Q41"/>
      <c r="R41" t="inlineStr">
        <is>
          <t>recvhju1CrVGDN</t>
        </is>
      </c>
      <c r="S41" t="inlineStr">
        <is>
          <t>jbl-go4-black-waterproof-portable-bluetooth-speaker-recvhju1crvgdn</t>
        </is>
      </c>
      <c r="T41"/>
      <c r="U41"/>
      <c r="V41"/>
      <c r="W41" t="inlineStr">
        <is>
          <t>{"id":"chatcmpl-DYhoX3aWV9TTR7Hobf18STDkxlnhh","object":"chat.completion","created":1777163945,"model":"gpt-5-chat-2025-10-03","choices":[{"index":0,"message":{"role":"assistant","content":"JBL：GO4黑色防水蓝牙音箱，采用耐用织物材质与便携挂环设计，小巧机身释放强劲立体声效，兼具现代极简风格与出色音质表现，适合男女户外、旅行及日常音乐享受。","refusal":null,"annotations":[]},"logprobs":null,"finish_reason":"stop"}],"usage":{"prompt_tokens":1299,"completion_tokens":68,"total_tokens":1367,"prompt_tokens_details":{"cached_tokens":1280,"audio_tokens":0},"completion_tokens_details":{"reasoning_tokens":0,"audio_tokens":0,"accepted_prediction_tokens":0,"rejected_prediction_tokens":0}},"service_tier":"default","system_fingerprint":"fp_ad66631dec"}</t>
        </is>
      </c>
      <c r="X41" t="inlineStr">
        <is>
          <t>JBL：GO4黑色防水蓝牙音箱，采用耐用织物材质与便携挂环设计，小巧机身释放强劲立体声效，兼具现代极简风格与出色音质表现，适合男女户外、旅行及日常音乐享受。</t>
        </is>
      </c>
    </row>
    <row r="42" ht="25.5" customHeight="1">
      <c r="A42">
        <v>1654975475</v>
      </c>
      <c r="B42">
        <v>7621829912</v>
      </c>
      <c r="C42" s="2" t="str">
        <f>=HYPERLINK("https://weidian.com/item.html?itemID=7621829912", "https://weidian.com/item.html?itemID=7621829912")</f>
        <v>https://weidian.com/item.html?itemID=7621829912</v>
      </c>
      <c r="D42"/>
      <c r="E42" s="2" t="str">
        <f>=HYPERLINK("https://si.geilicdn.com/pcitem2014204438-4ee20000019ac96f04090a210256_1440_1920.jpg?w=640&amp;h=640", "https://si.geilicdn.com/pcitem2014204438-4ee20000019ac96f04090a210256_1440_1920.jpg?w=640&amp;h=640")</f>
        <v>https://si.geilicdn.com/pcitem2014204438-4ee20000019ac96f04090a210256_1440_1920.jpg?w=640&amp;h=640</v>
      </c>
      <c r="F42" t="inlineStr">
        <is>
          <t>Electronic</t>
        </is>
      </c>
      <c r="G42" t="inlineStr">
        <is>
          <t>JBL</t>
        </is>
      </c>
      <c r="H42">
        <v>216</v>
      </c>
      <c r="I42">
        <v>31.3</v>
      </c>
      <c r="J42" t="inlineStr">
        <is>
          <t>{"id":"chatcmpl-DYizIWtJdm7RbUbVJFhOBfNh0IZku","object":"chat.completion","created":1777168456,"model":"gpt-5-chat-2025-10-03","choices":[{"index":0,"message":{"role":"assistant","content":"JBL GO4 White Waterproof Bluetooth Speaker Portable","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42" t="inlineStr">
        <is>
          <t>JBL GO4 White Waterproof Bluetooth Speaker Portable</t>
        </is>
      </c>
      <c r="L42" t="inlineStr">
        <is>
          <t>{"id":"chatcmpl-DYiI1thQdOmYILBGV283EDvlo12Ep","object":"chat.completion","created":1777165773,"model":"gpt-5-chat-2025-10-03","choices":[{"index":0,"message":{"role":"assistant","content":"JBL GO4 White Bluetooth Speaker, portable waterproof fabric design with modern mesh texture, delivers powerful stereo sound, stylish for outdoor and home use, perfect for men and women.","refusal":null,"annotations":[]},"logprobs":null,"finish_reason":"stop"}],"usage":{"prompt_tokens":898,"completion_tokens":36,"total_tokens":934,"prompt_tokens_details":{"cached_tokens":0,"audio_tokens":0},"completion_tokens_details":{"reasoning_tokens":0,"audio_tokens":0,"accepted_prediction_tokens":0,"rejected_prediction_tokens":0}},"service_tier":"default","system_fingerprint":"fp_ad66631dec"}</t>
        </is>
      </c>
      <c r="M42" t="inlineStr">
        <is>
          <t>{"alt-svc":"h3=\":443\"; ma=2592000","apim-request-id":"99633300-8e84-4bd4-a3e6-dc347879c777","azureml-model-session":"d20260405225800-40f19e54","cache-control":"no-cache","connection":"close","content-length":"993","content-type":"application/json","date":"Sun, 26 Apr 2026 01:09:34 GMT","server":"Caddy","skip-error-remapping":"true","strict-transport-security":"max-age=31536000; includeSubDomains; preload","x-content-type-options":"nosniff","x-ms-client-request-id":"Not-Set","x-ms-is-spilled-over":"false","x-ms-rai-invoked":"false","x-ms-region":"East US 2","x-new-api-version":"0.4.35","x-oneapi-request-id":"202604260109325282137558268d9d6LhDKDORA","x-ratelimit-abusepenalty-active":"False","x-ratelimit-limit-requests":"1000","x-ratelimit-limit-tokens":"1000000","x-ratelimit-remaining-requests":"999","x-ratelimit-remaining-tokens":"998340","x-ratelimit-renewalperiod-requests":"60","x-ratelimit-renewalperiod-tokens":"60","x-ratelimit-reset-requests":"60","x-ratelimit-reset-tokens":"99","x-request-id":"1c03f398-f6a6-43ff-9c25-73750d727deb"}</t>
        </is>
      </c>
      <c r="N42" t="inlineStr">
        <is>
          <t>JBL GO4 White Bluetooth Speaker, portable waterproof fabric design with modern mesh texture, delivers powerful stereo sound, stylish for outdoor and home use, perfect for men and women.</t>
        </is>
      </c>
      <c r="O42" t="inlineStr">
        <is>
          <t>{"id":"chatcmpl-DYiWxKoCyjNi11gA45nnVwBQqfvwE","object":"chat.completion","created":1777166699,"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42" t="inlineStr">
        <is>
          <t>JBL,speaker,kakobuy,kakebuy2026,kekobuysheet,kakobuysheet2026,2026kakobuy,kakobuyspreadsheeet,kakobuylink,kakebuylist,Kakobuy MEGA Spreadsheet,kakobuysheetfind,kakobuysheetfind2026,2026kakobuysheetfind,kakobuysheet2026</t>
        </is>
      </c>
      <c r="Q42"/>
      <c r="R42" t="inlineStr">
        <is>
          <t>recvhju1CrhsIL</t>
        </is>
      </c>
      <c r="S42" t="inlineStr">
        <is>
          <t>jbl-go4-white-waterproof-bluetooth-speaker-portable-recvhju1crhsil</t>
        </is>
      </c>
      <c r="T42"/>
      <c r="U42"/>
      <c r="V42"/>
      <c r="W42" t="inlineStr">
        <is>
          <t>{"id":"chatcmpl-DYhtb1pCVqmQ6iSwPfYZe5bNCp0F3","object":"chat.completion","created":1777164259,"model":"gpt-5-chat-2025-10-03","choices":[{"index":0,"message":{"role":"assistant","content":"JBL GO4白色蓝牙音箱，便携防水织物材质，精致网格设计呈现现代简约风格，立体音质强劲澎湃，男女皆宜，适合户外与居家使用，彰显时尚科技美学。","refusal":null,"annotations":[]},"logprobs":null,"finish_reason":"stop"}],"usage":{"prompt_tokens":1297,"completion_tokens":66,"total_tokens":1363,"prompt_tokens_details":{"cached_tokens":1280,"audio_tokens":0},"completion_tokens_details":{"reasoning_tokens":0,"audio_tokens":0,"accepted_prediction_tokens":0,"rejected_prediction_tokens":0}},"service_tier":"default","system_fingerprint":"fp_ad66631dec"}</t>
        </is>
      </c>
      <c r="X42" t="inlineStr">
        <is>
          <t>JBL GO4白色蓝牙音箱，便携防水织物材质，精致网格设计呈现现代简约风格，立体音质强劲澎湃，男女皆宜，适合户外与居家使用，彰显时尚科技美学。</t>
        </is>
      </c>
    </row>
    <row r="43" ht="25.5" customHeight="1">
      <c r="A43">
        <v>1654975475</v>
      </c>
      <c r="B43">
        <v>7621819828</v>
      </c>
      <c r="C43" s="2" t="str">
        <f>=HYPERLINK("https://weidian.com/item.html?itemID=7621819828", "https://weidian.com/item.html?itemID=7621819828")</f>
        <v>https://weidian.com/item.html?itemID=7621819828</v>
      </c>
      <c r="D43"/>
      <c r="E43" s="2" t="str">
        <f>=HYPERLINK("https://si.geilicdn.com/pcitem2014204438-111b0000019ac963b3d90a811411_1080_1417.jpg?w=640&amp;h=640", "https://si.geilicdn.com/pcitem2014204438-111b0000019ac963b3d90a811411_1080_1417.jpg?w=640&amp;h=640")</f>
        <v>https://si.geilicdn.com/pcitem2014204438-111b0000019ac963b3d90a811411_1080_1417.jpg?w=640&amp;h=640</v>
      </c>
      <c r="F43" t="inlineStr">
        <is>
          <t>Electronic</t>
        </is>
      </c>
      <c r="G43" t="inlineStr">
        <is>
          <t>Marshall</t>
        </is>
      </c>
      <c r="H43">
        <v>660</v>
      </c>
      <c r="I43">
        <v>95.65</v>
      </c>
      <c r="J43" t="inlineStr">
        <is>
          <t>{"id":"chatcmpl-DYixtvLiuaKpbHCBo59k7bMUgmxon","object":"chat.completion","created":1777168369,"model":"gpt-5-chat-2025-10-03","choices":[{"index":0,"message":{"role":"assistant","content":"ElectronicMarshall Retro Bluetooth Speaker Wood Tripod Black","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43" t="inlineStr">
        <is>
          <t>ElectronicMarshall Retro Bluetooth Speaker Wood Tripod Black</t>
        </is>
      </c>
      <c r="L43" t="inlineStr">
        <is>
          <t>{"id":"chatcmpl-DYiFSWfJvSv1lwt3jqjy4uXgSH079","object":"chat.completion","created":1777165614,"model":"gpt-5-chat-2025-10-03","choices":[{"index":0,"message":{"role":"assistant","content":"ElectronicMarshall Bluetooth Speaker – Black round design with retro wooden tripod, fabric mesh and warm light ring. Pure, detailed sound and wireless connectivity for modern Nordic-style living.","refusal":null,"annotations":[]},"logprobs":null,"finish_reason":"stop"}],"usage":{"prompt_tokens":898,"completion_tokens":34,"total_tokens":932,"prompt_tokens_details":{"cached_tokens":0,"audio_tokens":0},"completion_tokens_details":{"reasoning_tokens":0,"audio_tokens":0,"accepted_prediction_tokens":0,"rejected_prediction_tokens":0}},"service_tier":"default","system_fingerprint":"fp_ad66631dec"}</t>
        </is>
      </c>
      <c r="M43" t="inlineStr">
        <is>
          <t>{"alt-svc":"h3=\":443\"; ma=2592000","apim-request-id":"e2bd8116-db66-4eff-9952-3b35e03759ab","azureml-model-session":"d20260405212659-a9daa006","cache-control":"no-cache","connection":"close","content-length":"1005","content-type":"application/json","date":"Sun, 26 Apr 2026 01:06:55 GMT","server":"Caddy","skip-error-remapping":"true","strict-transport-security":"max-age=31536000; includeSubDomains; preload","x-content-type-options":"nosniff","x-ms-client-request-id":"Not-Set","x-ms-is-spilled-over":"false","x-ms-rai-invoked":"false","x-ms-region":"East US 2","x-new-api-version":"0.4.35","x-oneapi-request-id":"202604260106534735351988268d9d6AhksRkxo","x-ratelimit-abusepenalty-active":"False","x-ratelimit-limit-requests":"1000","x-ratelimit-limit-tokens":"1000000","x-ratelimit-remaining-requests":"999","x-ratelimit-remaining-tokens":"998340","x-ratelimit-renewalperiod-requests":"60","x-ratelimit-renewalperiod-tokens":"60","x-ratelimit-reset-requests":"60","x-ratelimit-reset-tokens":"99","x-request-id":"a038f11b-91d6-4d8b-a5c2-37a8b33a0db2"}</t>
        </is>
      </c>
      <c r="N43" t="inlineStr">
        <is>
          <t>ElectronicMarshall Bluetooth Speaker – Black round design with retro wooden tripod, fabric mesh and warm light ring. Pure, detailed sound and wireless connectivity for modern Nordic-style living.</t>
        </is>
      </c>
      <c r="O43" t="inlineStr">
        <is>
          <t>{"id":"chatcmpl-DYiTcGAyF0JkTOrCUKyNHq8BScvkl","object":"chat.completion","created":1777166492,"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43" t="inlineStr">
        <is>
          <t>Marshall,speaker,kakobuy,kakebuy2026,kekobuysheet,kakobuysheet2026,2026kakobuy,kakobuyspreadsheeet,kakobuylink,kakebuylist,Kakobuy MEGA Spreadsheet,kakobuysheetfind,kakobuysheetfind2026,2026kakobuysheetfind,kakobuysheet2026</t>
        </is>
      </c>
      <c r="Q43" t="inlineStr">
        <is>
          <t>Marshall, Black, Retro, Mesh</t>
        </is>
      </c>
      <c r="R43" t="inlineStr">
        <is>
          <t>recvhju1CrTjXU</t>
        </is>
      </c>
      <c r="S43" t="inlineStr">
        <is>
          <t>electronicmarshall-retro-bluetooth-speaker-wood-tripod-black-recvhju1crtjxu</t>
        </is>
      </c>
      <c r="T43"/>
      <c r="U43"/>
      <c r="V43"/>
      <c r="W43" t="inlineStr">
        <is>
          <t>{"id":"chatcmpl-DYhowPjsn2UOySWhOBvlBvN801N2x","object":"chat.completion","created":1777163970,"model":"gpt-5-chat-2025-10-03","choices":[{"index":0,"message":{"role":"assistant","content":"Marshall：黑色圆形蓝牙音响，复古木质三脚设计，织物网罩与暖光圈边融合北欧极简风格，音质纯净细腻，支持无线连接，适合现代家居与音乐爱好者的高品质音响设备。","refusal":null,"annotations":[]},"logprobs":null,"finish_reason":"stop"}],"usage":{"prompt_tokens":1297,"completion_tokens":66,"total_tokens":1363,"prompt_tokens_details":{"cached_tokens":0,"audio_tokens":0},"completion_tokens_details":{"reasoning_tokens":0,"audio_tokens":0,"accepted_prediction_tokens":0,"rejected_prediction_tokens":0}},"service_tier":"default","system_fingerprint":"fp_ad66631dec"}</t>
        </is>
      </c>
      <c r="X43" t="inlineStr">
        <is>
          <t>Marshall：黑色圆形蓝牙音响，复古木质三脚设计，织物网罩与暖光圈边融合北欧极简风格，音质纯净细腻，支持无线连接，适合现代家居与音乐爱好者的高品质音响设备。</t>
        </is>
      </c>
    </row>
    <row r="44" ht="25.5" customHeight="1">
      <c r="A44">
        <v>1654975475</v>
      </c>
      <c r="B44">
        <v>7621748812</v>
      </c>
      <c r="C44" s="2" t="str">
        <f>=HYPERLINK("https://weidian.com/item.html?itemID=7621748812", "https://weidian.com/item.html?itemID=7621748812")</f>
        <v>https://weidian.com/item.html?itemID=7621748812</v>
      </c>
      <c r="D44"/>
      <c r="E44" s="2" t="str">
        <f>=HYPERLINK("https://si.geilicdn.com/pcitem2014204438-4b140000019ac9652ae60a207569_1284_960.jpg?w=640&amp;h=640", "https://si.geilicdn.com/pcitem2014204438-4b140000019ac9652ae60a207569_1284_960.jpg?w=640&amp;h=640")</f>
        <v>https://si.geilicdn.com/pcitem2014204438-4b140000019ac9652ae60a207569_1284_960.jpg?w=640&amp;h=640</v>
      </c>
      <c r="F44" t="inlineStr">
        <is>
          <t>Electronic</t>
        </is>
      </c>
      <c r="G44" t="inlineStr">
        <is>
          <t>JBL</t>
        </is>
      </c>
      <c r="H44">
        <v>390</v>
      </c>
      <c r="I44">
        <v>56.52</v>
      </c>
      <c r="J44" t="inlineStr">
        <is>
          <t>{"id":"chatcmpl-DYj2KWjEMWlQI7x3kaGnCBR2ZWmIK","object":"chat.completion","created":1777168644,"model":"gpt-5-chat-2025-10-03","choices":[{"index":0,"message":{"role":"assistant","content":"JBL Black Bluetooth Speaker Waterproof LED Party Sound","refusal":null,"annotations":[]},"logprobs":null,"finish_reason":"stop"}],"usage":{"prompt_tokens":589,"completion_tokens":10,"total_tokens":599,"prompt_tokens_details":{"cached_tokens":0,"audio_tokens":0},"completion_tokens_details":{"reasoning_tokens":0,"audio_tokens":0,"accepted_prediction_tokens":0,"rejected_prediction_tokens":0}},"service_tier":"default","system_fingerprint":"fp_ad66631dec"}</t>
        </is>
      </c>
      <c r="K44" t="inlineStr">
        <is>
          <t>JBL Black Bluetooth Speaker Waterproof LED Party Sound</t>
        </is>
      </c>
      <c r="L44" t="inlineStr">
        <is>
          <t>{"id":"chatcmpl-DYiIvPnYefkjHJMnff7it2I8CTlFN","object":"chat.completion","created":1777165829,"model":"gpt-5-chat-2025-10-03","choices":[{"index":0,"message":{"role":"assistant","content":"JBL Black Portable Bluetooth Speaker with dynamic LED lights, waterproof fabric shell, orange strap, delivering powerful bass for outdoor parties or home entertainment, stylish tech for all.","refusal":null,"annotations":[]},"logprobs":null,"finish_reason":"stop"}],"usage":{"prompt_tokens":628,"completion_tokens":34,"total_tokens":662,"prompt_tokens_details":{"cached_tokens":0,"audio_tokens":0},"completion_tokens_details":{"reasoning_tokens":0,"audio_tokens":0,"accepted_prediction_tokens":0,"rejected_prediction_tokens":0}},"service_tier":"default","system_fingerprint":"fp_ad66631dec"}</t>
        </is>
      </c>
      <c r="M44" t="inlineStr">
        <is>
          <t>{"alt-svc":"h3=\":443\"; ma=2592000","apim-request-id":"b41ce120-ccfe-4810-88e3-08dd6348390a","azureml-model-session":"d20260405225800-40f19e54","cache-control":"no-cache","connection":"close","content-length":"998","content-type":"application/json","date":"Sun, 26 Apr 2026 01:10:32 GMT","server":"nginx","skip-error-remapping":"true","strict-transport-security":"max-age=31536000; includeSubDomains; preload","via":"1.1 Caddy","x-content-type-options":"nosniff","x-ms-client-request-id":"Not-Set","x-ms-is-spilled-over":"false","x-ms-rai-invoked":"false","x-ms-region":"Australia East","x-new-api-version":"0.4.35","x-oneapi-request-id":"202604260110273637445148268d9d6B14GfcHx","x-ratelimit-abusepenalty-active":"False","x-ratelimit-limit-requests":"1000","x-ratelimit-limit-tokens":"1000000","x-ratelimit-remaining-requests":"999","x-ratelimit-remaining-tokens":"998608","x-ratelimit-renewalperiod-requests":"60","x-ratelimit-renewalperiod-tokens":"60","x-ratelimit-reset-requests":"60","x-ratelimit-reset-tokens":"83","x-request-id":"97eeb215-dd9f-47de-bd27-92d4fc97965f"}</t>
        </is>
      </c>
      <c r="N44" t="inlineStr">
        <is>
          <t>JBL Black Portable Bluetooth Speaker with dynamic LED lights, waterproof fabric shell, orange strap, delivering powerful bass for outdoor parties or home entertainment, stylish tech for all.</t>
        </is>
      </c>
      <c r="O44" t="inlineStr">
        <is>
          <t>{"id":"chatcmpl-DYiX1yFcHEDXOpBeTAUypc8a4Km11","object":"chat.completion","created":1777166703,"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502,"completion_tokens":87,"total_tokens":589,"prompt_tokens_details":{"cached_tokens":0,"audio_tokens":0},"completion_tokens_details":{"reasoning_tokens":0,"audio_tokens":0,"accepted_prediction_tokens":0,"rejected_prediction_tokens":0}},"service_tier":"default","system_fingerprint":"fp_ad66631dec"}</t>
        </is>
      </c>
      <c r="P44" t="inlineStr">
        <is>
          <t>JBL,Speaker,kakobuy,kakebuy2026,kekobuysheet,kakobuysheet2026,2026kakobuy,kakobuyspreadsheeet,kakobuylink,kakebuylist,Kakobuy MEGA Spreadsheet,kakobuysheetfind,kakobuysheetfind2026,2026kakobuysheetfind,kakobuysheet2026</t>
        </is>
      </c>
      <c r="Q44" t="inlineStr">
        <is>
          <t>Black, Orange, Outdoor, Waterproof, All Seasons, Unisex</t>
        </is>
      </c>
      <c r="R44" t="inlineStr">
        <is>
          <t>recvhju1CrAheI</t>
        </is>
      </c>
      <c r="S44" t="inlineStr">
        <is>
          <t>jbl-black-bluetooth-speaker-waterproof-led-party-sound-recvhju1crahei</t>
        </is>
      </c>
      <c r="T44"/>
      <c r="U44"/>
      <c r="V44"/>
      <c r="W44" t="inlineStr">
        <is>
          <t>{"id":"chatcmpl-DYhr0Ps9YOSS8Gea9gtxx3keIDVA7","object":"chat.completion","created":1777164098,"model":"gpt-5-chat-2025-10-03","choices":[{"index":0,"message":{"role":"assistant","content":"JBL：黑色便携式蓝牙音箱，环绕炫彩LED灯设计，防水织物外壳配橙色提绳，音效震撼澎湃，支持户外派对与居家娱乐，结合现代科技与时尚潮流，男女皆宜，展现年轻活力。","refusal":null,"annotations":[]},"logprobs":null,"finish_reason":"stop"}],"usage":{"prompt_tokens":1015,"completion_tokens":77,"total_tokens":1092,"prompt_tokens_details":{"cached_tokens":0,"audio_tokens":0},"completion_tokens_details":{"reasoning_tokens":0,"audio_tokens":0,"accepted_prediction_tokens":0,"rejected_prediction_tokens":0}},"service_tier":"default","system_fingerprint":"fp_ad66631dec"}</t>
        </is>
      </c>
      <c r="X44" t="inlineStr">
        <is>
          <t>JBL：黑色便携式蓝牙音箱，环绕炫彩LED灯设计，防水织物外壳配橙色提绳，音效震撼澎湃，支持户外派对与居家娱乐，结合现代科技与时尚潮流，男女皆宜，展现年轻活力。</t>
        </is>
      </c>
    </row>
    <row r="45" ht="25.5" customHeight="1">
      <c r="A45">
        <v>1654975475</v>
      </c>
      <c r="B45">
        <v>7621030852</v>
      </c>
      <c r="C45" s="2" t="str">
        <f>=HYPERLINK("https://weidian.com/item.html?itemID=7621030852", "https://weidian.com/item.html?itemID=7621030852")</f>
        <v>https://weidian.com/item.html?itemID=7621030852</v>
      </c>
      <c r="D45"/>
      <c r="E45" s="2" t="str">
        <f>=HYPERLINK("https://si.geilicdn.com/pcitem2014204438-48020000019ac96c1da10a2102c5_800_800.jpg?w=640&amp;h=640", "https://si.geilicdn.com/pcitem2014204438-48020000019ac96c1da10a2102c5_800_800.jpg?w=640&amp;h=640")</f>
        <v>https://si.geilicdn.com/pcitem2014204438-48020000019ac96c1da10a2102c5_800_800.jpg?w=640&amp;h=640</v>
      </c>
      <c r="F45" t="inlineStr">
        <is>
          <t>Electronic</t>
        </is>
      </c>
      <c r="G45" t="inlineStr">
        <is>
          <t>Other</t>
        </is>
      </c>
      <c r="H45">
        <v>680</v>
      </c>
      <c r="I45">
        <v>98.55</v>
      </c>
      <c r="J45" t="inlineStr">
        <is>
          <t>{"id":"chatcmpl-DYiyvPWWjzKvh3ds7c5UnlmDCqCrH","object":"chat.completion","created":1777168433,"model":"gpt-5-chat-2025-10-03","choices":[{"index":0,"message":{"role":"assistant","content":"ElectronicOther Hi-Res 5-Driver Bluetooth Wireless Speaker","refusal":null,"annotations":[]},"logprobs":null,"finish_reason":"stop"}],"usage":{"prompt_tokens":870,"completion_tokens":13,"total_tokens":883,"prompt_tokens_details":{"cached_tokens":0,"audio_tokens":0},"completion_tokens_details":{"reasoning_tokens":0,"audio_tokens":0,"accepted_prediction_tokens":0,"rejected_prediction_tokens":0}},"service_tier":"default","system_fingerprint":"fp_ad66631dec"}</t>
        </is>
      </c>
      <c r="K45" t="inlineStr">
        <is>
          <t>ElectronicOther Hi-Res 5-Driver Bluetooth Wireless Speaker</t>
        </is>
      </c>
      <c r="L45" t="inlineStr">
        <is>
          <t>{"id":"chatcmpl-DYiDCCRz9yqXQ0VSHhtuNllG9awpl","object":"chat.completion","created":1777165474,"model":"gpt-5-chat-2025-10-03","choices":[{"index":0,"message":{"role":"assistant","content":"ElectronicOther Black Round Bluetooth Hi-Res Wireless Speaker, 5-driver cinema-grade design, metal texture, modern minimalist style, hi-fi stereo for immersive home music experience.","refusal":null,"annotations":[]},"logprobs":null,"finish_reason":"stop"}],"usage":{"prompt_tokens":890,"completion_tokens":35,"total_tokens":925,"prompt_tokens_details":{"cached_tokens":0,"audio_tokens":0},"completion_tokens_details":{"reasoning_tokens":0,"audio_tokens":0,"accepted_prediction_tokens":0,"rejected_prediction_tokens":0}},"service_tier":"default","system_fingerprint":"fp_ad66631dec"}</t>
        </is>
      </c>
      <c r="M45" t="inlineStr">
        <is>
          <t>{"alt-svc":"h3=\":443\"; ma=2592000","apim-request-id":"fddd8149-f843-40a7-a2c2-65e4be7a22b6","azureml-model-session":"d20260402084046-4209e968","cache-control":"no-cache","connection":"close","content-length":"990","content-type":"application/json","date":"Sun, 26 Apr 2026 01:04:34 GMT","server":"Caddy","skip-error-remapping":"true","strict-transport-security":"max-age=31536000; includeSubDomains; preload","x-content-type-options":"nosniff","x-ms-client-request-id":"Not-Set","x-ms-is-spilled-over":"false","x-ms-rai-invoked":"false","x-ms-region":"East US","x-new-api-version":"0.4.35","x-oneapi-request-id":"202604260104328578313198268d9d6TK1LUM8g","x-ratelimit-abusepenalty-active":"False","x-ratelimit-limit-requests":"1000","x-ratelimit-limit-tokens":"1000000","x-ratelimit-remaining-requests":"999","x-ratelimit-remaining-tokens":"998348","x-ratelimit-renewalperiod-requests":"60","x-ratelimit-renewalperiod-tokens":"60","x-ratelimit-reset-requests":"60","x-ratelimit-reset-tokens":"99","x-request-id":"3fa7a543-93b3-45ba-87a0-4f0bcdbf028a"}</t>
        </is>
      </c>
      <c r="N45" t="inlineStr">
        <is>
          <t>ElectronicOther Black Round Bluetooth Hi-Res Wireless Speaker, 5-driver cinema-grade design, metal texture, modern minimalist style, hi-fi stereo for immersive home music experience.</t>
        </is>
      </c>
      <c r="O45" t="inlineStr">
        <is>
          <t>{"id":"chatcmpl-DYiWOB9hMnD6RLivNCbuTlEX9eYQG","object":"chat.completion","created":1777166664,"model":"gpt-5-chat-2025-10-03","choices":[{"index":0,"message":{"role":"assistant","content":"BolinVoice,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88,"total_tokens":869,"prompt_tokens_details":{"cached_tokens":0,"audio_tokens":0},"completion_tokens_details":{"reasoning_tokens":0,"audio_tokens":0,"accepted_prediction_tokens":0,"rejected_prediction_tokens":0}},"service_tier":"default","system_fingerprint":"fp_ad66631dec"}</t>
        </is>
      </c>
      <c r="P45" t="inlineStr">
        <is>
          <t>BolinVoice,Speaker,kakobuy,kakebuy2026,kekobuysheet,kakobuysheet2026,2026kakobuy,kakobuyspreadsheeet,kakobuylink,kakebuylist,Kakobuy MEGA Spreadsheet,kakobuysheetfind,kakobuysheetfind2026,2026kakobuysheetfind,kakobuysheet2026</t>
        </is>
      </c>
      <c r="Q45"/>
      <c r="R45" t="inlineStr">
        <is>
          <t>recvhju1CrA24C</t>
        </is>
      </c>
      <c r="S45" t="inlineStr">
        <is>
          <t>electronicother-hi-res-5-driver-bluetooth-speaker-recvhju1cra24c</t>
        </is>
      </c>
      <c r="T45"/>
      <c r="U45"/>
      <c r="V45"/>
      <c r="W45" t="inlineStr">
        <is>
          <t>{"id":"chatcmpl-DYhox7NkfkGPyyfcxqGzSlCBlf20E","object":"chat.completion","created":1777163971,"model":"gpt-5-chat-2025-10-03","choices":[{"index":0,"message":{"role":"assistant","content":"黑色圆形蓝牙Hi-Res无线音响，影院级五扬声器设计，金属质感外壳，现代简约风格，适合居家男女，高保真立体声体验，尽享沉浸式音乐盛宴。","refusal":null,"annotations":[]},"logprobs":null,"finish_reason":"stop"}],"usage":{"prompt_tokens":1295,"completion_tokens":60,"total_tokens":1355,"prompt_tokens_details":{"cached_tokens":0,"audio_tokens":0},"completion_tokens_details":{"reasoning_tokens":0,"audio_tokens":0,"accepted_prediction_tokens":0,"rejected_prediction_tokens":0}},"service_tier":"default","system_fingerprint":"fp_ad66631dec"}</t>
        </is>
      </c>
      <c r="X45" t="inlineStr">
        <is>
          <t>黑色圆形蓝牙Hi-Res无线音响，影院级五扬声器设计，金属质感外壳，现代简约风格，适合居家男女，高保真立体声体验，尽享沉浸式音乐盛宴。</t>
        </is>
      </c>
    </row>
    <row r="46" ht="25.5" customHeight="1">
      <c r="A46">
        <v>1654975475</v>
      </c>
      <c r="B46">
        <v>7618749089</v>
      </c>
      <c r="C46" s="2" t="str">
        <f>=HYPERLINK("https://weidian.com/item.html?itemID=7618749089", "https://weidian.com/item.html?itemID=7618749089")</f>
        <v>https://weidian.com/item.html?itemID=7618749089</v>
      </c>
      <c r="D46"/>
      <c r="E46" s="2" t="str">
        <f>=HYPERLINK("https://si.geilicdn.com/pcitem2014204438-41db0000019ac96f85a00a239846_1200_1200.jpg?w=640&amp;h=640", "https://si.geilicdn.com/pcitem2014204438-41db0000019ac96f85a00a239846_1200_1200.jpg?w=640&amp;h=640")</f>
        <v>https://si.geilicdn.com/pcitem2014204438-41db0000019ac96f85a00a239846_1200_1200.jpg?w=640&amp;h=640</v>
      </c>
      <c r="F46" t="inlineStr">
        <is>
          <t>Electronic</t>
        </is>
      </c>
      <c r="G46" t="inlineStr">
        <is>
          <t>Chanel</t>
        </is>
      </c>
      <c r="H46">
        <v>736</v>
      </c>
      <c r="I46">
        <v>106.666666666666</v>
      </c>
      <c r="J46" t="inlineStr">
        <is>
          <t>{"id":"chatcmpl-DYiykCFz7GGmwfGlkjn9dI9JzUJph","object":"chat.completion","created":1777168422,"model":"gpt-5-chat-2025-10-03","choices":[{"index":0,"message":{"role":"assistant","content":"ElectronicChanel Blue Light Crystal Dual Stereo Speaker Set","refusal":null,"annotations":[]},"logprobs":null,"finish_reason":"stop"}],"usage":{"prompt_tokens":883,"completion_tokens":11,"total_tokens":894,"prompt_tokens_details":{"cached_tokens":0,"audio_tokens":0},"completion_tokens_details":{"reasoning_tokens":0,"audio_tokens":0,"accepted_prediction_tokens":0,"rejected_prediction_tokens":0}},"service_tier":"default","system_fingerprint":"fp_ad66631dec"}</t>
        </is>
      </c>
      <c r="K46" t="inlineStr">
        <is>
          <t>ElectronicChanel Blue Light Crystal Dual Stereo Speaker Set</t>
        </is>
      </c>
      <c r="L46" t="inlineStr">
        <is>
          <t>{"id":"chatcmpl-DYiJ1xv4hDtYXG9mY1zMDBXIJXE4T","object":"chat.completion","created":1777165835,"model":"gpt-5-chat-2025-10-03","choices":[{"index":0,"message":{"role":"assistant","content":"ElectronicChanelChanel Blue Light Crystal Speaker Set – modern minimalist design in white, acrylic and metal build, dual stereo pillars with luminous bass hub, multi-device compatible, ideal for home or office.","refusal":null,"annotations":[]},"logprobs":null,"finish_reason":"stop"}],"usage":{"prompt_tokens":920,"completion_tokens":41,"total_tokens":961,"prompt_tokens_details":{"cached_tokens":0,"audio_tokens":0},"completion_tokens_details":{"reasoning_tokens":0,"audio_tokens":0,"accepted_prediction_tokens":0,"rejected_prediction_tokens":0}},"service_tier":"default","system_fingerprint":"fp_ad66631dec"}</t>
        </is>
      </c>
      <c r="M46" t="inlineStr">
        <is>
          <t>{"alt-svc":"h3=\":443\"; ma=2592000","apim-request-id":"099dfe6c-f14c-47d2-aa03-4a82f0c1498f","azureml-model-session":"d20260405212659-a9daa006","cache-control":"no-cache","connection":"close","content-length":"1020","content-type":"application/json","date":"Sun, 26 Apr 2026 01:10:36 GMT","server":"Caddy","skip-error-remapping":"true","strict-transport-security":"max-age=31536000; includeSubDomains; preload","x-content-type-options":"nosniff","x-ms-client-request-id":"Not-Set","x-ms-is-spilled-over":"false","x-ms-rai-invoked":"false","x-ms-region":"East US","x-new-api-version":"0.4.35","x-oneapi-request-id":"202604260110348267297418268d9d6woobm3CD","x-ratelimit-abusepenalty-active":"False","x-ratelimit-limit-requests":"1000","x-ratelimit-limit-tokens":"1000000","x-ratelimit-remaining-requests":"999","x-ratelimit-remaining-tokens":"998248","x-ratelimit-renewalperiod-requests":"60","x-ratelimit-renewalperiod-tokens":"60","x-ratelimit-reset-requests":"60","x-ratelimit-reset-tokens":"105","x-request-id":"e0374144-4887-494e-ad4d-5c71d81c0b5b"}</t>
        </is>
      </c>
      <c r="N46" t="inlineStr">
        <is>
          <t>ElectronicChanelChanel Blue Light Crystal Speaker Set – modern minimalist design in white, acrylic and metal build, dual stereo pillars with luminous bass hub, multi-device compatible, ideal for home or office.</t>
        </is>
      </c>
      <c r="O46" t="inlineStr">
        <is>
          <t>{"id":"chatcmpl-DYiXTxuzMq4kx9dnickRbxaOsAufx","object":"chat.completion","created":1777166731,"model":"gpt-5-chat-2025-10-03","choices":[{"index":0,"message":{"role":"assistant","content":"ElectronicChane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88,"total_tokens":870,"prompt_tokens_details":{"cached_tokens":0,"audio_tokens":0},"completion_tokens_details":{"reasoning_tokens":0,"audio_tokens":0,"accepted_prediction_tokens":0,"rejected_prediction_tokens":0}},"service_tier":"default","system_fingerprint":"fp_ad66631dec"}</t>
        </is>
      </c>
      <c r="P46" t="inlineStr">
        <is>
          <t>ElectronicChanel,speaker,kakobuy,kakebuy2026,kekobuysheet,kakobuysheet2026,2026kakobuy,kakobuyspreadsheeet,kakobuylink,kakebuylist,Kakobuy MEGA Spreadsheet,kakobuysheetfind,kakobuysheetfind2026,2026kakobuysheetfind,kakobuysheet2026</t>
        </is>
      </c>
      <c r="Q46" t="inlineStr">
        <is>
          <t>Chanel, White, Minimalist, Home Style, Acrylic Fiber</t>
        </is>
      </c>
      <c r="R46" t="inlineStr">
        <is>
          <t>recvhju1Crx6GQ</t>
        </is>
      </c>
      <c r="S46" t="inlineStr">
        <is>
          <t>electronicchanel-blue-light-crystal-dual-stereo-speaker-recvhju1crx6gq</t>
        </is>
      </c>
      <c r="T46"/>
      <c r="U46"/>
      <c r="V46"/>
      <c r="W46" t="inlineStr">
        <is>
          <t>{"id":"chatcmpl-DYhoz5H1HTV4d1GutMNYxl7pK4JG1","object":"chat.completion","created":1777163973,"model":"gpt-5-chat-2025-10-03","choices":[{"index":0,"message":{"role":"assistant","content":"Chanel：电子蓝光晶透音响套装，白色现代极简风设计，采用亚克力与金属材质打造，环形立体声双音柱搭配中置发光低音舱，展现未来感与时尚格调，兼容多设备连接，适合现代家居与办公空间，男女皆宜高端数码音响。","refusal":null,"annotations":[]},"logprobs":null,"finish_reason":"stop"}],"usage":{"prompt_tokens":1299,"completion_tokens":87,"total_tokens":1386,"prompt_tokens_details":{"cached_tokens":0,"audio_tokens":0},"completion_tokens_details":{"reasoning_tokens":0,"audio_tokens":0,"accepted_prediction_tokens":0,"rejected_prediction_tokens":0}},"service_tier":"default","system_fingerprint":"fp_ad66631dec"}</t>
        </is>
      </c>
      <c r="X46" t="inlineStr">
        <is>
          <t>Chanel：电子蓝光晶透音响套装，白色现代极简风设计，采用亚克力与金属材质打造，环形立体声双音柱搭配中置发光低音舱，展现未来感与时尚格调，兼容多设备连接，适合现代家居与办公空间，男女皆宜高端数码音响。</t>
        </is>
      </c>
    </row>
    <row r="47" ht="25.5" customHeight="1">
      <c r="A47">
        <v>1654975475</v>
      </c>
      <c r="B47">
        <v>7621763134</v>
      </c>
      <c r="C47" s="2" t="str">
        <f>=HYPERLINK("https://weidian.com/item.html?itemID=7621763134", "https://weidian.com/item.html?itemID=7621763134")</f>
        <v>https://weidian.com/item.html?itemID=7621763134</v>
      </c>
      <c r="D47"/>
      <c r="E47" s="2" t="str">
        <f>=HYPERLINK("https://si.geilicdn.com/pcitem2014204438-4f3d0000019ac97011c30a210256_1280_1706.jpg?w=640&amp;h=640", "https://si.geilicdn.com/pcitem2014204438-4f3d0000019ac97011c30a210256_1280_1706.jpg?w=640&amp;h=640")</f>
        <v>https://si.geilicdn.com/pcitem2014204438-4f3d0000019ac97011c30a210256_1280_1706.jpg?w=640&amp;h=640</v>
      </c>
      <c r="F47" t="inlineStr">
        <is>
          <t>Electronic</t>
        </is>
      </c>
      <c r="G47" t="inlineStr">
        <is>
          <t>Bose</t>
        </is>
      </c>
      <c r="H47">
        <v>540</v>
      </c>
      <c r="I47">
        <v>78.26</v>
      </c>
      <c r="J47" t="inlineStr">
        <is>
          <t>{"id":"chatcmpl-DYiwpvdK1hxtSoDUl4HYye2r3Dear","object":"chat.completion","created":1777168303,"model":"gpt-5-chat-2025-10-03","choices":[{"index":0,"message":{"role":"assistant","content":"Bose SoundLink Flex Black Waterproof Bluetooth Speaker","refusal":null,"annotations":[]},"logprobs":null,"finish_reason":"stop"}],"usage":{"prompt_tokens":881,"completion_tokens":10,"total_tokens":891,"prompt_tokens_details":{"cached_tokens":0,"audio_tokens":0},"completion_tokens_details":{"reasoning_tokens":0,"audio_tokens":0,"accepted_prediction_tokens":0,"rejected_prediction_tokens":0}},"service_tier":"default","system_fingerprint":"fp_ad66631dec"}</t>
        </is>
      </c>
      <c r="K47" t="inlineStr">
        <is>
          <t>Bose SoundLink Flex Black Waterproof Bluetooth Speaker</t>
        </is>
      </c>
      <c r="L47" t="inlineStr">
        <is>
          <t>{"id":"chatcmpl-DYiHhy9tJgFpx2sG57NPGc4xmHxyy","object":"chat.completion","created":1777165753,"model":"gpt-5-chat-2025-10-03","choices":[{"index":0,"message":{"role":"assistant","content":"ElectronicBoseBose SoundLink Flex Black Portable Bluetooth Speaker, waterproof and dustproof, with durable metal grille, compact and lightweight for outdoor travel, delivering deep, powerful sound in modern style.","refusal":null,"annotations":[]},"logprobs":null,"finish_reason":"stop"}],"usage":{"prompt_tokens":905,"completion_tokens":40,"total_tokens":945,"prompt_tokens_details":{"cached_tokens":0,"audio_tokens":0},"completion_tokens_details":{"reasoning_tokens":0,"audio_tokens":0,"accepted_prediction_tokens":0,"rejected_prediction_tokens":0}},"service_tier":"default","system_fingerprint":"fp_ad66631dec"}</t>
        </is>
      </c>
      <c r="M47" t="inlineStr">
        <is>
          <t>{"alt-svc":"h3=\":443\"; ma=2592000","apim-request-id":"bb00304b-f22d-43d2-8f1d-1de6a52bfb7b","azureml-model-session":"d20260402084046-4209e968","cache-control":"no-cache","connection":"close","content-length":"1021","content-type":"application/json","date":"Sun, 26 Apr 2026 01:09:16 GMT","server":"nginx","skip-error-remapping":"true","strict-transport-security":"max-age=31536000; includeSubDomains; preload","via":"1.1 Caddy","x-content-type-options":"nosniff","x-ms-client-request-id":"Not-Set","x-ms-is-spilled-over":"false","x-ms-rai-invoked":"false","x-ms-region":"Japan East","x-new-api-version":"0.4.35","x-oneapi-request-id":"202604260109129200466708268d9d6zQNaydGm","x-ratelimit-abusepenalty-active":"False","x-ratelimit-limit-requests":"1000","x-ratelimit-limit-tokens":"1000000","x-ratelimit-remaining-requests":"999","x-ratelimit-remaining-tokens":"998333","x-ratelimit-renewalperiod-requests":"60","x-ratelimit-renewalperiod-tokens":"60","x-ratelimit-reset-requests":"60","x-ratelimit-reset-tokens":"100","x-request-id":"a9e50d48-300b-4915-98a5-fa722ffc3305"}</t>
        </is>
      </c>
      <c r="N47" t="inlineStr">
        <is>
          <t>ElectronicBoseBose SoundLink Flex Black Portable Bluetooth Speaker, waterproof and dustproof, with durable metal grille, compact and lightweight for outdoor travel, delivering deep, powerful sound in modern style.</t>
        </is>
      </c>
      <c r="O47" t="inlineStr">
        <is>
          <t>{"id":"chatcmpl-DYiSaNnHZILGx38fhOOCvHP0jwYil","object":"chat.completion","created":1777166428,"model":"gpt-5-chat-2025-10-03","choices":[{"index":0,"message":{"role":"assistant","content":"Bose,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47" t="inlineStr">
        <is>
          <t>Bose,Speaker,kakobuy,kakebuy2026,kekobuysheet,kakobuysheet2026,2026kakobuy,kakobuyspreadsheeet,kakobuylink,kakebuylist,Kakobuy MEGA Spreadsheet,kakobuysheetfind,kakobuysheetfind2026,2026kakobuysheetfind,kakobuysheet2026</t>
        </is>
      </c>
      <c r="Q47"/>
      <c r="R47" t="inlineStr">
        <is>
          <t>recvhju1CrYzW5</t>
        </is>
      </c>
      <c r="S47" t="inlineStr">
        <is>
          <t>bose-soundlink-flex-black-waterproof-bluetooth-speaker-recvhju1cryzw5</t>
        </is>
      </c>
      <c r="T47"/>
      <c r="U47"/>
      <c r="V47"/>
      <c r="W47" t="inlineStr">
        <is>
          <t>{"id":"chatcmpl-DYho9clljvY2TGzDWWtKwppQu3JLQ","object":"chat.completion","created":1777163921,"model":"gpt-5-chat-2025-10-03","choices":[{"index":0,"message":{"role":"assistant","content":"Bose：SoundLink Flex 黑色便携式蓝牙音箱，采用防水防尘材质与耐用金属格栅设计，小巧轻盈，随行出行必备，呈现澎湃音质与现代简约风格，男女皆宜的户外音乐伴侣。","refusal":null,"annotations":[]},"logprobs":null,"finish_reason":"stop"}],"usage":{"prompt_tokens":1301,"completion_tokens":71,"total_tokens":1372,"prompt_tokens_details":{"cached_tokens":0,"audio_tokens":0},"completion_tokens_details":{"reasoning_tokens":0,"audio_tokens":0,"accepted_prediction_tokens":0,"rejected_prediction_tokens":0}},"service_tier":"default","system_fingerprint":"fp_ad66631dec"}</t>
        </is>
      </c>
      <c r="X47" t="inlineStr">
        <is>
          <t>Bose：SoundLink Flex 黑色便携式蓝牙音箱，采用防水防尘材质与耐用金属格栅设计，小巧轻盈，随行出行必备，呈现澎湃音质与现代简约风格，男女皆宜的户外音乐伴侣。</t>
        </is>
      </c>
    </row>
    <row r="48" ht="25.5" customHeight="1">
      <c r="A48">
        <v>1654975475</v>
      </c>
      <c r="B48">
        <v>7618740921</v>
      </c>
      <c r="C48" s="2" t="str">
        <f>=HYPERLINK("https://weidian.com/item.html?itemID=7618740921", "https://weidian.com/item.html?itemID=7618740921")</f>
        <v>https://weidian.com/item.html?itemID=7618740921</v>
      </c>
      <c r="D48"/>
      <c r="E48" s="2" t="str">
        <f>=HYPERLINK("https://si.geilicdn.com/pcitem2014204438-43630000019ac95dfbf80a8134f0_1442_1922.jpg?w=640&amp;h=640", "https://si.geilicdn.com/pcitem2014204438-43630000019ac95dfbf80a8134f0_1442_1922.jpg?w=640&amp;h=640")</f>
        <v>https://si.geilicdn.com/pcitem2014204438-43630000019ac95dfbf80a8134f0_1442_1922.jpg?w=640&amp;h=640</v>
      </c>
      <c r="F48" t="inlineStr">
        <is>
          <t>Electronic</t>
        </is>
      </c>
      <c r="G48" t="inlineStr">
        <is>
          <t>JBL</t>
        </is>
      </c>
      <c r="H48">
        <v>396</v>
      </c>
      <c r="I48">
        <v>57.39</v>
      </c>
      <c r="J48" t="inlineStr">
        <is>
          <t>{"id":"chatcmpl-DYj0g30CLNtVPgSXY81nGnIM7BymK","object":"chat.completion","created":1777168542,"model":"gpt-5-chat-2025-10-03","choices":[{"index":0,"message":{"role":"assistant","content":"JBL Boombox Black Waterproof Bluetooth Speaker","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48" t="inlineStr">
        <is>
          <t>JBL Boombox Black Waterproof Bluetooth Speaker</t>
        </is>
      </c>
      <c r="L48" t="inlineStr">
        <is>
          <t>{"id":"chatcmpl-DYiFzcVzos8SpLS1BMYlEZF4U29pE","object":"chat.completion","created":1777165647,"model":"gpt-5-chat-2025-10-03","choices":[{"index":0,"message":{"role":"assistant","content":"JBL Boombox Series Black Portable Bluetooth Speaker, waterproof fabric mesh with sleek handle design, delivers powerful sound, long battery life, wireless connection, perfect for outdoor or home entertainment.","refusal":null,"annotations":[]},"logprobs":null,"finish_reason":"stop"}],"usage":{"prompt_tokens":902,"completion_tokens":38,"total_tokens":940,"prompt_tokens_details":{"cached_tokens":0,"audio_tokens":0},"completion_tokens_details":{"reasoning_tokens":0,"audio_tokens":0,"accepted_prediction_tokens":0,"rejected_prediction_tokens":0}},"service_tier":"default","system_fingerprint":"fp_ad66631dec"}</t>
        </is>
      </c>
      <c r="M48" t="inlineStr">
        <is>
          <t>{"alt-svc":"h3=\":443\"; ma=2592000","apim-request-id":"d67899dd-0f0b-4b23-901c-7d06a0396f24","azureml-model-session":"d20260405225800-40f19e54","cache-control":"no-cache","connection":"close","content-length":"1017","content-type":"application/json","date":"Sun, 26 Apr 2026 01:07:28 GMT","server":"nginx","skip-error-remapping":"true","strict-transport-security":"max-age=31536000; includeSubDomains; preload","via":"1.1 Caddy","x-content-type-options":"nosniff","x-ms-client-request-id":"Not-Set","x-ms-is-spilled-over":"false","x-ms-rai-invoked":"false","x-ms-region":"East US 2","x-new-api-version":"0.4.35","x-oneapi-request-id":"202604260107261596044748268d9d6pwVWJudz","x-ratelimit-abusepenalty-active":"False","x-ratelimit-limit-requests":"1000","x-ratelimit-limit-tokens":"1000000","x-ratelimit-remaining-requests":"999","x-ratelimit-remaining-tokens":"998336","x-ratelimit-renewalperiod-requests":"60","x-ratelimit-renewalperiod-tokens":"60","x-ratelimit-reset-requests":"60","x-ratelimit-reset-tokens":"99","x-request-id":"3e5ffff3-3028-4f59-b0ff-8f10888fb814"}</t>
        </is>
      </c>
      <c r="N48" t="inlineStr">
        <is>
          <t>JBL Boombox Series Black Portable Bluetooth Speaker, waterproof fabric mesh with sleek handle design, delivers powerful sound, long battery life, wireless connection, perfect for outdoor or home entertainment.</t>
        </is>
      </c>
      <c r="O48" t="inlineStr">
        <is>
          <t>{"id":"chatcmpl-DYiVCCCRPVuElVPxMvm3GvfJ2f4Sc","object":"chat.completion","created":1777166590,"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48" t="inlineStr">
        <is>
          <t>JBL,speaker,kakobuy,kakebuy2026,kekobuysheet,kakobuysheet2026,2026kakobuy,kakobuyspreadsheeet,kakobuylink,kakebuylist,Kakobuy MEGA Spreadsheet,kakobuysheetfind,kakobuysheetfind2026,2026kakobuysheetfind,kakobuysheet2026</t>
        </is>
      </c>
      <c r="Q48"/>
      <c r="R48" t="inlineStr">
        <is>
          <t>recvhju1CrtKjU</t>
        </is>
      </c>
      <c r="S48" t="inlineStr">
        <is>
          <t>jbl-boombox-black-waterproof-bluetooth-speaker-recvhju1crtkju</t>
        </is>
      </c>
      <c r="T48"/>
      <c r="U48"/>
      <c r="V48"/>
      <c r="W48" t="inlineStr">
        <is>
          <t>{"id":"chatcmpl-DYhtPczNmKDXVaJaQqlQwxPZot94o","object":"chat.completion","created":1777164247,"model":"gpt-5-chat-2025-10-03","choices":[{"index":0,"message":{"role":"assistant","content":"JBL：Boombox系列黑色便携式蓝牙音箱，防水布网材质搭配流线手柄设计，音质澎湃有力，支持长效续航与无线连接，展现现代都市风格，适合男女用户户外与居家娱乐使用。","refusal":null,"annotations":[]},"logprobs":null,"finish_reason":"stop"}],"usage":{"prompt_tokens":1299,"completion_tokens":68,"total_tokens":1367,"prompt_tokens_details":{"cached_tokens":0,"audio_tokens":0},"completion_tokens_details":{"reasoning_tokens":0,"audio_tokens":0,"accepted_prediction_tokens":0,"rejected_prediction_tokens":0}},"service_tier":"default","system_fingerprint":"fp_ad66631dec"}</t>
        </is>
      </c>
      <c r="X48" t="inlineStr">
        <is>
          <t>JBL：Boombox系列黑色便携式蓝牙音箱，防水布网材质搭配流线手柄设计，音质澎湃有力，支持长效续航与无线连接，展现现代都市风格，适合男女用户户外与居家娱乐使用。</t>
        </is>
      </c>
    </row>
    <row r="49" ht="25.5" customHeight="1">
      <c r="A49">
        <v>1654975475</v>
      </c>
      <c r="B49">
        <v>7621691362</v>
      </c>
      <c r="C49" s="2" t="str">
        <f>=HYPERLINK("https://weidian.com/item.html?itemID=7621691362", "https://weidian.com/item.html?itemID=7621691362")</f>
        <v>https://weidian.com/item.html?itemID=7621691362</v>
      </c>
      <c r="D49"/>
      <c r="E49" s="2" t="str">
        <f>=HYPERLINK("https://si.geilicdn.com/pcitem2014204438-486b0000019ac95eb14f0a23038e_1440_1920.jpg?w=640&amp;h=640", "https://si.geilicdn.com/pcitem2014204438-486b0000019ac95eb14f0a23038e_1440_1920.jpg?w=640&amp;h=640")</f>
        <v>https://si.geilicdn.com/pcitem2014204438-486b0000019ac95eb14f0a23038e_1440_1920.jpg?w=640&amp;h=640</v>
      </c>
      <c r="F49" t="inlineStr">
        <is>
          <t>Electronic</t>
        </is>
      </c>
      <c r="G49" t="inlineStr">
        <is>
          <t>Marshall</t>
        </is>
      </c>
      <c r="H49">
        <v>580</v>
      </c>
      <c r="I49">
        <v>84.06</v>
      </c>
      <c r="J49" t="inlineStr">
        <is>
          <t>{"id":"chatcmpl-DYizXbNaycZZ6Ac3fQVR2MrLW64vR","object":"chat.completion","created":1777168471,"model":"gpt-5-chat-2025-10-03","choices":[{"index":0,"message":{"role":"assistant","content":"Marshall Willen Green Waterproof Bluetooth Speaker Portable","refusal":null,"annotations":[]},"logprobs":null,"finish_reason":"stop"}],"usage":{"prompt_tokens":872,"completion_tokens":9,"total_tokens":881,"prompt_tokens_details":{"cached_tokens":0,"audio_tokens":0},"completion_tokens_details":{"reasoning_tokens":0,"audio_tokens":0,"accepted_prediction_tokens":0,"rejected_prediction_tokens":0}},"service_tier":"default","system_fingerprint":"fp_ad66631dec"}</t>
        </is>
      </c>
      <c r="K49" t="inlineStr">
        <is>
          <t>Marshall Willen Green Waterproof Bluetooth Speaker Portable</t>
        </is>
      </c>
      <c r="L49" t="inlineStr">
        <is>
          <t>{"id":"chatcmpl-DYiJz6rl6KfO96baJoQinllIQWGQ8","object":"chat.completion","created":1777165895,"model":"gpt-5-chat-2025-10-03","choices":[{"index":0,"message":{"role":"assistant","content":"Marshall Willen Green Portable Bluetooth Speaker, rugged waterproof design with metal mesh grill, delivers powerful sound and long battery life, perfect for outdoor, travel, and indoor music lovers.","refusal":null,"annotations":[]},"logprobs":null,"finish_reason":"stop"}],"usage":{"prompt_tokens":922,"completion_tokens":36,"total_tokens":958,"prompt_tokens_details":{"cached_tokens":0,"audio_tokens":0},"completion_tokens_details":{"reasoning_tokens":0,"audio_tokens":0,"accepted_prediction_tokens":0,"rejected_prediction_tokens":0}},"service_tier":"default","system_fingerprint":"fp_ad66631dec"}</t>
        </is>
      </c>
      <c r="M49" t="inlineStr">
        <is>
          <t>{"alt-svc":"h3=\":443\"; ma=2592000","apim-request-id":"3f2c600b-f648-4293-ae77-50e056a15fbd","azureml-model-session":"d20260402083108-57a85543","cache-control":"no-cache","connection":"close","content-length":"1006","content-type":"application/json","date":"Sun, 26 Apr 2026 01:11:38 GMT","server":"Caddy","skip-error-remapping":"true","strict-transport-security":"max-age=31536000; includeSubDomains; preload","x-content-type-options":"nosniff","x-ms-client-request-id":"Not-Set","x-ms-is-spilled-over":"false","x-ms-rai-invoked":"false","x-ms-region":"Australia East","x-new-api-version":"0.4.35","x-oneapi-request-id":"202604260111344543290018268d9d6NvnK5LoR","x-ratelimit-abusepenalty-active":"False","x-ratelimit-limit-requests":"1000","x-ratelimit-limit-tokens":"1000000","x-ratelimit-remaining-requests":"999","x-ratelimit-remaining-tokens":"998316","x-ratelimit-renewalperiod-requests":"60","x-ratelimit-renewalperiod-tokens":"60","x-ratelimit-reset-requests":"60","x-ratelimit-reset-tokens":"101","x-request-id":"338622eb-8dda-4e94-a2dc-a3915ba83026"}</t>
        </is>
      </c>
      <c r="N49" t="inlineStr">
        <is>
          <t>Marshall Willen Green Portable Bluetooth Speaker, rugged waterproof design with metal mesh grill, delivers powerful sound and long battery life, perfect for outdoor, travel, and indoor music lovers.</t>
        </is>
      </c>
      <c r="O49" t="inlineStr">
        <is>
          <t>{"id":"chatcmpl-DYiU1H3RpphfLYvz2k8nLbkOymFac","object":"chat.completion","created":1777166517,"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49" t="inlineStr">
        <is>
          <t>Marshall,Speaker,kakobuy,kakebuy2026,kekobuysheet,kakobuysheet2026,2026kakobuy,kakobuyspreadsheeet,kakobuylink,kakebuylist,Kakobuy MEGA Spreadsheet,kakobuysheetfind,kakobuysheetfind2026,2026kakobuysheetfind,kakobuysheet2026</t>
        </is>
      </c>
      <c r="Q49" t="inlineStr">
        <is>
          <t>Marshall, Green, Outdoor, Waterproof</t>
        </is>
      </c>
      <c r="R49" t="inlineStr">
        <is>
          <t>recvhju1CrGZMV</t>
        </is>
      </c>
      <c r="S49" t="inlineStr">
        <is>
          <t>marshall-willen-green-bluetooth-speaker-recvhju1crgzmv</t>
        </is>
      </c>
      <c r="T49"/>
      <c r="U49"/>
      <c r="V49"/>
      <c r="W49" t="inlineStr">
        <is>
          <t>{"id":"chatcmpl-DYht3b1t3XanvHYOgS9ULxOcpQ8oS","object":"chat.completion","created":1777164225,"model":"gpt-5-chat-2025-10-03","choices":[{"index":0,"message":{"role":"assistant","content":"Marshall：Willen军绿色便携蓝牙音箱，采用防水防尘耐磨橡胶材质，标志性编织金属网格与复古摇滚设计相融合，小巧机身搭载强劲音效与长续航电力，支持多场景播放模式，男女皆宜，传承经典英伦摇滚精神，尽显个性与自由。","refusal":null,"annotations":[]},"logprobs":null,"finish_reason":"stop"}],"usage":{"prompt_tokens":1299,"completion_tokens":89,"total_tokens":1388,"prompt_tokens_details":{"cached_tokens":1280,"audio_tokens":0},"completion_tokens_details":{"reasoning_tokens":0,"audio_tokens":0,"accepted_prediction_tokens":0,"rejected_prediction_tokens":0}},"service_tier":"default","system_fingerprint":"fp_ad66631dec"}</t>
        </is>
      </c>
      <c r="X49" t="inlineStr">
        <is>
          <t>Marshall：Willen军绿色便携蓝牙音箱，采用防水防尘耐磨橡胶材质，标志性编织金属网格与复古摇滚设计相融合，小巧机身搭载强劲音效与长续航电力，支持多场景播放模式，男女皆宜，传承经典英伦摇滚精神，尽显个性与自由。</t>
        </is>
      </c>
    </row>
    <row r="50" ht="25.5" customHeight="1">
      <c r="A50">
        <v>1654975475</v>
      </c>
      <c r="B50">
        <v>7621821626</v>
      </c>
      <c r="C50" s="2" t="str">
        <f>=HYPERLINK("https://weidian.com/item.html?itemID=7621821626", "https://weidian.com/item.html?itemID=7621821626")</f>
        <v>https://weidian.com/item.html?itemID=7621821626</v>
      </c>
      <c r="D50"/>
      <c r="E50" s="2" t="str">
        <f>=HYPERLINK("https://si.geilicdn.com/pcitem2014204438-38260000019ac95faacf0a231177_1280_1707.jpg?w=640&amp;h=640", "https://si.geilicdn.com/pcitem2014204438-38260000019ac95faacf0a231177_1280_1707.jpg?w=640&amp;h=640")</f>
        <v>https://si.geilicdn.com/pcitem2014204438-38260000019ac95faacf0a231177_1280_1707.jpg?w=640&amp;h=640</v>
      </c>
      <c r="F50" t="inlineStr">
        <is>
          <t>Electronic</t>
        </is>
      </c>
      <c r="G50" t="inlineStr">
        <is>
          <t>JBL</t>
        </is>
      </c>
      <c r="H50">
        <v>396</v>
      </c>
      <c r="I50">
        <v>57.39</v>
      </c>
      <c r="J50" t="inlineStr">
        <is>
          <t>{"id":"chatcmpl-DYj2NM7F1VUVsOtU0JIR3m1I6dtX4","object":"chat.completion","created":1777168647,"model":"gpt-5-chat-2025-10-03","choices":[{"index":0,"message":{"role":"assistant","content":"JBL Pulse Bluetooth Speaker 360° Sound Glass Design","refusal":null,"annotations":[]},"logprobs":null,"finish_reason":"stop"}],"usage":{"prompt_tokens":885,"completion_tokens":12,"total_tokens":897,"prompt_tokens_details":{"cached_tokens":0,"audio_tokens":0},"completion_tokens_details":{"reasoning_tokens":0,"audio_tokens":0,"accepted_prediction_tokens":0,"rejected_prediction_tokens":0}},"service_tier":"default","system_fingerprint":"fp_ad66631dec"}</t>
        </is>
      </c>
      <c r="K50" t="inlineStr">
        <is>
          <t>JBL Pulse Bluetooth Speaker 360° Sound Glass Design</t>
        </is>
      </c>
      <c r="L50" t="inlineStr">
        <is>
          <t>{"id":"chatcmpl-DYiH92K6H4WJ4nf5jpvrYF2tdRhf0","object":"chat.completion","created":1777165719,"model":"gpt-5-chat-2025-10-03","choices":[{"index":0,"message":{"role":"assistant","content":"JBL PULSE Series Bluetooth Speaker – vibrant glass body, 360° immersive sound, deep bass, touch control, metal+ABS design for modern homes and parties, multi-device connection, futuristic ambiance.","refusal":null,"annotations":[]},"logprobs":null,"finish_reason":"stop"}],"usage":{"prompt_tokens":917,"completion_tokens":42,"total_tokens":959,"prompt_tokens_details":{"cached_tokens":0,"audio_tokens":0},"completion_tokens_details":{"reasoning_tokens":0,"audio_tokens":0,"accepted_prediction_tokens":0,"rejected_prediction_tokens":0}},"service_tier":"default","system_fingerprint":"fp_ad66631dec"}</t>
        </is>
      </c>
      <c r="M50" t="inlineStr">
        <is>
          <t>{"alt-svc":"h3=\":443\"; ma=2592000","apim-request-id":"37d3ed19-a302-4569-8aab-f024ac37d8b4","azureml-model-session":"d20260405225800-40f19e54","cache-control":"no-cache","connection":"close","content-length":"1008","content-type":"application/json","date":"Sun, 26 Apr 2026 01:08:41 GMT","server":"nginx","skip-error-remapping":"true","strict-transport-security":"max-age=31536000; includeSubDomains; preload","via":"1.1 Caddy","x-content-type-options":"nosniff","x-ms-client-request-id":"Not-Set","x-ms-is-spilled-over":"false","x-ms-rai-invoked":"false","x-ms-region":"Japan East","x-new-api-version":"0.4.35","x-oneapi-request-id":"202604260108386363623858268d9d68RLXo7U2","x-ratelimit-abusepenalty-active":"False","x-ratelimit-limit-requests":"1000","x-ratelimit-limit-tokens":"1000000","x-ratelimit-remaining-requests":"998","x-ratelimit-remaining-tokens":"997331","x-ratelimit-renewalperiod-requests":"60","x-ratelimit-renewalperiod-tokens":"60","x-ratelimit-reset-requests":"99","x-ratelimit-reset-tokens":"160","x-request-id":"4c74d692-ee5e-4103-b7d7-9191552cd5bc"}</t>
        </is>
      </c>
      <c r="N50" t="inlineStr">
        <is>
          <t>JBL PULSE Series Bluetooth Speaker – vibrant glass body, 360° immersive sound, deep bass, touch control, metal+ABS design for modern homes and parties, multi-device connection, futuristic ambiance.</t>
        </is>
      </c>
      <c r="O50" t="inlineStr">
        <is>
          <t>{"id":"chatcmpl-DYiTZmNNNEtHxgBtvRCeS9Pm6WtV0","object":"chat.completion","created":1777166489,"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50" t="inlineStr">
        <is>
          <t>JBL,Speaker,kakobuy,kakebuy2026,kekobuysheet,kakobuysheet2026,2026kakobuy,kakobuyspreadsheeet,kakobuylink,kakebuylist,Kakobuy MEGA Spreadsheet,kakobuysheetfind,kakobuysheetfind2026,2026kakobuysheetfind,kakobuysheet2026</t>
        </is>
      </c>
      <c r="Q50"/>
      <c r="R50" t="inlineStr">
        <is>
          <t>recvhju1Crzi7O</t>
        </is>
      </c>
      <c r="S50" t="inlineStr">
        <is>
          <t>jbl-pulse-bluetooth-speaker-360-sound-glass-design-recvhju1crzi7o</t>
        </is>
      </c>
      <c r="T50"/>
      <c r="U50"/>
      <c r="V50"/>
      <c r="W50" t="inlineStr">
        <is>
          <t>{"id":"chatcmpl-DYhsmdt8mt0cX2ZYZjhhDoRp8WCAK","object":"chat.completion","created":1777164208,"model":"gpt-5-chat-2025-10-03","choices":[{"index":0,"message":{"role":"assistant","content":"JBL：PULSE系列炫彩氛围蓝牙音箱，通透灯光玻璃机身，360°环绕立体声效，低音澎湃澄澈。高品质金属与ABS材质结合，触控式设计彰显未来感，支持多设备连接，适合男女通用的现代家居与派对场景。","refusal":null,"annotations":[]},"logprobs":null,"finish_reason":"stop"}],"usage":{"prompt_tokens":1295,"completion_tokens":86,"total_tokens":1381,"prompt_tokens_details":{"cached_tokens":0,"audio_tokens":0},"completion_tokens_details":{"reasoning_tokens":0,"audio_tokens":0,"accepted_prediction_tokens":0,"rejected_prediction_tokens":0}},"service_tier":"default","system_fingerprint":"fp_ad66631dec"}</t>
        </is>
      </c>
      <c r="X50" t="inlineStr">
        <is>
          <t>JBL：PULSE系列炫彩氛围蓝牙音箱，通透灯光玻璃机身，360°环绕立体声效，低音澎湃澄澈。高品质金属与ABS材质结合，触控式设计彰显未来感，支持多设备连接，适合男女通用的现代家居与派对场景。</t>
        </is>
      </c>
    </row>
    <row r="51" ht="25.5" customHeight="1">
      <c r="A51">
        <v>1654975475</v>
      </c>
      <c r="B51">
        <v>7618824267</v>
      </c>
      <c r="C51" s="2" t="str">
        <f>=HYPERLINK("https://weidian.com/item.html?itemID=7618824267", "https://weidian.com/item.html?itemID=7618824267")</f>
        <v>https://weidian.com/item.html?itemID=7618824267</v>
      </c>
      <c r="D51"/>
      <c r="E51" s="2" t="str">
        <f>=HYPERLINK("https://si.geilicdn.com/pcitem2014204438-489c0000019ac95f41cc0a23038e_2560_1920.jpg?w=640&amp;h=640", "https://si.geilicdn.com/pcitem2014204438-489c0000019ac95f41cc0a23038e_2560_1920.jpg?w=640&amp;h=640")</f>
        <v>https://si.geilicdn.com/pcitem2014204438-489c0000019ac95f41cc0a23038e_2560_1920.jpg?w=640&amp;h=640</v>
      </c>
      <c r="F51" t="inlineStr">
        <is>
          <t>Electronic</t>
        </is>
      </c>
      <c r="G51" t="inlineStr">
        <is>
          <t>Harman Kardon</t>
        </is>
      </c>
      <c r="H51">
        <v>1460</v>
      </c>
      <c r="I51">
        <v>211.59</v>
      </c>
      <c r="J51" t="inlineStr">
        <is>
          <t>{"id":"chatcmpl-DYizHJicZ7j4zlNTPpu2K8hsSJdQn","object":"chat.completion","created":1777168455,"model":"gpt-5-chat-2025-10-03","choices":[{"index":0,"message":{"role":"assistant","content":"Harman Kardon Hi-Fi H4 Bluetooth Speaker Black Gold","refusal":null,"annotations":[]},"logprobs":null,"finish_reason":"stop"}],"usage":{"prompt_tokens":619,"completion_tokens":13,"total_tokens":632,"prompt_tokens_details":{"cached_tokens":0,"audio_tokens":0},"completion_tokens_details":{"reasoning_tokens":0,"audio_tokens":0,"accepted_prediction_tokens":0,"rejected_prediction_tokens":0}},"service_tier":"default","system_fingerprint":"fp_ad66631dec"}</t>
        </is>
      </c>
      <c r="K51" t="inlineStr">
        <is>
          <t>Harman Kardon Hi-Fi H4 Bluetooth Speaker Black Gold</t>
        </is>
      </c>
      <c r="L51" t="inlineStr">
        <is>
          <t>{"id":"chatcmpl-DYiDw23aXCnA5gzFRywCqJO7pJaC9","object":"chat.completion","created":1777165520,"model":"gpt-5-chat-2025-10-03","choices":[{"index":0,"message":{"role":"assistant","content":"Harman Kardon Hi-Fi H4 Bluetooth Speaker – sleek black-gold design with transparent acrylic body, 360° surround sound, metal base, delivering modern minimalist style, high-fidelity audio, perfect for home and music lovers.","refusal":null,"annotations":[]},"logprobs":null,"finish_reason":"stop"}],"usage":{"prompt_tokens":633,"completion_tokens":48,"total_tokens":681,"prompt_tokens_details":{"cached_tokens":0,"audio_tokens":0},"completion_tokens_details":{"reasoning_tokens":0,"audio_tokens":0,"accepted_prediction_tokens":0,"rejected_prediction_tokens":0}},"service_tier":"default","system_fingerprint":"fp_ad66631dec"}</t>
        </is>
      </c>
      <c r="M51" t="inlineStr">
        <is>
          <t>{"alt-svc":"h3=\":443\"; ma=2592000","apim-request-id":"cf82a40a-a48a-47a1-8cef-01a5f1aab997","azureml-model-session":"d20260405221325-2e8d5e76","cache-control":"no-cache","connection":"close","content-length":"1033","content-type":"application/json","date":"Sun, 26 Apr 2026 01:05:21 GMT","server":"Caddy","skip-error-remapping":"true","strict-transport-security":"max-age=31536000; includeSubDomains; preload","vary":"Accept-Encoding","x-content-type-options":"nosniff","x-ms-client-request-id":"Not-Set","x-ms-is-spilled-over":"false","x-ms-rai-invoked":"false","x-ms-region":"East US 2","x-new-api-version":"0.4.35","x-oneapi-request-id":"202604260105202026663208268d9d6KhEslN13","x-ratelimit-abusepenalty-active":"False","x-ratelimit-limit-requests":"1000","x-ratelimit-limit-tokens":"1000000","x-ratelimit-remaining-requests":"999","x-ratelimit-remaining-tokens":"998603","x-ratelimit-renewalperiod-requests":"60","x-ratelimit-renewalperiod-tokens":"60","x-ratelimit-reset-requests":"60","x-ratelimit-reset-tokens":"83","x-request-id":"72784050-c557-4cf7-a9f3-a3be5a1030c9"}</t>
        </is>
      </c>
      <c r="N51" t="inlineStr">
        <is>
          <t>Harman Kardon Hi-Fi H4 Bluetooth Speaker – sleek black-gold design with transparent acrylic body, 360° surround sound, metal base, delivering modern minimalist style, high-fidelity audio, perfect for home and music lovers.</t>
        </is>
      </c>
      <c r="O51" t="inlineStr">
        <is>
          <t>{"id":"chatcmpl-DYiVU4QoS93zKcciq2I1DHKPRssre","object":"chat.completion","created":1777166608,"model":"gpt-5-chat-2025-10-03","choices":[{"index":0,"message":{"role":"assistant","content":"Harman Kardon, Hi-Fi Speaker, kakobuy, kakebuy2026, kekobuysheet, kakobuysheet2026, 2026kakobuy, kakobuyspreadsheeet, kakobuylink, kakebuylist, Kakobuy MEGA Spreadsheet, kakobuysheetfind, kakobuysheetfind2026, 2026kakobuysheetfind, kakobuysheet2026","refusal":null,"annotations":[]},"logprobs":null,"finish_reason":"stop"}],"usage":{"prompt_tokens":504,"completion_tokens":95,"total_tokens":599,"prompt_tokens_details":{"cached_tokens":0,"audio_tokens":0},"completion_tokens_details":{"reasoning_tokens":0,"audio_tokens":0,"accepted_prediction_tokens":0,"rejected_prediction_tokens":0}},"service_tier":"default","system_fingerprint":"fp_ad66631dec"}</t>
        </is>
      </c>
      <c r="P51" t="inlineStr">
        <is>
          <t>Harman Kardon, Hi-Fi Speaker, kakobuy, kakebuy2026, kekobuysheet, kakobuysheet2026, 2026kakobuy, kakobuyspreadsheeet, kakobuylink, kakebuylist, Kakobuy MEGA Spreadsheet, kakobuysheetfind, kakobuysheetfind2026, 2026kakobuysheetfind, kakobuysheet2026</t>
        </is>
      </c>
      <c r="Q51"/>
      <c r="R51" t="inlineStr">
        <is>
          <t>recvhju1CrvSd0</t>
        </is>
      </c>
      <c r="S51" t="inlineStr">
        <is>
          <t>harman-kardon-hi-fi-h4-bluetooth-speaker-black-gold-recvhju1crvsd0</t>
        </is>
      </c>
      <c r="T51"/>
      <c r="U51"/>
      <c r="V51"/>
      <c r="W51" t="inlineStr">
        <is>
          <t>{"id":"chatcmpl-DYhnlLyOvqeUQrCnkS4IPoAi12MUo","object":"chat.completion","created":1777163897,"model":"gpt-5-chat-2025-10-03","choices":[{"index":0,"message":{"role":"assistant","content":"Harman Kardon：Hi-Fi H4典雅黑金蓝牙音响，通透亚克力机身搭配金属质感底座，360度环绕声设计，展现现代极简风格与高保真音效，兼具艺术美感与实用功能，适合时尚家居与音乐爱好者。","refusal":null,"annotations":[]},"logprobs":null,"finish_reason":"stop"}],"usage":{"prompt_tokens":1025,"completion_tokens":77,"total_tokens":1102,"prompt_tokens_details":{"cached_tokens":0,"audio_tokens":0},"completion_tokens_details":{"reasoning_tokens":0,"audio_tokens":0,"accepted_prediction_tokens":0,"rejected_prediction_tokens":0}},"service_tier":"default","system_fingerprint":"fp_ad66631dec"}</t>
        </is>
      </c>
      <c r="X51" t="inlineStr">
        <is>
          <t>Harman Kardon：Hi-Fi H4典雅黑金蓝牙音响，通透亚克力机身搭配金属质感底座，360度环绕声设计，展现现代极简风格与高保真音效，兼具艺术美感与实用功能，适合时尚家居与音乐爱好者。</t>
        </is>
      </c>
    </row>
    <row r="52" ht="25.5" customHeight="1">
      <c r="A52">
        <v>1654975475</v>
      </c>
      <c r="B52">
        <v>7621744778</v>
      </c>
      <c r="C52" s="2" t="str">
        <f>=HYPERLINK("https://weidian.com/item.html?itemID=7621744778", "https://weidian.com/item.html?itemID=7621744778")</f>
        <v>https://weidian.com/item.html?itemID=7621744778</v>
      </c>
      <c r="D52"/>
      <c r="E52" s="2" t="str">
        <f>=HYPERLINK("https://si.geilicdn.com/pcitem2014204438-20140000019ac96086ec0a2304aa_1440_1920.jpg?w=640&amp;h=640", "https://si.geilicdn.com/pcitem2014204438-20140000019ac96086ec0a2304aa_1440_1920.jpg?w=640&amp;h=640")</f>
        <v>https://si.geilicdn.com/pcitem2014204438-20140000019ac96086ec0a2304aa_1440_1920.jpg?w=640&amp;h=640</v>
      </c>
      <c r="F52" t="inlineStr">
        <is>
          <t>Electronic</t>
        </is>
      </c>
      <c r="G52" t="inlineStr">
        <is>
          <t>Marshall</t>
        </is>
      </c>
      <c r="H52">
        <v>516</v>
      </c>
      <c r="I52">
        <v>74.78</v>
      </c>
      <c r="J52" t="inlineStr">
        <is>
          <t>{"id":"chatcmpl-DYj2PKANsai3XhJrN446AwA2A2e0X","object":"chat.completion","created":1777168649,"model":"gpt-5-chat-2025-10-03","choices":[{"index":0,"message":{"role":"assistant","content":"Marshall Black Bluetooth Speaker 20H Playtime Classic Design","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52" t="inlineStr">
        <is>
          <t>Marshall Black Bluetooth Speaker 20H Playtime Classic Design</t>
        </is>
      </c>
      <c r="L52" t="inlineStr">
        <is>
          <t>{"id":"chatcmpl-DYiIZxQvyIfweGIyj3hkJAwLmEnHr","object":"chat.completion","created":1777165807,"model":"gpt-5-chat-2025-10-03","choices":[{"index":0,"message":{"role":"assistant","content":"Marshall Black Portable Bluetooth Speaker – classic guitar amp design, gold logo, 20h playtime, hi-fi stereo sound, durable metal grille &amp; leather texture, perfect for home or outdoor rock style.","refusal":null,"annotations":[]},"logprobs":null,"finish_reason":"stop"}],"usage":{"prompt_tokens":922,"completion_tokens":41,"total_tokens":963,"prompt_tokens_details":{"cached_tokens":0,"audio_tokens":0},"completion_tokens_details":{"reasoning_tokens":0,"audio_tokens":0,"accepted_prediction_tokens":0,"rejected_prediction_tokens":0}},"service_tier":"default","system_fingerprint":"fp_ad66631dec"}</t>
        </is>
      </c>
      <c r="M52" t="inlineStr">
        <is>
          <t>{"alt-svc":"h3=\":443\"; ma=2592000","apim-request-id":"26646faf-1f2a-47dc-8060-4803fa48f1dc","azureml-model-session":"d20260405225800-40f19e54","cache-control":"no-cache","connection":"close","content-length":"1005","content-type":"application/json","date":"Sun, 26 Apr 2026 01:10:09 GMT","server":"nginx","skip-error-remapping":"true","strict-transport-security":"max-age=31536000; includeSubDomains; preload","via":"1.1 Caddy","x-content-type-options":"nosniff","x-ms-client-request-id":"Not-Set","x-ms-is-spilled-over":"false","x-ms-rai-invoked":"false","x-ms-region":"Switzerland North","x-new-api-version":"0.4.35","x-oneapi-request-id":"202604260110067551115748268d9d6ut875F83","x-ratelimit-abusepenalty-active":"False","x-ratelimit-limit-requests":"1000","x-ratelimit-limit-tokens":"1000000","x-ratelimit-remaining-requests":"999","x-ratelimit-remaining-tokens":"998316","x-ratelimit-renewalperiod-requests":"60","x-ratelimit-renewalperiod-tokens":"60","x-ratelimit-reset-requests":"60","x-ratelimit-reset-tokens":"101","x-request-id":"13c635b3-b9cb-4966-87e5-4c5b7611a81f"}</t>
        </is>
      </c>
      <c r="N52" t="inlineStr">
        <is>
          <t>Marshall Black Portable Bluetooth Speaker – classic guitar amp design, gold logo, 20h playtime, hi-fi stereo sound, durable metal grille &amp; leather texture, perfect for home or outdoor rock style.</t>
        </is>
      </c>
      <c r="O52" t="inlineStr">
        <is>
          <t>{"id":"chatcmpl-DYiWlLgcmkF77EguzP9ttpHHWVcOp","object":"chat.completion","created":1777166687,"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52" t="inlineStr">
        <is>
          <t>Marshall,Speaker,kakobuy,kakebuy2026,kekobuysheet,kakobuysheet2026,2026kakobuy,kakobuyspreadsheeet,kakobuylink,kakebuylist,Kakobuy MEGA Spreadsheet,kakobuysheetfind,kakobuysheetfind2026,2026kakobuysheetfind,kakobuysheet2026</t>
        </is>
      </c>
      <c r="Q52" t="inlineStr">
        <is>
          <t>Marshall, Black, Gold, Outdoor</t>
        </is>
      </c>
      <c r="R52" t="inlineStr">
        <is>
          <t>recvhju1CrJ8H6</t>
        </is>
      </c>
      <c r="S52" t="inlineStr">
        <is>
          <t>marshall-black-bluetooth-speaker-recvhju1crj8h6</t>
        </is>
      </c>
      <c r="T52"/>
      <c r="U52"/>
      <c r="V52"/>
      <c r="W52" t="inlineStr">
        <is>
          <t>{"id":"chatcmpl-DYhs77TbTHYqiPSSEIo2LwON2t9tT","object":"chat.completion","created":1777164167,"model":"gpt-5-chat-2025-10-03","choices":[{"index":0,"message":{"role":"assistant","content":"Marshall：黑色蓝牙便携音箱，延续复古吉他音箱设计美学，金色品牌标识彰显摇滚精神，支持20小时续航与高保真立体音效，结实金属网面与皮革质感外壳融合，男女皆宜，现代家居与户外场景皆可搭配，展现经典英伦音韵。","refusal":null,"annotations":[]},"logprobs":null,"finish_reason":"stop"}],"usage":{"prompt_tokens":1295,"completion_tokens":91,"total_tokens":1386,"prompt_tokens_details":{"cached_tokens":0,"audio_tokens":0},"completion_tokens_details":{"reasoning_tokens":0,"audio_tokens":0,"accepted_prediction_tokens":0,"rejected_prediction_tokens":0}},"service_tier":"default","system_fingerprint":"fp_ad66631dec"}</t>
        </is>
      </c>
      <c r="X52" t="inlineStr">
        <is>
          <t>Marshall：黑色蓝牙便携音箱，延续复古吉他音箱设计美学，金色品牌标识彰显摇滚精神，支持20小时续航与高保真立体音效，结实金属网面与皮革质感外壳融合，男女皆宜，现代家居与户外场景皆可搭配，展现经典英伦音韵。</t>
        </is>
      </c>
    </row>
    <row r="53" ht="25.5" customHeight="1">
      <c r="A53">
        <v>1654975475</v>
      </c>
      <c r="B53">
        <v>7621815934</v>
      </c>
      <c r="C53" s="2" t="str">
        <f>=HYPERLINK("https://weidian.com/item.html?itemID=7621815934", "https://weidian.com/item.html?itemID=7621815934")</f>
        <v>https://weidian.com/item.html?itemID=7621815934</v>
      </c>
      <c r="D53"/>
      <c r="E53" s="2" t="str">
        <f>=HYPERLINK("https://si.geilicdn.com/pcitem2014204438-390b0000019ac96273c00a231177_1280_1595.jpg?w=640&amp;h=640", "https://si.geilicdn.com/pcitem2014204438-390b0000019ac96273c00a231177_1280_1595.jpg?w=640&amp;h=640")</f>
        <v>https://si.geilicdn.com/pcitem2014204438-390b0000019ac96273c00a231177_1280_1595.jpg?w=640&amp;h=640</v>
      </c>
      <c r="F53" t="inlineStr">
        <is>
          <t>Electronic</t>
        </is>
      </c>
      <c r="G53" t="inlineStr">
        <is>
          <t>Marshall</t>
        </is>
      </c>
      <c r="H53">
        <v>690</v>
      </c>
      <c r="I53">
        <v>100</v>
      </c>
      <c r="J53" t="inlineStr">
        <is>
          <t>{"id":"chatcmpl-DYizDnNjmUDfrBNSsbG08RNfK0Q8T","object":"chat.completion","created":1777168451,"model":"gpt-5-chat-2025-10-03","choices":[{"index":0,"message":{"role":"assistant","content":"Marshall Electronic Retro Black Wireless Headphones","refusal":null,"annotations":[]},"logprobs":null,"finish_reason":"stop"}],"usage":{"prompt_tokens":878,"completion_tokens":8,"total_tokens":886,"prompt_tokens_details":{"cached_tokens":0,"audio_tokens":0},"completion_tokens_details":{"reasoning_tokens":0,"audio_tokens":0,"accepted_prediction_tokens":0,"rejected_prediction_tokens":0}},"service_tier":"default","system_fingerprint":"fp_ad66631dec"}</t>
        </is>
      </c>
      <c r="K53" t="inlineStr">
        <is>
          <t>Marshall Electronic Retro Black Wireless Headphones</t>
        </is>
      </c>
      <c r="L53" t="inlineStr">
        <is>
          <t>{"id":"chatcmpl-DYiEbwEtGUSwX5IyAE4LTDgn5Rxin","object":"chat.completion","created":1777165561,"model":"gpt-5-chat-2025-10-03","choices":[{"index":0,"message":{"role":"assistant","content":"Marshall Electronic retro black wireless headphones – minimalist British design meets classic rock style. Soft leather ear cushions, rich 3D sound, stylish and unisex, perfect for travel and music lovers.","refusal":null,"annotations":[]},"logprobs":null,"finish_reason":"stop"}],"usage":{"prompt_tokens":910,"completion_tokens":39,"total_tokens":949,"prompt_tokens_details":{"cached_tokens":0,"audio_tokens":0},"completion_tokens_details":{"reasoning_tokens":0,"audio_tokens":0,"accepted_prediction_tokens":0,"rejected_prediction_tokens":0}},"service_tier":"default","system_fingerprint":"fp_ad66631dec"}</t>
        </is>
      </c>
      <c r="M53" t="inlineStr">
        <is>
          <t>{"alt-svc":"h3=\":443\"; ma=2592000","apim-request-id":"bec0496d-e82f-4834-a67b-12239dd19540","azureml-model-session":"d20260402074105-51db401e","cache-control":"no-cache","connection":"close","content-length":"1014","content-type":"application/json","date":"Sun, 26 Apr 2026 01:06:01 GMT","server":"Caddy","skip-error-remapping":"true","strict-transport-security":"max-age=31536000; includeSubDomains; preload","x-content-type-options":"nosniff","x-ms-client-request-id":"Not-Set","x-ms-is-spilled-over":"false","x-ms-rai-invoked":"false","x-ms-region":"East US","x-new-api-version":"0.4.35","x-oneapi-request-id":"202604260105599627915638268d9d6ppYtnrJx","x-ratelimit-abusepenalty-active":"False","x-ratelimit-limit-requests":"1000","x-ratelimit-limit-tokens":"1000000","x-ratelimit-remaining-requests":"999","x-ratelimit-remaining-tokens":"998328","x-ratelimit-renewalperiod-requests":"60","x-ratelimit-renewalperiod-tokens":"60","x-ratelimit-reset-requests":"60","x-ratelimit-reset-tokens":"100","x-request-id":"b8bf4aec-a3e2-46c6-9ff8-ea6052ce5b27"}</t>
        </is>
      </c>
      <c r="N53" t="inlineStr">
        <is>
          <t>Marshall Electronic retro black wireless headphones – minimalist British design meets classic rock style. Soft leather ear cushions, rich 3D sound, stylish and unisex, perfect for travel and music lovers.</t>
        </is>
      </c>
      <c r="O53" t="inlineStr">
        <is>
          <t>{"id":"chatcmpl-DYiVjbm881FAKMthrRfwJuVKOkp5I","object":"chat.completion","created":1777166623,"model":"gpt-5-chat-2025-10-03","choices":[{"index":0,"message":{"role":"assistant","content":"Marshall, headphone,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ad66631dec"}</t>
        </is>
      </c>
      <c r="P53" t="inlineStr">
        <is>
          <t>Marshall, headphone, kakobuy, kakebuy2026, kekobuysheet, kakobuysheet2026, 2026kakobuy, kakobuyspreadsheeet, kakobuylink, kakebuylist, Kakobuy MEGA Spreadsheet, kakobuysheetfind, kakobuysheetfind2026, 2026kakobuysheetfind, kakobuysheet2026</t>
        </is>
      </c>
      <c r="Q53" t="inlineStr">
        <is>
          <t>Marshall, Retro, Black, Minimalist, Unisex, Leather</t>
        </is>
      </c>
      <c r="R53" t="inlineStr">
        <is>
          <t>recvhju1CrmatU</t>
        </is>
      </c>
      <c r="S53" t="inlineStr">
        <is>
          <t>marshall-electronic-retro-black-wireless-headphones-recvhju1crmatu</t>
        </is>
      </c>
      <c r="T53"/>
      <c r="U53"/>
      <c r="V53"/>
      <c r="W53" t="inlineStr">
        <is>
          <t>{"id":"chatcmpl-DYhqeocIyhGB5u064434jHnhyl176","object":"chat.completion","created":1777164076,"model":"gpt-5-chat-2025-10-03","choices":[{"index":0,"message":{"role":"assistant","content":"Marshall 黑色复古头戴式蓝牙耳机，极简英伦设计融合经典摇滚美学，皮质耳罩触感柔软，音质立体饱满，彰显品牌标志性风格，男女皆宜，潮流与音质完美平衡，适合休闲出行与音乐沉浸体验。","refusal":null,"annotations":[]},"logprobs":null,"finish_reason":"stop"}],"usage":{"prompt_tokens":1295,"completion_tokens":79,"total_tokens":1374,"prompt_tokens_details":{"cached_tokens":1280,"audio_tokens":0},"completion_tokens_details":{"reasoning_tokens":0,"audio_tokens":0,"accepted_prediction_tokens":0,"rejected_prediction_tokens":0}},"service_tier":"default","system_fingerprint":"fp_ad66631dec"}</t>
        </is>
      </c>
      <c r="X53" t="inlineStr">
        <is>
          <t>Marshall 黑色复古头戴式蓝牙耳机，极简英伦设计融合经典摇滚美学，皮质耳罩触感柔软，音质立体饱满，彰显品牌标志性风格，男女皆宜，潮流与音质完美平衡，适合休闲出行与音乐沉浸体验。</t>
        </is>
      </c>
    </row>
    <row r="54" ht="25.5" customHeight="1">
      <c r="A54">
        <v>1654975475</v>
      </c>
      <c r="B54">
        <v>7618790397</v>
      </c>
      <c r="C54" s="2" t="str">
        <f>=HYPERLINK("https://weidian.com/item.html?itemID=7618790397", "https://weidian.com/item.html?itemID=7618790397")</f>
        <v>https://weidian.com/item.html?itemID=7618790397</v>
      </c>
      <c r="D54"/>
      <c r="E54" s="2" t="str">
        <f>=HYPERLINK("https://si.geilicdn.com/pcitem2014204438-498d0000019ac95ffc940a210256_1179_1792.jpg?w=750&amp;h=750&amp;cp=1", "https://si.geilicdn.com/pcitem2014204438-498d0000019ac95ffc940a210256_1179_1792.jpg?w=750&amp;h=750&amp;cp=1")</f>
        <v>https://si.geilicdn.com/pcitem2014204438-498d0000019ac95ffc940a210256_1179_1792.jpg?w=750&amp;h=750&amp;cp=1</v>
      </c>
      <c r="F54" t="inlineStr">
        <is>
          <t>Electronic</t>
        </is>
      </c>
      <c r="G54" t="inlineStr">
        <is>
          <t>Soundcore</t>
        </is>
      </c>
      <c r="H54">
        <v>210</v>
      </c>
      <c r="I54">
        <v>30.43</v>
      </c>
      <c r="J54" t="inlineStr">
        <is>
          <t>{"id":"chatcmpl-DYix5MFdeI4DzIV33OgeVgJHtIhbb","object":"chat.completion","created":1777168319,"model":"gpt-5-chat-2025-10-03","choices":[{"index":0,"message":{"role":"assistant","content":"ElectronicSoundcore Black Wireless Noise Cancelling Bluetooth Earbuds","refusal":null,"annotations":[]},"logprobs":null,"finish_reason":"stop"}],"usage":{"prompt_tokens":876,"completion_tokens":12,"total_tokens":888,"prompt_tokens_details":{"cached_tokens":0,"audio_tokens":0},"completion_tokens_details":{"reasoning_tokens":0,"audio_tokens":0,"accepted_prediction_tokens":0,"rejected_prediction_tokens":0}},"service_tier":"default","system_fingerprint":"fp_ad66631dec"}</t>
        </is>
      </c>
      <c r="K54" t="inlineStr">
        <is>
          <t>ElectronicSoundcore Black Wireless Noise Cancelling Bluetooth Earbuds</t>
        </is>
      </c>
      <c r="L54" t="inlineStr">
        <is>
          <t>{"id":"chatcmpl-DYiDufSH1rtswJ08bQfxTHn97wFP8","object":"chat.completion","created":1777165518,"model":"gpt-5-chat-2025-10-03","choices":[{"index":0,"message":{"role":"assistant","content":"ElectronicSoundcoreOther Black Ergonomic Wireless Bluetooth Earbuds with Matte Finish, Noise Cancellation, HD Calls, Secure Fit, Minimalist Futuristic Design for Commuting and Sports Use","refusal":null,"annotations":[]},"logprobs":null,"finish_reason":"stop"}],"usage":{"prompt_tokens":910,"completion_tokens":37,"total_tokens":947,"prompt_tokens_details":{"cached_tokens":0,"audio_tokens":0},"completion_tokens_details":{"reasoning_tokens":0,"audio_tokens":0,"accepted_prediction_tokens":0,"rejected_prediction_tokens":0}},"service_tier":"default","system_fingerprint":"fp_ad66631dec"}</t>
        </is>
      </c>
      <c r="M54" t="inlineStr">
        <is>
          <t>{"alt-svc":"h3=\":443\"; ma=2592000","apim-request-id":"0cb7bfaa-cdb8-49a8-8f7b-107cdeeeb8db","azureml-model-session":"d20260405225800-40f19e54","cache-control":"no-cache","connection":"close","content-length":"994","content-type":"application/json","date":"Sun, 26 Apr 2026 01:05:20 GMT","server":"Caddy","skip-error-remapping":"true","strict-transport-security":"max-age=31536000; includeSubDomains; preload","x-content-type-options":"nosniff","x-ms-client-request-id":"Not-Set","x-ms-is-spilled-over":"false","x-ms-rai-invoked":"false","x-ms-region":"Korea Central","x-new-api-version":"0.4.35","x-oneapi-request-id":"202604260105172840969058268d9d69aximEwq","x-ratelimit-abusepenalty-active":"False","x-ratelimit-limit-requests":"1000","x-ratelimit-limit-tokens":"1000000","x-ratelimit-remaining-requests":"999","x-ratelimit-remaining-tokens":"998328","x-ratelimit-renewalperiod-requests":"60","x-ratelimit-renewalperiod-tokens":"60","x-ratelimit-reset-requests":"60","x-ratelimit-reset-tokens":"100","x-request-id":"29971ba8-a849-4d31-9930-0db5d3b40cf2"}</t>
        </is>
      </c>
      <c r="N54" t="inlineStr">
        <is>
          <t>ElectronicSoundcoreOther Black Ergonomic Wireless Bluetooth Earbuds with Matte Finish, Noise Cancellation, HD Calls, Secure Fit, Minimalist Futuristic Design for Commuting and Sports Use</t>
        </is>
      </c>
      <c r="O54" t="inlineStr">
        <is>
          <t>{"id":"chatcmpl-DYiUcsUg32R0uphFvpsZQBnRnwcQP","object":"chat.completion","created":1777166554,"model":"gpt-5-chat-2025-10-03","choices":[{"index":0,"message":{"role":"assistant","content":"ElectronicSoundcore,earbud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54" t="inlineStr">
        <is>
          <t>ElectronicSoundcore,earbuds,kakobuy,kakebuy2026,kekobuysheet,kakobuysheet2026,2026kakobuy,kakobuyspreadsheeet,kakobuylink,kakebuylist,Kakobuy MEGA Spreadsheet,kakobuysheetfind,kakobuysheetfind2026,2026kakobuysheetfind,kakobuysheet2026</t>
        </is>
      </c>
      <c r="Q54"/>
      <c r="R54" t="inlineStr">
        <is>
          <t>recvhju1CrxsB8</t>
        </is>
      </c>
      <c r="S54" t="inlineStr">
        <is>
          <t>electronicsoundcore-black-wireless-noise-cancelling-bluetooth-earbuds-recvhju1crxsB8</t>
        </is>
      </c>
      <c r="T54"/>
      <c r="U54"/>
      <c r="V54"/>
      <c r="W54" t="inlineStr">
        <is>
          <t>{"id":"chatcmpl-DYhpQVikLMzdqMPLX6yX7GRaayJkP","object":"chat.completion","created":1777164000,"model":"gpt-5-chat-2025-10-03","choices":[{"index":0,"message":{"role":"assistant","content":"Other 黑色智能无线蓝牙耳机，符合人体工学环耳式设计，质感磨砂材质，佩戴稳固舒适，搭载降噪与高清通话功能，简约科技风格，男女皆宜，适合日常通勤与运动使用，呈现极简未来感音频体验。","refusal":null,"annotations":[]},"logprobs":null,"finish_reason":"stop"}],"usage":{"prompt_tokens":1303,"completion_tokens":75,"total_tokens":1378,"prompt_tokens_details":{"cached_tokens":0,"audio_tokens":0},"completion_tokens_details":{"reasoning_tokens":0,"audio_tokens":0,"accepted_prediction_tokens":0,"rejected_prediction_tokens":0}},"service_tier":"default","system_fingerprint":"fp_ad66631dec"}</t>
        </is>
      </c>
      <c r="X54" t="inlineStr">
        <is>
          <t>Other 黑色智能无线蓝牙耳机，符合人体工学环耳式设计，质感磨砂材质，佩戴稳固舒适，搭载降噪与高清通话功能，简约科技风格，男女皆宜，适合日常通勤与运动使用，呈现极简未来感音频体验。</t>
        </is>
      </c>
    </row>
    <row r="55" ht="25.5" customHeight="1">
      <c r="A55">
        <v>1654975475</v>
      </c>
      <c r="B55">
        <v>7621802308</v>
      </c>
      <c r="C55" s="2" t="str">
        <f>=HYPERLINK("https://weidian.com/item.html?itemID=7621802308", "https://weidian.com/item.html?itemID=7621802308")</f>
        <v>https://weidian.com/item.html?itemID=7621802308</v>
      </c>
      <c r="D55"/>
      <c r="E55" s="2" t="str">
        <f>=HYPERLINK("https://si.geilicdn.com/pcitem2014204438-499b0000019ac961178f0a207569_1074_1074.jpg?w=640&amp;h=640", "https://si.geilicdn.com/pcitem2014204438-499b0000019ac961178f0a207569_1074_1074.jpg?w=640&amp;h=640")</f>
        <v>https://si.geilicdn.com/pcitem2014204438-499b0000019ac961178f0a207569_1074_1074.jpg?w=640&amp;h=640</v>
      </c>
      <c r="F55" t="inlineStr">
        <is>
          <t>Electronic</t>
        </is>
      </c>
      <c r="G55" t="inlineStr">
        <is>
          <t>JBL</t>
        </is>
      </c>
      <c r="H55">
        <v>380</v>
      </c>
      <c r="I55">
        <v>55.07</v>
      </c>
      <c r="J55" t="inlineStr">
        <is>
          <t>{"id":"chatcmpl-DYj1XPb4BmXHYHDqKbLstb2H3hoqZ","object":"chat.completion","created":1777168595,"model":"gpt-5-chat-2025-10-03","choices":[{"index":0,"message":{"role":"assistant","content":"JBL Xtreme 3 Waterproof Bluetooth Speaker Black 15H Playtime","refusal":null,"annotations":[]},"logprobs":null,"finish_reason":"stop"}],"usage":{"prompt_tokens":901,"completion_tokens":16,"total_tokens":917,"prompt_tokens_details":{"cached_tokens":0,"audio_tokens":0},"completion_tokens_details":{"reasoning_tokens":0,"audio_tokens":0,"accepted_prediction_tokens":0,"rejected_prediction_tokens":0}},"service_tier":"default","system_fingerprint":"fp_ad66631dec"}</t>
        </is>
      </c>
      <c r="K55" t="inlineStr">
        <is>
          <t>JBL Xtreme 3 Waterproof Bluetooth Speaker Black 15H Playtime</t>
        </is>
      </c>
      <c r="L55" t="inlineStr">
        <is>
          <t>{"id":"chatcmpl-DYiDepOIraSHfdhxW8SLyZfEh9DDL","object":"chat.completion","created":1777165502,"model":"gpt-5-chat-2025-10-03","choices":[{"index":0,"message":{"role":"assistant","content":"JBL Xtreme 3 Portable Bluetooth Speaker – Black, waterproof fabric design, 10000mAh battery for 15h playtime, USB charging output, speakerphone, sturdy hooks for easy carry, perfect for travel and outdoor use.","refusal":null,"annotations":[]},"logprobs":null,"finish_reason":"stop"}],"usage":{"prompt_tokens":913,"completion_tokens":50,"total_tokens":963,"prompt_tokens_details":{"cached_tokens":0,"audio_tokens":0},"completion_tokens_details":{"reasoning_tokens":0,"audio_tokens":0,"accepted_prediction_tokens":0,"rejected_prediction_tokens":0}},"service_tier":"default","system_fingerprint":"fp_ad66631dec"}</t>
        </is>
      </c>
      <c r="M55" t="inlineStr">
        <is>
          <t>{"alt-svc":"h3=\":443\"; ma=2592000","apim-request-id":"508ade42-1661-42a1-ad0b-d9a05adf05bf","azureml-model-session":"d20260405225800-40f19e54","cache-control":"no-cache","connection":"close","content-length":"1019","content-type":"application/json","date":"Sun, 26 Apr 2026 01:05:04 GMT","server":"nginx","skip-error-remapping":"true","strict-transport-security":"max-age=31536000; includeSubDomains; preload","via":"1.1 Caddy","x-content-type-options":"nosniff","x-ms-client-request-id":"Not-Set","x-ms-is-spilled-over":"false","x-ms-rai-invoked":"false","x-ms-region":"Sweden Central","x-new-api-version":"0.4.35","x-oneapi-request-id":"202604260105013672034178268d9d6nfL3g6Pf","x-ratelimit-abusepenalty-active":"False","x-ratelimit-key":"gpt-5-chat-global","x-ratelimit-limit-requests":"1000","x-ratelimit-limit-tokens":"1000000","x-ratelimit-remaining-requests":"999","x-ratelimit-remaining-tokens":"998325","x-ratelimit-renewalperiod-requests":"60","x-ratelimit-renewalperiod-tokens":"60","x-ratelimit-reset-requests":"60","x-ratelimit-reset-tokens":"100","x-request-id":"80bc90bc-0d55-464c-aa03-e43c02cd3f72"}</t>
        </is>
      </c>
      <c r="N55" t="inlineStr">
        <is>
          <t>JBL Xtreme 3 Portable Bluetooth Speaker – Black, waterproof fabric design, 10000mAh battery for 15h playtime, USB charging output, speakerphone, sturdy hooks for easy carry, perfect for travel and outdoor use.</t>
        </is>
      </c>
      <c r="O55" t="inlineStr">
        <is>
          <t>{"id":"chatcmpl-DYiV0oVmL4Wcw86tjUNMCiOXDnxWc","object":"chat.completion","created":1777166578,"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55" t="inlineStr">
        <is>
          <t>JBL,Speaker,kakobuy,kakebuy2026,kekobuysheet,kakobuysheet2026,2026kakobuy,kakobuyspreadsheeet,kakobuylink,kakebuylist,Kakobuy MEGA Spreadsheet,kakobuysheetfind,kakobuysheetfind2026,2026kakobuysheetfind,kakobuysheet2026</t>
        </is>
      </c>
      <c r="Q55"/>
      <c r="R55" t="inlineStr">
        <is>
          <t>recvhju1Cr3J3K</t>
        </is>
      </c>
      <c r="S55" t="inlineStr">
        <is>
          <t>jbl-xtreme-3-waterproof-bluetooth-speaker-black-15h-recvhju1cr3j3k</t>
        </is>
      </c>
      <c r="T55"/>
      <c r="U55"/>
      <c r="V55"/>
      <c r="W55" t="inlineStr">
        <is>
          <t>{"id":"chatcmpl-DYhqLUPCmJKQUWr6tS6GxK4j74lnK","object":"chat.completion","created":1777164057,"model":"gpt-5-chat-2025-10-03","choices":[{"index":0,"message":{"role":"assistant","content":"JBL：Xtreme 3 黑色便携式蓝牙音箱，织物防水机身设计，内置10000mAh电池支持15小时续航，配备USB充电输出与免提通话功能，坚固挂环结构方便携带，展现现代潮流风格，适合户外旅行与男女日常使用。","refusal":null,"annotations":[]},"logprobs":null,"finish_reason":"stop"}],"usage":{"prompt_tokens":1297,"completion_tokens":81,"total_tokens":1378,"prompt_tokens_details":{"cached_tokens":1280,"audio_tokens":0},"completion_tokens_details":{"reasoning_tokens":0,"audio_tokens":0,"accepted_prediction_tokens":0,"rejected_prediction_tokens":0}},"service_tier":"default","system_fingerprint":"fp_ad66631dec"}</t>
        </is>
      </c>
      <c r="X55" t="inlineStr">
        <is>
          <t>JBL：Xtreme 3 黑色便携式蓝牙音箱，织物防水机身设计，内置10000mAh电池支持15小时续航，配备USB充电输出与免提通话功能，坚固挂环结构方便携带，展现现代潮流风格，适合户外旅行与男女日常使用。</t>
        </is>
      </c>
    </row>
    <row r="56" ht="25.5" customHeight="1">
      <c r="A56">
        <v>1654975475</v>
      </c>
      <c r="B56">
        <v>7621693506</v>
      </c>
      <c r="C56" s="2" t="str">
        <f>=HYPERLINK("https://weidian.com/item.html?itemID=7621693506", "https://weidian.com/item.html?itemID=7621693506")</f>
        <v>https://weidian.com/item.html?itemID=7621693506</v>
      </c>
      <c r="D56"/>
      <c r="E56" s="2" t="str">
        <f>=HYPERLINK("https://si.geilicdn.com/pcitem2014204438-4a380000019ac961b7a70a210256_1440_1922.jpg?w=640&amp;h=640", "https://si.geilicdn.com/pcitem2014204438-4a380000019ac961b7a70a210256_1440_1922.jpg?w=640&amp;h=640")</f>
        <v>https://si.geilicdn.com/pcitem2014204438-4a380000019ac961b7a70a210256_1440_1922.jpg?w=640&amp;h=640</v>
      </c>
      <c r="F56" t="inlineStr">
        <is>
          <t>Electronic</t>
        </is>
      </c>
      <c r="G56" t="inlineStr">
        <is>
          <t>JBL</t>
        </is>
      </c>
      <c r="H56">
        <v>350</v>
      </c>
      <c r="I56">
        <v>50.72</v>
      </c>
      <c r="J56" t="inlineStr">
        <is>
          <t>{"id":"chatcmpl-DYj2fbGvcskMiLDD5zVmqmlExunkV","object":"chat.completion","created":1777168665,"model":"gpt-5-chat-2025-10-03","choices":[{"index":0,"message":{"role":"assistant","content":"JBL Red Waterproof Bluetooth Speaker Outdoor Portable Sound","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56" t="inlineStr">
        <is>
          <t>JBL Red Waterproof Bluetooth Speaker Outdoor Portable Sound</t>
        </is>
      </c>
      <c r="L56" t="inlineStr">
        <is>
          <t>{"id":"chatcmpl-DYiJuvJcAVgdcLGwmfdxdSie3Aiwp","object":"chat.completion","created":1777165890,"model":"gpt-5-chat-2025-10-03","choices":[{"index":0,"message":{"role":"assistant","content":"JBL Red Portable Bluetooth Speaker with waterproof dustproof silicone shell, minimalist square design and hook for travel, delivers high-fidelity sound for camping, parties, and outdoor adventures.","refusal":null,"annotations":[]},"logprobs":null,"finish_reason":"stop"}],"usage":{"prompt_tokens":911,"completion_tokens":36,"total_tokens":947,"prompt_tokens_details":{"cached_tokens":0,"audio_tokens":0},"completion_tokens_details":{"reasoning_tokens":0,"audio_tokens":0,"accepted_prediction_tokens":0,"rejected_prediction_tokens":0}},"service_tier":"default","system_fingerprint":"fp_ad66631dec"}</t>
        </is>
      </c>
      <c r="M56" t="inlineStr">
        <is>
          <t>{"alt-svc":"h3=\":443\"; ma=2592000","apim-request-id":"68f780bb-5185-47eb-979c-23ee39f20f5c","azureml-model-session":"d20260405212659-a9daa006","cache-control":"no-cache","connection":"close","content-length":"1005","content-type":"application/json","date":"Sun, 26 Apr 2026 01:11:32 GMT","server":"nginx","skip-error-remapping":"true","strict-transport-security":"max-age=31536000; includeSubDomains; preload","via":"1.1 Caddy","x-content-type-options":"nosniff","x-ms-client-request-id":"Not-Set","x-ms-is-spilled-over":"false","x-ms-rai-invoked":"false","x-ms-region":"Switzerland North","x-new-api-version":"0.4.35","x-oneapi-request-id":"202604260111292796542298268d9d66zTJOemC","x-ratelimit-abusepenalty-active":"False","x-ratelimit-limit-requests":"1000","x-ratelimit-limit-tokens":"1000000","x-ratelimit-remaining-requests":"999","x-ratelimit-remaining-tokens":"998327","x-ratelimit-renewalperiod-requests":"60","x-ratelimit-renewalperiod-tokens":"60","x-ratelimit-reset-requests":"60","x-ratelimit-reset-tokens":"100","x-request-id":"8fcd86c2-cc26-4e31-bc6d-fae215eb162d"}</t>
        </is>
      </c>
      <c r="N56" t="inlineStr">
        <is>
          <t>JBL Red Portable Bluetooth Speaker with waterproof dustproof silicone shell, minimalist square design and hook for travel, delivers high-fidelity sound for camping, parties, and outdoor adventures.</t>
        </is>
      </c>
      <c r="O56" t="inlineStr">
        <is>
          <t>{"id":"chatcmpl-DYiYxMNWimnyNJQQSkxxM78TA1wYH","object":"chat.completion","created":1777166823,"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56" t="inlineStr">
        <is>
          <t>JBL,Speaker,kakobuy,kakebuy2026,kekobuysheet,kakobuysheet2026,2026kakobuy,kakobuyspreadsheeet,kakobuylink,kakebuylist,Kakobuy MEGA Spreadsheet,kakobuysheetfind,kakobuysheetfind2026,2026kakobuysheetfind,kakobuysheet2026</t>
        </is>
      </c>
      <c r="Q56"/>
      <c r="R56" t="inlineStr">
        <is>
          <t>recvhju1CrCTLF</t>
        </is>
      </c>
      <c r="S56" t="inlineStr">
        <is>
          <t>jbl-red-waterproof-bluetooth-speaker-recvhju1crctlf</t>
        </is>
      </c>
      <c r="T56"/>
      <c r="U56"/>
      <c r="V56"/>
      <c r="W56" t="inlineStr">
        <is>
          <t>{"id":"chatcmpl-DYhuasbQfKWTDyrPZqlCBboqyiDsI","object":"chat.completion","created":1777164320,"model":"gpt-5-chat-2025-10-03","choices":[{"index":0,"message":{"role":"assistant","content":"JBL 红色便携蓝牙音箱，采用防水防尘硅胶外壳设计，小巧方形造型彰显极简户外风格，挂扣设计便于出行携带，充分展现品牌高保真音质与现代感，适合男女使用，露营、旅行、聚会皆宜。","refusal":null,"annotations":[]},"logprobs":null,"finish_reason":"stop"}],"usage":{"prompt_tokens":1299,"completion_tokens":78,"total_tokens":1377,"prompt_tokens_details":{"cached_tokens":1280,"audio_tokens":0},"completion_tokens_details":{"reasoning_tokens":0,"audio_tokens":0,"accepted_prediction_tokens":0,"rejected_prediction_tokens":0}},"service_tier":"default","system_fingerprint":"fp_ad66631dec"}</t>
        </is>
      </c>
      <c r="X56" t="inlineStr">
        <is>
          <t>JBL 红色便携蓝牙音箱，采用防水防尘硅胶外壳设计，小巧方形造型彰显极简户外风格，挂扣设计便于出行携带，充分展现品牌高保真音质与现代感，适合男女使用，露营、旅行、聚会皆宜。</t>
        </is>
      </c>
    </row>
    <row r="57" ht="25.5" customHeight="1">
      <c r="A57">
        <v>1654975475</v>
      </c>
      <c r="B57">
        <v>7618872153</v>
      </c>
      <c r="C57" s="2" t="str">
        <f>=HYPERLINK("https://weidian.com/item.html?itemID=7618872153", "https://weidian.com/item.html?itemID=7618872153")</f>
        <v>https://weidian.com/item.html?itemID=7618872153</v>
      </c>
      <c r="D57"/>
      <c r="E57" s="2" t="str">
        <f>=HYPERLINK("https://si.geilicdn.com/pcitem2014204438-53c10000019ac983f26a0a81347d_1512_2016.jpg?w=640&amp;h=640", "https://si.geilicdn.com/pcitem2014204438-53c10000019ac983f26a0a81347d_1512_2016.jpg?w=640&amp;h=640")</f>
        <v>https://si.geilicdn.com/pcitem2014204438-53c10000019ac983f26a0a81347d_1512_2016.jpg?w=640&amp;h=640</v>
      </c>
      <c r="F57" t="inlineStr">
        <is>
          <t>Electronic</t>
        </is>
      </c>
      <c r="G57" t="inlineStr">
        <is>
          <t>Bose</t>
        </is>
      </c>
      <c r="H57">
        <v>540</v>
      </c>
      <c r="I57">
        <v>78.26</v>
      </c>
      <c r="J57" t="inlineStr">
        <is>
          <t>{"id":"chatcmpl-DYizyfW4tm2KcIVh6ttVmsLkrgSsb","object":"chat.completion","created":1777168498,"model":"gpt-5-chat-2025-10-03","choices":[{"index":0,"message":{"role":"assistant","content":"Bose SoundLink Flex Black Waterproof Bluetooth Speaker Portabl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57" t="inlineStr">
        <is>
          <t>Bose SoundLink Flex Black Waterproof Bluetooth Speaker Portable</t>
        </is>
      </c>
      <c r="L57" t="inlineStr">
        <is>
          <t>{"id":"chatcmpl-DYiGm1kloclV81FhYqPtNV0PPgvcy","object":"chat.completion","created":1777165696,"model":"gpt-5-chat-2025-10-03","choices":[{"index":0,"message":{"role":"assistant","content":"Bose SoundLink Flex Black Portable Bluetooth Speaker, waterproof and dustproof, metal grille with soft silicone, sleek modern design, premium sound quality for outdoor and home entertainment.","refusal":null,"annotations":[]},"logprobs":null,"finish_reason":"stop"}],"usage":{"prompt_tokens":897,"completion_tokens":35,"total_tokens":932,"prompt_tokens_details":{"cached_tokens":0,"audio_tokens":0},"completion_tokens_details":{"reasoning_tokens":0,"audio_tokens":0,"accepted_prediction_tokens":0,"rejected_prediction_tokens":0}},"service_tier":"default","system_fingerprint":"fp_ad66631dec"}</t>
        </is>
      </c>
      <c r="M57" t="inlineStr">
        <is>
          <t>{"alt-svc":"h3=\":443\"; ma=2592000","apim-request-id":"bf2a3708-d23c-4d77-9902-0527e7dce22a","azureml-model-session":"d20260405212659-a9daa006","cache-control":"no-cache","connection":"close","content-length":"999","content-type":"application/json","date":"Sun, 26 Apr 2026 01:08:18 GMT","server":"Caddy","skip-error-remapping":"true","strict-transport-security":"max-age=31536000; includeSubDomains; preload","x-content-type-options":"nosniff","x-ms-client-request-id":"Not-Set","x-ms-is-spilled-over":"false","x-ms-rai-invoked":"false","x-ms-region":"East US","x-new-api-version":"0.4.35","x-oneapi-request-id":"202604260108157944608998268d9d6Dal0O8w1","x-ratelimit-abusepenalty-active":"False","x-ratelimit-limit-requests":"1000","x-ratelimit-limit-tokens":"1000000","x-ratelimit-remaining-requests":"999","x-ratelimit-remaining-tokens":"998341","x-ratelimit-renewalperiod-requests":"60","x-ratelimit-renewalperiod-tokens":"60","x-ratelimit-reset-requests":"60","x-ratelimit-reset-tokens":"99","x-request-id":"5d57e886-4ef0-457b-83fb-cc403348b327"}</t>
        </is>
      </c>
      <c r="N57" t="inlineStr">
        <is>
          <t>Bose SoundLink Flex Black Portable Bluetooth Speaker, waterproof and dustproof, metal grille with soft silicone, sleek modern design, premium sound quality for outdoor and home entertainment.</t>
        </is>
      </c>
      <c r="O57" t="inlineStr">
        <is>
          <t>{"id":"chatcmpl-DYiVQ7uHi007fSqediCyVg7oCYwbM","object":"chat.completion","created":1777166604,"model":"gpt-5-chat-2025-10-03","choices":[{"index":0,"message":{"role":"assistant","content":"Bose,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57" t="inlineStr">
        <is>
          <t>Bose,Speaker,kakobuy,kakebuy2026,kekobuysheet,kakobuysheet2026,2026kakobuy,kakobuyspreadsheeet,kakobuylink,kakebuylist,Kakobuy MEGA Spreadsheet,kakobuysheetfind,kakobuysheetfind2026,2026kakobuysheetfind,kakobuysheet2026</t>
        </is>
      </c>
      <c r="Q57"/>
      <c r="R57" t="inlineStr">
        <is>
          <t>recvhju1CrZdKO</t>
        </is>
      </c>
      <c r="S57" t="inlineStr">
        <is>
          <t>bose-soundlink-flex-recvhju1crzdko</t>
        </is>
      </c>
      <c r="T57"/>
      <c r="U57"/>
      <c r="V57"/>
      <c r="W57" t="inlineStr">
        <is>
          <t>{"id":"chatcmpl-DYhsHcR2AjNcJb10zYUyr9GDoBMxQ","object":"chat.completion","created":1777164177,"model":"gpt-5-chat-2025-10-03","choices":[{"index":0,"message":{"role":"assistant","content":"Bose：SoundLink Flex黑色便携式蓝牙音箱，防水防尘设计，金属网格与柔质硅胶融合，简约现代风格，卓越音质表现，男女皆宜，适用于户外休闲与居家娱乐。","refusal":null,"annotations":[]},"logprobs":null,"finish_reason":"stop"}],"usage":{"prompt_tokens":1301,"completion_tokens":63,"total_tokens":1364,"prompt_tokens_details":{"cached_tokens":0,"audio_tokens":0},"completion_tokens_details":{"reasoning_tokens":0,"audio_tokens":0,"accepted_prediction_tokens":0,"rejected_prediction_tokens":0}},"service_tier":"default","system_fingerprint":"fp_ad66631dec"}</t>
        </is>
      </c>
      <c r="X57" t="inlineStr">
        <is>
          <t>Bose：SoundLink Flex黑色便携式蓝牙音箱，防水防尘设计，金属网格与柔质硅胶融合，简约现代风格，卓越音质表现，男女皆宜，适用于户外休闲与居家娱乐。</t>
        </is>
      </c>
    </row>
    <row r="58" ht="25.5" customHeight="1">
      <c r="A58">
        <v>1654975475</v>
      </c>
      <c r="B58">
        <v>7621021222</v>
      </c>
      <c r="C58" s="2" t="str">
        <f>=HYPERLINK("https://weidian.com/item.html?itemID=7621021222", "https://weidian.com/item.html?itemID=7621021222")</f>
        <v>https://weidian.com/item.html?itemID=7621021222</v>
      </c>
      <c r="D58"/>
      <c r="E58" s="2" t="str">
        <f>=HYPERLINK("https://si.geilicdn.com/pcitem2014204438-55950000019ac984c6820a20e284_1536_1536.jpg?w=640&amp;h=640", "https://si.geilicdn.com/pcitem2014204438-55950000019ac984c6820a20e284_1536_1536.jpg?w=640&amp;h=640")</f>
        <v>https://si.geilicdn.com/pcitem2014204438-55950000019ac984c6820a20e284_1536_1536.jpg?w=640&amp;h=640</v>
      </c>
      <c r="F58" t="inlineStr">
        <is>
          <t>Electronic</t>
        </is>
      </c>
      <c r="G58" t="inlineStr">
        <is>
          <t>Marshall</t>
        </is>
      </c>
      <c r="H58">
        <v>134</v>
      </c>
      <c r="I58">
        <v>19.42</v>
      </c>
      <c r="J58" t="inlineStr">
        <is>
          <t>{"id":"chatcmpl-DYj2GzxhaLUmQCAoZd6J3ikiUkgSH","object":"chat.completion","created":1777168640,"model":"gpt-5-chat-2025-10-03","choices":[{"index":0,"message":{"role":"assistant","content":"Marshall Patta Reggae Bluetooth Speaker Limited Edition","refusal":null,"annotations":[]},"logprobs":null,"finish_reason":"stop"}],"usage":{"prompt_tokens":948,"completion_tokens":16,"total_tokens":964,"prompt_tokens_details":{"cached_tokens":0,"audio_tokens":0},"completion_tokens_details":{"reasoning_tokens":0,"audio_tokens":0,"accepted_prediction_tokens":0,"rejected_prediction_tokens":0}},"service_tier":"default","system_fingerprint":"fp_ad66631dec"}</t>
        </is>
      </c>
      <c r="K58" t="inlineStr">
        <is>
          <t>Marshall Patta Reggae Bluetooth Speaker Limited Edition</t>
        </is>
      </c>
      <c r="L58" t="inlineStr">
        <is>
          <t>{"id":"chatcmpl-DYiL9CsjzwAwvFEWK6QeAXsl4ORdY","object":"chat.completion","created":1777165967,"model":"gpt-5-chat-2025-10-03","choices":[{"index":0,"message":{"role":"assistant","content":"Marshall × Patta Limited Edition Bluetooth Speaker — Green‑Yellow‑Red Gradient Design with Reggae Vibe, Metallic Body, Rich Stereo Sound, Compact &amp; Wireless for Trendy Music Lovers and Urban Style Fans.","refusal":null,"annotations":[]},"logprobs":null,"finish_reason":"stop"}],"usage":{"prompt_tokens":908,"completion_tokens":74,"total_tokens":982,"prompt_tokens_details":{"cached_tokens":0,"audio_tokens":0},"completion_tokens_details":{"reasoning_tokens":0,"audio_tokens":0,"accepted_prediction_tokens":0,"rejected_prediction_tokens":0}},"service_tier":"default","system_fingerprint":"fp_ad66631dec"}</t>
        </is>
      </c>
      <c r="M58" t="inlineStr">
        <is>
          <t>{"alt-svc":"h3=\":443\"; ma=2592000","apim-request-id":"7ac4f39a-aaeb-45b3-b1ad-e64035014fa5","azureml-model-session":"d20260405234249-f9874baf","cache-control":"no-cache","connection":"close","content-length":"1075","content-type":"application/json","date":"Sun, 26 Apr 2026 01:12:49 GMT","server":"nginx","skip-error-remapping":"true","strict-transport-security":"max-age=31536000; includeSubDomains; preload","vary":"Accept-Encoding","via":"1.1 Caddy","x-content-type-options":"nosniff","x-ms-client-request-id":"Not-Set","x-ms-is-spilled-over":"false","x-ms-rai-invoked":"false","x-ms-region":"Korea Central","x-new-api-version":"0.4.35","x-oneapi-request-id":"202604260112467632807098268d9d6VfHKD2Ph","x-ratelimit-abusepenalty-active":"False","x-ratelimit-limit-requests":"1000","x-ratelimit-limit-tokens":"1000000","x-ratelimit-remaining-requests":"999","x-ratelimit-remaining-tokens":"998330","x-ratelimit-renewalperiod-requests":"60","x-ratelimit-renewalperiod-tokens":"60","x-ratelimit-reset-requests":"60","x-ratelimit-reset-tokens":"100","x-request-id":"43693c70-4ae4-4d53-a88c-c78362e2f4f2"}</t>
        </is>
      </c>
      <c r="N58" t="inlineStr">
        <is>
          <t>Marshall × Patta Limited Edition Bluetooth Speaker — Green‑Yellow‑Red Gradient Design with Reggae Vibe, Metallic Body, Rich Stereo Sound, Compact &amp; Wireless for Trendy Music Lovers and Urban Style Fans.</t>
        </is>
      </c>
      <c r="O58" t="inlineStr">
        <is>
          <t>{"id":"chatcmpl-DYiXp4QDgoLpKHUsApdkzIZ3UzF0n","object":"chat.completion","created":1777166753,"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58" t="inlineStr">
        <is>
          <t>Marshall,Speaker,kakobuy,kakebuy2026,kekobuysheet,kakobuysheet2026,2026kakobuy,kakobuyspreadsheeet,kakobuylink,kakebuylist,Kakobuy MEGA Spreadsheet,kakobuysheetfind,kakobuysheetfind2026,2026kakobuysheetfind,kakobuysheet2026</t>
        </is>
      </c>
      <c r="Q58" t="inlineStr">
        <is>
          <t>Marshall, Gradient, Streetwear, Unisex, Summer</t>
        </is>
      </c>
      <c r="R58" t="inlineStr">
        <is>
          <t>recvhju1Cr02gz</t>
        </is>
      </c>
      <c r="S58" t="inlineStr">
        <is>
          <t>marshall-patta-reggae-bluetooth-speaker-limited-edition-recvhju1cr02gz</t>
        </is>
      </c>
      <c r="T58"/>
      <c r="U58"/>
      <c r="V58"/>
      <c r="W58" t="inlineStr">
        <is>
          <t>{"id":"chatcmpl-DYhsZzJmdS76vLofCqscBlUEPiNJy","object":"chat.completion","created":1777164195,"model":"gpt-5-chat-2025-10-03","choices":[{"index":0,"message":{"role":"assistant","content":"Marshall：Patta联名限量版蓝牙音箱，绿黄红渐变配色彰显雷鬼灵魂，经典方形设计融合金属质感外壳，音效饱满立体，便携无线，适合潮流男女与复古音乐爱好者，演绎都市时尚与自由精神。","refusal":null,"annotations":[]},"logprobs":null,"finish_reason":"stop"}],"usage":{"prompt_tokens":1295,"completion_tokens":77,"total_tokens":1372,"prompt_tokens_details":{"cached_tokens":0,"audio_tokens":0},"completion_tokens_details":{"reasoning_tokens":0,"audio_tokens":0,"accepted_prediction_tokens":0,"rejected_prediction_tokens":0}},"service_tier":"default","system_fingerprint":"fp_ad66631dec"}</t>
        </is>
      </c>
      <c r="X58" t="inlineStr">
        <is>
          <t>Marshall：Patta联名限量版蓝牙音箱，绿黄红渐变配色彰显雷鬼灵魂，经典方形设计融合金属质感外壳，音效饱满立体，便携无线，适合潮流男女与复古音乐爱好者，演绎都市时尚与自由精神。</t>
        </is>
      </c>
    </row>
    <row r="59" ht="25.5" customHeight="1">
      <c r="A59">
        <v>1654975475</v>
      </c>
      <c r="B59">
        <v>7618052891</v>
      </c>
      <c r="C59" s="2" t="str">
        <f>=HYPERLINK("https://weidian.com/item.html?itemID=7618052891", "https://weidian.com/item.html?itemID=7618052891")</f>
        <v>https://weidian.com/item.html?itemID=7618052891</v>
      </c>
      <c r="D59"/>
      <c r="E59" s="2" t="str">
        <f>=HYPERLINK("https://si.geilicdn.com/pcitem2014204438-7a8b0000019ac982df370a2103bd_828_1521.jpg?w=640&amp;h=640", "https://si.geilicdn.com/pcitem2014204438-7a8b0000019ac982df370a2103bd_828_1521.jpg?w=640&amp;h=640")</f>
        <v>https://si.geilicdn.com/pcitem2014204438-7a8b0000019ac982df370a2103bd_828_1521.jpg?w=640&amp;h=640</v>
      </c>
      <c r="F59" t="inlineStr">
        <is>
          <t>Electronic</t>
        </is>
      </c>
      <c r="G59" t="inlineStr">
        <is>
          <t>Bose</t>
        </is>
      </c>
      <c r="H59">
        <v>540</v>
      </c>
      <c r="I59">
        <v>78.26</v>
      </c>
      <c r="J59" t="inlineStr">
        <is>
          <t>{"id":"chatcmpl-DYj33F9ewu2vVkT8kSkQRv29GpCV5","object":"chat.completion","created":1777168689,"model":"gpt-5-chat-2025-10-03","choices":[{"index":0,"message":{"role":"assistant","content":"Bose SoundLink Flex Bluetooth Speaker Waterproof Blue-Green","refusal":null,"annotations":[]},"logprobs":null,"finish_reason":"stop"}],"usage":{"prompt_tokens":1153,"completion_tokens":12,"total_tokens":1165,"prompt_tokens_details":{"cached_tokens":0,"audio_tokens":0},"completion_tokens_details":{"reasoning_tokens":0,"audio_tokens":0,"accepted_prediction_tokens":0,"rejected_prediction_tokens":0}},"service_tier":"default","system_fingerprint":"fp_ad66631dec"}</t>
        </is>
      </c>
      <c r="K59" t="inlineStr">
        <is>
          <t>Bose SoundLink Flex Bluetooth Speaker Waterproof Blue-Green</t>
        </is>
      </c>
      <c r="L59" t="inlineStr">
        <is>
          <t>{"id":"chatcmpl-DYiKaqoCwwE1R7fjOMfoxeygFDjcG","object":"chat.completion","created":1777165932,"model":"gpt-5-chat-2025-10-03","choices":[{"index":0,"message":{"role":"assistant","content":"Bose SoundLink Flex Blue-Green Portable Bluetooth Speaker, waterproof and shockproof, stylish minimalist design with metal grille and soft silicone shell for rich stereo sound indoors or outdoors.","refusal":null,"annotations":[]},"logprobs":null,"finish_reason":"stop"}],"usage":{"prompt_tokens":1198,"completion_tokens":36,"total_tokens":1234,"prompt_tokens_details":{"cached_tokens":0,"audio_tokens":0},"completion_tokens_details":{"reasoning_tokens":0,"audio_tokens":0,"accepted_prediction_tokens":0,"rejected_prediction_tokens":0}},"service_tier":"default","system_fingerprint":"fp_ad66631dec"}</t>
        </is>
      </c>
      <c r="M59" t="inlineStr">
        <is>
          <t>{"alt-svc":"h3=\":443\"; ma=2592000","apim-request-id":"7321cc50-b112-4a97-9ca2-dfab4cd3f649","azureml-model-session":"d20260405225800-40f19e54","cache-control":"no-cache","connection":"close","content-length":"1006","content-type":"application/json","date":"Sun, 26 Apr 2026 01:12:13 GMT","server":"Caddy","skip-error-remapping":"true","strict-transport-security":"max-age=31536000; includeSubDomains; preload","x-content-type-options":"nosniff","x-ms-client-request-id":"Not-Set","x-ms-is-spilled-over":"false","x-ms-rai-invoked":"false","x-ms-region":"East US","x-new-api-version":"0.4.35","x-oneapi-request-id":"202604260112114576797638268d9d6gGookBjT","x-ratelimit-abusepenalty-active":"False","x-ratelimit-limit-requests":"1000","x-ratelimit-limit-tokens":"1000000","x-ratelimit-remaining-requests":"999","x-ratelimit-remaining-tokens":"998039","x-ratelimit-renewalperiod-requests":"60","x-ratelimit-renewalperiod-tokens":"60","x-ratelimit-reset-requests":"60","x-ratelimit-reset-tokens":"117","x-request-id":"332c3cdc-fb38-41bc-99d0-2b91749cb4eb"}</t>
        </is>
      </c>
      <c r="N59" t="inlineStr">
        <is>
          <t>Bose SoundLink Flex Blue-Green Portable Bluetooth Speaker, waterproof and shockproof, stylish minimalist design with metal grille and soft silicone shell for rich stereo sound indoors or outdoors.</t>
        </is>
      </c>
      <c r="O59" t="inlineStr">
        <is>
          <t>{"id":"chatcmpl-DYiXHQSlsVq7XklDko8T8IHp9kVJI","object":"chat.completion","created":1777166719,"model":"gpt-5-chat-2025-10-03","choices":[{"index":0,"message":{"role":"assistant","content":"Bose,speaker,kakobuy,kakebuy2026,kekobuysheet,kakobuysheet2026,2026kakobuy,kakobuyspreadsheeet,kakobuylink,kakebuylist,Kakobuy MEGA Spreadsheet,kakobuysheetfind,kakobuysheetfind2026,2026kakobuysheetfind,kakobuysheet2026","refusal":null,"annotations":[]},"logprobs":null,"finish_reason":"stop"}],"usage":{"prompt_tokens":1062,"completion_tokens":87,"total_tokens":1149,"prompt_tokens_details":{"cached_tokens":0,"audio_tokens":0},"completion_tokens_details":{"reasoning_tokens":0,"audio_tokens":0,"accepted_prediction_tokens":0,"rejected_prediction_tokens":0}},"service_tier":"default","system_fingerprint":"fp_ad66631dec"}</t>
        </is>
      </c>
      <c r="P59" t="inlineStr">
        <is>
          <t>Bose,speaker,kakobuy,kakebuy2026,kekobuysheet,kakobuysheet2026,2026kakobuy,kakobuyspreadsheeet,kakobuylink,kakebuylist,Kakobuy MEGA Spreadsheet,kakobuysheetfind,kakobuysheetfind2026,2026kakobuysheetfind,kakobuysheet2026</t>
        </is>
      </c>
      <c r="Q59"/>
      <c r="R59" t="inlineStr">
        <is>
          <t>recvhju1CrtisQ</t>
        </is>
      </c>
      <c r="S59" t="inlineStr">
        <is>
          <t>bose-soundlink-flex-bluetooth-speaker-waterproof-blue-green-recvhju1crtisq</t>
        </is>
      </c>
      <c r="T59"/>
      <c r="U59"/>
      <c r="V59"/>
      <c r="W59" t="inlineStr">
        <is>
          <t>{"id":"chatcmpl-DYhsFjEtnDK0SE9YHrrlxvbipG4Aq","object":"chat.completion","created":1777164175,"model":"gpt-5-chat-2025-10-03","choices":[{"index":0,"message":{"role":"assistant","content":"Bose：SoundLink Flex蓝绿色便携式蓝牙音箱，防水抗震设计，简约时尚外观，优质金属网面搭配柔感硅胶外壳，户外出行及居家皆宜，呈现饱满立体音效，男女皆可使用，展现现代极简风格的高品质音乐体验。","refusal":null,"annotations":[]},"logprobs":null,"finish_reason":"stop"}],"usage":{"prompt_tokens":1579,"completion_tokens":85,"total_tokens":1664,"prompt_tokens_details":{"cached_tokens":0,"audio_tokens":0},"completion_tokens_details":{"reasoning_tokens":0,"audio_tokens":0,"accepted_prediction_tokens":0,"rejected_prediction_tokens":0}},"service_tier":"default","system_fingerprint":"fp_ad66631dec"}</t>
        </is>
      </c>
      <c r="X59" t="inlineStr">
        <is>
          <t>Bose：SoundLink Flex蓝绿色便携式蓝牙音箱，防水抗震设计，简约时尚外观，优质金属网面搭配柔感硅胶外壳，户外出行及居家皆宜，呈现饱满立体音效，男女皆可使用，展现现代极简风格的高品质音乐体验。</t>
        </is>
      </c>
    </row>
    <row r="60" ht="25.5" customHeight="1">
      <c r="A60">
        <v>1654975475</v>
      </c>
      <c r="B60">
        <v>7621822756</v>
      </c>
      <c r="C60" s="2" t="str">
        <f>=HYPERLINK("https://weidian.com/item.html?itemID=7621822756", "https://weidian.com/item.html?itemID=7621822756")</f>
        <v>https://weidian.com/item.html?itemID=7621822756</v>
      </c>
      <c r="D60"/>
      <c r="E60" s="2" t="str">
        <f>=HYPERLINK("https://si.geilicdn.com/pcitem2014204438-5dd60000019ac98352830a23111a_1074_1074.jpg?w=640&amp;h=640", "https://si.geilicdn.com/pcitem2014204438-5dd60000019ac98352830a23111a_1074_1074.jpg?w=640&amp;h=640")</f>
        <v>https://si.geilicdn.com/pcitem2014204438-5dd60000019ac98352830a23111a_1074_1074.jpg?w=640&amp;h=640</v>
      </c>
      <c r="F60" t="inlineStr">
        <is>
          <t>Electronic</t>
        </is>
      </c>
      <c r="G60" t="inlineStr">
        <is>
          <t>JBL</t>
        </is>
      </c>
      <c r="H60">
        <v>380</v>
      </c>
      <c r="I60">
        <v>55.07</v>
      </c>
      <c r="J60" t="inlineStr">
        <is>
          <t>{"id":"chatcmpl-DYizD25HIjrWXEKITInlR7FH4aVdy","object":"chat.completion","created":1777168451,"model":"gpt-5-chat-2025-10-03","choices":[{"index":0,"message":{"role":"assistant","content":"JBL Pulse Bluetooth Speaker Gradient Blue Purple Waterproof","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60" t="inlineStr">
        <is>
          <t>JBL Pulse Bluetooth Speaker Gradient Blue Purple Waterproof</t>
        </is>
      </c>
      <c r="L60" t="inlineStr">
        <is>
          <t>{"id":"chatcmpl-DYiKRJhMKIctB1GBriC3Eiovq9HT7","object":"chat.completion","created":1777165923,"model":"gpt-5-chat-2025-10-03","choices":[{"index":0,"message":{"role":"assistant","content":"JBL Pulse Series Bluetooth Speaker in gradient blue-purple, features dazzling LED lights, high-fidelity stereo sound, waterproof durable design, perfect for parties, outdoor adventures, and home relaxation.","refusal":null,"annotations":[]},"logprobs":null,"finish_reason":"stop"}],"usage":{"prompt_tokens":911,"completion_tokens":38,"total_tokens":949,"prompt_tokens_details":{"cached_tokens":0,"audio_tokens":0},"completion_tokens_details":{"reasoning_tokens":0,"audio_tokens":0,"accepted_prediction_tokens":0,"rejected_prediction_tokens":0}},"service_tier":"default","system_fingerprint":"fp_ad66631dec"}</t>
        </is>
      </c>
      <c r="M60" t="inlineStr">
        <is>
          <t>{"alt-svc":"h3=\":443\"; ma=2592000","apim-request-id":"339fb541-6e95-470c-835e-97b41d128205","azureml-model-session":"d20260402084046-4209e968","cache-control":"no-cache","connection":"close","content-length":"1014","content-type":"application/json","date":"Sun, 26 Apr 2026 01:12:03 GMT","server":"nginx","skip-error-remapping":"true","strict-transport-security":"max-age=31536000; includeSubDomains; preload","via":"1.1 Caddy","x-content-type-options":"nosniff","x-ms-client-request-id":"Not-Set","x-ms-is-spilled-over":"false","x-ms-rai-invoked":"false","x-ms-region":"East US 2","x-new-api-version":"0.4.35","x-oneapi-request-id":"202604260112021767311908268d9d6kPwVlj02","x-ratelimit-abusepenalty-active":"False","x-ratelimit-limit-requests":"1000","x-ratelimit-limit-tokens":"1000000","x-ratelimit-remaining-requests":"999","x-ratelimit-remaining-tokens":"998327","x-ratelimit-renewalperiod-requests":"60","x-ratelimit-renewalperiod-tokens":"60","x-ratelimit-reset-requests":"60","x-ratelimit-reset-tokens":"100","x-request-id":"87e4cb46-65a6-4df8-ad52-fff7da11de75"}</t>
        </is>
      </c>
      <c r="N60" t="inlineStr">
        <is>
          <t>JBL Pulse Series Bluetooth Speaker in gradient blue-purple, features dazzling LED lights, high-fidelity stereo sound, waterproof durable design, perfect for parties, outdoor adventures, and home relaxation.</t>
        </is>
      </c>
      <c r="O60" t="inlineStr">
        <is>
          <t>{"id":"chatcmpl-DYiWbSD6JILacvLCsak1BG0O52GUk","object":"chat.completion","created":1777166677,"model":"gpt-5-chat-2025-10-03","choices":[{"index":0,"message":{"role":"assistant","content":"JBL,speak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0" t="inlineStr">
        <is>
          <t>JBL,speaker,kakobuy,kakebuy2026,kekobuysheet,kakobuysheet2026,2026kakobuy,kakobuyspreadsheeet,kakobuylink,kakebuylist,Kakobuy MEGA Spreadsheet,kakobuysheetfind,kakobuysheetfind2026,2026kakobuysheetfind,kakobuysheet2026</t>
        </is>
      </c>
      <c r="Q60"/>
      <c r="R60" t="inlineStr">
        <is>
          <t>recvhju1CrQqM3</t>
        </is>
      </c>
      <c r="S60" t="inlineStr">
        <is>
          <t>jbl-pulse-bluetooth-speaker-gradient-blue-purple-waterproof-recvhju1crqqm3</t>
        </is>
      </c>
      <c r="T60"/>
      <c r="U60"/>
      <c r="V60"/>
      <c r="W60" t="inlineStr">
        <is>
          <t>{"id":"chatcmpl-DYhrSOPNYbZ4MsznRaoeKGb9CrSs3","object":"chat.completion","created":1777164126,"model":"gpt-5-chat-2025-10-03","choices":[{"index":0,"message":{"role":"assistant","content":"JBL：PULSE系列幻彩蓝紫色蓝牙音箱，炫彩LED灯效与高保真立体声融合，采用耐用防水材质，时尚圆柱设计适合男女使用，现代科技感十足，营造沉浸式音乐氛围，户外派对与家居休闲皆宜。","refusal":null,"annotations":[]},"logprobs":null,"finish_reason":"stop"}],"usage":{"prompt_tokens":1297,"completion_tokens":79,"total_tokens":1376,"prompt_tokens_details":{"cached_tokens":0,"audio_tokens":0},"completion_tokens_details":{"reasoning_tokens":0,"audio_tokens":0,"accepted_prediction_tokens":0,"rejected_prediction_tokens":0}},"service_tier":"default","system_fingerprint":"fp_ad66631dec"}</t>
        </is>
      </c>
      <c r="X60" t="inlineStr">
        <is>
          <t>JBL：PULSE系列幻彩蓝紫色蓝牙音箱，炫彩LED灯效与高保真立体声融合，采用耐用防水材质，时尚圆柱设计适合男女使用，现代科技感十足，营造沉浸式音乐氛围，户外派对与家居休闲皆宜。</t>
        </is>
      </c>
    </row>
    <row r="61" ht="25.5" customHeight="1">
      <c r="A61">
        <v>1654975475</v>
      </c>
      <c r="B61">
        <v>7621815128</v>
      </c>
      <c r="C61" s="2" t="str">
        <f>=HYPERLINK("https://weidian.com/item.html?itemID=7621815128", "https://weidian.com/item.html?itemID=7621815128")</f>
        <v>https://weidian.com/item.html?itemID=7621815128</v>
      </c>
      <c r="D61"/>
      <c r="E61" s="2" t="str">
        <f>=HYPERLINK("https://si.geilicdn.com/pcitem2014204438-4d8c0000019ac98682c20a2396f4_1442_1922.jpg?w=640&amp;h=640", "https://si.geilicdn.com/pcitem2014204438-4d8c0000019ac98682c20a2396f4_1442_1922.jpg?w=640&amp;h=640")</f>
        <v>https://si.geilicdn.com/pcitem2014204438-4d8c0000019ac98682c20a2396f4_1442_1922.jpg?w=640&amp;h=640</v>
      </c>
      <c r="F61" t="inlineStr">
        <is>
          <t>Electronic</t>
        </is>
      </c>
      <c r="G61" t="inlineStr">
        <is>
          <t>Marshall</t>
        </is>
      </c>
      <c r="H61">
        <v>410</v>
      </c>
      <c r="I61">
        <v>59.42</v>
      </c>
      <c r="J61" t="inlineStr">
        <is>
          <t>{"id":"chatcmpl-DYiyyYW3ddlb5Az6ZouxFpywVvw5X","object":"chat.completion","created":1777168436,"model":"gpt-5-chat-2025-10-03","choices":[{"index":0,"message":{"role":"assistant","content":"Marshall Willen Bluetooth Speaker IP67 Waterproof 15H Playtime","refusal":null,"annotations":[]},"logprobs":null,"finish_reason":"stop"}],"usage":{"prompt_tokens":878,"completion_tokens":14,"total_tokens":892,"prompt_tokens_details":{"cached_tokens":0,"audio_tokens":0},"completion_tokens_details":{"reasoning_tokens":0,"audio_tokens":0,"accepted_prediction_tokens":0,"rejected_prediction_tokens":0}},"service_tier":"default","system_fingerprint":"fp_ad66631dec"}</t>
        </is>
      </c>
      <c r="K61" t="inlineStr">
        <is>
          <t>Marshall Willen Bluetooth Speaker IP67 Waterproof 15H Playtime</t>
        </is>
      </c>
      <c r="L61" t="inlineStr">
        <is>
          <t>{"id":"chatcmpl-DYiCb0EbjyZIZA1Z3kLJWp7bwtN7X","object":"chat.completion","created":1777165437,"model":"gpt-5-chat-2025-10-03","choices":[{"index":0,"message":{"role":"assistant","content":"Marshall Willen Portable Bluetooth Speaker, black vintage leather design, waterproof IP67, 15h playtime, stackable stereo mode, iconic British rock sound for outdoor travel and daily listening.","refusal":null,"annotations":[]},"logprobs":null,"finish_reason":"stop"}],"usage":{"prompt_tokens":907,"completion_tokens":39,"total_tokens":946,"prompt_tokens_details":{"cached_tokens":0,"audio_tokens":0},"completion_tokens_details":{"reasoning_tokens":0,"audio_tokens":0,"accepted_prediction_tokens":0,"rejected_prediction_tokens":0}},"service_tier":"default","system_fingerprint":"fp_ad66631dec"}</t>
        </is>
      </c>
      <c r="M61" t="inlineStr">
        <is>
          <t>{"alt-svc":"h3=\":443\"; ma=2592000","apim-request-id":"da2a19c2-cca5-4fdd-9ffa-f780eda6deea","azureml-model-session":"d20260405225800-40f19e54","cache-control":"no-cache","connection":"close","content-length":"1001","content-type":"application/json","date":"Sun, 26 Apr 2026 01:04:00 GMT","server":"Caddy","skip-error-remapping":"true","strict-transport-security":"max-age=31536000; includeSubDomains; preload","x-content-type-options":"nosniff","x-ms-client-request-id":"Not-Set","x-ms-is-spilled-over":"false","x-ms-rai-invoked":"false","x-ms-region":"Korea Central","x-new-api-version":"0.4.35","x-oneapi-request-id":"202604260103565744560228268d9d6NfIUvghZ","x-ratelimit-abusepenalty-active":"False","x-ratelimit-limit-requests":"1000","x-ratelimit-limit-tokens":"1000000","x-ratelimit-remaining-requests":"999","x-ratelimit-remaining-tokens":"998331","x-ratelimit-renewalperiod-requests":"60","x-ratelimit-renewalperiod-tokens":"60","x-ratelimit-reset-requests":"60","x-ratelimit-reset-tokens":"100","x-request-id":"9b3c13b4-f65a-4e3f-8fac-999c28fd6b0b"}</t>
        </is>
      </c>
      <c r="N61" t="inlineStr">
        <is>
          <t>Marshall Willen Portable Bluetooth Speaker, black vintage leather design, waterproof IP67, 15h playtime, stackable stereo mode, iconic British rock sound for outdoor travel and daily listening.</t>
        </is>
      </c>
      <c r="O61" t="inlineStr">
        <is>
          <t>{"id":"chatcmpl-DYiTL4VeBnYr75ZtdD41pmMxWJgnO","object":"chat.completion","created":1777166475,"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61" t="inlineStr">
        <is>
          <t>Marshall,speaker,kakobuy,kakebuy2026,kekobuysheet,kakobuysheet2026,2026kakobuy,kakobuyspreadsheeet,kakobuylink,kakebuylist,Kakobuy MEGA Spreadsheet,kakobuysheetfind,kakobuysheetfind2026,2026kakobuysheetfind,kakobuysheet2026</t>
        </is>
      </c>
      <c r="Q61" t="inlineStr">
        <is>
          <t>Marshall, Black, Vintage, Waterproof, Outdoor, Unisex</t>
        </is>
      </c>
      <c r="R61" t="inlineStr">
        <is>
          <t>recvhju1CrZWRI</t>
        </is>
      </c>
      <c r="S61" t="inlineStr">
        <is>
          <t>marshall-willen-bluetooth-speaker-recvhju1crzwri</t>
        </is>
      </c>
      <c r="T61"/>
      <c r="U61"/>
      <c r="V61"/>
      <c r="W61" t="inlineStr">
        <is>
          <t>{"id":"chatcmpl-DYhrIEdU1zgdFDq2jIHeK7oUZANFR","object":"chat.completion","created":1777164116,"model":"gpt-5-chat-2025-10-03","choices":[{"index":0,"message":{"role":"assistant","content":"Marshall：Willen黑色便携式蓝牙音箱，复古皮革纹理设计，小巧防水IP67等级，支持15小时续航与立体声堆叠模式，传承英伦摇滚风格，时尚男女皆宜，户外旅行与日常聆听首选。","refusal":null,"annotations":[]},"logprobs":null,"finish_reason":"stop"}],"usage":{"prompt_tokens":1303,"completion_tokens":72,"total_tokens":1375,"prompt_tokens_details":{"cached_tokens":1280,"audio_tokens":0},"completion_tokens_details":{"reasoning_tokens":0,"audio_tokens":0,"accepted_prediction_tokens":0,"rejected_prediction_tokens":0}},"service_tier":"default","system_fingerprint":"fp_ad66631dec"}</t>
        </is>
      </c>
      <c r="X61" t="inlineStr">
        <is>
          <t>Marshall：Willen黑色便携式蓝牙音箱，复古皮革纹理设计，小巧防水IP67等级，支持15小时续航与立体声堆叠模式，传承英伦摇滚风格，时尚男女皆宜，户外旅行与日常聆听首选。</t>
        </is>
      </c>
    </row>
    <row r="62" ht="25.5" customHeight="1">
      <c r="A62">
        <v>1654975475</v>
      </c>
      <c r="B62">
        <v>7621903746</v>
      </c>
      <c r="C62" s="2" t="str">
        <f>=HYPERLINK("https://weidian.com/item.html?itemID=7621903746", "https://weidian.com/item.html?itemID=7621903746")</f>
        <v>https://weidian.com/item.html?itemID=7621903746</v>
      </c>
      <c r="D62"/>
      <c r="E62" s="2" t="str">
        <f>=HYPERLINK("https://si.geilicdn.com/pcitem2014204438-56f90000019ac9861fc10a210256_1440_1920.jpg?w=640&amp;h=640", "https://si.geilicdn.com/pcitem2014204438-56f90000019ac9861fc10a210256_1440_1920.jpg?w=640&amp;h=640")</f>
        <v>https://si.geilicdn.com/pcitem2014204438-56f90000019ac9861fc10a210256_1440_1920.jpg?w=640&amp;h=640</v>
      </c>
      <c r="F62" t="inlineStr">
        <is>
          <t>Electronic</t>
        </is>
      </c>
      <c r="G62" t="inlineStr">
        <is>
          <t>Monster</t>
        </is>
      </c>
      <c r="H62">
        <v>1440</v>
      </c>
      <c r="I62">
        <v>208.695652173913</v>
      </c>
      <c r="J62" t="inlineStr">
        <is>
          <t>{"id":"chatcmpl-DYj2WQ6CXRNSZQEO9a9lgRzPNGWTT","object":"chat.completion","created":1777168656,"model":"gpt-5-chat-2025-10-03","choices":[{"index":0,"message":{"role":"assistant","content":"ElectronicMonster RaveBox Portable LED Bluetooth Speaker","refusal":null,"annotations":[]},"logprobs":null,"finish_reason":"stop"}],"usage":{"prompt_tokens":874,"completion_tokens":10,"total_tokens":884,"prompt_tokens_details":{"cached_tokens":0,"audio_tokens":0},"completion_tokens_details":{"reasoning_tokens":0,"audio_tokens":0,"accepted_prediction_tokens":0,"rejected_prediction_tokens":0}},"service_tier":"default","system_fingerprint":"fp_ad66631dec"}</t>
        </is>
      </c>
      <c r="K62" t="inlineStr">
        <is>
          <t>ElectronicMonster RaveBox Portable LED Bluetooth Speaker</t>
        </is>
      </c>
      <c r="L62" t="inlineStr">
        <is>
          <t>{"id":"chatcmpl-DYiHfgcxiHS1B70ZtGnaVMcdn55QW","object":"chat.completion","created":1777165751,"model":"gpt-5-chat-2025-10-03","choices":[{"index":0,"message":{"role":"assistant","content":"ElectronicMonsterMonster RaveBox Bluetooth Speaker – sleek black design with metal &amp; ABS build, dynamic LED lights, deep bass, portable handle style, perfect modern outdoor sound for everyone.","refusal":null,"annotations":[]},"logprobs":null,"finish_reason":"stop"}],"usage":{"prompt_tokens":897,"completion_tokens":37,"total_tokens":934,"prompt_tokens_details":{"cached_tokens":0,"audio_tokens":0},"completion_tokens_details":{"reasoning_tokens":0,"audio_tokens":0,"accepted_prediction_tokens":0,"rejected_prediction_tokens":0}},"service_tier":"default","system_fingerprint":"fp_ad66631dec"}</t>
        </is>
      </c>
      <c r="M62" t="inlineStr">
        <is>
          <t>{"alt-svc":"h3=\":443\"; ma=2592000","apim-request-id":"5baf406b-9d26-43e5-8707-526dd3aaf243","azureml-model-session":"d20260402074105-51db401e","cache-control":"no-cache","connection":"close","content-length":"1002","content-type":"application/json","date":"Sun, 26 Apr 2026 01:09:14 GMT","server":"Caddy","skip-error-remapping":"true","strict-transport-security":"max-age=31536000; includeSubDomains; preload","x-content-type-options":"nosniff","x-ms-client-request-id":"Not-Set","x-ms-is-spilled-over":"false","x-ms-rai-invoked":"false","x-ms-region":"UK South","x-new-api-version":"0.4.35","x-oneapi-request-id":"202604260109111334344438268d9d6jUDr4r2F","x-ratelimit-abusepenalty-active":"False","x-ratelimit-limit-requests":"1000","x-ratelimit-limit-tokens":"1000000","x-ratelimit-remaining-requests":"999","x-ratelimit-remaining-tokens":"998341","x-ratelimit-renewalperiod-requests":"60","x-ratelimit-renewalperiod-tokens":"60","x-ratelimit-reset-requests":"60","x-ratelimit-reset-tokens":"99","x-request-id":"2804dcb1-11e1-4b6e-8c0e-89b41c1480bb"}</t>
        </is>
      </c>
      <c r="N62" t="inlineStr">
        <is>
          <t>ElectronicMonsterMonster RaveBox Bluetooth Speaker – sleek black design with metal &amp; ABS build, dynamic LED lights, deep bass, portable handle style, perfect modern outdoor sound for everyone.</t>
        </is>
      </c>
      <c r="O62" t="inlineStr">
        <is>
          <t>{"id":"chatcmpl-DYiV9CFhzsRcmknuKF0fxHjSoeWxw","object":"chat.completion","created":1777166587,"model":"gpt-5-chat-2025-10-03","choices":[{"index":0,"message":{"role":"assistant","content":"Remax, Bluetooth Speaker,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92,"total_tokens":873,"prompt_tokens_details":{"cached_tokens":0,"audio_tokens":0},"completion_tokens_details":{"reasoning_tokens":0,"audio_tokens":0,"accepted_prediction_tokens":0,"rejected_prediction_tokens":0}},"service_tier":"default","system_fingerprint":"fp_ad66631dec"}</t>
        </is>
      </c>
      <c r="P62" t="inlineStr">
        <is>
          <t>Remax, Bluetooth Speaker, kakobuy, kakebuy2026, kekobuysheet, kakobuysheet2026, 2026kakobuy, kakobuyspreadsheeet, kakobuylink, kakebuylist, Kakobuy MEGA Spreadsheet, kakobuysheetfind, kakobuysheetfind2026, 2026kakobuysheetfind, kakobuysheet2026</t>
        </is>
      </c>
      <c r="Q62"/>
      <c r="R62" t="inlineStr">
        <is>
          <t>recvhju1CrYwhR</t>
        </is>
      </c>
      <c r="S62" t="inlineStr">
        <is>
          <t>electronicmonster-ravebox-led-bluetooth-speaker-recvhju1crywhr</t>
        </is>
      </c>
      <c r="T62"/>
      <c r="U62"/>
      <c r="V62"/>
      <c r="W62" t="inlineStr">
        <is>
          <t>{"id":"chatcmpl-DYhv5fhgjl375QJxJa6wTuzevr3tW","object":"chat.completion","created":1777164351,"model":"gpt-5-chat-2025-10-03","choices":[{"index":0,"message":{"role":"assistant","content":"Monster：RaveBox黑色蓝牙音响，采用金属与ABS复合材质，配备炫彩LED灯效与重低音设计，便携手提造型，融合未来科技与潮流美学，男女皆宜，现代派户外音响之选。","refusal":null,"annotations":[]},"logprobs":null,"finish_reason":"stop"}],"usage":{"prompt_tokens":1295,"completion_tokens":66,"total_tokens":1361,"prompt_tokens_details":{"cached_tokens":1280,"audio_tokens":0},"completion_tokens_details":{"reasoning_tokens":0,"audio_tokens":0,"accepted_prediction_tokens":0,"rejected_prediction_tokens":0}},"service_tier":"default","system_fingerprint":"fp_ad66631dec"}</t>
        </is>
      </c>
      <c r="X62" t="inlineStr">
        <is>
          <t>Monster：RaveBox黑色蓝牙音响，采用金属与ABS复合材质，配备炫彩LED灯效与重低音设计，便携手提造型，融合未来科技与潮流美学，男女皆宜，现代派户外音响之选。</t>
        </is>
      </c>
    </row>
    <row r="63" ht="25.5" customHeight="1">
      <c r="A63">
        <v>1654975475</v>
      </c>
      <c r="B63">
        <v>7621921658</v>
      </c>
      <c r="C63" s="2" t="str">
        <f>=HYPERLINK("https://weidian.com/item.html?itemID=7621921658", "https://weidian.com/item.html?itemID=7621921658")</f>
        <v>https://weidian.com/item.html?itemID=7621921658</v>
      </c>
      <c r="D63"/>
      <c r="E63" s="2" t="str">
        <f>=HYPERLINK("https://si.geilicdn.com/pcitem2014204438-0f990000019ac986e0860a21146b_1512_2016.jpg?w=640&amp;h=640", "https://si.geilicdn.com/pcitem2014204438-0f990000019ac986e0860a21146b_1512_2016.jpg?w=640&amp;h=640")</f>
        <v>https://si.geilicdn.com/pcitem2014204438-0f990000019ac986e0860a21146b_1512_2016.jpg?w=640&amp;h=640</v>
      </c>
      <c r="F63" t="inlineStr">
        <is>
          <t>Electronic</t>
        </is>
      </c>
      <c r="G63" t="inlineStr">
        <is>
          <t>Hyundai</t>
        </is>
      </c>
      <c r="H63">
        <v>172</v>
      </c>
      <c r="I63">
        <v>24.93</v>
      </c>
      <c r="J63" t="inlineStr">
        <is>
          <t>{"id":"chatcmpl-DYj1COxCBcmN2lGUUWguOAFR5ixTe","object":"chat.completion","created":1777168574,"model":"gpt-5-chat-2025-10-03","choices":[{"index":0,"message":{"role":"assistant","content":"Hyundai White Multifunctional Electric Scalp Massager Spa Tool","refusal":null,"annotations":[]},"logprobs":null,"finish_reason":"stop"}],"usage":{"prompt_tokens":883,"completion_tokens":14,"total_tokens":897,"prompt_tokens_details":{"cached_tokens":0,"audio_tokens":0},"completion_tokens_details":{"reasoning_tokens":0,"audio_tokens":0,"accepted_prediction_tokens":0,"rejected_prediction_tokens":0}},"service_tier":"default","system_fingerprint":"fp_ad66631dec"}</t>
        </is>
      </c>
      <c r="K63" t="inlineStr">
        <is>
          <t>Hyundai White Multifunctional Electric Scalp Massager Spa Tool</t>
        </is>
      </c>
      <c r="L63" t="inlineStr">
        <is>
          <t>{"id":"chatcmpl-DYiHVt1egXGiMXC6juwEaJ13pQyxS","object":"chat.completion","created":1777165741,"model":"gpt-5-chat-2025-10-03","choices":[{"index":0,"message":{"role":"assistant","content":"Hyundai White Multifunctional Scalp Massager – Medical-grade ABS, metal touchpoints, low-noise vibration boosts circulation and hair care; ergonomic grip, sleek modern design for men and women.","refusal":null,"annotations":[]},"logprobs":null,"finish_reason":"stop"}],"usage":{"prompt_tokens":900,"completion_tokens":41,"total_tokens":941,"prompt_tokens_details":{"cached_tokens":0,"audio_tokens":0},"completion_tokens_details":{"reasoning_tokens":0,"audio_tokens":0,"accepted_prediction_tokens":0,"rejected_prediction_tokens":0}},"service_tier":"default","system_fingerprint":"fp_ad66631dec"}</t>
        </is>
      </c>
      <c r="M63" t="inlineStr">
        <is>
          <t>{"alt-svc":"h3=\":443\"; ma=2592000","apim-request-id":"8073448d-4ec0-452c-ace2-1b33d894431c","azureml-model-session":"d20260402083108-57a85543","cache-control":"no-cache","connection":"close","content-length":"1003","content-type":"application/json","date":"Sun, 26 Apr 2026 01:09:02 GMT","server":"nginx","skip-error-remapping":"true","strict-transport-security":"max-age=31536000; includeSubDomains; preload","via":"1.1 Caddy","x-content-type-options":"nosniff","x-ms-client-request-id":"Not-Set","x-ms-is-spilled-over":"false","x-ms-rai-invoked":"false","x-ms-region":"UK South","x-new-api-version":"0.4.35","x-oneapi-request-id":"202604260108598954853768268d9d67Evq7AQq","x-ratelimit-abusepenalty-active":"False","x-ratelimit-limit-requests":"1000","x-ratelimit-limit-tokens":"1000000","x-ratelimit-remaining-requests":"999","x-ratelimit-remaining-tokens":"998338","x-ratelimit-renewalperiod-requests":"60","x-ratelimit-renewalperiod-tokens":"60","x-ratelimit-reset-requests":"60","x-ratelimit-reset-tokens":"99","x-request-id":"23635e9a-674c-4cf0-aeea-1909f29e0e9d"}</t>
        </is>
      </c>
      <c r="N63" t="inlineStr">
        <is>
          <t>Hyundai White Multifunctional Scalp Massager – Medical-grade ABS, metal touchpoints, low-noise vibration boosts circulation and hair care; ergonomic grip, sleek modern design for men and women.</t>
        </is>
      </c>
      <c r="O63" t="inlineStr">
        <is>
          <t>{"id":"chatcmpl-DYiSjVn1TZLde3FnB8pdg2H2QYgoa","object":"chat.completion","created":1777166437,"model":"gpt-5-chat-2025-10-03","choices":[{"index":0,"message":{"role":"assistant","content":"Hyundai,Electronic Massager,kakobuy,kakebuy2026,kekobuysheet,kakobuysheet2026,2026kakobuy,kakobuyspreadsheeet,kakobuylink,kakebuylist,Kakobuy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89,"total_tokens":871,"prompt_tokens_details":{"cached_tokens":0,"audio_tokens":0},"completion_tokens_details":{"reasoning_tokens":0,"audio_tokens":0,"accepted_prediction_tokens":0,"rejected_prediction_tokens":0}},"service_tier":"default","system_fingerprint":"fp_ad66631dec"}</t>
        </is>
      </c>
      <c r="P63" t="inlineStr">
        <is>
          <t>Hyundai,Electronic Massager,kakobuy,kakebuy2026,kekobuysheet,kakobuysheet2026,2026kakobuy,kakobuyspreadsheeet,kakobuylink,kakebuylist,Kakobuy MEGA Spreadsheet,kakobuysheetfind,kakobuysheetfind2026,2026kakobuysheetfind,kakobuysheet2026</t>
        </is>
      </c>
      <c r="Q63"/>
      <c r="R63" t="inlineStr">
        <is>
          <t>recvhju1CrwZt7</t>
        </is>
      </c>
      <c r="S63" t="inlineStr">
        <is>
          <t>hyundai-white-electric-scalp-massager-recvhju1crwzt7</t>
        </is>
      </c>
      <c r="T63"/>
      <c r="U63"/>
      <c r="V63"/>
      <c r="W63" t="inlineStr">
        <is>
          <t>{"id":"chatcmpl-DYhtofBIg8aSDDVCxVnpLyQQ60Lhr","object":"chat.completion","created":1777164272,"model":"gpt-5-chat-2025-10-03","choices":[{"index":0,"message":{"role":"assistant","content":"Hyundai：白色多功能头皮按摩仪，采用医用级ABS材质与金属按摩触点设计，低噪震动技术促循环护发，人体工学握柄造型，简约现代风格，男女皆宜，适合日常护发理疗使用。","refusal":null,"annotations":[]},"logprobs":null,"finish_reason":"stop"}],"usage":{"prompt_tokens":1299,"completion_tokens":67,"total_tokens":1366,"prompt_tokens_details":{"cached_tokens":0,"audio_tokens":0},"completion_tokens_details":{"reasoning_tokens":0,"audio_tokens":0,"accepted_prediction_tokens":0,"rejected_prediction_tokens":0}},"service_tier":"default","system_fingerprint":"fp_ad66631dec"}</t>
        </is>
      </c>
      <c r="X63" t="inlineStr">
        <is>
          <t>Hyundai：白色多功能头皮按摩仪，采用医用级ABS材质与金属按摩触点设计，低噪震动技术促循环护发，人体工学握柄造型，简约现代风格，男女皆宜，适合日常护发理疗使用。</t>
        </is>
      </c>
    </row>
    <row r="64" ht="25.5" customHeight="1">
      <c r="A64">
        <v>1654975475</v>
      </c>
      <c r="B64">
        <v>7621968458</v>
      </c>
      <c r="C64" s="2" t="str">
        <f>=HYPERLINK("https://weidian.com/item.html?itemID=7621968458", "https://weidian.com/item.html?itemID=7621968458")</f>
        <v>https://weidian.com/item.html?itemID=7621968458</v>
      </c>
      <c r="D64"/>
      <c r="E64" s="2" t="str">
        <f>=HYPERLINK("https://si.geilicdn.com/pcitem2014204438-0fca0000019aca7853e30a231177_1512_2016.jpg?w=640&amp;h=640", "https://si.geilicdn.com/pcitem2014204438-0fca0000019aca7853e30a231177_1512_2016.jpg?w=640&amp;h=640")</f>
        <v>https://si.geilicdn.com/pcitem2014204438-0fca0000019aca7853e30a231177_1512_2016.jpg?w=640&amp;h=640</v>
      </c>
      <c r="F64" t="inlineStr">
        <is>
          <t>Accessories</t>
        </is>
      </c>
      <c r="G64" t="inlineStr">
        <is>
          <t>Gucci</t>
        </is>
      </c>
      <c r="H64">
        <v>460</v>
      </c>
      <c r="I64">
        <v>66.67</v>
      </c>
      <c r="J64" t="inlineStr">
        <is>
          <t>{"id":"chatcmpl-DYizw9H48Kc4Xk5AKlaDwLVlaGmhp","object":"chat.completion","created":1777168496,"model":"gpt-5-chat-2025-10-03","choices":[{"index":0,"message":{"role":"assistant","content":"Gucci Black Leather Belt Gold GG Buckle","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64" t="inlineStr">
        <is>
          <t>Gucci Black Leather Belt Gold GG Buckle</t>
        </is>
      </c>
      <c r="L64" t="inlineStr">
        <is>
          <t>{"id":"chatcmpl-DYiKB4bJXMvHrQej2kHVQfgoBn4BB","object":"chat.completion","created":1777165907,"model":"gpt-5-chat-2025-10-03","choices":[{"index":0,"message":{"role":"assistant","content":"Gucci classic black leather belt with gold double G buckle, featuring green-red web detail. Elegant, unisex design blends vintage charm with modern luxury and premium craftsmanship.","refusal":null,"annotations":[]},"logprobs":null,"finish_reason":"stop"}],"usage":{"prompt_tokens":895,"completion_tokens":34,"total_tokens":929,"prompt_tokens_details":{"cached_tokens":0,"audio_tokens":0},"completion_tokens_details":{"reasoning_tokens":0,"audio_tokens":0,"accepted_prediction_tokens":0,"rejected_prediction_tokens":0}},"service_tier":"default","system_fingerprint":"fp_ad66631dec"}</t>
        </is>
      </c>
      <c r="M64" t="inlineStr">
        <is>
          <t>{"alt-svc":"h3=\":443\"; ma=2592000","apim-request-id":"1d5bc4e4-9ff5-47dd-a600-579c1eafc20b","azureml-model-session":"d20260402083108-57a85543","cache-control":"no-cache","connection":"close","content-length":"989","content-type":"application/json","date":"Sun, 26 Apr 2026 01:11:48 GMT","server":"Caddy","skip-error-remapping":"true","strict-transport-security":"max-age=31536000; includeSubDomains; preload","x-content-type-options":"nosniff","x-ms-client-request-id":"Not-Set","x-ms-is-spilled-over":"false","x-ms-rai-invoked":"false","x-ms-region":"East US","x-new-api-version":"0.4.35","x-oneapi-request-id":"202604260111468188734388268d9d63uFMN1oe","x-ratelimit-abusepenalty-active":"False","x-ratelimit-limit-requests":"1000","x-ratelimit-limit-tokens":"1000000","x-ratelimit-remaining-requests":"999","x-ratelimit-remaining-tokens":"998343","x-ratelimit-renewalperiod-requests":"60","x-ratelimit-renewalperiod-tokens":"60","x-ratelimit-reset-requests":"60","x-ratelimit-reset-tokens":"99","x-request-id":"385d8f77-f3aa-410f-b547-d33be9472800"}</t>
        </is>
      </c>
      <c r="N64" t="inlineStr">
        <is>
          <t>Gucci classic black leather belt with gold double G buckle, featuring green-red web detail. Elegant, unisex design blends vintage charm with modern luxury and premium craftsmanship.</t>
        </is>
      </c>
      <c r="O64" t="inlineStr">
        <is>
          <t>{"id":"chatcmpl-DYiW1VWmSPQwHgqMgAQElh5VFsMaC","object":"chat.completion","created":1777166641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4" t="inlineStr">
        <is>
          <t>Gucci,Accessories,kakobuy,kakebuy2026,kekobuysheet,kakobuysheet2026,2026kakobuy,kakobuyspreadsheeet,kakobuylink,kakebuylist,Kakobuy MEGA Spreadsheet,kakobuysheetfind,kakobuysheetfind2026,2026kakobuysheetfind,kakobuysheet2026</t>
        </is>
      </c>
      <c r="Q64" t="inlineStr">
        <is>
          <t>Black, Leather, Elegant, Unisex, Vintage, Gold</t>
        </is>
      </c>
      <c r="R64" t="inlineStr">
        <is>
          <t>recvhju1CrEgBr</t>
        </is>
      </c>
      <c r="S64" t="inlineStr">
        <is>
          <t>gucci-black-leather-belt-gold-gg-buckle-recvhju1cregbr</t>
        </is>
      </c>
      <c r="T64"/>
      <c r="U64"/>
      <c r="V64"/>
      <c r="W64" t="inlineStr">
        <is>
          <t>{"id":"chatcmpl-DYhoI5d3QgxKj3LDQLeTds2ezn7qi","object":"chat.completion","created":1777163930,"model":"gpt-5-chat-2025-10-03","choices":[{"index":0,"message":{"role":"assistant","content":"Gucci：经典黑色皮革腰带，金色双G标志扣设计，融合绿红织带元素，彰显品牌复古奢华格调，男女皆可佩戴，优质皮质手感细腻，成熟与时尚兼具。","refusal":null,"annotations":[]},"logprobs":null,"finish_reason":"stop"}],"usage":{"prompt_tokens":1299,"completion_tokens":62,"total_tokens":1361,"prompt_tokens_details":{"cached_tokens":1280,"audio_tokens":0},"completion_tokens_details":{"reasoning_tokens":0,"audio_tokens":0,"accepted_prediction_tokens":0,"rejected_prediction_tokens":0}},"service_tier":"default","system_fingerprint":"fp_ad66631dec"}</t>
        </is>
      </c>
      <c r="X64" t="inlineStr">
        <is>
          <t>Gucci：经典黑色皮革腰带，金色双G标志扣设计，融合绿红织带元素，彰显品牌复古奢华格调，男女皆可佩戴，优质皮质手感细腻，成熟与时尚兼具。</t>
        </is>
      </c>
    </row>
    <row r="65" ht="25.5" customHeight="1">
      <c r="A65">
        <v>1654975475</v>
      </c>
      <c r="B65">
        <v>7622060628</v>
      </c>
      <c r="C65" s="2" t="str">
        <f>=HYPERLINK("https://weidian.com/item.html?itemID=7622060628", "https://weidian.com/item.html?itemID=7622060628")</f>
        <v>https://weidian.com/item.html?itemID=7622060628</v>
      </c>
      <c r="D65"/>
      <c r="E65" s="2" t="str">
        <f>=HYPERLINK("https://si.geilicdn.com/pcitem2014204438-34490000019acac54b7e0a8134f0_1080_1080.jpg?w=640&amp;h=640", "https://si.geilicdn.com/pcitem2014204438-34490000019acac54b7e0a8134f0_1080_1080.jpg?w=640&amp;h=640")</f>
        <v>https://si.geilicdn.com/pcitem2014204438-34490000019acac54b7e0a8134f0_1080_1080.jpg?w=640&amp;h=640</v>
      </c>
      <c r="F65" t="inlineStr">
        <is>
          <t>Accessories</t>
        </is>
      </c>
      <c r="G65" t="inlineStr">
        <is>
          <t>Louis Vuitton</t>
        </is>
      </c>
      <c r="H65">
        <v>460</v>
      </c>
      <c r="I65">
        <v>66.67</v>
      </c>
      <c r="J65" t="inlineStr">
        <is>
          <t>{"id":"chatcmpl-DYiwO8oC0w04PDb5Cau8Lpqr9HXXG","object":"chat.completion","created":1777168276,"model":"gpt-5-chat-2025-10-03","choices":[{"index":0,"message":{"role":"assistant","content":"Louis Vuitton Blue Monogram Leather LV Buckle Belt","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65" t="inlineStr">
        <is>
          <t>Louis Vuitton Blue Monogram Leather LV Buckle Belt</t>
        </is>
      </c>
      <c r="L65" t="inlineStr">
        <is>
          <t>{"id":"chatcmpl-DYiIDARyAyO0jix4bNbCU5c1zcrFV","object":"chat.completion","created":1777165785,"model":"gpt-5-chat-2025-10-03","choices":[{"index":0,"message":{"role":"assistant","content":"Louis Vuitton Monogram Blue Leather Belt, crafted from premium cowhide with iconic LV buckle, blends luxury and modern style, unisex design for fashion and everyday wear.","refusal":null,"annotations":[]},"logprobs":null,"finish_reason":"stop"}],"usage":{"prompt_tokens":889,"completion_tokens":34,"total_tokens":923,"prompt_tokens_details":{"cached_tokens":0,"audio_tokens":0},"completion_tokens_details":{"reasoning_tokens":0,"audio_tokens":0,"accepted_prediction_tokens":0,"rejected_prediction_tokens":0}},"service_tier":"default","system_fingerprint":"fp_ad66631dec"}</t>
        </is>
      </c>
      <c r="M65" t="inlineStr">
        <is>
          <t>{"alt-svc":"h3=\":443\"; ma=2592000","apim-request-id":"cdba326d-88c2-4e53-88f7-9e329c75b10b","azureml-model-session":"d20260405212659-a9daa006","cache-control":"no-cache","connection":"close","content-length":"978","content-type":"application/json","date":"Sun, 26 Apr 2026 01:09:47 GMT","server":"Caddy","skip-error-remapping":"true","strict-transport-security":"max-age=31536000; includeSubDomains; preload","x-content-type-options":"nosniff","x-ms-client-request-id":"Not-Set","x-ms-is-spilled-over":"false","x-ms-rai-invoked":"false","x-ms-region":"Korea Central","x-new-api-version":"0.4.35","x-oneapi-request-id":"202604260109443095042228268d9d6iYjZm4Vr","x-ratelimit-abusepenalty-active":"False","x-ratelimit-limit-requests":"1000","x-ratelimit-limit-tokens":"1000000","x-ratelimit-remaining-requests":"998","x-ratelimit-remaining-tokens":"997004","x-ratelimit-renewalperiod-requests":"60","x-ratelimit-renewalperiod-tokens":"60","x-ratelimit-reset-requests":"100","x-ratelimit-reset-tokens":"179","x-request-id":"b729537c-c751-4392-8bd2-c8f839c5c060"}</t>
        </is>
      </c>
      <c r="N65" t="inlineStr">
        <is>
          <t>Louis Vuitton Monogram Blue Leather Belt, crafted from premium cowhide with iconic LV buckle, blends luxury and modern style, unisex design for fashion and everyday wear.</t>
        </is>
      </c>
      <c r="O65" t="inlineStr">
        <is>
          <t>{"id":"chatcmpl-DYiWCN99tiDtuE9m3zDSQEVRW8Qlf","object":"chat.completion","created":1777166652,"model":"gpt-5-chat-2025-10-03","choices":[{"index":0,"message":{"role":"assistant","content":"Louis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5" t="inlineStr">
        <is>
          <t>Louis Vuitton,Accessories,kakobuy,kakebuy2026,kekobuysheet,kakobuysheet2026,2026kakobuy,kakobuyspreadsheeet,kakobuylink,kakebuylist,Kakobuy MEGA Spreadsheet,kakobuysheetfind,kakobuysheetfind2026,2026kakobuysheetfind,kakobuysheet2026</t>
        </is>
      </c>
      <c r="Q65" t="inlineStr">
        <is>
          <t>LV, Leather, Unisex, Fashion, Cowhide</t>
        </is>
      </c>
      <c r="R65" t="inlineStr">
        <is>
          <t>recvhju1CrveEh</t>
        </is>
      </c>
      <c r="S65" t="inlineStr">
        <is>
          <t>louis-vuitton-blue-monogram-leather-lv-buckle-belt-recvhju1crveeh</t>
        </is>
      </c>
      <c r="T65"/>
      <c r="U65"/>
      <c r="V65"/>
      <c r="W65" t="inlineStr">
        <is>
          <t>{"id":"chatcmpl-DYhpqZ4Dl9BoEKWg4uIy3qW2bSWgx","object":"chat.completion","created":1777164026,"model":"gpt-5-chat-2025-10-03","choices":[{"index":0,"message":{"role":"assistant","content":"Louis Vuitton: Monogram 蓝色LV皮质腰带，采用优质牛皮材质，经典花纹与金属字母扣设计，彰显奢华现代风格，男女皆宜，时尚与实用兼备。","refusal":null,"annotations":[]},"logprobs":null,"finish_reason":"stop"}],"usage":{"prompt_tokens":1303,"completion_tokens":54,"total_tokens":1357,"prompt_tokens_details":{"cached_tokens":1280,"audio_tokens":0},"completion_tokens_details":{"reasoning_tokens":0,"audio_tokens":0,"accepted_prediction_tokens":0,"rejected_prediction_tokens":0}},"service_tier":"default","system_fingerprint":"fp_ad66631dec"}</t>
        </is>
      </c>
      <c r="X65" t="inlineStr">
        <is>
          <t>Louis Vuitton: Monogram 蓝色LV皮质腰带，采用优质牛皮材质，经典花纹与金属字母扣设计，彰显奢华现代风格，男女皆宜，时尚与实用兼备。</t>
        </is>
      </c>
    </row>
    <row r="66" ht="25.5" customHeight="1">
      <c r="A66">
        <v>1654975475</v>
      </c>
      <c r="B66">
        <v>7619096573</v>
      </c>
      <c r="C66" s="2" t="str">
        <f>=HYPERLINK("https://weidian.com/item.html?itemID=7619096573", "https://weidian.com/item.html?itemID=7619096573")</f>
        <v>https://weidian.com/item.html?itemID=7619096573</v>
      </c>
      <c r="D66"/>
      <c r="E66" s="2" t="str">
        <f>=HYPERLINK("https://si.geilicdn.com/pcitem2014204438-7d950000019acabf56b70a811411_1512_2016.jpg?w=640&amp;h=640", "https://si.geilicdn.com/pcitem2014204438-7d950000019acabf56b70a811411_1512_2016.jpg?w=640&amp;h=640")</f>
        <v>https://si.geilicdn.com/pcitem2014204438-7d950000019acabf56b70a811411_1512_2016.jpg?w=640&amp;h=640</v>
      </c>
      <c r="F66" t="inlineStr">
        <is>
          <t>Accessories</t>
        </is>
      </c>
      <c r="G66" t="inlineStr">
        <is>
          <t>Gucci</t>
        </is>
      </c>
      <c r="H66">
        <v>460</v>
      </c>
      <c r="I66">
        <v>66.67</v>
      </c>
      <c r="J66" t="inlineStr">
        <is>
          <t>{"id":"chatcmpl-DYj2yJrux5HUuU2dsOFFkCOrUnYrg","object":"chat.completion","created":1777168684,"model":"gpt-5-chat-2025-10-03","choices":[{"index":0,"message":{"role":"assistant","content":"Gucci Classic Gray GG Leather Belt Gold Buckle Unisex","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66" t="inlineStr">
        <is>
          <t>Gucci Classic Gray GG Leather Belt Gold Buckle Unisex</t>
        </is>
      </c>
      <c r="L66" t="inlineStr">
        <is>
          <t>{"id":"chatcmpl-DYiGGarepupBIRPMIRPOUBI57D5fW","object":"chat.completion","created":1777165664,"model":"gpt-5-chat-2025-10-03","choices":[{"index":0,"message":{"role":"assistant","content":"Gucci Classic Gray GG Leather Belt with Gold Buckle, crafted from premium cowhide, unisex design for casual or business wear, showcasing modern Italian elegance and timeless luxury style.","refusal":null,"annotations":[]},"logprobs":null,"finish_reason":"stop"}],"usage":{"prompt_tokens":889,"completion_tokens":37,"total_tokens":926,"prompt_tokens_details":{"cached_tokens":0,"audio_tokens":0},"completion_tokens_details":{"reasoning_tokens":0,"audio_tokens":0,"accepted_prediction_tokens":0,"rejected_prediction_tokens":0}},"service_tier":"default","system_fingerprint":"fp_ad66631dec"}</t>
        </is>
      </c>
      <c r="M66" t="inlineStr">
        <is>
          <t>{"alt-svc":"h3=\":443\"; ma=2592000","apim-request-id":"3ddb4142-6892-49f9-a9d5-569fb1cbe7f8","azureml-model-session":"d20260405225800-40f19e54","cache-control":"no-cache","connection":"close","content-length":"995","content-type":"application/json","date":"Sun, 26 Apr 2026 01:07:45 GMT","server":"Caddy","skip-error-remapping":"true","strict-transport-security":"max-age=31536000; includeSubDomains; preload","x-content-type-options":"nosniff","x-ms-client-request-id":"Not-Set","x-ms-is-spilled-over":"false","x-ms-rai-invoked":"false","x-ms-region":"Switzerland North","x-new-api-version":"0.4.35","x-oneapi-request-id":"202604260107432047062228268d9d6OzMkXsyf","x-ratelimit-abusepenalty-active":"False","x-ratelimit-limit-requests":"1000","x-ratelimit-limit-tokens":"1000000","x-ratelimit-remaining-requests":"999","x-ratelimit-remaining-tokens":"998349","x-ratelimit-renewalperiod-requests":"60","x-ratelimit-renewalperiod-tokens":"60","x-ratelimit-reset-requests":"60","x-ratelimit-reset-tokens":"99","x-request-id":"b2c9cfb0-e082-48b0-84bc-b4aea5fdf427"}</t>
        </is>
      </c>
      <c r="N66" t="inlineStr">
        <is>
          <t>Gucci Classic Gray GG Leather Belt with Gold Buckle, crafted from premium cowhide, unisex design for casual or business wear, showcasing modern Italian elegance and timeless luxury style.</t>
        </is>
      </c>
      <c r="O66" t="inlineStr">
        <is>
          <t>{"id":"chatcmpl-DYiRl7HPXEz8z4kvk2jo7za69fUfv","object":"chat.completion","created":1777166377,"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6" t="inlineStr">
        <is>
          <t>Gucci,Belt,kakobuy,kakebuy2026,kekobuysheet,kakobuysheet2026,2026kakobuy,kakobuyspreadsheeet,kakobuylink,kakebuylist,Kakobuy MEGA Spreadsheet,kakobuysheetfind,kakobuysheetfind2026,2026kakobuysheetfind,kakobuysheet2026</t>
        </is>
      </c>
      <c r="Q66" t="inlineStr">
        <is>
          <t>Leather, Gray, Gold, Unisex, Business</t>
        </is>
      </c>
      <c r="R66" t="inlineStr">
        <is>
          <t>recvhju1CrEHWI</t>
        </is>
      </c>
      <c r="S66" t="inlineStr">
        <is>
          <t>gucci-classic-gray-gg-leather-belt-gold-buckle-unisex-recvhju1crehwi</t>
        </is>
      </c>
      <c r="T66"/>
      <c r="U66"/>
      <c r="V66"/>
      <c r="W66" t="inlineStr">
        <is>
          <t>{"id":"chatcmpl-DYhvEBdECuURNbXyzbZNgrRPdU2Ph","object":"chat.completion","created":1777164360,"model":"gpt-5-chat-2025-10-03","choices":[{"index":0,"message":{"role":"assistant","content":"Gucci：经典灰色GG印花皮革腰带，高级牛皮搭配金色金属扣设计，简约奢华质感，男女皆宜，彰显现代意式优雅风格，百搭休闲商务皆可。","refusal":null,"annotations":[]},"logprobs":null,"finish_reason":"stop"}],"usage":{"prompt_tokens":1297,"completion_tokens":57,"total_tokens":1354,"prompt_tokens_details":{"cached_tokens":1280,"audio_tokens":0},"completion_tokens_details":{"reasoning_tokens":0,"audio_tokens":0,"accepted_prediction_tokens":0,"rejected_prediction_tokens":0}},"service_tier":"default","system_fingerprint":"fp_ad66631dec"}</t>
        </is>
      </c>
      <c r="X66" t="inlineStr">
        <is>
          <t>Gucci：经典灰色GG印花皮革腰带，高级牛皮搭配金色金属扣设计，简约奢华质感，男女皆宜，彰显现代意式优雅风格，百搭休闲商务皆可。</t>
        </is>
      </c>
    </row>
    <row r="67" ht="25.5" customHeight="1">
      <c r="A67">
        <v>1654975475</v>
      </c>
      <c r="B67">
        <v>7619123889</v>
      </c>
      <c r="C67" s="2" t="str">
        <f>=HYPERLINK("https://weidian.com/item.html?itemID=7619123889", "https://weidian.com/item.html?itemID=7619123889")</f>
        <v>https://weidian.com/item.html?itemID=7619123889</v>
      </c>
      <c r="D67"/>
      <c r="E67" s="2" t="str">
        <f>=HYPERLINK("https://si.geilicdn.com/pcitem2014204438-331e0000019acac308570a2102c5_1440_1920.jpg?w=640&amp;h=640", "https://si.geilicdn.com/pcitem2014204438-331e0000019acac308570a2102c5_1440_1920.jpg?w=640&amp;h=640")</f>
        <v>https://si.geilicdn.com/pcitem2014204438-331e0000019acac308570a2102c5_1440_1920.jpg?w=640&amp;h=640</v>
      </c>
      <c r="F67" t="inlineStr">
        <is>
          <t>Accessories</t>
        </is>
      </c>
      <c r="G67" t="inlineStr">
        <is>
          <t>Louis Vuitton</t>
        </is>
      </c>
      <c r="H67">
        <v>460</v>
      </c>
      <c r="I67">
        <v>66.67</v>
      </c>
      <c r="J67" t="inlineStr">
        <is>
          <t>{"id":"chatcmpl-DYiy1ZStguh6gdalC67lVlvrP6Wzk","object":"chat.completion","created":1777168377,"model":"gpt-5-chat-2025-10-03","choices":[{"index":0,"message":{"role":"assistant","content":"Louis Vuitton Damier Graphite Gold Buckle Men’s Belt","refusal":null,"annotations":[]},"logprobs":null,"finish_reason":"stop"}],"usage":{"prompt_tokens":871,"completion_tokens":13,"total_tokens":884,"prompt_tokens_details":{"cached_tokens":0,"audio_tokens":0},"completion_tokens_details":{"reasoning_tokens":0,"audio_tokens":0,"accepted_prediction_tokens":0,"rejected_prediction_tokens":0}},"service_tier":"default","system_fingerprint":"fp_ad66631dec"}</t>
        </is>
      </c>
      <c r="K67" t="inlineStr">
        <is>
          <t>Louis Vuitton Damier Graphite Gold Buckle Men’s Belt</t>
        </is>
      </c>
      <c r="L67" t="inlineStr">
        <is>
          <t>{"id":"chatcmpl-DYiKibPhxZROQ3vZvo338bXBIuozZ","object":"chat.completion","created":1777165940,"model":"gpt-5-chat-2025-10-03","choices":[{"index":0,"message":{"role":"assistant","content":"Louis Vuitton Damier Graphite Men’s Belt in black and gray premium leather, featuring iconic LV gold buckle design for a refined, modern gentleman’s style and understated luxury.","refusal":null,"annotations":[]},"logprobs":null,"finish_reason":"stop"}],"usage":{"prompt_tokens":879,"completion_tokens":35,"total_tokens":914,"prompt_tokens_details":{"cached_tokens":0,"audio_tokens":0},"completion_tokens_details":{"reasoning_tokens":0,"audio_tokens":0,"accepted_prediction_tokens":0,"rejected_prediction_tokens":0}},"service_tier":"default","system_fingerprint":"fp_ad66631dec"}</t>
        </is>
      </c>
      <c r="M67" t="inlineStr">
        <is>
          <t>{"alt-svc":"h3=\":443\"; ma=2592000","apim-request-id":"392242b4-a415-4982-954c-0928f5da4798","azureml-model-session":"d20260402084046-4209e968","cache-control":"no-cache","connection":"close","content-length":"990","content-type":"application/json","date":"Sun, 26 Apr 2026 01:12:21 GMT","server":"Caddy","skip-error-remapping":"true","strict-transport-security":"max-age=31536000; includeSubDomains; preload","x-content-type-options":"nosniff","x-ms-client-request-id":"Not-Set","x-ms-is-spilled-over":"false","x-ms-rai-invoked":"false","x-ms-region":"East US","x-new-api-version":"0.4.35","x-oneapi-request-id":"202604260112186216133838268d9d6mgfLPNkl","x-ratelimit-abusepenalty-active":"False","x-ratelimit-limit-requests":"1000","x-ratelimit-limit-tokens":"1000000","x-ratelimit-remaining-requests":"999","x-ratelimit-remaining-tokens":"998359","x-ratelimit-renewalperiod-requests":"60","x-ratelimit-renewalperiod-tokens":"60","x-ratelimit-reset-requests":"60","x-ratelimit-reset-tokens":"98","x-request-id":"6eb7296b-518c-403f-b678-579e63b9eacd"}</t>
        </is>
      </c>
      <c r="N67" t="inlineStr">
        <is>
          <t>Louis Vuitton Damier Graphite Men’s Belt in black and gray premium leather, featuring iconic LV gold buckle design for a refined, modern gentleman’s style and understated luxury.</t>
        </is>
      </c>
      <c r="O67" t="inlineStr">
        <is>
          <t>{"id":"chatcmpl-DYiYyVvUPznvLmFZMErCuPPhKVTBR","object":"chat.completion","created":1777166824,"model":"gpt-5-chat-2025-10-03","choices":[{"index":0,"message":{"role":"assistant","content":"Louis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7" t="inlineStr">
        <is>
          <t>Louis Vuitton,Accessories,kakobuy,kakebuy2026,kekobuysheet,kakobuysheet2026,2026kakobuy,kakobuyspreadsheeet,kakobuylink,kakebuylist,Kakobuy MEGA Spreadsheet,kakobuysheetfind,kakobuysheetfind2026,2026kakobuysheetfind,kakobuysheet2026</t>
        </is>
      </c>
      <c r="Q67" t="inlineStr">
        <is>
          <t>LV, Leather, Black, Gray, Men, Modern</t>
        </is>
      </c>
      <c r="R67" t="inlineStr">
        <is>
          <t>recvhju1Cr1DVs</t>
        </is>
      </c>
      <c r="S67" t="inlineStr">
        <is>
          <t>louis-vuitton-damier-graphite-gold-buckle-belt-recvhju1cr1dvs</t>
        </is>
      </c>
      <c r="T67"/>
      <c r="U67"/>
      <c r="V67"/>
      <c r="W67" t="inlineStr">
        <is>
          <t>{"id":"chatcmpl-DYhrrzdFYbImR6d6kpnKnJtXazWEc","object":"chat.completion","created":1777164151,"model":"gpt-5-chat-2025-10-03","choices":[{"index":0,"message":{"role":"assistant","content":"Louis Vuitton：Damier Graphite格纹黑灰色男士皮带，以优质牛皮打造，经典LV金属扣设计，低调奢华，彰显现代绅士风范。","refusal":null,"annotations":[]},"logprobs":null,"finish_reason":"stop"}],"usage":{"prompt_tokens":1299,"completion_tokens":46,"total_tokens":1345,"prompt_tokens_details":{"cached_tokens":0,"audio_tokens":0},"completion_tokens_details":{"reasoning_tokens":0,"audio_tokens":0,"accepted_prediction_tokens":0,"rejected_prediction_tokens":0}},"service_tier":"default","system_fingerprint":"fp_ad66631dec"}</t>
        </is>
      </c>
      <c r="X67" t="inlineStr">
        <is>
          <t>Louis Vuitton：Damier Graphite格纹黑灰色男士皮带，以优质牛皮打造，经典LV金属扣设计，低调奢华，彰显现代绅士风范。</t>
        </is>
      </c>
    </row>
    <row r="68" ht="25.5" customHeight="1">
      <c r="A68">
        <v>1654975475</v>
      </c>
      <c r="B68">
        <v>7619050903</v>
      </c>
      <c r="C68" s="2" t="str">
        <f>=HYPERLINK("https://weidian.com/item.html?itemID=7619050903", "https://weidian.com/item.html?itemID=7619050903")</f>
        <v>https://weidian.com/item.html?itemID=7619050903</v>
      </c>
      <c r="D68"/>
      <c r="E68" s="2" t="str">
        <f>=HYPERLINK("https://si.geilicdn.com/pcitem2014204438-2bd60000019acac257ee0a20e7c7_1440_1920.jpg?w=640&amp;h=640", "https://si.geilicdn.com/pcitem2014204438-2bd60000019acac257ee0a20e7c7_1440_1920.jpg?w=640&amp;h=640")</f>
        <v>https://si.geilicdn.com/pcitem2014204438-2bd60000019acac257ee0a20e7c7_1440_1920.jpg?w=640&amp;h=640</v>
      </c>
      <c r="F68" t="inlineStr">
        <is>
          <t>Accessories</t>
        </is>
      </c>
      <c r="G68" t="inlineStr">
        <is>
          <t>Gucci</t>
        </is>
      </c>
      <c r="H68">
        <v>460</v>
      </c>
      <c r="I68">
        <v>66.67</v>
      </c>
      <c r="J68" t="inlineStr">
        <is>
          <t>{"id":"chatcmpl-DYizdpxEnhu1MbaimBLMfkIJLzaIv","object":"chat.completion","created":1777168477,"model":"gpt-5-chat-2025-10-03","choices":[{"index":0,"message":{"role":"assistant","content":"Gucci Black Leather Double G Buckle Bel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68" t="inlineStr">
        <is>
          <t>Gucci Black Leather Double G Buckle Belt</t>
        </is>
      </c>
      <c r="L68" t="inlineStr">
        <is>
          <t>{"id":"chatcmpl-DYiEYBy2Ysc2HpSrwhA5k371bxbI9","object":"chat.completion","created":1777165558,"model":"gpt-5-chat-2025-10-03","choices":[{"index":0,"message":{"role":"assistant","content":"Gucci Black Leather Double G Buckle Belt, crafted from premium cowhide, features a round logo buckle for iconic style; modern unisex design perfect for both casual and formal looks.","refusal":null,"annotations":[]},"logprobs":null,"finish_reason":"stop"}],"usage":{"prompt_tokens":892,"completion_tokens":38,"total_tokens":930,"prompt_tokens_details":{"cached_tokens":0,"audio_tokens":0},"completion_tokens_details":{"reasoning_tokens":0,"audio_tokens":0,"accepted_prediction_tokens":0,"rejected_prediction_tokens":0}},"service_tier":"default","system_fingerprint":"fp_ad66631dec"}</t>
        </is>
      </c>
      <c r="M68" t="inlineStr">
        <is>
          <t>{"alt-svc":"h3=\":443\"; ma=2592000","apim-request-id":"2542647e-87b5-4faf-8e04-9ad4240419f4","azureml-model-session":"d20260405225800-40f19e54","cache-control":"no-cache","connection":"close","content-length":"989","content-type":"application/json","date":"Sun, 26 Apr 2026 01:06:00 GMT","server":"Caddy","skip-error-remapping":"true","strict-transport-security":"max-age=31536000; includeSubDomains; preload","x-content-type-options":"nosniff","x-ms-client-request-id":"Not-Set","x-ms-is-spilled-over":"false","x-ms-rai-invoked":"false","x-ms-region":"Korea Central","x-new-api-version":"0.4.35","x-oneapi-request-id":"202604260105569695453478268d9d6PXSma5Gu","x-ratelimit-abusepenalty-active":"False","x-ratelimit-limit-requests":"1000","x-ratelimit-limit-tokens":"1000000","x-ratelimit-remaining-requests":"999","x-ratelimit-remaining-tokens":"998346","x-ratelimit-renewalperiod-requests":"60","x-ratelimit-renewalperiod-tokens":"60","x-ratelimit-reset-requests":"60","x-ratelimit-reset-tokens":"99","x-request-id":"9b8b2d9c-c61f-4a2e-b822-8d4ab2241065"}</t>
        </is>
      </c>
      <c r="N68" t="inlineStr">
        <is>
          <t>Gucci Black Leather Double G Buckle Belt, crafted from premium cowhide, features a round logo buckle for iconic style; modern unisex design perfect for both casual and formal looks.</t>
        </is>
      </c>
      <c r="O68" t="inlineStr">
        <is>
          <t>{"id":"chatcmpl-DYiS6WonuQbTuPKGPMFrpbQKsFkqG","object":"chat.completion","created":1777166398,"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68" t="inlineStr">
        <is>
          <t>Gucci,Accessories,kakobuy,kakebuy2026,kekobuysheet,kakobuysheet2026,2026kakobuy,kakobuyspreadsheeet,kakobuylink,kakebuylist,Kakobuy MEGA Spreadsheet,kakobuysheetfind,kakobuysheetfind2026,2026kakobuysheetfind,kakobuysheet2026</t>
        </is>
      </c>
      <c r="Q68" t="inlineStr">
        <is>
          <t>Leather, Black, Unisex, Modern, Cowhide</t>
        </is>
      </c>
      <c r="R68" t="inlineStr">
        <is>
          <t>recvhju1Cr7eyq</t>
        </is>
      </c>
      <c r="S68" t="inlineStr">
        <is>
          <t>gucci-black-leather-double-g-buckle-belt-recvhju1cr7eyq</t>
        </is>
      </c>
      <c r="T68"/>
      <c r="U68"/>
      <c r="V68"/>
      <c r="W68" t="inlineStr">
        <is>
          <t>{"id":"chatcmpl-DYhpvK0YlMKLTPWulHDwyzE8w9G0x","object":"chat.completion","created":1777164031,"model":"gpt-5-chat-2025-10-03","choices":[{"index":0,"message":{"role":"assistant","content":"Gucci：黑色皮质双G标扣腰带，甄选优质牛皮材质，圆形标志扣设计彰显品牌辨识度，简约现代风格，男女皆宜，适合日常与正式造型。","refusal":null,"annotations":[]},"logprobs":null,"finish_reason":"stop"}],"usage":{"prompt_tokens":1303,"completion_tokens":57,"total_tokens":1360,"prompt_tokens_details":{"cached_tokens":1280,"audio_tokens":0},"completion_tokens_details":{"reasoning_tokens":0,"audio_tokens":0,"accepted_prediction_tokens":0,"rejected_prediction_tokens":0}},"service_tier":"default","system_fingerprint":"fp_ad66631dec"}</t>
        </is>
      </c>
      <c r="X68" t="inlineStr">
        <is>
          <t>Gucci：黑色皮质双G标扣腰带，甄选优质牛皮材质，圆形标志扣设计彰显品牌辨识度，简约现代风格，男女皆宜，适合日常与正式造型。</t>
        </is>
      </c>
    </row>
    <row r="69" ht="25.5" customHeight="1">
      <c r="A69">
        <v>1654975475</v>
      </c>
      <c r="B69">
        <v>7619051901</v>
      </c>
      <c r="C69" s="2" t="str">
        <f>=HYPERLINK("https://weidian.com/item.html?itemID=7619051901", "https://weidian.com/item.html?itemID=7619051901")</f>
        <v>https://weidian.com/item.html?itemID=7619051901</v>
      </c>
      <c r="D69"/>
      <c r="E69" s="2" t="str">
        <f>=HYPERLINK("https://si.geilicdn.com/pcitem2014204438-06c30000019aca22a7270a207569_1512_2016.jpg?w=640&amp;h=640", "https://si.geilicdn.com/pcitem2014204438-06c30000019aca22a7270a207569_1512_2016.jpg?w=640&amp;h=640")</f>
        <v>https://si.geilicdn.com/pcitem2014204438-06c30000019aca22a7270a207569_1512_2016.jpg?w=640&amp;h=640</v>
      </c>
      <c r="F69" t="inlineStr">
        <is>
          <t>Accessories</t>
        </is>
      </c>
      <c r="G69" t="inlineStr">
        <is>
          <t>Salvatore Ferragamo</t>
        </is>
      </c>
      <c r="H69">
        <v>460</v>
      </c>
      <c r="I69">
        <v>66.67</v>
      </c>
      <c r="J69" t="inlineStr">
        <is>
          <t>{"id":"chatcmpl-DYix8YAwIMqjbNeDNCcvjN0zKAc34","object":"chat.completion","created":1777168322,"model":"gpt-5-chat-2025-10-03","choices":[{"index":0,"message":{"role":"assistant","content":"Salvatore Ferragamo Gancini Reversible Black Gray Leather Belt","refusal":null,"annotations":[]},"logprobs":null,"finish_reason":"stop"}],"usage":{"prompt_tokens":884,"completion_tokens":15,"total_tokens":899,"prompt_tokens_details":{"cached_tokens":0,"audio_tokens":0},"completion_tokens_details":{"reasoning_tokens":0,"audio_tokens":0,"accepted_prediction_tokens":0,"rejected_prediction_tokens":0}},"service_tier":"default","system_fingerprint":"fp_ad66631dec"}</t>
        </is>
      </c>
      <c r="K69" t="inlineStr">
        <is>
          <t>Salvatore Ferragamo Gancini Reversible Black Gray Leather Belt</t>
        </is>
      </c>
      <c r="L69" t="inlineStr">
        <is>
          <t>{"id":"chatcmpl-DYiJEhOtOALXJWnqxKYro1w7UnoR2","object":"chat.completion","created":1777165848,"model":"gpt-5-chat-2025-10-03","choices":[{"index":0,"message":{"role":"assistant","content":"Salvatore Ferragamo Gancini reversible leather belt, black and gray calfskin, silver-gold Gancini buckle, elegant Italian design for men, perfect for business or casual style.","refusal":null,"annotations":[]},"logprobs":null,"finish_reason":"stop"}],"usage":{"prompt_tokens":901,"completion_tokens":40,"total_tokens":941,"prompt_tokens_details":{"cached_tokens":0,"audio_tokens":0},"completion_tokens_details":{"reasoning_tokens":0,"audio_tokens":0,"accepted_prediction_tokens":0,"rejected_prediction_tokens":0}},"service_tier":"default","system_fingerprint":"fp_ad66631dec"}</t>
        </is>
      </c>
      <c r="M69" t="inlineStr">
        <is>
          <t>{"alt-svc":"h3=\":443\"; ma=2592000","apim-request-id":"f8c4bb8a-f17f-403b-810f-578002180bdd","azureml-model-session":"d20260402074105-51db401e","cache-control":"no-cache","connection":"close","content-length":"983","content-type":"application/json","date":"Sun, 26 Apr 2026 01:10:49 GMT","server":"Caddy","skip-error-remapping":"true","strict-transport-security":"max-age=31536000; includeSubDomains; preload","x-content-type-options":"nosniff","x-ms-client-request-id":"Not-Set","x-ms-is-spilled-over":"false","x-ms-rai-invoked":"false","x-ms-region":"East US","x-new-api-version":"0.4.35","x-oneapi-request-id":"202604260110479774263248268d9d6ffXHitDi","x-ratelimit-abusepenalty-active":"False","x-ratelimit-limit-requests":"1000","x-ratelimit-limit-tokens":"1000000","x-ratelimit-remaining-requests":"998","x-ratelimit-remaining-tokens":"998205","x-ratelimit-renewalperiod-requests":"60","x-ratelimit-renewalperiod-tokens":"60","x-ratelimit-reset-requests":"117","x-ratelimit-reset-tokens":"107","x-request-id":"bc1cb83b-6e62-4741-93c3-e871d438a874"}</t>
        </is>
      </c>
      <c r="N69" t="inlineStr">
        <is>
          <t>Salvatore Ferragamo Gancini reversible leather belt, black and gray calfskin, silver-gold Gancini buckle, elegant Italian design for men, perfect for business or casual style.</t>
        </is>
      </c>
      <c r="O69" t="inlineStr">
        <is>
          <t>{"id":"chatcmpl-DYiVosAoj2xNuPjQsBLNPoxKwy3st","object":"chat.completion","created":1777166628,"model":"gpt-5-chat-2025-10-03","choices":[{"index":0,"message":{"role":"assistant","content":"Salvatore Ferragamo,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69" t="inlineStr">
        <is>
          <t>Salvatore Ferragamo, Belt, kakobuy, kakebuy2026, kekobuysheet, kakobuysheet2026, 2026kakobuy, kakobuyspreadsheeet, kakobuylink, kakebuylist, Kakobuy MEGA Spreadsheet, kakobuysheetfind, kakobuysheetfind2026, 2026kakobuysheetfind, kakobuysheet2026</t>
        </is>
      </c>
      <c r="Q69"/>
      <c r="R69" t="inlineStr">
        <is>
          <t>recvhju1CrbrCW</t>
        </is>
      </c>
      <c r="S69" t="inlineStr">
        <is>
          <t>ferragamo-gancini-reversible-black-gray-leather-belt-recvhju1crbrc</t>
        </is>
      </c>
      <c r="T69"/>
      <c r="U69"/>
      <c r="V69"/>
      <c r="W69" t="inlineStr">
        <is>
          <t>{"id":"chatcmpl-DYhsWFUb4EaMHztcjha9Jn1TnEPT7","object":"chat.completion","created":1777164192,"model":"gpt-5-chat-2025-10-03","choices":[{"index":0,"message":{"role":"assistant","content":"Salvatore Ferragamo：Gancini系列黑灰拼色双面皮革腰带，精选小牛皮材质，银金撞色Gancini扣设计，经典意式优雅风格，男士商务休闲百搭款，彰显低调奢华品味。","refusal":null,"annotations":[]},"logprobs":null,"finish_reason":"stop"}],"usage":{"prompt_tokens":1303,"completion_tokens":66,"total_tokens":1369,"prompt_tokens_details":{"cached_tokens":1280,"audio_tokens":0},"completion_tokens_details":{"reasoning_tokens":0,"audio_tokens":0,"accepted_prediction_tokens":0,"rejected_prediction_tokens":0}},"service_tier":"default","system_fingerprint":"fp_ad66631dec"}</t>
        </is>
      </c>
      <c r="X69" t="inlineStr">
        <is>
          <t>Salvatore Ferragamo：Gancini系列黑灰拼色双面皮革腰带，精选小牛皮材质，银金撞色Gancini扣设计，经典意式优雅风格，男士商务休闲百搭款，彰显低调奢华品味。</t>
        </is>
      </c>
    </row>
    <row r="70" ht="25.5" customHeight="1">
      <c r="A70">
        <v>1654975475</v>
      </c>
      <c r="B70">
        <v>7622017980</v>
      </c>
      <c r="C70" s="2" t="str">
        <f>=HYPERLINK("https://weidian.com/item.html?itemID=7622017980", "https://weidian.com/item.html?itemID=7622017980")</f>
        <v>https://weidian.com/item.html?itemID=7622017980</v>
      </c>
      <c r="D70"/>
      <c r="E70" s="2" t="str">
        <f>=HYPERLINK("https://si.geilicdn.com/pcitem2014204438-26300000019aca0f005d0a2103bd_1440_1920.jpg?w=640&amp;h=640", "https://si.geilicdn.com/pcitem2014204438-26300000019aca0f005d0a2103bd_1440_1920.jpg?w=640&amp;h=640")</f>
        <v>https://si.geilicdn.com/pcitem2014204438-26300000019aca0f005d0a2103bd_1440_1920.jpg?w=640&amp;h=640</v>
      </c>
      <c r="F70" t="inlineStr">
        <is>
          <t>Accessories</t>
        </is>
      </c>
      <c r="G70" t="inlineStr">
        <is>
          <t>Gucci</t>
        </is>
      </c>
      <c r="H70">
        <v>460</v>
      </c>
      <c r="I70">
        <v>66.67</v>
      </c>
      <c r="J70" t="inlineStr">
        <is>
          <t>{"id":"chatcmpl-DYixpNhtcc0h8WWz9RwOg1BYgH8L5","object":"chat.completion","created":1777168365,"model":"gpt-5-chat-2025-10-03","choices":[{"index":0,"message":{"role":"assistant","content":"Gucci Black GG Leather Belt Gold Buckle Unisex","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70" t="inlineStr">
        <is>
          <t>Gucci Black GG Leather Belt Gold Buckle Unisex</t>
        </is>
      </c>
      <c r="L70" t="inlineStr">
        <is>
          <t>{"id":"chatcmpl-DYiJ63e5ifOZqqxdgWxpPFpYvX5RZ","object":"chat.completion","created":1777165840,"model":"gpt-5-chat-2025-10-03","choices":[{"index":0,"message":{"role":"assistant","content":"Gucci Classic Black GG Embossed Leather Belt, crafted from premium cowhide with gold double G buckle. A unisex minimalist luxury design showcasing Italian elegance and modern fashion style.","refusal":null,"annotations":[]},"logprobs":null,"finish_reason":"stop"}],"usage":{"prompt_tokens":892,"completion_tokens":37,"total_tokens":929,"prompt_tokens_details":{"cached_tokens":0,"audio_tokens":0},"completion_tokens_details":{"reasoning_tokens":0,"audio_tokens":0,"accepted_prediction_tokens":0,"rejected_prediction_tokens":0}},"service_tier":"default","system_fingerprint":"fp_ad66631dec"}</t>
        </is>
      </c>
      <c r="M70" t="inlineStr">
        <is>
          <t>{"alt-svc":"h3=\":443\"; ma=2592000","apim-request-id":"540fbf0f-476e-4ff2-8fcf-e00694200786","azureml-model-session":"d20260402084046-4209e968","cache-control":"no-cache","connection":"close","content-length":"997","content-type":"application/json","date":"Sun, 26 Apr 2026 01:10:42 GMT","server":"Caddy","skip-error-remapping":"true","strict-transport-security":"max-age=31536000; includeSubDomains; preload","x-content-type-options":"nosniff","x-ms-client-request-id":"Not-Set","x-ms-is-spilled-over":"false","x-ms-rai-invoked":"false","x-ms-region":"UK South","x-new-api-version":"0.4.35","x-oneapi-request-id":"202604260110399382233818268d9d6JyuFSNc3","x-ratelimit-abusepenalty-active":"False","x-ratelimit-limit-requests":"1000","x-ratelimit-limit-tokens":"1000000","x-ratelimit-remaining-requests":"999","x-ratelimit-remaining-tokens":"998346","x-ratelimit-renewalperiod-requests":"60","x-ratelimit-renewalperiod-tokens":"60","x-ratelimit-reset-requests":"60","x-ratelimit-reset-tokens":"99","x-request-id":"189ce06e-df04-476f-af68-c92c7957dc4a"}</t>
        </is>
      </c>
      <c r="N70" t="inlineStr">
        <is>
          <t>Gucci Classic Black GG Embossed Leather Belt, crafted from premium cowhide with gold double G buckle. A unisex minimalist luxury design showcasing Italian elegance and modern fashion style.</t>
        </is>
      </c>
      <c r="O70" t="inlineStr">
        <is>
          <t>{"id":"chatcmpl-DYiSIr3RiNqFg1fy2gJDKthlSEvVo","object":"chat.completion","created":1777166410,"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0" t="inlineStr">
        <is>
          <t>Gucci,Belt,kakobuy,kakebuy2026,kekobuysheet,kakobuysheet2026,2026kakobuy,kakobuyspreadsheeet,kakobuylink,kakebuylist,Kakobuy MEGA Spreadsheet,kakobuysheetfind,kakobuysheetfind2026,2026kakobuysheetfind,kakobuysheet2026</t>
        </is>
      </c>
      <c r="Q70" t="inlineStr">
        <is>
          <t>Black, Leather, Unisex, Minimalist, Elegant, Cowhide</t>
        </is>
      </c>
      <c r="R70" t="inlineStr">
        <is>
          <t>recvhju1CrEVvT</t>
        </is>
      </c>
      <c r="S70" t="inlineStr">
        <is>
          <t>gucci-black-gg-leather-belt-gold-buckle-recvhju1crEVvT</t>
        </is>
      </c>
      <c r="T70"/>
      <c r="U70"/>
      <c r="V70"/>
      <c r="W70" t="inlineStr">
        <is>
          <t>{"id":"chatcmpl-DYhtMgfYFa4YFJIS7aYweIsuxMuMw","object":"chat.completion","created":1777164244,"model":"gpt-5-chat-2025-10-03","choices":[{"index":0,"message":{"role":"assistant","content":"Gucci：经典黑色双G压纹皮带，甄选头层牛皮，搭配金色双G标志扣，简约奢华设计展现意式优雅风格，男女皆宜，彰显现代时尚格调。","refusal":null,"annotations":[]},"logprobs":null,"finish_reason":"stop"}],"usage":{"prompt_tokens":1299,"completion_tokens":59,"total_tokens":1358,"prompt_tokens_details":{"cached_tokens":1280,"audio_tokens":0},"completion_tokens_details":{"reasoning_tokens":0,"audio_tokens":0,"accepted_prediction_tokens":0,"rejected_prediction_tokens":0}},"service_tier":"default","system_fingerprint":"fp_ad66631dec"}</t>
        </is>
      </c>
      <c r="X70" t="inlineStr">
        <is>
          <t>Gucci：经典黑色双G压纹皮带，甄选头层牛皮，搭配金色双G标志扣，简约奢华设计展现意式优雅风格，男女皆宜，彰显现代时尚格调。</t>
        </is>
      </c>
    </row>
    <row r="71" ht="25.5" customHeight="1">
      <c r="A71">
        <v>1654975475</v>
      </c>
      <c r="B71">
        <v>7622055704</v>
      </c>
      <c r="C71" s="2" t="str">
        <f>=HYPERLINK("https://weidian.com/item.html?itemID=7622055704", "https://weidian.com/item.html?itemID=7622055704")</f>
        <v>https://weidian.com/item.html?itemID=7622055704</v>
      </c>
      <c r="D71"/>
      <c r="E71" s="2" t="str">
        <f>=HYPERLINK("https://si.geilicdn.com/pcitem2014204438-58140000019aca10ec0a0a2304aa_1440_1920.jpg?w=640&amp;h=640", "https://si.geilicdn.com/pcitem2014204438-58140000019aca10ec0a0a2304aa_1440_1920.jpg?w=640&amp;h=640")</f>
        <v>https://si.geilicdn.com/pcitem2014204438-58140000019aca10ec0a0a2304aa_1440_1920.jpg?w=640&amp;h=640</v>
      </c>
      <c r="F71" t="inlineStr">
        <is>
          <t>Accessories</t>
        </is>
      </c>
      <c r="G71" t="inlineStr">
        <is>
          <t>Louis Vuitton</t>
        </is>
      </c>
      <c r="H71">
        <v>460</v>
      </c>
      <c r="I71">
        <v>66.67</v>
      </c>
      <c r="J71" t="inlineStr">
        <is>
          <t>{"id":"chatcmpl-DYiyWdlzLMGbDcSWNHt6N7mwtmYN1","object":"chat.completion","created":1777168408,"model":"gpt-5-chat-2025-10-03","choices":[{"index":0,"message":{"role":"assistant","content":"Louis Vuitton Men Black Leather LV Belt","refusal":null,"annotations":[]},"logprobs":null,"finish_reason":"stop"}],"usage":{"prompt_tokens":873,"completion_tokens":8,"total_tokens":881,"prompt_tokens_details":{"cached_tokens":0,"audio_tokens":0},"completion_tokens_details":{"reasoning_tokens":0,"audio_tokens":0,"accepted_prediction_tokens":0,"rejected_prediction_tokens":0}},"service_tier":"default","system_fingerprint":"fp_ad66631dec"}</t>
        </is>
      </c>
      <c r="K71" t="inlineStr">
        <is>
          <t>Louis Vuitton Men Black Leather LV Belt</t>
        </is>
      </c>
      <c r="L71" t="inlineStr">
        <is>
          <t>{"id":"chatcmpl-DYiHZwYzPcGloS7uDaGM1qAvezCiC","object":"chat.completion","created":1777165745,"model":"gpt-5-chat-2025-10-03","choices":[{"index":0,"message":{"role":"assistant","content":"Louis Vuitton Men’s Black Grained Leather Belt with iconic silver LV buckle, sleek design for timeless style, perfect for business or casual looks, exuding elegance and luxury craftsmanship.","refusal":null,"annotations":[]},"logprobs":null,"finish_reason":"stop"}],"usage":{"prompt_tokens":884,"completion_tokens":36,"total_tokens":920,"prompt_tokens_details":{"cached_tokens":0,"audio_tokens":0},"completion_tokens_details":{"reasoning_tokens":0,"audio_tokens":0,"accepted_prediction_tokens":0,"rejected_prediction_tokens":0}},"service_tier":"default","system_fingerprint":"fp_ad66631dec"}</t>
        </is>
      </c>
      <c r="M71" t="inlineStr">
        <is>
          <t>{"alt-svc":"h3=\":443\"; ma=2592000","apim-request-id":"c3d4001f-5608-4fb5-abe4-6792cc4d6123","azureml-model-session":"d20260402084046-4209e968","cache-control":"no-cache","connection":"close","content-length":"1000","content-type":"application/json","date":"Sun, 26 Apr 2026 01:09:08 GMT","server":"nginx","skip-error-remapping":"true","strict-transport-security":"max-age=31536000; includeSubDomains; preload","via":"1.1 Caddy","x-content-type-options":"nosniff","x-ms-client-request-id":"Not-Set","x-ms-is-spilled-over":"false","x-ms-rai-invoked":"false","x-ms-region":"Australia East","x-new-api-version":"0.4.35","x-oneapi-request-id":"202604260109032019164878268d9d6hJkhatdg","x-ratelimit-abusepenalty-active":"False","x-ratelimit-limit-requests":"1000","x-ratelimit-limit-tokens":"1000000","x-ratelimit-remaining-requests":"999","x-ratelimit-remaining-tokens":"998354","x-ratelimit-renewalperiod-requests":"60","x-ratelimit-renewalperiod-tokens":"60","x-ratelimit-reset-requests":"60","x-ratelimit-reset-tokens":"98","x-request-id":"032ffea6-902a-4816-8330-d4bd77ef4256"}</t>
        </is>
      </c>
      <c r="N71" t="inlineStr">
        <is>
          <t>Louis Vuitton Men’s Black Grained Leather Belt with iconic silver LV buckle, sleek design for timeless style, perfect for business or casual looks, exuding elegance and luxury craftsmanship.</t>
        </is>
      </c>
      <c r="O71" t="inlineStr">
        <is>
          <t>{"id":"chatcmpl-DYiWdzt1gNEthSTAHKNLlY9uu8jnv","object":"chat.completion","created":1777166679,"model":"gpt-5-chat-2025-10-03","choices":[{"index":0,"message":{"role":"assistant","content":"Louis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1" t="inlineStr">
        <is>
          <t>Louis Vuitton,Accessories,kakobuy,kakebuy2026,kekobuysheet,kakobuysheet2026,2026kakobuy,kakobuyspreadsheeet,kakobuylink,kakebuylist,Kakobuy MEGA Spreadsheet,kakobuysheetfind,kakobuysheetfind2026,2026kakobuysheetfind,kakobuysheet2026</t>
        </is>
      </c>
      <c r="Q71" t="inlineStr">
        <is>
          <t>LV, Leather, Black, Elegant, Business, Business Casual</t>
        </is>
      </c>
      <c r="R71" t="inlineStr">
        <is>
          <t>recvhju1CrTir8</t>
        </is>
      </c>
      <c r="S71" t="inlineStr">
        <is>
          <t>louis-vuitton-men-black-leather-lv-belt-recvhju1crtir8</t>
        </is>
      </c>
      <c r="T71"/>
      <c r="U71"/>
      <c r="V71"/>
      <c r="W71" t="inlineStr">
        <is>
          <t>{"id":"chatcmpl-DYhsxi4UUUqlhWfKwC8oxgILTePCK","object":"chat.completion","created":1777164219,"model":"gpt-5-chat-2025-10-03","choices":[{"index":0,"message":{"role":"assistant","content":"Louis Vuitton：黑色粒面牛皮男士腰带，搭配标志性银色LV字母扣，简约大气设计彰显品牌经典格调，质感精致百搭商务休闲造型。","refusal":null,"annotations":[]},"logprobs":null,"finish_reason":"stop"}],"usage":{"prompt_tokens":1299,"completion_tokens":51,"total_tokens":1350,"prompt_tokens_details":{"cached_tokens":0,"audio_tokens":0},"completion_tokens_details":{"reasoning_tokens":0,"audio_tokens":0,"accepted_prediction_tokens":0,"rejected_prediction_tokens":0}},"service_tier":"default","system_fingerprint":"fp_ad66631dec"}</t>
        </is>
      </c>
      <c r="X71" t="inlineStr">
        <is>
          <t>Louis Vuitton：黑色粒面牛皮男士腰带，搭配标志性银色LV字母扣，简约大气设计彰显品牌经典格调，质感精致百搭商务休闲造型。</t>
        </is>
      </c>
    </row>
    <row r="72" ht="25.5" customHeight="1">
      <c r="A72">
        <v>1654975475</v>
      </c>
      <c r="B72">
        <v>7619030137</v>
      </c>
      <c r="C72" s="2" t="str">
        <f>=HYPERLINK("https://weidian.com/item.html?itemID=7619030137", "https://weidian.com/item.html?itemID=7619030137")</f>
        <v>https://weidian.com/item.html?itemID=7619030137</v>
      </c>
      <c r="D72"/>
      <c r="E72" s="2" t="str">
        <f>=HYPERLINK("https://si.geilicdn.com/pcitem2014204438-7d300000019aca147f3c0a2102c5_1536_1536.jpg?w=640&amp;h=640", "https://si.geilicdn.com/pcitem2014204438-7d300000019aca147f3c0a2102c5_1536_1536.jpg?w=640&amp;h=640")</f>
        <v>https://si.geilicdn.com/pcitem2014204438-7d300000019aca147f3c0a2102c5_1536_1536.jpg?w=640&amp;h=640</v>
      </c>
      <c r="F72" t="inlineStr">
        <is>
          <t>Accessories</t>
        </is>
      </c>
      <c r="G72" t="inlineStr">
        <is>
          <t>Hermes</t>
        </is>
      </c>
      <c r="H72">
        <v>460</v>
      </c>
      <c r="I72">
        <v>66.67</v>
      </c>
      <c r="J72" t="inlineStr">
        <is>
          <t>{"id":"chatcmpl-DYj10wu59sZRXVi44S0TxBG23X7DP","object":"chat.completion","created":1777168562,"model":"gpt-5-chat-2025-10-03","choices":[{"index":0,"message":{"role":"assistant","content":"Hermes H Buckle Black Leather Belt Gold Tone","refusal":null,"annotations":[]},"logprobs":null,"finish_reason":"stop"}],"usage":{"prompt_tokens":881,"completion_tokens":11,"total_tokens":892,"prompt_tokens_details":{"cached_tokens":0,"audio_tokens":0},"completion_tokens_details":{"reasoning_tokens":0,"audio_tokens":0,"accepted_prediction_tokens":0,"rejected_prediction_tokens":0}},"service_tier":"default","system_fingerprint":"fp_ad66631dec"}</t>
        </is>
      </c>
      <c r="K72" t="inlineStr">
        <is>
          <t>Hermes H Buckle Black Leather Belt Gold Tone</t>
        </is>
      </c>
      <c r="L72" t="inlineStr">
        <is>
          <t>{"id":"chatcmpl-DYiKvBX4wn08xA0iDnuTTiMzPjT7i","object":"chat.completion","created":1777165953,"model":"gpt-5-chat-2025-10-03","choices":[{"index":0,"message":{"role":"assistant","content":"Hermès Black Grained Leather H Buckle Belt – Gold-Tone Hardware, Timeless French Elegance, Unisex Business &amp; Casual Style, Crafted to Perfection for Lasting Luxury Appeal.","refusal":null,"annotations":[]},"logprobs":null,"finish_reason":"stop"}],"usage":{"prompt_tokens":900,"completion_tokens":40,"total_tokens":940,"prompt_tokens_details":{"cached_tokens":0,"audio_tokens":0},"completion_tokens_details":{"reasoning_tokens":0,"audio_tokens":0,"accepted_prediction_tokens":0,"rejected_prediction_tokens":0}},"service_tier":"default","system_fingerprint":"fp_ad66631dec"}</t>
        </is>
      </c>
      <c r="M72" t="inlineStr">
        <is>
          <t>{"alt-svc":"h3=\":443\"; ma=2592000","apim-request-id":"20217183-7955-45ce-8a13-4f3eb6c931f4","azureml-model-session":"d20260405225800-40f19e54","cache-control":"no-cache","connection":"close","content-length":"982","content-type":"application/json","date":"Sun, 26 Apr 2026 01:12:34 GMT","server":"nginx","skip-error-remapping":"true","strict-transport-security":"max-age=31536000; includeSubDomains; preload","via":"1.1 Caddy","x-content-type-options":"nosniff","x-ms-client-request-id":"Not-Set","x-ms-is-spilled-over":"false","x-ms-rai-invoked":"false","x-ms-region":"East US","x-new-api-version":"0.4.35","x-oneapi-request-id":"202604260112323119162628268d9d6xqoiAf17","x-ratelimit-abusepenalty-active":"False","x-ratelimit-limit-requests":"1000","x-ratelimit-limit-tokens":"1000000","x-ratelimit-remaining-requests":"999","x-ratelimit-remaining-tokens":"998338","x-ratelimit-renewalperiod-requests":"60","x-ratelimit-renewalperiod-tokens":"60","x-ratelimit-reset-requests":"60","x-ratelimit-reset-tokens":"99","x-request-id":"51a778a2-7015-47eb-9274-40106ee2c4a0"}</t>
        </is>
      </c>
      <c r="N72" t="inlineStr">
        <is>
          <t>Hermès Black Grained Leather H Buckle Belt – Gold-Tone Hardware, Timeless French Elegance, Unisex Business &amp; Casual Style, Crafted to Perfection for Lasting Luxury Appeal.</t>
        </is>
      </c>
      <c r="O72" t="inlineStr">
        <is>
          <t>{"id":"chatcmpl-DYiY3m1vC9PLT5OJYTkcujplXQ8Co","object":"chat.completion","created":1777166767,"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2" t="inlineStr">
        <is>
          <t>Hermes,Belt,kakobuy,kakebuy2026,kekobuysheet,kakobuysheet2026,2026kakobuy,kakobuyspreadsheeet,kakobuylink,kakebuylist,Kakobuy MEGA Spreadsheet,kakobuysheetfind,kakobuysheetfind2026,2026kakobuysheetfind,kakobuysheet2026</t>
        </is>
      </c>
      <c r="Q72"/>
      <c r="R72" t="inlineStr">
        <is>
          <t>recvhju1Crx7vh</t>
        </is>
      </c>
      <c r="S72" t="inlineStr">
        <is>
          <t>hermes-h-buckle-black-leather-belt-gold-tone-recvhju1crx7vh</t>
        </is>
      </c>
      <c r="T72"/>
      <c r="U72"/>
      <c r="V72"/>
      <c r="W72" t="inlineStr">
        <is>
          <t>{"id":"chatcmpl-DYhtKbwgYKRJ7Xp1SoY4rxd7sQkUL","object":"chat.completion","created":1777164242,"model":"gpt-5-chat-2025-10-03","choices":[{"index":0,"message":{"role":"assistant","content":"Hermès：黑色粒面牛皮经典H扣腰带，金色金属搭扣彰显奢华格调，简约线条融合法式优雅设计，男女通用商务休闲风格，精湛工艺诠释恒久典雅魅力。","refusal":null,"annotations":[]},"logprobs":null,"finish_reason":"stop"}],"usage":{"prompt_tokens":1303,"completion_tokens":65,"total_tokens":1368,"prompt_tokens_details":{"cached_tokens":1280,"audio_tokens":0},"completion_tokens_details":{"reasoning_tokens":0,"audio_tokens":0,"accepted_prediction_tokens":0,"rejected_prediction_tokens":0}},"service_tier":"default","system_fingerprint":"fp_ad66631dec"}</t>
        </is>
      </c>
      <c r="X72" t="inlineStr">
        <is>
          <t>Hermès：黑色粒面牛皮经典H扣腰带，金色金属搭扣彰显奢华格调，简约线条融合法式优雅设计，男女通用商务休闲风格，精湛工艺诠释恒久典雅魅力。</t>
        </is>
      </c>
    </row>
    <row r="73" ht="25.5" customHeight="1">
      <c r="A73">
        <v>1654975475</v>
      </c>
      <c r="B73">
        <v>7618967381</v>
      </c>
      <c r="C73" s="2" t="str">
        <f>=HYPERLINK("https://weidian.com/item.html?itemID=7618967381", "https://weidian.com/item.html?itemID=7618967381")</f>
        <v>https://weidian.com/item.html?itemID=7618967381</v>
      </c>
      <c r="D73"/>
      <c r="E73" s="2" t="str">
        <f>=HYPERLINK("https://si.geilicdn.com/pcitem2014204438-09a00000019aca20de7d0a23057e_1438_1916.jpg?w=640&amp;h=640", "https://si.geilicdn.com/pcitem2014204438-09a00000019aca20de7d0a23057e_1438_1916.jpg?w=640&amp;h=640")</f>
        <v>https://si.geilicdn.com/pcitem2014204438-09a00000019aca20de7d0a23057e_1438_1916.jpg?w=640&amp;h=640</v>
      </c>
      <c r="F73" t="inlineStr">
        <is>
          <t>Accessories</t>
        </is>
      </c>
      <c r="G73" t="inlineStr">
        <is>
          <t>Salvatore Ferragamo</t>
        </is>
      </c>
      <c r="H73">
        <v>460</v>
      </c>
      <c r="I73">
        <v>66.67</v>
      </c>
      <c r="J73" t="inlineStr">
        <is>
          <t>{"id":"chatcmpl-DYj0Yrb6bSI17WNCnnD74RTKrso5y","object":"chat.completion","created":1777168534,"model":"gpt-5-chat-2025-10-03","choices":[{"index":0,"message":{"role":"assistant","content":"Salvatore Ferragamo Black Gancini Leather Belt","refusal":null,"annotations":[]},"logprobs":null,"finish_reason":"stop"}],"usage":{"prompt_tokens":882,"completion_tokens":12,"total_tokens":894,"prompt_tokens_details":{"cached_tokens":0,"audio_tokens":0},"completion_tokens_details":{"reasoning_tokens":0,"audio_tokens":0,"accepted_prediction_tokens":0,"rejected_prediction_tokens":0}},"service_tier":"default","system_fingerprint":"fp_ad66631dec"}</t>
        </is>
      </c>
      <c r="K73" t="inlineStr">
        <is>
          <t>Salvatore Ferragamo Black Gancini Leather Belt</t>
        </is>
      </c>
      <c r="L73" t="inlineStr">
        <is>
          <t>{"id":"chatcmpl-DYiGJrpHFRq3nohxzXNbFOKN8flPg","object":"chat.completion","created":1777165667,"model":"gpt-5-chat-2025-10-03","choices":[{"index":0,"message":{"role":"assistant","content":"Salvatore Ferragamo black Gancini embossed leather belt with silver double ring buckle, Italian luxury style, elegant and versatile for business or casual wear, a timeless men’s fashion accessory.","refusal":null,"annotations":[]},"logprobs":null,"finish_reason":"stop"}],"usage":{"prompt_tokens":899,"completion_tokens":39,"total_tokens":938,"prompt_tokens_details":{"cached_tokens":0,"audio_tokens":0},"completion_tokens_details":{"reasoning_tokens":0,"audio_tokens":0,"accepted_prediction_tokens":0,"rejected_prediction_tokens":0}},"service_tier":"default","system_fingerprint":"fp_ad66631dec"}</t>
        </is>
      </c>
      <c r="M73" t="inlineStr">
        <is>
          <t>{"alt-svc":"h3=\":443\"; ma=2592000","apim-request-id":"ae71bac6-3ec3-4b8a-b143-5956bb2297f0","azureml-model-session":"d20260402084046-4209e968","cache-control":"no-cache","connection":"close","content-length":"1006","content-type":"application/json","date":"Sun, 26 Apr 2026 01:07:50 GMT","server":"nginx","skip-error-remapping":"true","strict-transport-security":"max-age=31536000; includeSubDomains; preload","via":"1.1 Caddy","x-content-type-options":"nosniff","x-ms-client-request-id":"Not-Set","x-ms-is-spilled-over":"false","x-ms-rai-invoked":"false","x-ms-region":"Korea Central","x-new-api-version":"0.4.35","x-oneapi-request-id":"20260426010747151942148268d9d64TzWAyP4","x-ratelimit-abusepenalty-active":"False","x-ratelimit-limit-requests":"1000","x-ratelimit-limit-tokens":"1000000","x-ratelimit-remaining-requests":"999","x-ratelimit-remaining-tokens":"998339","x-ratelimit-renewalperiod-requests":"60","x-ratelimit-renewalperiod-tokens":"60","x-ratelimit-reset-requests":"60","x-ratelimit-reset-tokens":"99","x-request-id":"9e94372c-8877-447a-8981-5de29a8f35ed"}</t>
        </is>
      </c>
      <c r="N73" t="inlineStr">
        <is>
          <t>Salvatore Ferragamo black Gancini embossed leather belt with silver double ring buckle, Italian luxury style, elegant and versatile for business or casual wear, a timeless men’s fashion accessory.</t>
        </is>
      </c>
      <c r="O73" t="inlineStr">
        <is>
          <t>{"id":"chatcmpl-DYiSsFAQhFobD4hvSiQ7Sx79qQLtI","object":"chat.completion","created":1777166446,"model":"gpt-5-chat-2025-10-03","choices":[{"index":0,"message":{"role":"assistant","content":"Salvatore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73" t="inlineStr">
        <is>
          <t>Salvatore Ferragamo, Accessories, kakobuy, kakebuy2026, kekobuysheet, kakobuysheet2026, 2026kakobuy, kakobuyspreadsheeet, kakobuylink, kakebuylist, Kakobuy MEGA Spreadsheet, kakobuysheetfind, kakobuysheetfind2026, 2026kakobuysheetfind, kakobuysheet2026</t>
        </is>
      </c>
      <c r="Q73"/>
      <c r="R73" t="inlineStr">
        <is>
          <t>recvhju1Crt1nk</t>
        </is>
      </c>
      <c r="S73" t="inlineStr">
        <is>
          <t>ferragamo-black-gancini-leather-belt-recvhju1crt1nk</t>
        </is>
      </c>
      <c r="T73"/>
      <c r="U73"/>
      <c r="V73"/>
      <c r="W73" t="inlineStr">
        <is>
          <t>{"id":"chatcmpl-DYhvMRwR3cnvPLdm3bH2bS5xNUZRF","object":"chat.completion","created":1777164368,"model":"gpt-5-chat-2025-10-03","choices":[{"index":0,"message":{"role":"assistant","content":"Salvatore Ferragamo：黑色Gancini系列皮质腰带，采用压纹牛皮搭配银色双环扣设计，彰显意式奢华格调，精致简约，男士经典配饰，适合商务与休闲场合。","refusal":null,"annotations":[]},"logprobs":null,"finish_reason":"stop"}],"usage":{"prompt_tokens":1307,"completion_tokens":62,"total_tokens":1369,"prompt_tokens_details":{"cached_tokens":0,"audio_tokens":0},"completion_tokens_details":{"reasoning_tokens":0,"audio_tokens":0,"accepted_prediction_tokens":0,"rejected_prediction_tokens":0}},"service_tier":"default","system_fingerprint":"fp_ad66631dec"}</t>
        </is>
      </c>
      <c r="X73" t="inlineStr">
        <is>
          <t>Salvatore Ferragamo：黑色Gancini系列皮质腰带，采用压纹牛皮搭配银色双环扣设计，彰显意式奢华格调，精致简约，男士经典配饰，适合商务与休闲场合。</t>
        </is>
      </c>
    </row>
    <row r="74" ht="25.5" customHeight="1">
      <c r="A74">
        <v>1654975475</v>
      </c>
      <c r="B74">
        <v>7619080785</v>
      </c>
      <c r="C74" s="2" t="str">
        <f>=HYPERLINK("https://weidian.com/item.html?itemID=7619080785", "https://weidian.com/item.html?itemID=7619080785")</f>
        <v>https://weidian.com/item.html?itemID=7619080785</v>
      </c>
      <c r="D74"/>
      <c r="E74" s="2" t="str">
        <f>=HYPERLINK("https://si.geilicdn.com/pcitem2014204438-482d0000019acae6f7f60a8133cc_1440_1920.jpg?w=640&amp;h=640", "https://si.geilicdn.com/pcitem2014204438-482d0000019acae6f7f60a8133cc_1440_1920.jpg?w=640&amp;h=640")</f>
        <v>https://si.geilicdn.com/pcitem2014204438-482d0000019acae6f7f60a8133cc_1440_1920.jpg?w=640&amp;h=640</v>
      </c>
      <c r="F74" t="inlineStr">
        <is>
          <t>Accessories</t>
        </is>
      </c>
      <c r="G74" t="inlineStr">
        <is>
          <t>Versace</t>
        </is>
      </c>
      <c r="H74">
        <v>460</v>
      </c>
      <c r="I74">
        <v>66.67</v>
      </c>
      <c r="J74" t="inlineStr">
        <is>
          <t>{"id":"chatcmpl-DYixUc3P0La3Y43A0tF49eVFV8u6r","object":"chat.completion","created":1777168344,"model":"gpt-5-chat-2025-10-03","choices":[{"index":0,"message":{"role":"assistant","content":"Versace Black Crocodile Leather Belt Gold Buckle","refusal":null,"annotations":[]},"logprobs":null,"finish_reason":"stop"}],"usage":{"prompt_tokens":861,"completion_tokens":12,"total_tokens":873,"prompt_tokens_details":{"cached_tokens":0,"audio_tokens":0},"completion_tokens_details":{"reasoning_tokens":0,"audio_tokens":0,"accepted_prediction_tokens":0,"rejected_prediction_tokens":0}},"service_tier":"default","system_fingerprint":"fp_ad66631dec"}</t>
        </is>
      </c>
      <c r="K74" t="inlineStr">
        <is>
          <t>Versace Black Crocodile Leather Belt Gold Buckle</t>
        </is>
      </c>
      <c r="L74" t="inlineStr">
        <is>
          <t>{"id":"chatcmpl-DYiF8LnrmnXLVaaMaPH8jVod67q3e","object":"chat.completion","created":1777165594,"model":"gpt-5-chat-2025-10-03","choices":[{"index":0,"message":{"role":"assistant","content":"Versace black crocodile leather belt with gold Medusa buckle, luxurious Italian style for men and women, showcasing timeless elegance and high fashion sophistication.","refusal":null,"annotations":[]},"logprobs":null,"finish_reason":"stop"}],"usage":{"prompt_tokens":884,"completion_tokens":30,"total_tokens":914,"prompt_tokens_details":{"cached_tokens":0,"audio_tokens":0},"completion_tokens_details":{"reasoning_tokens":0,"audio_tokens":0,"accepted_prediction_tokens":0,"rejected_prediction_tokens":0}},"service_tier":"default","system_fingerprint":"fp_ad66631dec"}</t>
        </is>
      </c>
      <c r="M74" t="inlineStr">
        <is>
          <t>{"alt-svc":"h3=\":443\"; ma=2592000","apim-request-id":"1a20ff52-c494-4b96-acad-e70da1f8d26e","azureml-model-session":"d20260402084046-4209e968","cache-control":"no-cache","connection":"close","content-length":"974","content-type":"application/json","date":"Sun, 26 Apr 2026 01:06:36 GMT","server":"nginx","skip-error-remapping":"true","strict-transport-security":"max-age=31536000; includeSubDomains; preload","via":"1.1 Caddy","x-content-type-options":"nosniff","x-ms-client-request-id":"Not-Set","x-ms-is-spilled-over":"false","x-ms-rai-invoked":"false","x-ms-region":"Sweden Central","x-new-api-version":"0.4.35","x-oneapi-request-id":"202604260106331710062138268d9d66yerAUcN","x-ratelimit-abusepenalty-active":"False","x-ratelimit-key":"gpt-5-chat-global","x-ratelimit-limit-requests":"1000","x-ratelimit-limit-tokens":"1000000","x-ratelimit-remaining-requests":"999","x-ratelimit-remaining-tokens":"998354","x-ratelimit-renewalperiod-requests":"60","x-ratelimit-renewalperiod-tokens":"60","x-ratelimit-reset-requests":"60","x-ratelimit-reset-tokens":"98","x-request-id":"6d5c459c-fb71-404d-bad6-9cea36ccd24b"}</t>
        </is>
      </c>
      <c r="N74" t="inlineStr">
        <is>
          <t>Versace black crocodile leather belt with gold Medusa buckle, luxurious Italian style for men and women, showcasing timeless elegance and high fashion sophistication.</t>
        </is>
      </c>
      <c r="O74" t="inlineStr">
        <is>
          <t>{"id":"chatcmpl-DYiYJ7LZAupYXH6PuPDp2nBHBqGNi","object":"chat.completion","created":1777166783,"model":"gpt-5-chat-2025-10-03","choices":[{"index":0,"message":{"role":"assistant","content":"Versace,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4" t="inlineStr">
        <is>
          <t>Versace,Accessories,kakobuy,kakebuy2026,kekobuysheet,kakobuysheet2026,2026kakobuy,kakobuyspreadsheeet,kakobuylink,kakebuylist,Kakobuy MEGA Spreadsheet,kakobuysheetfind,kakobuysheetfind2026,2026kakobuysheetfind,kakobuysheet2026</t>
        </is>
      </c>
      <c r="Q74" t="inlineStr">
        <is>
          <t>Black, Cow Leather, Men's And Women's, High End, Elegant</t>
        </is>
      </c>
      <c r="R74" t="inlineStr">
        <is>
          <t>recvhju1CrKHXM</t>
        </is>
      </c>
      <c r="S74" t="inlineStr">
        <is>
          <t>versace-black-crocodile-leather-belt-gold-buckle-recvhju1crkhxm</t>
        </is>
      </c>
      <c r="T74"/>
      <c r="U74"/>
      <c r="V74"/>
      <c r="W74" t="inlineStr">
        <is>
          <t>{"id":"chatcmpl-DYhpocxN6RzfLYT8UE910gE2WAsfG","object":"chat.completion","created":1777164024,"model":"gpt-5-chat-2025-10-03","choices":[{"index":0,"message":{"role":"assistant","content":"Versace：黑色鳄鱼纹皮革腰带，金色美杜莎浮雕金属扣设计，奢华高雅意式风格，男女皆宜，彰显经典时尚魅力。","refusal":null,"annotations":[]},"logprobs":null,"finish_reason":"stop"}],"usage":{"prompt_tokens":1303,"completion_tokens":49,"total_tokens":1352,"prompt_tokens_details":{"cached_tokens":0,"audio_tokens":0},"completion_tokens_details":{"reasoning_tokens":0,"audio_tokens":0,"accepted_prediction_tokens":0,"rejected_prediction_tokens":0}},"service_tier":"default","system_fingerprint":"fp_ad66631dec"}</t>
        </is>
      </c>
      <c r="X74" t="inlineStr">
        <is>
          <t>Versace：黑色鳄鱼纹皮革腰带，金色美杜莎浮雕金属扣设计，奢华高雅意式风格，男女皆宜，彰显经典时尚魅力。</t>
        </is>
      </c>
    </row>
    <row r="75" ht="25.5" customHeight="1">
      <c r="A75">
        <v>1654975475</v>
      </c>
      <c r="B75">
        <v>7619052873</v>
      </c>
      <c r="C75" s="2" t="str">
        <f>=HYPERLINK("https://weidian.com/item.html?itemID=7619052873", "https://weidian.com/item.html?itemID=7619052873")</f>
        <v>https://weidian.com/item.html?itemID=7619052873</v>
      </c>
      <c r="D75"/>
      <c r="E75" s="2" t="str">
        <f>=HYPERLINK("https://si.geilicdn.com/pcitem2014204438-1cb30000019acae5bce80a20e2c5_1440_1920.jpg?w=640&amp;h=640", "https://si.geilicdn.com/pcitem2014204438-1cb30000019acae5bce80a20e2c5_1440_1920.jpg?w=640&amp;h=640")</f>
        <v>https://si.geilicdn.com/pcitem2014204438-1cb30000019acae5bce80a20e2c5_1440_1920.jpg?w=640&amp;h=640</v>
      </c>
      <c r="F75" t="inlineStr">
        <is>
          <t>Accessories</t>
        </is>
      </c>
      <c r="G75" t="inlineStr">
        <is>
          <t>Louis Vuitton</t>
        </is>
      </c>
      <c r="H75">
        <v>460</v>
      </c>
      <c r="I75">
        <v>66.67</v>
      </c>
      <c r="J75" t="inlineStr">
        <is>
          <t>{"id":"chatcmpl-DYj2zvu814Sv5qZrlSlHbrzrNptQO","object":"chat.completion","created":1777168685,"model":"gpt-5-chat-2025-10-03","choices":[{"index":0,"message":{"role":"assistant","content":"Louis Vuitton Men Black Leather LV Belt","refusal":null,"annotations":[]},"logprobs":null,"finish_reason":"stop"}],"usage":{"prompt_tokens":873,"completion_tokens":8,"total_tokens":881,"prompt_tokens_details":{"cached_tokens":0,"audio_tokens":0},"completion_tokens_details":{"reasoning_tokens":0,"audio_tokens":0,"accepted_prediction_tokens":0,"rejected_prediction_tokens":0}},"service_tier":"default","system_fingerprint":"fp_ad66631dec"}</t>
        </is>
      </c>
      <c r="K75" t="inlineStr">
        <is>
          <t>Louis Vuitton Men Black Leather LV Belt</t>
        </is>
      </c>
      <c r="L75" t="inlineStr">
        <is>
          <t>{"id":"chatcmpl-DYiEsjLQ37wE5UDkpJjnEHdS3NLXs","object":"chat.completion","created":1777165578,"model":"gpt-5-chat-2025-10-03","choices":[{"index":0,"message":{"role":"assistant","content":"Louis Vuitton Men's Classic Black Leather Belt, crafted from textured cowhide with a sleek silver LV buckle. Elegant and versatile design adds a refined touch to both business and casual styles.","refusal":null,"annotations":[]},"logprobs":null,"finish_reason":"stop"}],"usage":{"prompt_tokens":901,"completion_tokens":36,"total_tokens":937,"prompt_tokens_details":{"cached_tokens":0,"audio_tokens":0},"completion_tokens_details":{"reasoning_tokens":0,"audio_tokens":0,"accepted_prediction_tokens":0,"rejected_prediction_tokens":0}},"service_tier":"default","system_fingerprint":"fp_ad66631dec"}</t>
        </is>
      </c>
      <c r="M75" t="inlineStr">
        <is>
          <t>{"alt-svc":"h3=\":443\"; ma=2592000","apim-request-id":"d2dcdac4-867a-4a27-9e60-d5862881c4c0","azureml-model-session":"d20260402084046-4209e968","cache-control":"no-cache","connection":"close","content-length":"1002","content-type":"application/json","date":"Sun, 26 Apr 2026 01:06:19 GMT","server":"Caddy","skip-error-remapping":"true","strict-transport-security":"max-age=31536000; includeSubDomains; preload","x-content-type-options":"nosniff","x-ms-client-request-id":"Not-Set","x-ms-is-spilled-over":"false","x-ms-rai-invoked":"false","x-ms-region":"East US","x-new-api-version":"0.4.35","x-oneapi-request-id":"202604260106179426328058268d9d6oZEhT8yh","x-ratelimit-abusepenalty-active":"False","x-ratelimit-limit-requests":"1000","x-ratelimit-limit-tokens":"1000000","x-ratelimit-remaining-requests":"999","x-ratelimit-remaining-tokens":"998337","x-ratelimit-renewalperiod-requests":"60","x-ratelimit-renewalperiod-tokens":"60","x-ratelimit-reset-requests":"60","x-ratelimit-reset-tokens":"99","x-request-id":"352f74d9-f29f-4cb2-8181-fe990a94df7c"}</t>
        </is>
      </c>
      <c r="N75" t="inlineStr">
        <is>
          <t>Louis Vuitton Men's Classic Black Leather Belt, crafted from textured cowhide with a sleek silver LV buckle. Elegant and versatile design adds a refined touch to both business and casual styles.</t>
        </is>
      </c>
      <c r="O75" t="inlineStr">
        <is>
          <t>{"id":"chatcmpl-DYiS4WyJPjQ2UHYA43cw3PnqL6hmB","object":"chat.completion","created":1777166396,"model":"gpt-5-chat-2025-10-03","choices":[{"index":0,"message":{"role":"assistant","content":"Louis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5" t="inlineStr">
        <is>
          <t>Louis Vuitton, Belt, kakobuy, kakebuy2026, kekobuysheet, kakobuysheet2026, 2026kakobuy, kakobuyspreadsheeet, kakobuylink, kakebuylist, Kakobuy MEGA Spreadsheet, kakobuysheetfind, kakobuysheetfind2026, 2026kakobuysheetfind, kakobuysheet2026</t>
        </is>
      </c>
      <c r="Q75" t="inlineStr">
        <is>
          <t>LV, Leather, Black, Silver, Elegant, Versatile</t>
        </is>
      </c>
      <c r="R75" t="inlineStr">
        <is>
          <t>recvhju1CrVQ0h</t>
        </is>
      </c>
      <c r="S75" t="inlineStr">
        <is>
          <t>louis-vuitton-men-black-leather-lv-belt-recvhju1crvq0h</t>
        </is>
      </c>
      <c r="T75"/>
      <c r="U75"/>
      <c r="V75"/>
      <c r="W75" t="inlineStr">
        <is>
          <t>{"id":"chatcmpl-DYhttX6iC20dxhQBbkQoEr7A9RA7M","object":"chat.completion","created":1777164277,"model":"gpt-5-chat-2025-10-03","choices":[{"index":0,"message":{"role":"assistant","content":"Louis Vuitton：男士经典黑色皮革腰带，甄选荔枝纹牛皮材质，配以银色金属LV扣头，简约优雅设计尽显都市格调，兼具实用与时尚感，适合商务与日常穿搭。","refusal":null,"annotations":[]},"logprobs":null,"finish_reason":"stop"}],"usage":{"prompt_tokens":1305,"completion_tokens":65,"total_tokens":1370,"prompt_tokens_details":{"cached_tokens":0,"audio_tokens":0},"completion_tokens_details":{"reasoning_tokens":0,"audio_tokens":0,"accepted_prediction_tokens":0,"rejected_prediction_tokens":0}},"service_tier":"default","system_fingerprint":"fp_ad66631dec"}</t>
        </is>
      </c>
      <c r="X75" t="inlineStr">
        <is>
          <t>Louis Vuitton：男士经典黑色皮革腰带，甄选荔枝纹牛皮材质，配以银色金属LV扣头，简约优雅设计尽显都市格调，兼具实用与时尚感，适合商务与日常穿搭。</t>
        </is>
      </c>
    </row>
    <row r="76" ht="25.5" customHeight="1">
      <c r="A76">
        <v>1654975475</v>
      </c>
      <c r="B76">
        <v>7618977407</v>
      </c>
      <c r="C76" s="2" t="str">
        <f>=HYPERLINK("https://weidian.com/item.html?itemID=7618977407", "https://weidian.com/item.html?itemID=7618977407")</f>
        <v>https://weidian.com/item.html?itemID=7618977407</v>
      </c>
      <c r="D76"/>
      <c r="E76" s="2" t="str">
        <f>=HYPERLINK("https://si.geilicdn.com/pcitem2014204438-44fb0000019acae3b6220a207569_1536_1536.jpg?w=640&amp;h=640", "https://si.geilicdn.com/pcitem2014204438-44fb0000019acae3b6220a207569_1536_1536.jpg?w=640&amp;h=640")</f>
        <v>https://si.geilicdn.com/pcitem2014204438-44fb0000019acae3b6220a207569_1536_1536.jpg?w=640&amp;h=640</v>
      </c>
      <c r="F76" t="inlineStr">
        <is>
          <t>Accessories</t>
        </is>
      </c>
      <c r="G76" t="inlineStr">
        <is>
          <t>Hermes</t>
        </is>
      </c>
      <c r="H76">
        <v>460</v>
      </c>
      <c r="I76">
        <v>66.67</v>
      </c>
      <c r="J76" t="inlineStr">
        <is>
          <t>{"id":"chatcmpl-DYiyneVDGSlxxKL1T4szDY7s3GG1K","object":"chat.completion","created":1777168425,"model":"gpt-5-chat-2025-10-03","choices":[{"index":0,"message":{"role":"assistant","content":"Hermes Classic Brown Leather Belt for Men","refusal":null,"annotations":[]},"logprobs":null,"finish_reason":"stop"}],"usage":{"prompt_tokens":861,"completion_tokens":9,"total_tokens":870,"prompt_tokens_details":{"cached_tokens":0,"audio_tokens":0},"completion_tokens_details":{"reasoning_tokens":0,"audio_tokens":0,"accepted_prediction_tokens":0,"rejected_prediction_tokens":0}},"service_tier":"default","system_fingerprint":"fp_ad66631dec"}</t>
        </is>
      </c>
      <c r="K76" t="inlineStr">
        <is>
          <t>Hermes Classic Brown Leather Belt for Men</t>
        </is>
      </c>
      <c r="L76" t="inlineStr">
        <is>
          <t>{"id":"chatcmpl-DYiIqA5v7aGwqJnHojJzZcOqsvaB9","object":"chat.completion","created":1777165824,"model":"gpt-5-chat-2025-10-03","choices":[{"index":0,"message":{"role":"assistant","content":"Hermes Classic Brown Men's Leather Belt crafted from fine calfskin with a signature silver H buckle, minimalist French elegance for both business and casual style.","refusal":null,"annotations":[]},"logprobs":null,"finish_reason":"stop"}],"usage":{"prompt_tokens":891,"completion_tokens":30,"total_tokens":921,"prompt_tokens_details":{"cached_tokens":0,"audio_tokens":0},"completion_tokens_details":{"reasoning_tokens":0,"audio_tokens":0,"accepted_prediction_tokens":0,"rejected_prediction_tokens":0}},"service_tier":"default","system_fingerprint":"fp_ad66631dec"}</t>
        </is>
      </c>
      <c r="M76" t="inlineStr">
        <is>
          <t>{"alt-svc":"h3=\":443\"; ma=2592000","apim-request-id":"7f0fd2a6-fb21-464b-9d6a-da78bf3f5f70","azureml-model-session":"d20260402074105-51db401e","cache-control":"no-cache","connection":"close","content-length":"971","content-type":"application/json","date":"Sun, 26 Apr 2026 01:10:26 GMT","server":"nginx","skip-error-remapping":"true","strict-transport-security":"max-age=31536000; includeSubDomains; preload","via":"1.1 Caddy","x-content-type-options":"nosniff","x-ms-client-request-id":"Not-Set","x-ms-is-spilled-over":"false","x-ms-rai-invoked":"false","x-ms-region":"Sweden Central","x-new-api-version":"0.4.35","x-oneapi-request-id":"202604260110237951963898268d9d6avIYuvRc","x-ratelimit-abusepenalty-active":"False","x-ratelimit-key":"gpt-5-chat-global","x-ratelimit-limit-requests":"1000","x-ratelimit-limit-tokens":"1000000","x-ratelimit-remaining-requests":"999","x-ratelimit-remaining-tokens":"998347","x-ratelimit-renewalperiod-requests":"60","x-ratelimit-renewalperiod-tokens":"60","x-ratelimit-reset-requests":"60","x-ratelimit-reset-tokens":"99","x-request-id":"70018f66-72e6-44c1-b123-921611ca11e3"}</t>
        </is>
      </c>
      <c r="N76" t="inlineStr">
        <is>
          <t>Hermes Classic Brown Men's Leather Belt crafted from fine calfskin with a signature silver H buckle, minimalist French elegance for both business and casual style.</t>
        </is>
      </c>
      <c r="O76" t="inlineStr">
        <is>
          <t>{"id":"chatcmpl-DYiZ0H9JmVfpZx6bo9YUhwbDPh6t7","object":"chat.completion","created":1777166826,"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6" t="inlineStr">
        <is>
          <t>Hermes,Belt,kakobuy,kakebuy2026,kekobuysheet,kakobuysheet2026,2026kakobuy,kakobuyspreadsheeet,kakobuylink,kakebuylist,Kakobuy MEGA Spreadsheet,kakobuysheetfind,kakobuysheetfind2026,2026kakobuysheetfind,kakobuysheet2026</t>
        </is>
      </c>
      <c r="Q76"/>
      <c r="R76" t="inlineStr">
        <is>
          <t>recvhju1CrYSq5</t>
        </is>
      </c>
      <c r="S76" t="inlineStr">
        <is>
          <t>hermes-classic-brown-leather-belt-recvhju1crysq5</t>
        </is>
      </c>
      <c r="T76"/>
      <c r="U76"/>
      <c r="V76"/>
      <c r="W76" t="inlineStr">
        <is>
          <t>{"id":"chatcmpl-DYhv4JAq1ZzbzLZ66FdKKeWkkKWz2","object":"chat.completion","created":1777164350,"model":"gpt-5-chat-2025-10-03","choices":[{"index":0,"message":{"role":"assistant","content":"Hermes：经典系列棕色男士皮带，甄选小牛皮材质搭配银色H字母扣，设计简约大气，彰显优雅法式格调，适合都市商务与休闲场合佩戴。","refusal":null,"annotations":[]},"logprobs":null,"finish_reason":"stop"}],"usage":{"prompt_tokens":1299,"completion_tokens":58,"total_tokens":1357,"prompt_tokens_details":{"cached_tokens":0,"audio_tokens":0},"completion_tokens_details":{"reasoning_tokens":0,"audio_tokens":0,"accepted_prediction_tokens":0,"rejected_prediction_tokens":0}},"service_tier":"default","system_fingerprint":"fp_ad66631dec"}</t>
        </is>
      </c>
      <c r="X76" t="inlineStr">
        <is>
          <t>Hermes：经典系列棕色男士皮带，甄选小牛皮材质搭配银色H字母扣，设计简约大气，彰显优雅法式格调，适合都市商务与休闲场合佩戴。</t>
        </is>
      </c>
    </row>
    <row r="77" ht="25.5" customHeight="1">
      <c r="A77">
        <v>1654975475</v>
      </c>
      <c r="B77">
        <v>7622009106</v>
      </c>
      <c r="C77" s="2" t="str">
        <f>=HYPERLINK("https://weidian.com/item.html?itemID=7622009106", "https://weidian.com/item.html?itemID=7622009106")</f>
        <v>https://weidian.com/item.html?itemID=7622009106</v>
      </c>
      <c r="D77"/>
      <c r="E77" s="2" t="str">
        <f>=HYPERLINK("https://si.geilicdn.com/pcitem2014204438-46860000019acae78f390a210256_1440_1920.jpg?w=640&amp;h=640", "https://si.geilicdn.com/pcitem2014204438-46860000019acae78f390a210256_1440_1920.jpg?w=640&amp;h=640")</f>
        <v>https://si.geilicdn.com/pcitem2014204438-46860000019acae78f390a210256_1440_1920.jpg?w=640&amp;h=640</v>
      </c>
      <c r="F77" t="inlineStr">
        <is>
          <t>Accessories</t>
        </is>
      </c>
      <c r="G77" t="inlineStr">
        <is>
          <t>Versace</t>
        </is>
      </c>
      <c r="H77">
        <v>460</v>
      </c>
      <c r="I77">
        <v>66.67</v>
      </c>
      <c r="J77" t="inlineStr">
        <is>
          <t>{"id":"chatcmpl-DYj1L2zHPXENaMGTCzvkHZM50vNpV","object":"chat.completion","created":1777168583,"model":"gpt-5-chat-2025-10-03","choices":[{"index":0,"message":{"role":"assistant","content":"Versace Black Leather Belt Silver Medusa Buckle Men","refusal":null,"annotations":[]},"logprobs":null,"finish_reason":"stop"}],"usage":{"prompt_tokens":869,"completion_tokens":12,"total_tokens":881,"prompt_tokens_details":{"cached_tokens":0,"audio_tokens":0},"completion_tokens_details":{"reasoning_tokens":0,"audio_tokens":0,"accepted_prediction_tokens":0,"rejected_prediction_tokens":0}},"service_tier":"default","system_fingerprint":"fp_ad66631dec"}</t>
        </is>
      </c>
      <c r="K77" t="inlineStr">
        <is>
          <t>Versace Black Leather Belt Silver Medusa Buckle Men</t>
        </is>
      </c>
      <c r="L77" t="inlineStr">
        <is>
          <t>{"id":"chatcmpl-DYiJwqkjuQxsIqWlNORlkS3JeL9ap","object":"chat.completion","created":1777165892,"model":"gpt-5-chat-2025-10-03","choices":[{"index":0,"message":{"role":"assistant","content":"Versace Black Leather Belt with Iconic Silver Medusa Buckle, showcasing luxurious Italian craftsmanship, refined texture, and timeless elegance for men’s high-end fashion style.","refusal":null,"annotations":[]},"logprobs":null,"finish_reason":"stop"}],"usage":{"prompt_tokens":880,"completion_tokens":34,"total_tokens":914,"prompt_tokens_details":{"cached_tokens":0,"audio_tokens":0},"completion_tokens_details":{"reasoning_tokens":0,"audio_tokens":0,"accepted_prediction_tokens":0,"rejected_prediction_tokens":0}},"service_tier":"default","system_fingerprint":"fp_ad66631dec"}</t>
        </is>
      </c>
      <c r="M77" t="inlineStr">
        <is>
          <t>{"alt-svc":"h3=\":443\"; ma=2592000","apim-request-id":"ad1ab4cf-33b2-44bf-9405-9470ab88cc07","azureml-model-session":"d20260405212659-a9daa006","cache-control":"no-cache","connection":"close","content-length":"987","content-type":"application/json","date":"Sun, 26 Apr 2026 01:11:34 GMT","server":"Caddy","skip-error-remapping":"true","strict-transport-security":"max-age=31536000; includeSubDomains; preload","x-content-type-options":"nosniff","x-ms-client-request-id":"Not-Set","x-ms-is-spilled-over":"false","x-ms-rai-invoked":"false","x-ms-region":"Switzerland North","x-new-api-version":"0.4.35","x-oneapi-request-id":"202604260111311645687778268d9d6pYuRnNU3","x-ratelimit-abusepenalty-active":"False","x-ratelimit-limit-requests":"1000","x-ratelimit-limit-tokens":"1000000","x-ratelimit-remaining-requests":"999","x-ratelimit-remaining-tokens":"998358","x-ratelimit-renewalperiod-requests":"60","x-ratelimit-renewalperiod-tokens":"60","x-ratelimit-reset-requests":"60","x-ratelimit-reset-tokens":"98","x-request-id":"131fd8e1-6c21-439e-9f88-c615a306e48f"}</t>
        </is>
      </c>
      <c r="N77" t="inlineStr">
        <is>
          <t>Versace Black Leather Belt with Iconic Silver Medusa Buckle, showcasing luxurious Italian craftsmanship, refined texture, and timeless elegance for men’s high-end fashion style.</t>
        </is>
      </c>
      <c r="O77" t="inlineStr">
        <is>
          <t>{"id":"chatcmpl-DYiUPfatrfsbI0DWQkZ8scRGFshTV","object":"chat.completion","created":1777166541,"model":"gpt-5-chat-2025-10-03","choices":[{"index":0,"message":{"role":"assistant","content":"Versace,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7" t="inlineStr">
        <is>
          <t>Versace, belt, kakobuy, kakebuy2026, kekobuysheet, kakobuysheet2026, 2026kakobuy, kakobuyspreadsheeet, kakobuylink, kakebuylist, Kakobuy MEGA Spreadsheet, kakobuysheetfind, kakobuysheetfind2026, 2026kakobuysheetfind, kakobuysheet2026</t>
        </is>
      </c>
      <c r="Q77" t="inlineStr">
        <is>
          <t>Black, Leather, Men, High End, Elegant</t>
        </is>
      </c>
      <c r="R77" t="inlineStr">
        <is>
          <t>recvhju1CrTuf5</t>
        </is>
      </c>
      <c r="S77" t="inlineStr">
        <is>
          <t>versace-black-leather-belt-medusa-buckle-men-recvhju1crtuf5</t>
        </is>
      </c>
      <c r="T77"/>
      <c r="U77"/>
      <c r="V77"/>
      <c r="W77" t="inlineStr">
        <is>
          <t>{"id":"chatcmpl-DYhr7K88gpuYB0PbejgsWauExfYXe","object":"chat.completion","created":1777164105,"model":"gpt-5-chat-2025-10-03","choices":[{"index":0,"message":{"role":"assistant","content":"Versace：黑色皮革腰带，镌刻经典美杜莎银色金属扣，彰显奢华意式设计美学，质感细腻，男士高级时尚配饰。","refusal":null,"annotations":[]},"logprobs":null,"finish_reason":"stop"}],"usage":{"prompt_tokens":1295,"completion_tokens":49,"total_tokens":1344,"prompt_tokens_details":{"cached_tokens":1280,"audio_tokens":0},"completion_tokens_details":{"reasoning_tokens":0,"audio_tokens":0,"accepted_prediction_tokens":0,"rejected_prediction_tokens":0}},"service_tier":"default","system_fingerprint":"fp_ad66631dec"}</t>
        </is>
      </c>
      <c r="X77" t="inlineStr">
        <is>
          <t>Versace：黑色皮革腰带，镌刻经典美杜莎银色金属扣，彰显奢华意式设计美学，质感细腻，男士高级时尚配饰。</t>
        </is>
      </c>
    </row>
    <row r="78" ht="25.5" customHeight="1">
      <c r="A78">
        <v>1654975475</v>
      </c>
      <c r="B78">
        <v>7618989361</v>
      </c>
      <c r="C78" s="2" t="str">
        <f>=HYPERLINK("https://weidian.com/item.html?itemID=7618989361", "https://weidian.com/item.html?itemID=7618989361")</f>
        <v>https://weidian.com/item.html?itemID=7618989361</v>
      </c>
      <c r="D78"/>
      <c r="E78" s="2" t="str">
        <f>=HYPERLINK("https://si.geilicdn.com/pcitem2014204438-3f0e0000019acae44e300a230115_1440_1920.jpg?w=640&amp;h=640", "https://si.geilicdn.com/pcitem2014204438-3f0e0000019acae44e300a230115_1440_1920.jpg?w=640&amp;h=640")</f>
        <v>https://si.geilicdn.com/pcitem2014204438-3f0e0000019acae44e300a230115_1440_1920.jpg?w=640&amp;h=640</v>
      </c>
      <c r="F78" t="inlineStr">
        <is>
          <t>Accessories</t>
        </is>
      </c>
      <c r="G78" t="inlineStr">
        <is>
          <t>Louis Vuitton</t>
        </is>
      </c>
      <c r="H78">
        <v>460</v>
      </c>
      <c r="I78">
        <v>66.67</v>
      </c>
      <c r="J78" t="inlineStr">
        <is>
          <t>{"id":"chatcmpl-DYj07z0FYgvyDwSSHSsnaH7TJ2nHx","object":"chat.completion","created":1777168507,"model":"gpt-5-chat-2025-10-03","choices":[{"index":0,"message":{"role":"assistant","content":"Louis Vuitton Black Leather Belt Silver LV Buckle Men","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78" t="inlineStr">
        <is>
          <t>Louis Vuitton Black Leather Belt Silver LV Buckle Men</t>
        </is>
      </c>
      <c r="L78" t="inlineStr">
        <is>
          <t>{"id":"chatcmpl-DYiDJnPgsUUCUK5DAupUfEvxXSmps","object":"chat.completion","created":1777165481,"model":"gpt-5-chat-2025-10-03","choices":[{"index":0,"message":{"role":"assistant","content":"Louis Vuitton classic black grained leather belt with silver LV buckle, sleek and elegant design for men, combining luxury and practicality, perfect for business and everyday wear.","refusal":null,"annotations":[]},"logprobs":null,"finish_reason":"stop"}],"usage":{"prompt_tokens":894,"completion_tokens":33,"total_tokens":927,"prompt_tokens_details":{"cached_tokens":0,"audio_tokens":0},"completion_tokens_details":{"reasoning_tokens":0,"audio_tokens":0,"accepted_prediction_tokens":0,"rejected_prediction_tokens":0}},"service_tier":"default","system_fingerprint":"fp_ad66631dec"}</t>
        </is>
      </c>
      <c r="M78" t="inlineStr">
        <is>
          <t>{"alt-svc":"h3=\":443\"; ma=2592000","apim-request-id":"84a7075c-cd0d-4f8e-b56f-39a149338191","azureml-model-session":"d20260405225800-40f19e54","cache-control":"no-cache","connection":"close","content-length":"988","content-type":"application/json","date":"Sun, 26 Apr 2026 01:04:42 GMT","server":"nginx","skip-error-remapping":"true","strict-transport-security":"max-age=31536000; includeSubDomains; preload","via":"1.1 Caddy","x-content-type-options":"nosniff","x-ms-client-request-id":"Not-Set","x-ms-is-spilled-over":"false","x-ms-rai-invoked":"false","x-ms-region":"East US 2","x-new-api-version":"0.4.35","x-oneapi-request-id":"202604260104404191173608268d9d6jumZU1HU","x-ratelimit-abusepenalty-active":"False","x-ratelimit-limit-requests":"1000","x-ratelimit-limit-tokens":"1000000","x-ratelimit-remaining-requests":"999","x-ratelimit-remaining-tokens":"998344","x-ratelimit-renewalperiod-requests":"60","x-ratelimit-renewalperiod-tokens":"60","x-ratelimit-reset-requests":"60","x-ratelimit-reset-tokens":"99","x-request-id":"9c2c12e7-7bd8-4a6b-b7f1-cd248587c1dd"}</t>
        </is>
      </c>
      <c r="N78" t="inlineStr">
        <is>
          <t>Louis Vuitton classic black grained leather belt with silver LV buckle, sleek and elegant design for men, combining luxury and practicality, perfect for business and everyday wear.</t>
        </is>
      </c>
      <c r="O78" t="inlineStr">
        <is>
          <t>{"id":"chatcmpl-DYiRg3yQ0a3GmXWaXGKUozdAdIe7t","object":"chat.completion","created":1777166372,"model":"gpt-5-chat-2025-10-03","choices":[{"index":0,"message":{"role":"assistant","content":"Louis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78" t="inlineStr">
        <is>
          <t>Louis Vuitton, Accessories, kakobuy, kakebuy2026, kekobuysheet, kakobuysheet2026, 2026kakobuy, kakobuyspreadsheeet, kakobuylink, kakebuylist, Kakobuy MEGA Spreadsheet, kakobuysheetfind, kakobuysheetfind2026, 2026kakobuysheetfind, kakobuysheet2026</t>
        </is>
      </c>
      <c r="Q78" t="inlineStr">
        <is>
          <t>LV, Black, Silver, Leather, Business, Men</t>
        </is>
      </c>
      <c r="R78" t="inlineStr">
        <is>
          <t>recvhju1CrBARt</t>
        </is>
      </c>
      <c r="S78" t="inlineStr">
        <is>
          <t>louis-vuitton-black-leather-belt-silver-lv-buckle-men-recvhju1crbart</t>
        </is>
      </c>
      <c r="T78"/>
      <c r="U78"/>
      <c r="V78"/>
      <c r="W78" t="inlineStr">
        <is>
          <t>{"id":"chatcmpl-DYhpudxeSGoDmDPdppvXKm5V9jDH1","object":"chat.completion","created":1777164030,"model":"gpt-5-chat-2025-10-03","choices":[{"index":0,"message":{"role":"assistant","content":"Louis Vuitton：经典黑色粒面牛皮腰带，搭配亮银色LV标志扣头，简约利落设计彰显男士优雅格调，奢华质感与实用功能兼备，适合商务与日常穿搭。","refusal":null,"annotations":[]},"logprobs":null,"finish_reason":"stop"}],"usage":{"prompt_tokens":1301,"completion_tokens":60,"total_tokens":1361,"prompt_tokens_details":{"cached_tokens":0,"audio_tokens":0},"completion_tokens_details":{"reasoning_tokens":0,"audio_tokens":0,"accepted_prediction_tokens":0,"rejected_prediction_tokens":0}},"service_tier":"default","system_fingerprint":"fp_ad66631dec"}</t>
        </is>
      </c>
      <c r="X78" t="inlineStr">
        <is>
          <t>Louis Vuitton：经典黑色粒面牛皮腰带，搭配亮银色LV标志扣头，简约利落设计彰显男士优雅格调，奢华质感与实用功能兼备，适合商务与日常穿搭。</t>
        </is>
      </c>
    </row>
    <row r="79" ht="25.5" customHeight="1">
      <c r="A79">
        <v>1654975475</v>
      </c>
      <c r="B79">
        <v>7622287564</v>
      </c>
      <c r="C79" s="2" t="str">
        <f>=HYPERLINK("https://weidian.com/item.html?itemID=7622287564", "https://weidian.com/item.html?itemID=7622287564")</f>
        <v>https://weidian.com/item.html?itemID=7622287564</v>
      </c>
      <c r="D79"/>
      <c r="E79" s="2" t="str">
        <f>=HYPERLINK("https://si.geilicdn.com/pcitem2014204438-53300000019acdf6ca0f0a20e273_1440_1920.jpg?w=640&amp;h=640", "https://si.geilicdn.com/pcitem2014204438-53300000019acdf6ca0f0a20e273_1440_1920.jpg?w=640&amp;h=640")</f>
        <v>https://si.geilicdn.com/pcitem2014204438-53300000019acdf6ca0f0a20e273_1440_1920.jpg?w=640&amp;h=640</v>
      </c>
      <c r="F79" t="inlineStr">
        <is>
          <t>Accessories</t>
        </is>
      </c>
      <c r="G79" t="inlineStr">
        <is>
          <t>Celine</t>
        </is>
      </c>
      <c r="H79">
        <v>460</v>
      </c>
      <c r="I79">
        <v>66.67</v>
      </c>
      <c r="J79" t="inlineStr">
        <is>
          <t>{"id":"chatcmpl-DYj1yYoEwsHHlslJ9k6pODACjxpN8","object":"chat.completion","created":1777168622,"model":"gpt-5-chat-2025-10-03","choices":[{"index":0,"message":{"role":"assistant","content":"CELINE Black Leather Belt Silver Buckle Unisex Fashion","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79" t="inlineStr">
        <is>
          <t>CELINE Black Leather Belt Silver Buckle Unisex Fashion</t>
        </is>
      </c>
      <c r="L79" t="inlineStr">
        <is>
          <t>{"id":"chatcmpl-DYiLGbFRKWIPola1gnQxoouT6up7v","object":"chat.completion","created":1777165974,"model":"gpt-5-chat-2025-10-03","choices":[{"index":0,"message":{"role":"assistant","content":"CELINE Black Calfskin Belt with Silver Square Buckle, minimalist French design, premium leather, soft texture, refined hardware, unisex style for business or casual wear, modern elegance.","refusal":null,"annotations":[]},"logprobs":null,"finish_reason":"stop"}],"usage":{"prompt_tokens":924,"completion_tokens":39,"total_tokens":963,"prompt_tokens_details":{"cached_tokens":0,"audio_tokens":0},"completion_tokens_details":{"reasoning_tokens":0,"audio_tokens":0,"accepted_prediction_tokens":0,"rejected_prediction_tokens":0}},"service_tier":"default","system_fingerprint":"fp_ad66631dec"}</t>
        </is>
      </c>
      <c r="M79" t="inlineStr">
        <is>
          <t>{"alt-svc":"h3=\":443\"; ma=2592000","apim-request-id":"e135fecb-3011-4d73-a3cf-105aa68199a1","azureml-model-session":"d20260405225800-40f19e54","cache-control":"no-cache","connection":"close","content-length":"995","content-type":"application/json","date":"Sun, 26 Apr 2026 01:12:55 GMT","server":"nginx","skip-error-remapping":"true","strict-transport-security":"max-age=31536000; includeSubDomains; preload","via":"1.1 Caddy","x-content-type-options":"nosniff","x-ms-client-request-id":"Not-Set","x-ms-is-spilled-over":"false","x-ms-rai-invoked":"false","x-ms-region":"East US","x-new-api-version":"0.4.35","x-oneapi-request-id":"202604260112526726291838268d9d6PROZN5g2","x-ratelimit-abusepenalty-active":"False","x-ratelimit-limit-requests":"1000","x-ratelimit-limit-tokens":"1000000","x-ratelimit-remaining-requests":"999","x-ratelimit-remaining-tokens":"998314","x-ratelimit-renewalperiod-requests":"60","x-ratelimit-renewalperiod-tokens":"60","x-ratelimit-reset-requests":"60","x-ratelimit-reset-tokens":"101","x-request-id":"62645bfd-d569-4b41-84eb-6b755542f256"}</t>
        </is>
      </c>
      <c r="N79" t="inlineStr">
        <is>
          <t>CELINE Black Calfskin Belt with Silver Square Buckle, minimalist French design, premium leather, soft texture, refined hardware, unisex style for business or casual wear, modern elegance.</t>
        </is>
      </c>
      <c r="O79" t="inlineStr">
        <is>
          <t>{"id":"chatcmpl-DYiYWiYLPGywyu0fY6W7xhOcKykAj","object":"chat.completion","created":1777166796,"model":"gpt-5-chat-2025-10-03","choices":[{"index":0,"message":{"role":"assistant","content":"Celine,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79" t="inlineStr">
        <is>
          <t>Celine,Accessories,kakobuy,kakebuy2026,kekobuysheet,kakobuysheet2026,2026kakobuy,kakobuyspreadsheeet,kakobuylink,kakebuylist,Kakobuy MEGA Spreadsheet,kakobuysheetfind,kakobuysheetfind2026,2026kakobuysheetfind,kakobuysheet2026</t>
        </is>
      </c>
      <c r="Q79" t="inlineStr">
        <is>
          <t>Celine, Black, Leather, Minimalist, Unisex, Business Casual</t>
        </is>
      </c>
      <c r="R79" t="inlineStr">
        <is>
          <t>recvhju1CrNGTK</t>
        </is>
      </c>
      <c r="S79" t="inlineStr">
        <is>
          <t>celine-black-leather-belt-silver-buckle-recvhju1crngtk</t>
        </is>
      </c>
      <c r="T79"/>
      <c r="U79"/>
      <c r="V79"/>
      <c r="W79" t="inlineStr">
        <is>
          <t>{"id":"chatcmpl-DYhtrcC1LTsgAJ0Nhj7zASUW2aPC3","object":"chat.completion","created":1777164275,"model":"gpt-5-chat-2025-10-03","choices":[{"index":0,"message":{"role":"assistant","content":"Celine：黑色光面小牛皮腰带，配以银色方扣设计，展现极简法式美学。精选优质皮革材质，质感柔韧细腻，搭配精致五金，低调而不失格调。中性风格设计，适合男女日常商务与都市休闲穿搭，尽显现代优雅气质。","refusal":null,"annotations":[]},"logprobs":null,"finish_reason":"stop"}],"usage":{"prompt_tokens":1301,"completion_tokens":90,"total_tokens":1391,"prompt_tokens_details":{"cached_tokens":0,"audio_tokens":0},"completion_tokens_details":{"reasoning_tokens":0,"audio_tokens":0,"accepted_prediction_tokens":0,"rejected_prediction_tokens":0}},"service_tier":"default","system_fingerprint":"fp_ad66631dec"}</t>
        </is>
      </c>
      <c r="X79" t="inlineStr">
        <is>
          <t>Celine：黑色光面小牛皮腰带，配以银色方扣设计，展现极简法式美学。精选优质皮革材质，质感柔韧细腻，搭配精致五金，低调而不失格调。中性风格设计，适合男女日常商务与都市休闲穿搭，尽显现代优雅气质。</t>
        </is>
      </c>
    </row>
    <row r="80" ht="25.5" customHeight="1">
      <c r="A80">
        <v>1654975475</v>
      </c>
      <c r="B80">
        <v>7621975104</v>
      </c>
      <c r="C80" s="2" t="str">
        <f>=HYPERLINK("https://weidian.com/item.html?itemID=7621975104", "https://weidian.com/item.html?itemID=7621975104")</f>
        <v>https://weidian.com/item.html?itemID=7621975104</v>
      </c>
      <c r="D80"/>
      <c r="E80" s="2" t="str">
        <f>=HYPERLINK("https://si.geilicdn.com/pcitem2014204438-62f20000019acdf966b70a207569_1442_1922.jpg?w=640&amp;h=640", "https://si.geilicdn.com/pcitem2014204438-62f20000019acdf966b70a207569_1442_1922.jpg?w=640&amp;h=640")</f>
        <v>https://si.geilicdn.com/pcitem2014204438-62f20000019acdf966b70a207569_1442_1922.jpg?w=640&amp;h=640</v>
      </c>
      <c r="F80" t="inlineStr">
        <is>
          <t>Accessories</t>
        </is>
      </c>
      <c r="G80" t="inlineStr">
        <is>
          <t>Salvatore Ferragamo</t>
        </is>
      </c>
      <c r="H80">
        <v>460</v>
      </c>
      <c r="I80">
        <v>66.67</v>
      </c>
      <c r="J80" t="inlineStr">
        <is>
          <t>{"id":"chatcmpl-DYiyH1lh5jXihYlAzfOhP2Gk0PxkC","object":"chat.completion","created":1777168393,"model":"gpt-5-chat-2025-10-03","choices":[{"index":0,"message":{"role":"assistant","content":"Salvatore Ferragamo Gancini Men's Black Leather Belt","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80" t="inlineStr">
        <is>
          <t>Salvatore Ferragamo Gancini Men's Black Leather Belt</t>
        </is>
      </c>
      <c r="L80" t="inlineStr">
        <is>
          <t>{"id":"chatcmpl-DYiDlAkXx8Ze4LswljGvSGtAbLp9Y","object":"chat.completion","created":1777165509,"model":"gpt-5-chat-2025-10-03","choices":[{"index":0,"message":{"role":"assistant","content":"Salvatore Ferragamo Gancini Men's Black Leather Belt, crafted from premium Italian cowhide, double-sided embossed design with silver buckle, elegant luxury for business or casual wear.","refusal":null,"annotations":[]},"logprobs":null,"finish_reason":"stop"}],"usage":{"prompt_tokens":916,"completion_tokens":37,"total_tokens":953,"prompt_tokens_details":{"cached_tokens":0,"audio_tokens":0},"completion_tokens_details":{"reasoning_tokens":0,"audio_tokens":0,"accepted_prediction_tokens":0,"rejected_prediction_tokens":0}},"service_tier":"default","system_fingerprint":"fp_ad66631dec"}</t>
        </is>
      </c>
      <c r="M80" t="inlineStr">
        <is>
          <t>{"alt-svc":"h3=\":443\"; ma=2592000","apim-request-id":"f07837af-7d30-433e-af96-b7baef161619","azureml-model-session":"d20260405225800-40f19e54","cache-control":"no-cache","connection":"close","content-length":"992","content-type":"application/json","date":"Sun, 26 Apr 2026 01:05:11 GMT","server":"Caddy","skip-error-remapping":"true","strict-transport-security":"max-age=31536000; includeSubDomains; preload","x-content-type-options":"nosniff","x-ms-client-request-id":"Not-Set","x-ms-is-spilled-over":"false","x-ms-rai-invoked":"false","x-ms-region":"Sweden Central","x-new-api-version":"0.4.35","x-oneapi-request-id":"202604260105088103098148268d9d6vswcWbOM","x-ratelimit-abusepenalty-active":"False","x-ratelimit-key":"gpt-5-chat-global","x-ratelimit-limit-requests":"1000","x-ratelimit-limit-tokens":"1000000","x-ratelimit-remaining-requests":"999","x-ratelimit-remaining-tokens":"998322","x-ratelimit-renewalperiod-requests":"60","x-ratelimit-renewalperiod-tokens":"60","x-ratelimit-reset-requests":"60","x-ratelimit-reset-tokens":"100","x-request-id":"d95bdfd0-c1c2-4dbc-90f7-4cd93c563ff2"}</t>
        </is>
      </c>
      <c r="N80" t="inlineStr">
        <is>
          <t>Salvatore Ferragamo Gancini Men's Black Leather Belt, crafted from premium Italian cowhide, double-sided embossed design with silver buckle, elegant luxury for business or casual wear.</t>
        </is>
      </c>
      <c r="O80" t="inlineStr">
        <is>
          <t>{"id":"chatcmpl-DYiR9YKysLdbLQps09Of2bHkNAFyN","object":"chat.completion","created":1777166339,"model":"gpt-5-chat-2025-10-03","choices":[{"index":0,"message":{"role":"assistant","content":"Salvatore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80" t="inlineStr">
        <is>
          <t>Salvatore Ferragamo,Accessories,kakobuy,kakebuy2026,kekobuysheet,kakobuysheet2026,2026kakobuy,kakobuyspreadsheeet,kakobuylink,kakebuylist,Kakobuy MEGA Spreadsheet,kakobuysheetfind,kakobuysheetfind2026,2026kakobuysheetfind,kakobuysheet2026</t>
        </is>
      </c>
      <c r="Q80" t="inlineStr">
        <is>
          <t>Leather, Elegant, Business, Business Casual, Black, Men</t>
        </is>
      </c>
      <c r="R80" t="inlineStr">
        <is>
          <t>recvhju1CrxeBb</t>
        </is>
      </c>
      <c r="S80" t="inlineStr">
        <is>
          <t>ferragamo-gancini-men-black-leather-belt-recvhju1crxeb</t>
        </is>
      </c>
      <c r="T80"/>
      <c r="U80"/>
      <c r="V80"/>
      <c r="W80" t="inlineStr">
        <is>
          <t>{"id":"chatcmpl-DYhvOvgg2E0rwoTbIqKghAn6cvkx9","object":"chat.completion","created":1777164370,"model":"gpt-5-chat-2025-10-03","choices":[{"index":0,"message":{"role":"assistant","content":"Salvatore Ferragamo：经典Gancini系列黑色男士真皮腰带，意大利头层牛皮材质，双面压纹设计搭配银色金属扣环，低调奢华尽显优雅质感，适合商务与休闲造型，彰显Ferragamo精湛工艺与永恒魅力。","refusal":null,"annotations":[]},"logprobs":null,"finish_reason":"stop"}],"usage":{"prompt_tokens":1303,"completion_tokens":81,"total_tokens":1384,"prompt_tokens_details":{"cached_tokens":1280,"audio_tokens":0},"completion_tokens_details":{"reasoning_tokens":0,"audio_tokens":0,"accepted_prediction_tokens":0,"rejected_prediction_tokens":0}},"service_tier":"default","system_fingerprint":"fp_ad66631dec"}</t>
        </is>
      </c>
      <c r="X80" t="inlineStr">
        <is>
          <t>Salvatore Ferragamo：经典Gancini系列黑色男士真皮腰带，意大利头层牛皮材质，双面压纹设计搭配银色金属扣环，低调奢华尽显优雅质感，适合商务与休闲造型，彰显Ferragamo精湛工艺与永恒魅力。</t>
        </is>
      </c>
    </row>
    <row r="81" ht="25.5" customHeight="1">
      <c r="A81">
        <v>1654975475</v>
      </c>
      <c r="B81">
        <v>7622358998</v>
      </c>
      <c r="C81" s="2" t="str">
        <f>=HYPERLINK("https://weidian.com/item.html?itemID=7622358998", "https://weidian.com/item.html?itemID=7622358998")</f>
        <v>https://weidian.com/item.html?itemID=7622358998</v>
      </c>
      <c r="D81"/>
      <c r="E81" s="2" t="str">
        <f>=HYPERLINK("https://si.geilicdn.com/pcitem2014204438-62080000019acdf6532b0a207569_1442_1922.jpg?w=640&amp;h=640", "https://si.geilicdn.com/pcitem2014204438-62080000019acdf6532b0a207569_1442_1922.jpg?w=640&amp;h=640")</f>
        <v>https://si.geilicdn.com/pcitem2014204438-62080000019acdf6532b0a207569_1442_1922.jpg?w=640&amp;h=640</v>
      </c>
      <c r="F81" t="inlineStr">
        <is>
          <t>Accessories</t>
        </is>
      </c>
      <c r="G81" t="inlineStr">
        <is>
          <t>Salvatore Ferragamo</t>
        </is>
      </c>
      <c r="H81">
        <v>460</v>
      </c>
      <c r="I81">
        <v>66.67</v>
      </c>
      <c r="J81" t="inlineStr">
        <is>
          <t>{"id":"chatcmpl-DYizejCq6dfL1PBeOrSkmsP2lMZSU","object":"chat.completion","created":1777168478,"model":"gpt-5-chat-2025-10-03","choices":[{"index":0,"message":{"role":"assistant","content":"Salvatore Ferragamo Black Gancini Leather Belt Men","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81" t="inlineStr">
        <is>
          <t>Salvatore Ferragamo Black Gancini Leather Belt Men</t>
        </is>
      </c>
      <c r="L81" t="inlineStr">
        <is>
          <t>{"id":"chatcmpl-DYiE9xz2OoNiKYloi6MuQWatCSKwZ","object":"chat.completion","created":1777165533,"model":"gpt-5-chat-2025-10-03","choices":[{"index":0,"message":{"role":"assistant","content":"Salvatore Ferragamo black Gancini men’s leather belt, crafted from premium genuine leather with perforated texture and signature double-ring buckle, ideal for business or casual wear.","refusal":null,"annotations":[]},"logprobs":null,"finish_reason":"stop"}],"usage":{"prompt_tokens":900,"completion_tokens":37,"total_tokens":937,"prompt_tokens_details":{"cached_tokens":0,"audio_tokens":0},"completion_tokens_details":{"reasoning_tokens":0,"audio_tokens":0,"accepted_prediction_tokens":0,"rejected_prediction_tokens":0}},"service_tier":"default","system_fingerprint":"fp_ad66631dec"}</t>
        </is>
      </c>
      <c r="M81" t="inlineStr">
        <is>
          <t>{"alt-svc":"h3=\":443\"; ma=2592000","apim-request-id":"333d9bd6-240f-4083-8099-385f9b6b7618","azureml-model-session":"d20260405234249-f9874baf","cache-control":"no-cache","connection":"close","content-length":"993","content-type":"application/json","date":"Sun, 26 Apr 2026 01:05:34 GMT","server":"Caddy","skip-error-remapping":"true","strict-transport-security":"max-age=31536000; includeSubDomains; preload","x-content-type-options":"nosniff","x-ms-client-request-id":"Not-Set","x-ms-is-spilled-over":"false","x-ms-rai-invoked":"false","x-ms-region":"East US","x-new-api-version":"0.4.35","x-oneapi-request-id":"202604260105326493882278268d9d6pTBXBzV0","x-ratelimit-abusepenalty-active":"False","x-ratelimit-limit-requests":"1000","x-ratelimit-limit-tokens":"1000000","x-ratelimit-remaining-requests":"999","x-ratelimit-remaining-tokens":"998338","x-ratelimit-renewalperiod-requests":"60","x-ratelimit-renewalperiod-tokens":"60","x-ratelimit-reset-requests":"60","x-ratelimit-reset-tokens":"99","x-request-id":"53b2b2e3-f064-48f8-81e5-9b07804def24"}</t>
        </is>
      </c>
      <c r="N81" t="inlineStr">
        <is>
          <t>Salvatore Ferragamo black Gancini men’s leather belt, crafted from premium genuine leather with perforated texture and signature double-ring buckle, ideal for business or casual wear.</t>
        </is>
      </c>
      <c r="O81" t="inlineStr">
        <is>
          <t>{"id":"chatcmpl-DYiRDIJ4Q1FB6y8I0iFchsJha0A1W","object":"chat.completion","created":1777166343,"model":"gpt-5-chat-2025-10-03","choices":[{"index":0,"message":{"role":"assistant","content":"Salvatore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81" t="inlineStr">
        <is>
          <t>Salvatore Ferragamo, Accessories, kakobuy, kakebuy2026, kekobuysheet, kakobuysheet2026, 2026kakobuy, kakobuyspreadsheeet, kakobuylink, kakebuylist, Kakobuy MEGA Spreadsheet, kakobuysheetfind, kakobuysheetfind2026, 2026kakobuysheetfind, kakobuysheet2026</t>
        </is>
      </c>
      <c r="Q81" t="inlineStr">
        <is>
          <t>Leather, Genuine Leather, Business, Business Casual, Men</t>
        </is>
      </c>
      <c r="R81" t="inlineStr">
        <is>
          <t>recvhju1CrHgJD</t>
        </is>
      </c>
      <c r="S81" t="inlineStr">
        <is>
          <t>ferragamo-black-gancini-leather-belt-men-recvhju1crhgj</t>
        </is>
      </c>
      <c r="T81"/>
      <c r="U81"/>
      <c r="V81"/>
      <c r="W81" t="inlineStr">
        <is>
          <t>{"id":"chatcmpl-DYhq8QPBeSf2fUYAzVwOP6KftMguM","object":"chat.completion","created":1777164044,"model":"gpt-5-chat-2025-10-03","choices":[{"index":0,"message":{"role":"assistant","content":"Salvatore Ferragamo：黑色Gancini系列男士皮带，采用优质真皮材质，镂空纹理设计搭配标志性双环金属扣，彰显意式优雅与现代格调，适合商务与休闲场合佩戴。","refusal":null,"annotations":[]},"logprobs":null,"finish_reason":"stop"}],"usage":{"prompt_tokens":1303,"completion_tokens":65,"total_tokens":1368,"prompt_tokens_details":{"cached_tokens":0,"audio_tokens":0},"completion_tokens_details":{"reasoning_tokens":0,"audio_tokens":0,"accepted_prediction_tokens":0,"rejected_prediction_tokens":0}},"service_tier":"default","system_fingerprint":"fp_ad66631dec"}</t>
        </is>
      </c>
      <c r="X81" t="inlineStr">
        <is>
          <t>Salvatore Ferragamo：黑色Gancini系列男士皮带，采用优质真皮材质，镂空纹理设计搭配标志性双环金属扣，彰显意式优雅与现代格调，适合商务与休闲场合佩戴。</t>
        </is>
      </c>
    </row>
    <row r="82" ht="25.5" customHeight="1">
      <c r="A82">
        <v>1654975475</v>
      </c>
      <c r="B82">
        <v>7622476026</v>
      </c>
      <c r="C82" s="2" t="str">
        <f>=HYPERLINK("https://weidian.com/item.html?itemID=7622476026", "https://weidian.com/item.html?itemID=7622476026")</f>
        <v>https://weidian.com/item.html?itemID=7622476026</v>
      </c>
      <c r="D82"/>
      <c r="E82" s="2" t="str">
        <f>=HYPERLINK("https://si.geilicdn.com/pcitem2014204438-79200000019acec57e100a2304aa_1440_1920.jpg?w=640&amp;h=640", "https://si.geilicdn.com/pcitem2014204438-79200000019acec57e100a2304aa_1440_1920.jpg?w=640&amp;h=640")</f>
        <v>https://si.geilicdn.com/pcitem2014204438-79200000019acec57e100a2304aa_1440_1920.jpg?w=640&amp;h=640</v>
      </c>
      <c r="F82" t="inlineStr">
        <is>
          <t>Accessories</t>
        </is>
      </c>
      <c r="G82" t="inlineStr">
        <is>
          <t>Louis Vuitton</t>
        </is>
      </c>
      <c r="H82">
        <v>480</v>
      </c>
      <c r="I82">
        <v>69.5797101449275</v>
      </c>
      <c r="J82" t="inlineStr">
        <is>
          <t>{"id":"chatcmpl-DYiz5ictUcXrwyxC9FgvTO0lxPfJx","object":"chat.completion","created":1777168443,"model":"gpt-5-chat-2025-10-03","choices":[{"index":0,"message":{"role":"assistant","content":"Louis Vuitton Classic Black Men's Leather Belt","refusal":null,"annotations":[]},"logprobs":null,"finish_reason":"stop"}],"usage":{"prompt_tokens":875,"completion_tokens":8,"total_tokens":883,"prompt_tokens_details":{"cached_tokens":0,"audio_tokens":0},"completion_tokens_details":{"reasoning_tokens":0,"audio_tokens":0,"accepted_prediction_tokens":0,"rejected_prediction_tokens":0}},"service_tier":"default","system_fingerprint":"fp_ad66631dec"}</t>
        </is>
      </c>
      <c r="K82" t="inlineStr">
        <is>
          <t>Louis Vuitton Classic Black Men's Leather Belt</t>
        </is>
      </c>
      <c r="L82" t="inlineStr">
        <is>
          <t>{"id":"chatcmpl-DYiJnQRoDedzOVD9OwvlSgdkH86K7","object":"chat.completion","created":1777165883,"model":"gpt-5-chat-2025-10-03","choices":[{"index":0,"message":{"role":"assistant","content":"Louis Vuitton Classic Black Men's Leather Belt – crafted from smooth cowhide with a sleek silver square buckle. Timeless LV logo design suits both business and casual, expressing elegance and sophistication.","refusal":null,"annotations":[]},"logprobs":null,"finish_reason":"stop"}],"usage":{"prompt_tokens":905,"completion_tokens":37,"total_tokens":942,"prompt_tokens_details":{"cached_tokens":0,"audio_tokens":0},"completion_tokens_details":{"reasoning_tokens":0,"audio_tokens":0,"accepted_prediction_tokens":0,"rejected_prediction_tokens":0}},"service_tier":"default","system_fingerprint":"fp_ad66631dec"}</t>
        </is>
      </c>
      <c r="M82" t="inlineStr">
        <is>
          <t>{"alt-svc":"h3=\":443\"; ma=2592000","apim-request-id":"ba764e82-c229-4fa6-b2b1-ff338e604c56","azureml-model-session":"d20260405225800-40f19e54","cache-control":"no-cache","connection":"close","content-length":"1017","content-type":"application/json","date":"Sun, 26 Apr 2026 01:11:24 GMT","server":"nginx","skip-error-remapping":"true","strict-transport-security":"max-age=31536000; includeSubDomains; preload","via":"1.1 Caddy","x-content-type-options":"nosniff","x-ms-client-request-id":"Not-Set","x-ms-is-spilled-over":"false","x-ms-rai-invoked":"false","x-ms-region":"UK South","x-new-api-version":"0.4.35","x-oneapi-request-id":"202604260111225677469208268d9d6NQ9u0QSW","x-ratelimit-abusepenalty-active":"False","x-ratelimit-limit-requests":"1000","x-ratelimit-limit-tokens":"1000000","x-ratelimit-remaining-requests":"999","x-ratelimit-remaining-tokens":"998333","x-ratelimit-renewalperiod-requests":"60","x-ratelimit-renewalperiod-tokens":"60","x-ratelimit-reset-requests":"60","x-ratelimit-reset-tokens":"100","x-request-id":"78761223-b435-4667-8e94-1c45c3c8ee4b"}</t>
        </is>
      </c>
      <c r="N82" t="inlineStr">
        <is>
          <t>Louis Vuitton Classic Black Men's Leather Belt – crafted from smooth cowhide with a sleek silver square buckle. Timeless LV logo design suits both business and casual, expressing elegance and sophistication.</t>
        </is>
      </c>
      <c r="O82" t="inlineStr">
        <is>
          <t>{"id":"chatcmpl-DYiW7d3Havz8TJP7EpQwba4Eigmkr","object":"chat.completion","created":1777166647,"model":"gpt-5-chat-2025-10-03","choices":[{"index":0,"message":{"role":"assistant","content":"Louis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2" t="inlineStr">
        <is>
          <t>Louis Vuitton, Belt, kakobuy, kakebuy2026, kekobuysheet, kakobuysheet2026, 2026kakobuy, kakobuyspreadsheeet, kakobuylink, kakebuylist, Kakobuy MEGA Spreadsheet, kakobuysheetfind, kakobuysheetfind2026, 2026kakobuysheetfind, kakobuysheet2026</t>
        </is>
      </c>
      <c r="Q82" t="inlineStr">
        <is>
          <t>LV, Black, Leather, Cowhide, Business, Men</t>
        </is>
      </c>
      <c r="R82" t="inlineStr">
        <is>
          <t>recvhju1CrOEUz</t>
        </is>
      </c>
      <c r="S82" t="inlineStr">
        <is>
          <t>louis-vuitton-classic-black-men-leather-belt-recvhju1cr0euz</t>
        </is>
      </c>
      <c r="T82"/>
      <c r="U82"/>
      <c r="V82"/>
      <c r="W82" t="inlineStr">
        <is>
          <t>{"id":"chatcmpl-DYhuUKGGTEq0sP63D7DMuKK7fxJhk","object":"chat.completion","created":1777164314,"model":"gpt-5-chat-2025-10-03","choices":[{"index":0,"message":{"role":"assistant","content":"Louis Vuitton：经典黑色男士真皮腰带，采用光滑牛皮材质，配以银色金属方形扣设计，低调彰显奢华质感。简约风格融合品牌LV标识，适合商务与日常穿搭，展现优雅格调与成熟魅力。","refusal":null,"annotations":[]},"logprobs":null,"finish_reason":"stop"}],"usage":{"prompt_tokens":1297,"completion_tokens":73,"total_tokens":1370,"prompt_tokens_details":{"cached_tokens":0,"audio_tokens":0},"completion_tokens_details":{"reasoning_tokens":0,"audio_tokens":0,"accepted_prediction_tokens":0,"rejected_prediction_tokens":0}},"service_tier":"default","system_fingerprint":"fp_ad66631dec"}</t>
        </is>
      </c>
      <c r="X82" t="inlineStr">
        <is>
          <t>Louis Vuitton：经典黑色男士真皮腰带，采用光滑牛皮材质，配以银色金属方形扣设计，低调彰显奢华质感。简约风格融合品牌LV标识，适合商务与日常穿搭，展现优雅格调与成熟魅力。</t>
        </is>
      </c>
    </row>
    <row r="83" ht="25.5" customHeight="1">
      <c r="A83">
        <v>1654975475</v>
      </c>
      <c r="B83">
        <v>7622446222</v>
      </c>
      <c r="C83" s="2" t="str">
        <f>=HYPERLINK("https://weidian.com/item.html?itemID=7622446222", "https://weidian.com/item.html?itemID=7622446222")</f>
        <v>https://weidian.com/item.html?itemID=7622446222</v>
      </c>
      <c r="D83"/>
      <c r="E83" s="2" t="str">
        <f>=HYPERLINK("https://si.geilicdn.com/pcitem2014204438-775c0000019acebffd950a2304aa_1080_1080.jpg?w=640&amp;h=640", "https://si.geilicdn.com/pcitem2014204438-775c0000019acebffd950a2304aa_1080_1080.jpg?w=640&amp;h=640")</f>
        <v>https://si.geilicdn.com/pcitem2014204438-775c0000019acebffd950a2304aa_1080_1080.jpg?w=640&amp;h=640</v>
      </c>
      <c r="F83" t="inlineStr">
        <is>
          <t>Accessories</t>
        </is>
      </c>
      <c r="G83" t="inlineStr">
        <is>
          <t>Montblanc</t>
        </is>
      </c>
      <c r="H83">
        <v>460</v>
      </c>
      <c r="I83">
        <v>66.67</v>
      </c>
      <c r="J83" t="inlineStr">
        <is>
          <t>{"id":"chatcmpl-DYj0z91lBrsAwA8QOoQljvw3zP232","object":"chat.completion","created":1777168561,"model":"gpt-5-chat-2025-10-03","choices":[{"index":0,"message":{"role":"assistant","content":"Montblanc Black Leather Belt Silver M Buckle","refusal":null,"annotations":[]},"logprobs":null,"finish_reason":"stop"}],"usage":{"prompt_tokens":878,"completion_tokens":11,"total_tokens":889,"prompt_tokens_details":{"cached_tokens":0,"audio_tokens":0},"completion_tokens_details":{"reasoning_tokens":0,"audio_tokens":0,"accepted_prediction_tokens":0,"rejected_prediction_tokens":0}},"service_tier":"default","system_fingerprint":"fp_ad66631dec"}</t>
        </is>
      </c>
      <c r="K83" t="inlineStr">
        <is>
          <t>Montblanc Black Leather Belt Silver M Buckle</t>
        </is>
      </c>
      <c r="L83" t="inlineStr">
        <is>
          <t>{"id":"chatcmpl-DYiEEgox3t6UrMJyFYr9R4Jj5RtZs","object":"chat.completion","created":1777165538,"model":"gpt-5-chat-2025-10-03","choices":[{"index":0,"message":{"role":"assistant","content":"Montblanc black geometric embossed leather belt with silver “M” buckle. Sleek, unisex, perfect for business or casual wear, embodying modern gentleman style and refined craftsmanship.","refusal":null,"annotations":[]},"logprobs":null,"finish_reason":"stop"}],"usage":{"prompt_tokens":886,"completion_tokens":38,"total_tokens":924,"prompt_tokens_details":{"cached_tokens":0,"audio_tokens":0},"completion_tokens_details":{"reasoning_tokens":0,"audio_tokens":0,"accepted_prediction_tokens":0,"rejected_prediction_tokens":0}},"service_tier":"default","system_fingerprint":"fp_ad66631dec"}</t>
        </is>
      </c>
      <c r="M83" t="inlineStr">
        <is>
          <t>{"alt-svc":"h3=\":443\"; ma=2592000","apim-request-id":"0d30a791-720f-4a76-acda-da195caf0e58","azureml-model-session":"d20260402074105-51db401e","cache-control":"no-cache","connection":"close","content-length":"995","content-type":"application/json","date":"Sun, 26 Apr 2026 01:05:41 GMT","server":"nginx","skip-error-remapping":"true","strict-transport-security":"max-age=31536000; includeSubDomains; preload","via":"1.1 Caddy","x-content-type-options":"nosniff","x-ms-client-request-id":"Not-Set","x-ms-is-spilled-over":"false","x-ms-rai-invoked":"false","x-ms-region":"Australia East","x-new-api-version":"0.4.35","x-oneapi-request-id":"202604260105362806135088268d9d6RoEDOyUd","x-ratelimit-abusepenalty-active":"False","x-ratelimit-limit-requests":"1000","x-ratelimit-limit-tokens":"1000000","x-ratelimit-remaining-requests":"999","x-ratelimit-remaining-tokens":"998352","x-ratelimit-renewalperiod-requests":"60","x-ratelimit-renewalperiod-tokens":"60","x-ratelimit-reset-requests":"60","x-ratelimit-reset-tokens":"98","x-request-id":"ac1d94a4-be96-40ba-8c64-79d089f42e82"}</t>
        </is>
      </c>
      <c r="N83" t="inlineStr">
        <is>
          <t>Montblanc black geometric embossed leather belt with silver “M” buckle. Sleek, unisex, perfect for business or casual wear, embodying modern gentleman style and refined craftsmanship.</t>
        </is>
      </c>
      <c r="O83" t="inlineStr">
        <is>
          <t>{"id":"chatcmpl-DYiWaznRR67nbT2e1zjdmijHjV9kD","object":"chat.completion","created":1777166676,"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83" t="inlineStr">
        <is>
          <t>Montblanc,Accessories,kakobuy,kakebuy2026,kekobuysheet,kakobuysheet2026,2026kakobuy,kakobuyspreadsheeet,kakobuylink,kakebuylist,Kakobuy MEGA Spreadsheet,kakobuysheetfind,kakobuysheetfind2026,2026kakobuysheetfind,kakobuysheet2026</t>
        </is>
      </c>
      <c r="Q83" t="inlineStr">
        <is>
          <t>Black, Leather, Geometric, Unisex, Business</t>
        </is>
      </c>
      <c r="R83" t="inlineStr">
        <is>
          <t>recvhju1Cr4ixS</t>
        </is>
      </c>
      <c r="S83" t="inlineStr">
        <is>
          <t>montblanc-black-leather-belt-silver-m-buckle-recvhju1cr4ixs</t>
        </is>
      </c>
      <c r="T83"/>
      <c r="U83"/>
      <c r="V83"/>
      <c r="W83" t="inlineStr">
        <is>
          <t>{"id":"chatcmpl-DYhocil65DWyR8hsTUy1DJzAzCKDC","object":"chat.completion","created":1777163950,"model":"gpt-5-chat-2025-10-03","choices":[{"index":0,"message":{"role":"assistant","content":"Montblanc：黑色几何压纹真皮腰带，银色“M”字母扣设计，质感考究，展现现代绅士优雅格调，男女皆宜，商务休闲皆可搭配。","refusal":null,"annotations":[]},"logprobs":null,"finish_reason":"stop"}],"usage":{"prompt_tokens":1299,"completion_tokens":53,"total_tokens":1352,"prompt_tokens_details":{"cached_tokens":0,"audio_tokens":0},"completion_tokens_details":{"reasoning_tokens":0,"audio_tokens":0,"accepted_prediction_tokens":0,"rejected_prediction_tokens":0}},"service_tier":"default","system_fingerprint":"fp_ad66631dec"}</t>
        </is>
      </c>
      <c r="X83" t="inlineStr">
        <is>
          <t>Montblanc：黑色几何压纹真皮腰带，银色“M”字母扣设计，质感考究，展现现代绅士优雅格调，男女皆宜，商务休闲皆可搭配。</t>
        </is>
      </c>
    </row>
    <row r="84" ht="25.5" customHeight="1">
      <c r="A84">
        <v>1654975475</v>
      </c>
      <c r="B84">
        <v>7619444463</v>
      </c>
      <c r="C84" s="2" t="str">
        <f>=HYPERLINK("https://weidian.com/item.html?itemID=7619444463", "https://weidian.com/item.html?itemID=7619444463")</f>
        <v>https://weidian.com/item.html?itemID=7619444463</v>
      </c>
      <c r="D84"/>
      <c r="E84" s="2" t="str">
        <f>=HYPERLINK("https://si.geilicdn.com/pcitem2014204438-11000000019acec056400a231177_1440_1920.jpg?w=640&amp;h=640", "https://si.geilicdn.com/pcitem2014204438-11000000019acec056400a231177_1440_1920.jpg?w=640&amp;h=640")</f>
        <v>https://si.geilicdn.com/pcitem2014204438-11000000019acec056400a231177_1440_1920.jpg?w=640&amp;h=640</v>
      </c>
      <c r="F84" t="inlineStr">
        <is>
          <t>Accessories</t>
        </is>
      </c>
      <c r="G84" t="inlineStr">
        <is>
          <t>Gucci</t>
        </is>
      </c>
      <c r="H84">
        <v>460</v>
      </c>
      <c r="I84">
        <v>66.67</v>
      </c>
      <c r="J84" t="inlineStr">
        <is>
          <t>{"id":"chatcmpl-DYiwhROyXVnMIPams4Ciyxbk4vqgX","object":"chat.completion","created":1777168295,"model":"gpt-5-chat-2025-10-03","choices":[{"index":0,"message":{"role":"assistant","content":"Gucci GG Monogram Black Grey Leather Belt Unisex","refusal":null,"annotations":[]},"logprobs":null,"finish_reason":"stop"}],"usage":{"prompt_tokens":879,"completion_tokens":12,"total_tokens":891,"prompt_tokens_details":{"cached_tokens":0,"audio_tokens":0},"completion_tokens_details":{"reasoning_tokens":0,"audio_tokens":0,"accepted_prediction_tokens":0,"rejected_prediction_tokens":0}},"service_tier":"default","system_fingerprint":"fp_ad66631dec"}</t>
        </is>
      </c>
      <c r="K84" t="inlineStr">
        <is>
          <t>Gucci GG Monogram Black Grey Leather Belt Unisex</t>
        </is>
      </c>
      <c r="L84" t="inlineStr">
        <is>
          <t>{"id":"chatcmpl-DYiIMVCUkcGrO1mvsIWtkp0e0NMWe","object":"chat.completion","created":1777165794,"model":"gpt-5-chat-2025-10-03","choices":[{"index":0,"message":{"role":"assistant","content":"Gucci Classic GG Monogram Black-Grey Belt with Red Leather Trim, Silver Double G Buckle, Crafted from Premium Cowhide, Unisex Luxury Accessory for Business or Casual Style.","refusal":null,"annotations":[]},"logprobs":null,"finish_reason":"stop"}],"usage":{"prompt_tokens":899,"completion_tokens":39,"total_tokens":938,"prompt_tokens_details":{"cached_tokens":0,"audio_tokens":0},"completion_tokens_details":{"reasoning_tokens":0,"audio_tokens":0,"accepted_prediction_tokens":0,"rejected_prediction_tokens":0}},"service_tier":"default","system_fingerprint":"fp_ad66631dec"}</t>
        </is>
      </c>
      <c r="M84" t="inlineStr">
        <is>
          <t>{"alt-svc":"h3=\":443\"; ma=2592000","apim-request-id":"61eb7a55-3bd8-4143-8bdf-4cc925a21884","azureml-model-session":"d20260405212659-a9daa006","cache-control":"no-cache","connection":"close","content-length":"980","content-type":"application/json","date":"Sun, 26 Apr 2026 01:09:56 GMT","server":"nginx","skip-error-remapping":"true","strict-transport-security":"max-age=31536000; includeSubDomains; preload","via":"1.1 Caddy","x-content-type-options":"nosniff","x-ms-client-request-id":"Not-Set","x-ms-is-spilled-over":"false","x-ms-rai-invoked":"false","x-ms-region":"Sweden Central","x-new-api-version":"0.4.35","x-oneapi-request-id":"202604260109537832401118268d9d6VT3ko0Ek","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1ed8d637-f5e0-482b-9c10-5a5f95117a47"}</t>
        </is>
      </c>
      <c r="N84" t="inlineStr">
        <is>
          <t>Gucci Classic GG Monogram Black-Grey Belt with Red Leather Trim, Silver Double G Buckle, Crafted from Premium Cowhide, Unisex Luxury Accessory for Business or Casual Style.</t>
        </is>
      </c>
      <c r="O84" t="inlineStr">
        <is>
          <t>{"id":"chatcmpl-DYiZJe0VvxSKHGSLLH0eAS5mIUd0A","object":"chat.completion","created":1777166845,"model":"gpt-5-chat-2025-10-03","choices":[{"index":0,"message":{"role":"assistant","content":"Gucci,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4" t="inlineStr">
        <is>
          <t>Gucci, Belt, kakobuy, kakebuy2026, kekobuysheet, kakobuysheet2026, 2026kakobuy, kakobuyspreadsheeet, kakobuylink, kakebuylist, Kakobuy MEGA Spreadsheet, kakobuysheetfind, kakobuysheetfind2026, 2026kakobuysheetfind, kakobuysheet2026</t>
        </is>
      </c>
      <c r="Q84" t="inlineStr">
        <is>
          <t>Black, Grey, Red, Cowhide, Business</t>
        </is>
      </c>
      <c r="R84" t="inlineStr">
        <is>
          <t>recvhju1CrBO6y</t>
        </is>
      </c>
      <c r="S84" t="inlineStr">
        <is>
          <t>gucci-gg-monogram-black-grey-leather-belt-recvhju1crbo6y</t>
        </is>
      </c>
      <c r="T84"/>
      <c r="U84"/>
      <c r="V84"/>
      <c r="W84" t="inlineStr">
        <is>
          <t>{"id":"chatcmpl-DYhnn2kzCvzQJ3RRLquEDLHX58yxy","object":"chat.completion","created":1777163899,"model":"gpt-5-chat-2025-10-03","choices":[{"index":0,"message":{"role":"assistant","content":"Gucci：经典GG图纹黑灰配红色皮革腰带，采用优质头层牛皮，银色互扣双G金属扣设计，彰显现代奢华格调，男女皆宜，适合商务休闲穿搭，融合意式精工与时尚美学。","refusal":null,"annotations":[]},"logprobs":null,"finish_reason":"stop"}],"usage":{"prompt_tokens":1293,"completion_tokens":69,"total_tokens":1362,"prompt_tokens_details":{"cached_tokens":1280,"audio_tokens":0},"completion_tokens_details":{"reasoning_tokens":0,"audio_tokens":0,"accepted_prediction_tokens":0,"rejected_prediction_tokens":0}},"service_tier":"default","system_fingerprint":"fp_ad66631dec"}</t>
        </is>
      </c>
      <c r="X84" t="inlineStr">
        <is>
          <t>Gucci：经典GG图纹黑灰配红色皮革腰带，采用优质头层牛皮，银色互扣双G金属扣设计，彰显现代奢华格调，男女皆宜，适合商务休闲穿搭，融合意式精工与时尚美学。</t>
        </is>
      </c>
    </row>
    <row r="85" ht="25.5" customHeight="1">
      <c r="A85">
        <v>1654975475</v>
      </c>
      <c r="B85">
        <v>7619464281</v>
      </c>
      <c r="C85" s="2" t="str">
        <f>=HYPERLINK("https://weidian.com/item.html?itemID=7619464281", "https://weidian.com/item.html?itemID=7619464281")</f>
        <v>https://weidian.com/item.html?itemID=7619464281</v>
      </c>
      <c r="D85"/>
      <c r="E85" s="2" t="str">
        <f>=HYPERLINK("https://si.geilicdn.com/pcitem2014204438-21fc0000019acec4fba60a210256_1442_1922.jpg?w=640&amp;h=640", "https://si.geilicdn.com/pcitem2014204438-21fc0000019acec4fba60a210256_1442_1922.jpg?w=640&amp;h=640")</f>
        <v>https://si.geilicdn.com/pcitem2014204438-21fc0000019acec4fba60a210256_1442_1922.jpg?w=640&amp;h=640</v>
      </c>
      <c r="F85" t="inlineStr">
        <is>
          <t>Accessories</t>
        </is>
      </c>
      <c r="G85" t="inlineStr">
        <is>
          <t>Gucci</t>
        </is>
      </c>
      <c r="H85">
        <v>460</v>
      </c>
      <c r="I85">
        <v>66.67</v>
      </c>
      <c r="J85" t="inlineStr">
        <is>
          <t>{"id":"chatcmpl-DYj117pgZUhAURuaA9kpvHiwxwOGQ","object":"chat.completion","created":1777168563,"model":"gpt-5-chat-2025-10-03","choices":[{"index":0,"message":{"role":"assistant","content":"Gucci Black Leather Belt Gold Double G Buckle","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85" t="inlineStr">
        <is>
          <t>Gucci Black Leather Belt Gold Double G Buckle</t>
        </is>
      </c>
      <c r="L85" t="inlineStr">
        <is>
          <t>{"id":"chatcmpl-DYiHbcZUsCyvv49z0uzrnQQ7kj2xb","object":"chat.completion","created":1777165747,"model":"gpt-5-chat-2025-10-03","choices":[{"index":0,"message":{"role":"assistant","content":"Gucci Classic Black Embossed Leather Belt with Iconic Gold Double G Buckle, unisex luxury design blending Italian elegance, modern style, and timeless sophistication for every occasion.","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is>
      </c>
      <c r="M85" t="inlineStr">
        <is>
          <t>{"alt-svc":"h3=\":443\"; ma=2592000","apim-request-id":"8c9dea17-0cf4-4b5c-9e55-bc94faf06ef3","azureml-model-session":"d20260402074105-51db401e","cache-control":"no-cache","connection":"close","content-length":"993","content-type":"application/json","date":"Sun, 26 Apr 2026 01:09:08 GMT","server":"nginx","skip-error-remapping":"true","strict-transport-security":"max-age=31536000; includeSubDomains; preload","via":"1.1 Caddy","x-content-type-options":"nosniff","x-ms-client-request-id":"Not-Set","x-ms-is-spilled-over":"false","x-ms-rai-invoked":"false","x-ms-region":"East US","x-new-api-version":"0.4.35","x-oneapi-request-id":"20260426010906411421888268d9d6ckX9wJ77","x-ratelimit-abusepenalty-active":"False","x-ratelimit-limit-requests":"1000","x-ratelimit-limit-tokens":"1000000","x-ratelimit-remaining-requests":"999","x-ratelimit-remaining-tokens":"998350","x-ratelimit-renewalperiod-requests":"60","x-ratelimit-renewalperiod-tokens":"60","x-ratelimit-reset-requests":"60","x-ratelimit-reset-tokens":"99","x-request-id":"15233e94-155d-4d5e-8dd7-9716a4b11643"}</t>
        </is>
      </c>
      <c r="N85" t="inlineStr">
        <is>
          <t>Gucci Classic Black Embossed Leather Belt with Iconic Gold Double G Buckle, unisex luxury design blending Italian elegance, modern style, and timeless sophistication for every occasion.</t>
        </is>
      </c>
      <c r="O85" t="inlineStr">
        <is>
          <t>{"id":"chatcmpl-DYiS9Jr7ltBoiirL4kjwYXJi5Isbd","object":"chat.completion","created":1777166401,"model":"gpt-5-chat-2025-10-03","choices":[{"index":0,"message":{"role":"assistant","content":"Gucci,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85" t="inlineStr">
        <is>
          <t>Gucci, belt, kakobuy, kakebuy2026, kekobuysheet, kakobuysheet2026, 2026kakobuy, kakobuyspreadsheeet, kakobuylink, kakebuylist, Kakobuy MEGA Spreadsheet, kakobuysheetfind, kakobuysheetfind2026, 2026kakobuysheetfind, kakobuysheet2026</t>
        </is>
      </c>
      <c r="Q85" t="inlineStr">
        <is>
          <t>Black, Leather, Unisex, Elegant, Modern, Classic</t>
        </is>
      </c>
      <c r="R85" t="inlineStr">
        <is>
          <t>recvhju1CrO5CR</t>
        </is>
      </c>
      <c r="S85" t="inlineStr">
        <is>
          <t>gucci-black-leather-belt-gold-double-g-buckle-recvhju1cr05cro5cr</t>
        </is>
      </c>
      <c r="T85"/>
      <c r="U85"/>
      <c r="V85"/>
      <c r="W85" t="inlineStr">
        <is>
          <t>{"id":"chatcmpl-DYhpjmB4iBwPFixWWl3W9BUSIXucF","object":"chat.completion","created":1777164019,"model":"gpt-5-chat-2025-10-03","choices":[{"index":0,"message":{"role":"assistant","content":"Gucci：经典黑色皮质压纹腰带，饰以标志性金色双G金属扣，简约奢华设计融合意式优雅，男女皆宜，彰显摩登格调与永恒质感。","refusal":null,"annotations":[]},"logprobs":null,"finish_reason":"stop"}],"usage":{"prompt_tokens":1299,"completion_tokens":55,"total_tokens":1354,"prompt_tokens_details":{"cached_tokens":1280,"audio_tokens":0},"completion_tokens_details":{"reasoning_tokens":0,"audio_tokens":0,"accepted_prediction_tokens":0,"rejected_prediction_tokens":0}},"service_tier":"default","system_fingerprint":"fp_ad66631dec"}</t>
        </is>
      </c>
      <c r="X85" t="inlineStr">
        <is>
          <t>Gucci：经典黑色皮质压纹腰带，饰以标志性金色双G金属扣，简约奢华设计融合意式优雅，男女皆宜，彰显摩登格调与永恒质感。</t>
        </is>
      </c>
    </row>
    <row r="86" ht="25.5" customHeight="1">
      <c r="A86">
        <v>1654975475</v>
      </c>
      <c r="B86">
        <v>7619470285</v>
      </c>
      <c r="C86" s="2" t="str">
        <f>=HYPERLINK("https://weidian.com/item.html?itemID=7619470285", "https://weidian.com/item.html?itemID=7619470285")</f>
        <v>https://weidian.com/item.html?itemID=7619470285</v>
      </c>
      <c r="D86"/>
      <c r="E86" s="2" t="str">
        <f>=HYPERLINK("https://si.geilicdn.com/pcitem2014204438-22760000019acec667ac0a210256_1440_1920.jpg?w=640&amp;h=640", "https://si.geilicdn.com/pcitem2014204438-22760000019acec667ac0a210256_1440_1920.jpg?w=640&amp;h=640")</f>
        <v>https://si.geilicdn.com/pcitem2014204438-22760000019acec667ac0a210256_1440_1920.jpg?w=640&amp;h=640</v>
      </c>
      <c r="F86" t="inlineStr">
        <is>
          <t>Accessories</t>
        </is>
      </c>
      <c r="G86" t="inlineStr">
        <is>
          <t>Gucci</t>
        </is>
      </c>
      <c r="H86">
        <v>460</v>
      </c>
      <c r="I86">
        <v>66.67</v>
      </c>
      <c r="J86" t="inlineStr">
        <is>
          <t>{"id":"chatcmpl-DYixMqXO72zMsgyvwaJCevK4F5yl8","object":"chat.completion","created":1777168336,"model":"gpt-5-chat-2025-10-03","choices":[{"index":0,"message":{"role":"assistant","content":"Gucci Black Double G Leather Belt Gold Buckle Unisex","refusal":null,"annotations":[]},"logprobs":null,"finish_reason":"stop"}],"usage":{"prompt_tokens":877,"completion_tokens":13,"total_tokens":890,"prompt_tokens_details":{"cached_tokens":0,"audio_tokens":0},"completion_tokens_details":{"reasoning_tokens":0,"audio_tokens":0,"accepted_prediction_tokens":0,"rejected_prediction_tokens":0}},"service_tier":"default","system_fingerprint":"fp_ad66631dec"}</t>
        </is>
      </c>
      <c r="K86" t="inlineStr">
        <is>
          <t>Gucci Black Double G Leather Belt Gold Buckle Unisex</t>
        </is>
      </c>
      <c r="L86" t="inlineStr">
        <is>
          <t>{"id":"chatcmpl-DYiGRAwFn8bN9wFbeCCKa2TFsXgBh","object":"chat.completion","created":1777165675,"model":"gpt-5-chat-2025-10-03","choices":[{"index":0,"message":{"role":"assistant","content":"Gucci Black Embossed Double G Leather Belt, crafted from premium Italian calfskin, features a shiny gold buckle, unisex design blending vintage and modern style for timeless luxury fashion.","refusal":null,"annotations":[]},"logprobs":null,"finish_reason":"stop"}],"usage":{"prompt_tokens":890,"completion_tokens":38,"total_tokens":928,"prompt_tokens_details":{"cached_tokens":0,"audio_tokens":0},"completion_tokens_details":{"reasoning_tokens":0,"audio_tokens":0,"accepted_prediction_tokens":0,"rejected_prediction_tokens":0}},"service_tier":"default","system_fingerprint":"fp_ad66631dec"}</t>
        </is>
      </c>
      <c r="M86" t="inlineStr">
        <is>
          <t>{"alt-svc":"h3=\":443\"; ma=2592000","apim-request-id":"56aaccca-6e09-407d-b78a-cb6784610b12","azureml-model-session":"d20260405225800-40f19e54","cache-control":"no-cache","connection":"close","content-length":"997","content-type":"application/json","date":"Sun, 26 Apr 2026 01:07:56 GMT","server":"Caddy","skip-error-remapping":"true","strict-transport-security":"max-age=31536000; includeSubDomains; preload","x-content-type-options":"nosniff","x-ms-client-request-id":"Not-Set","x-ms-is-spilled-over":"false","x-ms-rai-invoked":"false","x-ms-region":"East US","x-new-api-version":"0.4.35","x-oneapi-request-id":"202604260107543589768298268d9d69zdM6ohp","x-ratelimit-abusepenalty-active":"False","x-ratelimit-limit-requests":"1000","x-ratelimit-limit-tokens":"1000000","x-ratelimit-remaining-requests":"999","x-ratelimit-remaining-tokens":"998348","x-ratelimit-renewalperiod-requests":"60","x-ratelimit-renewalperiod-tokens":"60","x-ratelimit-reset-requests":"60","x-ratelimit-reset-tokens":"99","x-request-id":"e9d37cac-7ab3-4e59-885d-7a482fb0f9c4"}</t>
        </is>
      </c>
      <c r="N86" t="inlineStr">
        <is>
          <t>Gucci Black Embossed Double G Leather Belt, crafted from premium Italian calfskin, features a shiny gold buckle, unisex design blending vintage and modern style for timeless luxury fashion.</t>
        </is>
      </c>
      <c r="O86" t="inlineStr">
        <is>
          <t>{"id":"chatcmpl-DYiUUvfRaWXEaZ4K7UfAnQwWS1Xzt","object":"chat.completion","created":1777166546,"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86" t="inlineStr">
        <is>
          <t>Gucci,Accessories,kakobuy,kakebuy2026,kekobuysheet,kakobuysheet2026,2026kakobuy,kakobuyspreadsheeet,kakobuylink,kakebuylist,Kakobuy MEGA Spreadsheet,kakobuysheetfind,kakobuysheetfind2026,2026kakobuysheetfind,kakobuysheet2026</t>
        </is>
      </c>
      <c r="Q86" t="inlineStr">
        <is>
          <t>Leather, Gold, Vintage, Modern, Unisex</t>
        </is>
      </c>
      <c r="R86" t="inlineStr">
        <is>
          <t>recvhju1CrLCL5</t>
        </is>
      </c>
      <c r="S86" t="inlineStr">
        <is>
          <t>gucci-black-double-g-leather-belt-gold-buckle-unisex-recvhju1crlcl5</t>
        </is>
      </c>
      <c r="T86"/>
      <c r="U86"/>
      <c r="V86"/>
      <c r="W86" t="inlineStr">
        <is>
          <t>{"id":"chatcmpl-DYhsbMQFiuq3kl2xgxoeeMIhMC3MP","object":"chat.completion","created":1777164197,"model":"gpt-5-chat-2025-10-03","choices":[{"index":0,"message":{"role":"assistant","content":"Gucci：黑色经典双G浮雕皮革腰带，甄选意大利牛皮打造，金属光泽扣头彰显奢华质感，男女皆宜，融合复古与现代设计，尽显高端时尚格调。","refusal":null,"annotations":[]},"logprobs":null,"finish_reason":"stop"}],"usage":{"prompt_tokens":1295,"completion_tokens":59,"total_tokens":1354,"prompt_tokens_details":{"cached_tokens":1280,"audio_tokens":0},"completion_tokens_details":{"reasoning_tokens":0,"audio_tokens":0,"accepted_prediction_tokens":0,"rejected_prediction_tokens":0}},"service_tier":"default","system_fingerprint":"fp_ad66631dec"}</t>
        </is>
      </c>
      <c r="X86" t="inlineStr">
        <is>
          <t>Gucci：黑色经典双G浮雕皮革腰带，甄选意大利牛皮打造，金属光泽扣头彰显奢华质感，男女皆宜，融合复古与现代设计，尽显高端时尚格调。</t>
        </is>
      </c>
    </row>
    <row r="87" ht="25.5" customHeight="1">
      <c r="A87">
        <v>1654975475</v>
      </c>
      <c r="B87">
        <v>7622379192</v>
      </c>
      <c r="C87" s="2" t="str">
        <f>=HYPERLINK("https://weidian.com/item.html?itemID=7622379192", "https://weidian.com/item.html?itemID=7622379192")</f>
        <v>https://weidian.com/item.html?itemID=7622379192</v>
      </c>
      <c r="D87"/>
      <c r="E87" s="2" t="str">
        <f>=HYPERLINK("https://si.geilicdn.com/pcitem2014204438-22eb0000019acec1d7ad0a23037f_1442_1922.jpg?w=640&amp;h=640", "https://si.geilicdn.com/pcitem2014204438-22eb0000019acec1d7ad0a23037f_1442_1922.jpg?w=640&amp;h=640")</f>
        <v>https://si.geilicdn.com/pcitem2014204438-22eb0000019acec1d7ad0a23037f_1442_1922.jpg?w=640&amp;h=640</v>
      </c>
      <c r="F87" t="inlineStr">
        <is>
          <t>Accessories</t>
        </is>
      </c>
      <c r="G87" t="inlineStr">
        <is>
          <t>Salvatore Ferragamo</t>
        </is>
      </c>
      <c r="H87">
        <v>460</v>
      </c>
      <c r="I87">
        <v>66.67</v>
      </c>
      <c r="J87" t="inlineStr">
        <is>
          <t>{"id":"chatcmpl-DYiyIWbAr8PIjuVzqhOPMsizIdDWL","object":"chat.completion","created":1777168394,"model":"gpt-5-chat-2025-10-03","choices":[{"index":0,"message":{"role":"assistant","content":"Salvatore Ferragamo Gancini Black Leather Belt","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87" t="inlineStr">
        <is>
          <t>Salvatore Ferragamo Gancini Black Leather Belt</t>
        </is>
      </c>
      <c r="L87" t="inlineStr">
        <is>
          <t>{"id":"chatcmpl-DYiJEYRSvLINPmYl3WmtkuXtWR3xX","object":"chat.completion","created":1777165848,"model":"gpt-5-chat-2025-10-03","choices":[{"index":0,"message":{"role":"assistant","content":"Salvatore Ferragamo black Gancini leather belt crafted from premium Italian leather, featuring silver-tone buckle and embossed logo design, perfect for business or casual wear with timeless luxury appeal.","refusal":null,"annotations":[]},"logprobs":null,"finish_reason":"stop"}],"usage":{"prompt_tokens":907,"completion_tokens":38,"total_tokens":945,"prompt_tokens_details":{"cached_tokens":0,"audio_tokens":0},"completion_tokens_details":{"reasoning_tokens":0,"audio_tokens":0,"accepted_prediction_tokens":0,"rejected_prediction_tokens":0}},"service_tier":"default","system_fingerprint":"fp_ad66631dec"}</t>
        </is>
      </c>
      <c r="M87" t="inlineStr">
        <is>
          <t>{"alt-svc":"h3=\":443\"; ma=2592000","apim-request-id":"2f36a513-b663-49c1-a823-8ce7b3709f55","azureml-model-session":"d20260402084046-4209e968","cache-control":"no-cache","connection":"close","content-length":"1012","content-type":"application/json","date":"Sun, 26 Apr 2026 01:10:49 GMT","server":"Caddy","skip-error-remapping":"true","strict-transport-security":"max-age=31536000; includeSubDomains; preload","x-content-type-options":"nosniff","x-ms-client-request-id":"Not-Set","x-ms-is-spilled-over":"false","x-ms-rai-invoked":"false","x-ms-region":"Switzerland North","x-new-api-version":"0.4.35","x-oneapi-request-id":"202604260110465193697238268d9d6UzpmAvqy","x-ratelimit-abusepenalty-active":"False","x-ratelimit-limit-requests":"1000","x-ratelimit-limit-tokens":"1000000","x-ratelimit-remaining-requests":"999","x-ratelimit-remaining-tokens":"997354","x-ratelimit-renewalperiod-requests":"60","x-ratelimit-renewalperiod-tokens":"60","x-ratelimit-reset-requests":"78","x-ratelimit-reset-tokens":"158","x-request-id":"8ff0c69c-5f02-45fe-87c9-9e1b2e0d9f19"}</t>
        </is>
      </c>
      <c r="N87" t="inlineStr">
        <is>
          <t>Salvatore Ferragamo black Gancini leather belt crafted from premium Italian leather, featuring silver-tone buckle and embossed logo design, perfect for business or casual wear with timeless luxury appeal.</t>
        </is>
      </c>
      <c r="O87" t="inlineStr">
        <is>
          <t>{"id":"chatcmpl-DYiVb8z77GwD0IElcJQrJ1Zalflej","object":"chat.completion","created":1777166615,"model":"gpt-5-chat-2025-10-03","choices":[{"index":0,"message":{"role":"assistant","content":"Salvatore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87" t="inlineStr">
        <is>
          <t>Salvatore Ferragamo,Accessories,kakobuy,kakebuy2026,kekobuysheet,kakobuysheet2026,2026kakobuy,kakobuyspreadsheeet,kakobuylink,kakebuylist,Kakobuy MEGA Spreadsheet,kakobuysheetfind,kakobuysheetfind2026,2026kakobuysheetfind,kakobuysheet2026</t>
        </is>
      </c>
      <c r="Q87" t="inlineStr">
        <is>
          <t>Leather, Black, Business, Genuine Leather, Silver</t>
        </is>
      </c>
      <c r="R87" t="inlineStr">
        <is>
          <t>recvhju1CrxyWK</t>
        </is>
      </c>
      <c r="S87" t="inlineStr">
        <is>
          <t>salvatore-ferragamo-gancini-black-leather-belt-recvhju1crxywk</t>
        </is>
      </c>
      <c r="T87"/>
      <c r="U87"/>
      <c r="V87"/>
      <c r="W87" t="inlineStr">
        <is>
          <t>{"id":"chatcmpl-DYhnn3tyNEvccIQRy8P0WPvLHS1dS","object":"chat.completion","created":1777163899,"model":"gpt-5-chat-2025-10-03","choices":[{"index":0,"message":{"role":"assistant","content":"Salvatore Ferragamo 黑色双Gancini皮革腰带，甄选意大利真皮材质，搭配银色金属扣头与立体品牌浮纹设计，展现现代优雅格调，男士商务休闲皆宜，彰显低调奢华气质。","refusal":null,"annotations":[]},"logprobs":null,"finish_reason":"stop"}],"usage":{"prompt_tokens":1309,"completion_tokens":69,"total_tokens":1378,"prompt_tokens_details":{"cached_tokens":1280,"audio_tokens":0},"completion_tokens_details":{"reasoning_tokens":0,"audio_tokens":0,"accepted_prediction_tokens":0,"rejected_prediction_tokens":0}},"service_tier":"default","system_fingerprint":"fp_ad66631dec"}</t>
        </is>
      </c>
      <c r="X87" t="inlineStr">
        <is>
          <t>Salvatore Ferragamo 黑色双Gancini皮革腰带，甄选意大利真皮材质，搭配银色金属扣头与立体品牌浮纹设计，展现现代优雅格调，男士商务休闲皆宜，彰显低调奢华气质。</t>
        </is>
      </c>
    </row>
    <row r="88" ht="25.5" customHeight="1">
      <c r="A88">
        <v>1654975475</v>
      </c>
      <c r="B88">
        <v>7619409877</v>
      </c>
      <c r="C88" s="2" t="str">
        <f>=HYPERLINK("https://weidian.com/item.html?itemID=7619409877", "https://weidian.com/item.html?itemID=7619409877")</f>
        <v>https://weidian.com/item.html?itemID=7619409877</v>
      </c>
      <c r="D88"/>
      <c r="E88" s="2" t="str">
        <f>=HYPERLINK("https://si.geilicdn.com/pcitem2014204438-51ff0000019acdf5ce040a231177_1080_1080.jpg?w=640&amp;h=640", "https://si.geilicdn.com/pcitem2014204438-51ff0000019acdf5ce040a231177_1080_1080.jpg?w=640&amp;h=640")</f>
        <v>https://si.geilicdn.com/pcitem2014204438-51ff0000019acdf5ce040a231177_1080_1080.jpg?w=640&amp;h=640</v>
      </c>
      <c r="F88" t="inlineStr">
        <is>
          <t>Accessories</t>
        </is>
      </c>
      <c r="G88" t="inlineStr">
        <is>
          <t>Louis Vuitton</t>
        </is>
      </c>
      <c r="H88">
        <v>460</v>
      </c>
      <c r="I88">
        <v>66.67</v>
      </c>
      <c r="J88" t="inlineStr">
        <is>
          <t>{"id":"chatcmpl-DYixnrx33IaTq8esPyY5vk698dHYK","object":"chat.completion","created":1777168363,"model":"gpt-5-chat-2025-10-03","choices":[{"index":0,"message":{"role":"assistant","content":"Louis Vuitton Eclipse Polka Dot LV Buckle Belt","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88" t="inlineStr">
        <is>
          <t>Louis Vuitton Eclipse Polka Dot LV Buckle Belt</t>
        </is>
      </c>
      <c r="L88" t="inlineStr">
        <is>
          <t>{"id":"chatcmpl-DYiKa0f4qOiUBoe08MaEk7OcBvWDt","object":"chat.completion","created":1777165932,"model":"gpt-5-chat-2025-10-03","choices":[{"index":0,"message":{"role":"assistant","content":"Louis Vuitton Monogram Eclipse gray-black leather belt with polka dot pattern, iconic LV buckle design, sleek and unisex style, showcasing modern luxury and timeless sophistication.","refusal":null,"annotations":[]},"logprobs":null,"finish_reason":"stop"}],"usage":{"prompt_tokens":881,"completion_tokens":34,"total_tokens":915,"prompt_tokens_details":{"cached_tokens":0,"audio_tokens":0},"completion_tokens_details":{"reasoning_tokens":0,"audio_tokens":0,"accepted_prediction_tokens":0,"rejected_prediction_tokens":0}},"service_tier":"default","system_fingerprint":"fp_ad66631dec"}</t>
        </is>
      </c>
      <c r="M88" t="inlineStr">
        <is>
          <t>{"alt-svc":"h3=\":443\"; ma=2592000","apim-request-id":"30767a9d-9480-4dc1-893c-dbbbbf029ef3","azureml-model-session":"d20260402084046-4209e968","cache-control":"no-cache","connection":"close","content-length":"989","content-type":"application/json","date":"Sun, 26 Apr 2026 01:12:14 GMT","server":"nginx","skip-error-remapping":"true","strict-transport-security":"max-age=31536000; includeSubDomains; preload","via":"1.1 Caddy","x-content-type-options":"nosniff","x-ms-client-request-id":"Not-Set","x-ms-is-spilled-over":"false","x-ms-rai-invoked":"false","x-ms-region":"Australia East","x-new-api-version":"0.4.35","x-oneapi-request-id":"202604260112116353880018268d9d67Dw0Slw3","x-ratelimit-abusepenalty-active":"False","x-ratelimit-limit-requests":"1000","x-ratelimit-limit-tokens":"1000000","x-ratelimit-remaining-requests":"999","x-ratelimit-remaining-tokens":"998357","x-ratelimit-renewalperiod-requests":"60","x-ratelimit-renewalperiod-tokens":"60","x-ratelimit-reset-requests":"60","x-ratelimit-reset-tokens":"98","x-request-id":"b93ee769-3629-4f83-8d68-c4306e1690e2"}</t>
        </is>
      </c>
      <c r="N88" t="inlineStr">
        <is>
          <t>Louis Vuitton Monogram Eclipse gray-black leather belt with polka dot pattern, iconic LV buckle design, sleek and unisex style, showcasing modern luxury and timeless sophistication.</t>
        </is>
      </c>
      <c r="O88" t="inlineStr">
        <is>
          <t>{"id":"chatcmpl-DYiSGG2LhFLfYTInrlg1zIpHRNmxg","object":"chat.completion","created":1777166408,"model":"gpt-5-chat-2025-10-03","choices":[{"index":0,"message":{"role":"assistant","content":"Louis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88" t="inlineStr">
        <is>
          <t>Louis Vuitton,Accessories,kakobuy,kakebuy2026,kekobuysheet,kakobuysheet2026,2026kakobuy,kakobuyspreadsheeet,kakobuylink,kakebuylist,Kakobuy MEGA Spreadsheet,kakobuysheetfind,kakobuysheetfind2026,2026kakobuysheetfind,kakobuysheet2026</t>
        </is>
      </c>
      <c r="Q88" t="inlineStr">
        <is>
          <t>LV, Leather, Unisex, Modern, Black, Gray</t>
        </is>
      </c>
      <c r="R88" t="inlineStr">
        <is>
          <t>recvhju1CryjA0</t>
        </is>
      </c>
      <c r="S88" t="inlineStr">
        <is>
          <t>louis-vuitton-eclipse-polka-dot-lv-buckle-belt-recvhju1cryja0</t>
        </is>
      </c>
      <c r="T88"/>
      <c r="U88"/>
      <c r="V88"/>
      <c r="W88" t="inlineStr">
        <is>
          <t>{"id":"chatcmpl-DYhriJwLIMPEoam9KOHGMzEqWgnsb","object":"chat.completion","created":1777164142,"model":"gpt-5-chat-2025-10-03","choices":[{"index":0,"message":{"role":"assistant","content":"Louis Vuitton：Monogram Eclipse灰黑拚圆点图腾皮革腰带，标志性LV金属扣设计，质感硬朗优雅，男女皆宜，展现现代奢华格调。","refusal":null,"annotations":[]},"logprobs":null,"finish_reason":"stop"}],"usage":{"prompt_tokens":1297,"completion_tokens":49,"total_tokens":1346,"prompt_tokens_details":{"cached_tokens":1280,"audio_tokens":0},"completion_tokens_details":{"reasoning_tokens":0,"audio_tokens":0,"accepted_prediction_tokens":0,"rejected_prediction_tokens":0}},"service_tier":"default","system_fingerprint":"fp_ad66631dec"}</t>
        </is>
      </c>
      <c r="X88" t="inlineStr">
        <is>
          <t>Louis Vuitton：Monogram Eclipse灰黑拚圆点图腾皮革腰带，标志性LV金属扣设计，质感硬朗优雅，男女皆宜，展现现代奢华格调。</t>
        </is>
      </c>
    </row>
    <row r="89" ht="25.5" customHeight="1">
      <c r="A89">
        <v>1654975475</v>
      </c>
      <c r="B89">
        <v>7619401209</v>
      </c>
      <c r="C89" s="2" t="str">
        <f>=HYPERLINK("https://weidian.com/item.html?itemID=7619401209", "https://weidian.com/item.html?itemID=7619401209")</f>
        <v>https://weidian.com/item.html?itemID=7619401209</v>
      </c>
      <c r="D89"/>
      <c r="E89" s="2" t="str">
        <f>=HYPERLINK("https://si.geilicdn.com/pcitem2014204438-47e30000019acec5e6820a2103bd_1440_1920.jpg?w=640&amp;h=640", "https://si.geilicdn.com/pcitem2014204438-47e30000019acec5e6820a2103bd_1440_1920.jpg?w=640&amp;h=640")</f>
        <v>https://si.geilicdn.com/pcitem2014204438-47e30000019acec5e6820a2103bd_1440_1920.jpg?w=640&amp;h=640</v>
      </c>
      <c r="F89" t="inlineStr">
        <is>
          <t>Accessories</t>
        </is>
      </c>
      <c r="G89" t="inlineStr">
        <is>
          <t>Louis Vuitton</t>
        </is>
      </c>
      <c r="H89">
        <v>480</v>
      </c>
      <c r="I89">
        <v>69.5797101449275</v>
      </c>
      <c r="J89" t="inlineStr">
        <is>
          <t>{"id":"chatcmpl-DYizaugWjU4oVPylEywMLDXwvVeK0","object":"chat.completion","created":1777168474,"model":"gpt-5-chat-2025-10-03","choices":[{"index":0,"message":{"role":"assistant","content":"Louis Vuitton Men Black Leather Belt Silver Buckle LV Logo","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89" t="inlineStr">
        <is>
          <t>Louis Vuitton Men Black Leather Belt Silver Buckle LV Logo</t>
        </is>
      </c>
      <c r="L89" t="inlineStr">
        <is>
          <t>{"id":"chatcmpl-DYiKG1Nm6A3T2lD3tAZRKjfVlZBVz","object":"chat.completion","created":1777165912,"model":"gpt-5-chat-2025-10-03","choices":[{"index":0,"message":{"role":"assistant","content":"Louis Vuitton men's black belt in premium grained leather with silver buckle and LV logo. A refined, minimalist design perfect for business or casual wear, radiating timeless elegance and luxury.","refusal":null,"annotations":[]},"logprobs":null,"finish_reason":"stop"}],"usage":{"prompt_tokens":913,"completion_tokens":37,"total_tokens":950,"prompt_tokens_details":{"cached_tokens":0,"audio_tokens":0},"completion_tokens_details":{"reasoning_tokens":0,"audio_tokens":0,"accepted_prediction_tokens":0,"rejected_prediction_tokens":0}},"service_tier":"default","system_fingerprint":"fp_ad66631dec"}</t>
        </is>
      </c>
      <c r="M89" t="inlineStr">
        <is>
          <t>{"alt-svc":"h3=\":443\"; ma=2592000","apim-request-id":"ee5e6457-8b86-4580-a24c-e3a8cb8105a8","azureml-model-session":"d20260402074105-51db401e","cache-control":"no-cache","connection":"close","content-length":"1003","content-type":"application/json","date":"Sun, 26 Apr 2026 01:11:54 GMT","server":"nginx","skip-error-remapping":"true","strict-transport-security":"max-age=31536000; includeSubDomains; preload","via":"1.1 Caddy","x-content-type-options":"nosniff","x-ms-client-request-id":"Not-Set","x-ms-is-spilled-over":"false","x-ms-rai-invoked":"false","x-ms-region":"Australia East","x-new-api-version":"0.4.35","x-oneapi-request-id":"202604260111508780953338268d9d6Lcq3uKYb","x-ratelimit-abusepenalty-active":"False","x-ratelimit-limit-requests":"1000","x-ratelimit-limit-tokens":"1000000","x-ratelimit-remaining-requests":"999","x-ratelimit-remaining-tokens":"998325","x-ratelimit-renewalperiod-requests":"60","x-ratelimit-renewalperiod-tokens":"60","x-ratelimit-reset-requests":"60","x-ratelimit-reset-tokens":"100","x-request-id":"cba9cf80-1381-42b4-ad4c-0dc06b3fe2bd"}</t>
        </is>
      </c>
      <c r="N89" t="inlineStr">
        <is>
          <t>Louis Vuitton men's black belt in premium grained leather with silver buckle and LV logo. A refined, minimalist design perfect for business or casual wear, radiating timeless elegance and luxury.</t>
        </is>
      </c>
      <c r="O89" t="inlineStr">
        <is>
          <t>{"id":"chatcmpl-DYiUNVydo2m3cFLIn7wDmrFxTSEnq","object":"chat.completion","created":1777166539,"model":"gpt-5-chat-2025-10-03","choices":[{"index":0,"message":{"role":"assistant","content":"Louis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89" t="inlineStr">
        <is>
          <t>Louis Vuitton,Accessories,kakobuy,kakebuy2026,kekobuysheet,kakobuysheet2026,2026kakobuy,kakobuyspreadsheeet,kakobuylink,kakebuylist,Kakobuy MEGA Spreadsheet,kakobuysheetfind,kakobuysheetfind2026,2026kakobuysheetfind,kakobuysheet2026</t>
        </is>
      </c>
      <c r="Q89" t="inlineStr">
        <is>
          <t>LV, Leather, Black, Silver, Minimalist, Men</t>
        </is>
      </c>
      <c r="R89" t="inlineStr">
        <is>
          <t>recvhju1CrMF1p</t>
        </is>
      </c>
      <c r="S89" t="inlineStr">
        <is>
          <t>louis-vuitton-men-black-leather-belt-silver-buckle-lv-logo-recvhju1crmf1p</t>
        </is>
      </c>
      <c r="T89"/>
      <c r="U89"/>
      <c r="V89"/>
      <c r="W89" t="inlineStr">
        <is>
          <t>{"id":"chatcmpl-DYhuhEMaDD27IX8OnktVA3ilO3LEu","object":"chat.completion","created":1777164327,"model":"gpt-5-chat-2025-10-03","choices":[{"index":0,"message":{"role":"assistant","content":"Louis Vuitton：黑色经典系列男士皮带，甄选粒面牛皮材质，配以银色金属方扣与标志性LV字母徽标，质感精致考究。简约设计融合奢华格调，适合商务与休闲场合，彰显低调高雅的时尚品味。","refusal":null,"annotations":[]},"logprobs":null,"finish_reason":"stop"}],"usage":{"prompt_tokens":1301,"completion_tokens":79,"total_tokens":1380,"prompt_tokens_details":{"cached_tokens":1280,"audio_tokens":0},"completion_tokens_details":{"reasoning_tokens":0,"audio_tokens":0,"accepted_prediction_tokens":0,"rejected_prediction_tokens":0}},"service_tier":"default","system_fingerprint":"fp_ad66631dec"}</t>
        </is>
      </c>
      <c r="X89" t="inlineStr">
        <is>
          <t>Louis Vuitton：黑色经典系列男士皮带，甄选粒面牛皮材质，配以银色金属方扣与标志性LV字母徽标，质感精致考究。简约设计融合奢华格调，适合商务与休闲场合，彰显低调高雅的时尚品味。</t>
        </is>
      </c>
    </row>
    <row r="90" ht="25.5" customHeight="1">
      <c r="A90">
        <v>1654975475</v>
      </c>
      <c r="B90">
        <v>7622422480</v>
      </c>
      <c r="C90" s="2" t="str">
        <f>=HYPERLINK("https://weidian.com/item.html?itemID=7622422480", "https://weidian.com/item.html?itemID=7622422480")</f>
        <v>https://weidian.com/item.html?itemID=7622422480</v>
      </c>
      <c r="D90"/>
      <c r="E90" s="2" t="str">
        <f>=HYPERLINK("https://si.geilicdn.com/pcitem2014204438-29b20000019acec35f790a23111a_1080_1080.jpg?w=640&amp;h=640", "https://si.geilicdn.com/pcitem2014204438-29b20000019acec35f790a23111a_1080_1080.jpg?w=640&amp;h=640")</f>
        <v>https://si.geilicdn.com/pcitem2014204438-29b20000019acec35f790a23111a_1080_1080.jpg?w=640&amp;h=640</v>
      </c>
      <c r="F90" t="inlineStr">
        <is>
          <t>Accessories</t>
        </is>
      </c>
      <c r="G90" t="inlineStr">
        <is>
          <t>Hermes</t>
        </is>
      </c>
      <c r="H90">
        <v>460</v>
      </c>
      <c r="I90">
        <v>66.67</v>
      </c>
      <c r="J90" t="inlineStr">
        <is>
          <t>{"id":"chatcmpl-DYj0wq24udildD2yJ0dTDlgK8hd0H","object":"chat.completion","created":1777168558,"model":"gpt-5-chat-2025-10-03","choices":[{"index":0,"message":{"role":"assistant","content":"Hermes H Buckle Black Leather Belt Unisex","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90" t="inlineStr">
        <is>
          <t>Hermes H Buckle Black Leather Belt Unisex</t>
        </is>
      </c>
      <c r="L90" t="inlineStr">
        <is>
          <t>{"id":"chatcmpl-DYiFdYq857sVIkNzaic5qdDiU4C2o","object":"chat.completion","created":1777165625,"model":"gpt-5-chat-2025-10-03","choices":[{"index":0,"message":{"role":"assistant","content":"Hermes Classic Black H Buckle Belt in premium grained leather with silver-tone buckle. Unisex design for both business and casual looks, reflecting timeless French elegance and modern style.","refusal":null,"annotations":[]},"logprobs":null,"finish_reason":"stop"}],"usage":{"prompt_tokens":895,"completion_tokens":37,"total_tokens":932,"prompt_tokens_details":{"cached_tokens":0,"audio_tokens":0},"completion_tokens_details":{"reasoning_tokens":0,"audio_tokens":0,"accepted_prediction_tokens":0,"rejected_prediction_tokens":0}},"service_tier":"default","system_fingerprint":"fp_ad66631dec"}</t>
        </is>
      </c>
      <c r="M90" t="inlineStr">
        <is>
          <t>{"alt-svc":"h3=\":443\"; ma=2592000","apim-request-id":"5934d1e4-2714-4735-b6a6-dc0762c34011","azureml-model-session":"d20260402084046-4209e968","cache-control":"no-cache","connection":"close","content-length":"998","content-type":"application/json","date":"Sun, 26 Apr 2026 01:07:08 GMT","server":"nginx","skip-error-remapping":"true","strict-transport-security":"max-age=31536000; includeSubDomains; preload","via":"1.1 Caddy","x-content-type-options":"nosniff","x-ms-client-request-id":"Not-Set","x-ms-is-spilled-over":"false","x-ms-rai-invoked":"false","x-ms-region":"Korea Central","x-new-api-version":"0.4.35","x-oneapi-request-id":"202604260107041526964548268d9d68KgUCyRd","x-ratelimit-abusepenalty-active":"False","x-ratelimit-limit-requests":"1000","x-ratelimit-limit-tokens":"1000000","x-ratelimit-remaining-requests":"999","x-ratelimit-remaining-tokens":"998343","x-ratelimit-renewalperiod-requests":"60","x-ratelimit-renewalperiod-tokens":"60","x-ratelimit-reset-requests":"60","x-ratelimit-reset-tokens":"99","x-request-id":"2fe6226c-d0bf-49e7-9b5b-8523fdea0972"}</t>
        </is>
      </c>
      <c r="N90" t="inlineStr">
        <is>
          <t>Hermes Classic Black H Buckle Belt in premium grained leather with silver-tone buckle. Unisex design for both business and casual looks, reflecting timeless French elegance and modern style.</t>
        </is>
      </c>
      <c r="O90" t="inlineStr">
        <is>
          <t>{"id":"chatcmpl-DYiXmgRIqcd0GCGyot1QvOMBNxNsn","object":"chat.completion","created":1777166750,"model":"gpt-5-chat-2025-10-03","choices":[{"index":0,"message":{"role":"assistant","content":"Hermes,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0" t="inlineStr">
        <is>
          <t>Hermes, belt, kakobuy, kakebuy2026, kekobuysheet, kakobuysheet2026, 2026kakobuy, kakobuyspreadsheeet, kakobuylink, kakebuylist, Kakobuy MEGA Spreadsheet, kakobuysheetfind, kakobuysheetfind2026, 2026kakobuysheetfind, kakobuysheet2026</t>
        </is>
      </c>
      <c r="Q90"/>
      <c r="R90" t="inlineStr">
        <is>
          <t>recvhju1CrlZFP</t>
        </is>
      </c>
      <c r="S90" t="inlineStr">
        <is>
          <t>hermes-h-buckle-black-leather-belt-recvhju1crlzfp</t>
        </is>
      </c>
      <c r="T90"/>
      <c r="U90"/>
      <c r="V90"/>
      <c r="W90" t="inlineStr">
        <is>
          <t>{"id":"chatcmpl-DYhuyexiBzw2os7KO4Ppljhm0rNhN","object":"chat.completion","created":1777164344,"model":"gpt-5-chat-2025-10-03","choices":[{"index":0,"message":{"role":"assistant","content":"Hermes：经典黑色H字扣皮带，优质粒面牛皮打造，搭配银色金属扣头，简约大气。男女通用设计，彰显法式优雅格调与现代质感，适合商务与休闲场合。","refusal":null,"annotations":[]},"logprobs":null,"finish_reason":"stop"}],"usage":{"prompt_tokens":1299,"completion_tokens":62,"total_tokens":1361,"prompt_tokens_details":{"cached_tokens":1280,"audio_tokens":0},"completion_tokens_details":{"reasoning_tokens":0,"audio_tokens":0,"accepted_prediction_tokens":0,"rejected_prediction_tokens":0}},"service_tier":"default","system_fingerprint":"fp_ad66631dec"}</t>
        </is>
      </c>
      <c r="X90" t="inlineStr">
        <is>
          <t>Hermes：经典黑色H字扣皮带，优质粒面牛皮打造，搭配银色金属扣头，简约大气。男女通用设计，彰显法式优雅格调与现代质感，适合商务与休闲场合。</t>
        </is>
      </c>
    </row>
    <row r="91" ht="25.5" customHeight="1">
      <c r="A91">
        <v>1654975475</v>
      </c>
      <c r="B91">
        <v>7622371500</v>
      </c>
      <c r="C91" s="2" t="str">
        <f>=HYPERLINK("https://weidian.com/item.html?itemID=7622371500", "https://weidian.com/item.html?itemID=7622371500")</f>
        <v>https://weidian.com/item.html?itemID=7622371500</v>
      </c>
      <c r="D91"/>
      <c r="E91" s="2" t="str">
        <f>=HYPERLINK("https://si.geilicdn.com/pcitem2014204438-69950000019acec4721c0a231316_1440_1920.jpg?w=640&amp;h=640", "https://si.geilicdn.com/pcitem2014204438-69950000019acec4721c0a231316_1440_1920.jpg?w=640&amp;h=640")</f>
        <v>https://si.geilicdn.com/pcitem2014204438-69950000019acec4721c0a231316_1440_1920.jpg?w=640&amp;h=640</v>
      </c>
      <c r="F91" t="inlineStr">
        <is>
          <t>Accessories</t>
        </is>
      </c>
      <c r="G91" t="inlineStr">
        <is>
          <t>Gucci</t>
        </is>
      </c>
      <c r="H91">
        <v>460</v>
      </c>
      <c r="I91">
        <v>66.67</v>
      </c>
      <c r="J91" t="inlineStr">
        <is>
          <t>{"id":"chatcmpl-DYj0081iz9UQnTU5mEiJG3vUjG8fb","object":"chat.completion","created":1777168500,"model":"gpt-5-chat-2025-10-03","choices":[{"index":0,"message":{"role":"assistant","content":"Gucci Black Leather Belt Gold Buckle 3.5CM","refusal":null,"annotations":[]},"logprobs":null,"finish_reason":"stop"}],"usage":{"prompt_tokens":879,"completion_tokens":14,"total_tokens":893,"prompt_tokens_details":{"cached_tokens":0,"audio_tokens":0},"completion_tokens_details":{"reasoning_tokens":0,"audio_tokens":0,"accepted_prediction_tokens":0,"rejected_prediction_tokens":0}},"service_tier":"default","system_fingerprint":"fp_ad66631dec"}</t>
        </is>
      </c>
      <c r="K91" t="inlineStr">
        <is>
          <t>Gucci Black Leather Belt Gold Buckle 3.5CM</t>
        </is>
      </c>
      <c r="L91" t="inlineStr">
        <is>
          <t>{"id":"chatcmpl-DYiCxNhp0wxfGR3PNkhALs73S5qEZ","object":"chat.completion","created":1777165459,"model":"gpt-5-chat-2025-10-03","choices":[{"index":0,"message":{"role":"assistant","content":"Gucci Black Calfskin Belt with Gold Solid Brass Buckle, Unisex Design, Italian Craftsmanship, 3.5CM Width, Elegant and Vintage Style for Luxury Everyday Wear.","refusal":null,"annotations":[]},"logprobs":null,"finish_reason":"stop"}],"usage":{"prompt_tokens":888,"completion_tokens":39,"total_tokens":927,"prompt_tokens_details":{"cached_tokens":0,"audio_tokens":0},"completion_tokens_details":{"reasoning_tokens":0,"audio_tokens":0,"accepted_prediction_tokens":0,"rejected_prediction_tokens":0}},"service_tier":"default","system_fingerprint":"fp_ad66631dec"}</t>
        </is>
      </c>
      <c r="M91" t="inlineStr">
        <is>
          <t>{"alt-svc":"h3=\":443\"; ma=2592000","apim-request-id":"552cb490-a53c-4e5f-a9ad-08b77ee8d4d0","azureml-model-session":"d20260402084046-4209e968","cache-control":"no-cache","connection":"close","content-length":"966","content-type":"application/json","date":"Sun, 26 Apr 2026 01:04:21 GMT","server":"Caddy","skip-error-remapping":"true","strict-transport-security":"max-age=31536000; includeSubDomains; preload","x-content-type-options":"nosniff","x-ms-client-request-id":"Not-Set","x-ms-is-spilled-over":"false","x-ms-rai-invoked":"false","x-ms-region":"Japan East","x-new-api-version":"0.4.35","x-oneapi-request-id":"202604260104187936546768268d9d6wFLY962A","x-ratelimit-abusepenalty-active":"False","x-ratelimit-limit-requests":"1000","x-ratelimit-limit-tokens":"1000000","x-ratelimit-remaining-requests":"999","x-ratelimit-remaining-tokens":"998350","x-ratelimit-renewalperiod-requests":"60","x-ratelimit-renewalperiod-tokens":"60","x-ratelimit-reset-requests":"60","x-ratelimit-reset-tokens":"99","x-request-id":"2ca56006-f818-459f-b36f-c6c561c5ae98"}</t>
        </is>
      </c>
      <c r="N91" t="inlineStr">
        <is>
          <t>Gucci Black Calfskin Belt with Gold Solid Brass Buckle, Unisex Design, Italian Craftsmanship, 3.5CM Width, Elegant and Vintage Style for Luxury Everyday Wear.</t>
        </is>
      </c>
      <c r="O91" t="inlineStr">
        <is>
          <t>{"id":"chatcmpl-DYiWFQCDQhwr2WmrWr4u8Jzfilxh7","object":"chat.completion","created":1777166655,"model":"gpt-5-chat-2025-10-03","choices":[{"index":0,"message":{"role":"assistant","content":"Gucci,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1" t="inlineStr">
        <is>
          <t>Gucci, Belt, kakobuy, kakebuy2026, kekobuysheet, kakobuysheet2026, 2026kakobuy, kakobuyspreadsheeet, kakobuylink, kakebuylist, Kakobuy MEGA Spreadsheet, kakobuysheetfind, kakobuysheetfind2026, 2026kakobuysheetfind, kakobuysheet2026</t>
        </is>
      </c>
      <c r="Q91" t="inlineStr">
        <is>
          <t>Gucci Superstar, Black, Gold, Elegant, Vintage, Unisex</t>
        </is>
      </c>
      <c r="R91" t="inlineStr">
        <is>
          <t>recvhju1CrXoPN</t>
        </is>
      </c>
      <c r="S91" t="inlineStr">
        <is>
          <t>gucci-black-leather-belt-gold-buckle-3-5cm-recvhju1crxopn</t>
        </is>
      </c>
      <c r="T91"/>
      <c r="U91"/>
      <c r="V91"/>
      <c r="W91" t="inlineStr">
        <is>
          <t>{"id":"chatcmpl-DYhshLn60DWLVxRC9oHFXO04R98U7","object":"chat.completion","created":1777164203,"model":"gpt-5-chat-2025-10-03","choices":[{"index":0,"message":{"role":"assistant","content":"Gucci：黑色小牛皮腰带，配以金色纯铜扣，经典简约设计彰显奢华质感，男女通用款，意大利精工打造，优雅复古风格尽显高端品味。","refusal":null,"annotations":[]},"logprobs":null,"finish_reason":"stop"}],"usage":{"prompt_tokens":1297,"completion_tokens":56,"total_tokens":1353,"prompt_tokens_details":{"cached_tokens":0,"audio_tokens":0},"completion_tokens_details":{"reasoning_tokens":0,"audio_tokens":0,"accepted_prediction_tokens":0,"rejected_prediction_tokens":0}},"service_tier":"default","system_fingerprint":"fp_ad66631dec"}</t>
        </is>
      </c>
      <c r="X91" t="inlineStr">
        <is>
          <t>Gucci：黑色小牛皮腰带，配以金色纯铜扣，经典简约设计彰显奢华质感，男女通用款，意大利精工打造，优雅复古风格尽显高端品味。</t>
        </is>
      </c>
    </row>
    <row r="92" ht="25.5" customHeight="1">
      <c r="A92">
        <v>1654975475</v>
      </c>
      <c r="B92">
        <v>7621719204</v>
      </c>
      <c r="C92" s="2" t="str">
        <f>=HYPERLINK("https://weidian.com/item.html?itemID=7621719204", "https://weidian.com/item.html?itemID=7621719204")</f>
        <v>https://weidian.com/item.html?itemID=7621719204</v>
      </c>
      <c r="D92"/>
      <c r="E92" s="2" t="str">
        <f>=HYPERLINK("https://si.geilicdn.com/pcitem2014204438-22bc0000019ac96676790a20e2c5_1170_2532.jpg?w=640&amp;h=640", "https://si.geilicdn.com/pcitem2014204438-22bc0000019ac96676790a20e2c5_1170_2532.jpg?w=640&amp;h=640")</f>
        <v>https://si.geilicdn.com/pcitem2014204438-22bc0000019ac96676790a20e2c5_1170_2532.jpg?w=640&amp;h=640</v>
      </c>
      <c r="F92" t="inlineStr">
        <is>
          <t>Electronic</t>
        </is>
      </c>
      <c r="G92" t="inlineStr">
        <is>
          <t>Marshall</t>
        </is>
      </c>
      <c r="H92">
        <v>700</v>
      </c>
      <c r="I92">
        <v>101.45</v>
      </c>
      <c r="J92" t="inlineStr">
        <is>
          <t>{"id":"chatcmpl-DYixY3y5Rtoq3jnCPXTTQf2k6Lafh","object":"chat.completion","created":1777168348,"model":"gpt-5-chat-2025-10-03","choices":[{"index":0,"message":{"role":"assistant","content":"Marshall Cream Retro Bluetooth Speaker 360° Surround Sound ","refusal":null,"annotations":[]},"logprobs":null,"finish_reason":"stop"}],"usage":{"prompt_tokens":1148,"completion_tokens":12,"total_tokens":1160,"prompt_tokens_details":{"cached_tokens":0,"audio_tokens":0},"completion_tokens_details":{"reasoning_tokens":0,"audio_tokens":0,"accepted_prediction_tokens":0,"rejected_prediction_tokens":0}},"service_tier":"default","system_fingerprint":"fp_ad66631dec"}</t>
        </is>
      </c>
      <c r="K92" t="inlineStr">
        <is>
          <t xml:space="preserve">Marshall Cream Retro Bluetooth Speaker 360° Surround Sound </t>
        </is>
      </c>
      <c r="L92" t="inlineStr">
        <is>
          <t>{"id":"chatcmpl-DYiHofJnlydhEf0CurX1uBty6uiLJ","object":"chat.completion","created":1777165760,"model":"gpt-5-chat-2025-10-03","choices":[{"index":0,"message":{"role":"assistant","content":"Marshall Cream Portable Bluetooth Speaker – Retro metal grille with premium leather texture, delivering powerful 360° surround sound. Lightweight and stylish, perfect for home and outdoor use.","refusal":null,"annotations":[]},"logprobs":null,"finish_reason":"stop"}],"usage":{"prompt_tokens":1186,"completion_tokens":34,"total_tokens":1220,"prompt_tokens_details":{"cached_tokens":1152,"audio_tokens":0},"completion_tokens_details":{"reasoning_tokens":0,"audio_tokens":0,"accepted_prediction_tokens":0,"rejected_prediction_tokens":0}},"service_tier":"default","system_fingerprint":"fp_ad66631dec"}</t>
        </is>
      </c>
      <c r="M92" t="inlineStr">
        <is>
          <t>{"alt-svc":"h3=\":443\"; ma=2592000","apim-request-id":"6282b6f6-7604-481a-84d8-12a3660d9da6","azureml-model-session":"d20260405225800-40f19e54","cache-control":"no-cache","connection":"close","content-length":"1008","content-type":"application/json","date":"Sun, 26 Apr 2026 01:09:22 GMT","server":"nginx","skip-error-remapping":"true","strict-transport-security":"max-age=31536000; includeSubDomains; preload","via":"1.1 Caddy","x-content-type-options":"nosniff","x-ms-client-request-id":"Not-Set","x-ms-is-spilled-over":"false","x-ms-rai-invoked":"false","x-ms-region":"Korea Central","x-new-api-version":"0.4.35","x-oneapi-request-id":"202604260109194786004538268d9d6RlnmlmZ7","x-ratelimit-abusepenalty-active":"False","x-ratelimit-limit-requests":"1000","x-ratelimit-limit-tokens":"1000000","x-ratelimit-remaining-requests":"999","x-ratelimit-remaining-tokens":"998051","x-ratelimit-renewalperiod-requests":"60","x-ratelimit-renewalperiod-tokens":"60","x-ratelimit-reset-requests":"60","x-ratelimit-reset-tokens":"116","x-request-id":"b4916eac-0cba-4264-8552-5c561670e361"}</t>
        </is>
      </c>
      <c r="N92" t="inlineStr">
        <is>
          <t>Marshall Cream Portable Bluetooth Speaker – Retro metal grille with premium leather texture, delivering powerful 360° surround sound. Lightweight and stylish, perfect for home and outdoor use.</t>
        </is>
      </c>
      <c r="O92" t="inlineStr">
        <is>
          <t>{"id":"chatcmpl-DYiYE6cz1RA9PzM0p5poFuEhejAxt","object":"chat.completion","created":1777166778,"model":"gpt-5-chat-2025-10-03","choices":[{"index":0,"message":{"role":"assistant","content":"Marshall,speaker,kakobuy,kakebuy2026,kekobuysheet,kakobuysheet2026,2026kakobuy,kakobuyspreadsheeet,kakobuylink,kakebuylist,Kakobuy MEGA Spreadsheet,kakobuysheetfind,kakobuysheetfind2026,2026kakobuysheetfind,kakobuysheet2026","refusal":null,"annotations":[]},"logprobs":null,"finish_reason":"stop"}],"usage":{"prompt_tokens":1061,"completion_tokens":86,"total_tokens":1147,"prompt_tokens_details":{"cached_tokens":0,"audio_tokens":0},"completion_tokens_details":{"reasoning_tokens":0,"audio_tokens":0,"accepted_prediction_tokens":0,"rejected_prediction_tokens":0}},"service_tier":"default","system_fingerprint":"fp_ad66631dec"}</t>
        </is>
      </c>
      <c r="P92" t="inlineStr">
        <is>
          <t>Marshall,speaker,kakobuy,kakebuy2026,kekobuysheet,kakobuysheet2026,2026kakobuy,kakobuyspreadsheeet,kakobuylink,kakebuylist,Kakobuy MEGA Spreadsheet,kakobuysheetfind,kakobuysheetfind2026,2026kakobuysheetfind,kakobuysheet2026</t>
        </is>
      </c>
      <c r="Q92" t="inlineStr">
        <is>
          <t>Marshall, Cream, Retro, Outdoor, Leather</t>
        </is>
      </c>
      <c r="R92" t="inlineStr">
        <is>
          <t>recvhju1CrYUF7</t>
        </is>
      </c>
      <c r="S92" t="inlineStr">
        <is>
          <t>marshall-cream-retro-bluetooth-speaker-recvhju1cryuf7</t>
        </is>
      </c>
      <c r="T92"/>
      <c r="U92"/>
      <c r="V92"/>
      <c r="W92" t="inlineStr">
        <is>
          <t>{"id":"chatcmpl-DYhrPGQczIzlOjI26RIwES4xLmbgV","object":"chat.completion","created":1777164123,"model":"gpt-5-chat-2025-10-03","choices":[{"index":0,"message":{"role":"assistant","content":"Marshall奶油白便携蓝牙音箱，金属网格复古设计，英伦摇滚风格，真皮纹理外壳质感高级，360°环绕音效强劲沉浸，轻巧便携适合居家与户外场景，彰显经典与时尚品味。","refusal":null,"annotations":[]},"logprobs":null,"finish_reason":"stop"}],"usage":{"prompt_tokens":1579,"completion_tokens":73,"total_tokens":1652,"prompt_tokens_details":{"cached_tokens":0,"audio_tokens":0},"completion_tokens_details":{"reasoning_tokens":0,"audio_tokens":0,"accepted_prediction_tokens":0,"rejected_prediction_tokens":0}},"service_tier":"default","system_fingerprint":"fp_ad66631dec"}</t>
        </is>
      </c>
      <c r="X92" t="inlineStr">
        <is>
          <t>Marshall奶油白便携蓝牙音箱，金属网格复古设计，英伦摇滚风格，真皮纹理外壳质感高级，360°环绕音效强劲沉浸，轻巧便携适合居家与户外场景，彰显经典与时尚品味。</t>
        </is>
      </c>
    </row>
    <row r="93" ht="25.5" customHeight="1">
      <c r="A93">
        <v>1654975475</v>
      </c>
      <c r="B93">
        <v>7619348861</v>
      </c>
      <c r="C93" s="2" t="str">
        <f>=HYPERLINK("https://weidian.com/item.html?itemID=7619348861", "https://weidian.com/item.html?itemID=7619348861")</f>
        <v>https://weidian.com/item.html?itemID=7619348861</v>
      </c>
      <c r="D93"/>
      <c r="E93" s="2" t="str">
        <f>=HYPERLINK("https://si.geilicdn.com/pcitem2014204438-47900000019acda10f3b0a207569_1080_1080.jpg?w=640&amp;h=640", "https://si.geilicdn.com/pcitem2014204438-47900000019acda10f3b0a207569_1080_1080.jpg?w=640&amp;h=640")</f>
        <v>https://si.geilicdn.com/pcitem2014204438-47900000019acda10f3b0a207569_1080_1080.jpg?w=640&amp;h=640</v>
      </c>
      <c r="F93" t="inlineStr">
        <is>
          <t>Accessories</t>
        </is>
      </c>
      <c r="G93" t="inlineStr">
        <is>
          <t>Louis Vuitton</t>
        </is>
      </c>
      <c r="H93">
        <v>460</v>
      </c>
      <c r="I93">
        <v>66.67</v>
      </c>
      <c r="J93" t="inlineStr">
        <is>
          <t>{"id":"chatcmpl-DYj2getIT9IrGEXhXB0gk1cyQHhc9","object":"chat.completion","created":1777168666,"model":"gpt-5-chat-2025-10-03","choices":[{"index":0,"message":{"role":"assistant","content":"Louis Vuitton Epi Black Leather Men Belt","refusal":null,"annotations":[]},"logprobs":null,"finish_reason":"stop"}],"usage":{"prompt_tokens":863,"completion_tokens":9,"total_tokens":872,"prompt_tokens_details":{"cached_tokens":0,"audio_tokens":0},"completion_tokens_details":{"reasoning_tokens":0,"audio_tokens":0,"accepted_prediction_tokens":0,"rejected_prediction_tokens":0}},"service_tier":"default","system_fingerprint":"fp_ad66631dec"}</t>
        </is>
      </c>
      <c r="K93" t="inlineStr">
        <is>
          <t>Louis Vuitton Epi Black Leather Men Belt</t>
        </is>
      </c>
      <c r="L93" t="inlineStr">
        <is>
          <t>{"id":"chatcmpl-DYiFnz6Sdt7s92ymVjjIZkun9GH7e","object":"chat.completion","created":1777165635,"model":"gpt-5-chat-2025-10-03","choices":[{"index":0,"message":{"role":"assistant","content":"Louis Vuitton Epi Black Leather Men’s Belt with Signature LV Metal Buckle, elegant lines, luxury texture, and modern design for refined contemporary style.","refusal":null,"annotations":[]},"logprobs":null,"finish_reason":"stop"}],"usage":{"prompt_tokens":873,"completion_tokens":31,"total_tokens":904,"prompt_tokens_details":{"cached_tokens":0,"audio_tokens":0},"completion_tokens_details":{"reasoning_tokens":0,"audio_tokens":0,"accepted_prediction_tokens":0,"rejected_prediction_tokens":0}},"service_tier":"default","system_fingerprint":"fp_ad66631dec"}</t>
        </is>
      </c>
      <c r="M93" t="inlineStr">
        <is>
          <t>{"alt-svc":"h3=\":443\"; ma=2592000","apim-request-id":"1ad2c562-aa2f-41fd-baa3-d64ef093515f","azureml-model-session":"d20260402084046-4209e968","cache-control":"no-cache","connection":"close","content-length":"965","content-type":"application/json","date":"Sun, 26 Apr 2026 01:07:18 GMT","server":"Caddy","skip-error-remapping":"true","strict-transport-security":"max-age=31536000; includeSubDomains; preload","x-content-type-options":"nosniff","x-ms-client-request-id":"Not-Set","x-ms-is-spilled-over":"false","x-ms-rai-invoked":"false","x-ms-region":"Japan East","x-new-api-version":"0.4.35","x-oneapi-request-id":"202604260107151550227308268d9d6kk7RqxCE","x-ratelimit-abusepenalty-active":"False","x-ratelimit-limit-requests":"1000","x-ratelimit-limit-tokens":"1000000","x-ratelimit-remaining-requests":"999","x-ratelimit-remaining-tokens":"998365","x-ratelimit-renewalperiod-requests":"60","x-ratelimit-renewalperiod-tokens":"60","x-ratelimit-reset-requests":"60","x-ratelimit-reset-tokens":"98","x-request-id":"61bbb1ca-fcf0-4a19-a25c-412b529e664c"}</t>
        </is>
      </c>
      <c r="N93" t="inlineStr">
        <is>
          <t>Louis Vuitton Epi Black Leather Men’s Belt with Signature LV Metal Buckle, elegant lines, luxury texture, and modern design for refined contemporary style.</t>
        </is>
      </c>
      <c r="O93" t="inlineStr">
        <is>
          <t>{"id":"chatcmpl-DYiXlfpfnmnOwuwib8UL171e3Gnc0","object":"chat.completion","created":1777166749,"model":"gpt-5-chat-2025-10-03","choices":[{"index":0,"message":{"role":"assistant","content":"Louis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3" t="inlineStr">
        <is>
          <t>Louis Vuitton,Accessories,kakobuy,kakebuy2026,kekobuysheet,kakobuysheet2026,2026kakobuy,kakobuyspreadsheeet,kakobuylink,kakebuylist,Kakobuy MEGA Spreadsheet,kakobuysheetfind,kakobuysheetfind2026,2026kakobuysheetfind,kakobuysheet2026</t>
        </is>
      </c>
      <c r="Q93" t="inlineStr">
        <is>
          <t>LV, Leather, Elegant, Contemporary, Men, Black</t>
        </is>
      </c>
      <c r="R93" t="inlineStr">
        <is>
          <t>recvhju1CrADqQ</t>
        </is>
      </c>
      <c r="S93" t="inlineStr">
        <is>
          <t>louis-vuitton-epi-black-leather-men-belt-recvhju1cradqq</t>
        </is>
      </c>
      <c r="T93"/>
      <c r="U93"/>
      <c r="V93"/>
      <c r="W93" t="inlineStr">
        <is>
          <t>{"id":"chatcmpl-DYhvZwtvp9V3iikiy1m5SPwoabkqi","object":"chat.completion","created":1777164381,"model":"gpt-5-chat-2025-10-03","choices":[{"index":0,"message":{"role":"assistant","content":"Louis Vuitton：Epi黑色皮质男士腰带，金属LV字母扣设计，线条优雅，彰显奢华质感与现代格调。","refusal":null,"annotations":[]},"logprobs":null,"finish_reason":"stop"}],"usage":{"prompt_tokens":1299,"completion_tokens":40,"total_tokens":1339,"prompt_tokens_details":{"cached_tokens":0,"audio_tokens":0},"completion_tokens_details":{"reasoning_tokens":0,"audio_tokens":0,"accepted_prediction_tokens":0,"rejected_prediction_tokens":0}},"service_tier":"default","system_fingerprint":"fp_ad66631dec"}</t>
        </is>
      </c>
      <c r="X93" t="inlineStr">
        <is>
          <t>Louis Vuitton：Epi黑色皮质男士腰带，金属LV字母扣设计，线条优雅，彰显奢华质感与现代格调。</t>
        </is>
      </c>
    </row>
    <row r="94" ht="25.5" customHeight="1">
      <c r="A94">
        <v>1654975475</v>
      </c>
      <c r="B94">
        <v>7619359225</v>
      </c>
      <c r="C94" s="2" t="str">
        <f>=HYPERLINK("https://weidian.com/item.html?itemID=7619359225", "https://weidian.com/item.html?itemID=7619359225")</f>
        <v>https://weidian.com/item.html?itemID=7619359225</v>
      </c>
      <c r="D94"/>
      <c r="E94" s="2" t="str">
        <f>=HYPERLINK("https://si.geilicdn.com/pcitem2014204438-38d90000019acdf8d3660a2304aa_1512_2016.jpg?w=640&amp;h=640", "https://si.geilicdn.com/pcitem2014204438-38d90000019acdf8d3660a2304aa_1512_2016.jpg?w=640&amp;h=640")</f>
        <v>https://si.geilicdn.com/pcitem2014204438-38d90000019acdf8d3660a2304aa_1512_2016.jpg?w=640&amp;h=640</v>
      </c>
      <c r="F94" t="inlineStr">
        <is>
          <t>Accessories</t>
        </is>
      </c>
      <c r="G94" t="inlineStr">
        <is>
          <t>Gucci</t>
        </is>
      </c>
      <c r="H94">
        <v>460</v>
      </c>
      <c r="I94">
        <v>66.67</v>
      </c>
      <c r="J94" t="inlineStr">
        <is>
          <t>{"id":"chatcmpl-DYiyZ18P2p3ZpIUFRQi90ul5LG4jC","object":"chat.completion","created":1777168411,"model":"gpt-5-chat-2025-10-03","choices":[{"index":0,"message":{"role":"assistant","content":"Gucci Double G Black Gold Leather Canvas Belt","refusal":null,"annotations":[]},"logprobs":null,"finish_reason":"stop"}],"usage":{"prompt_tokens":877,"completion_tokens":10,"total_tokens":887,"prompt_tokens_details":{"cached_tokens":0,"audio_tokens":0},"completion_tokens_details":{"reasoning_tokens":0,"audio_tokens":0,"accepted_prediction_tokens":0,"rejected_prediction_tokens":0}},"service_tier":"default","system_fingerprint":"fp_ad66631dec"}</t>
        </is>
      </c>
      <c r="K94" t="inlineStr">
        <is>
          <t>Gucci Double G Black Gold Leather Canvas Belt</t>
        </is>
      </c>
      <c r="L94" t="inlineStr">
        <is>
          <t>{"id":"chatcmpl-DYiChVvYzaDI695irBXq0wHh2DXun","object":"chat.completion","created":1777165443,"model":"gpt-5-chat-2025-10-03","choices":[{"index":0,"message":{"role":"assistant","content":"Gucci Classic Double G Black Gold Belt, crafted from leather and canvas, features iconic metal ring logo, vintage luxury style, unisex design, perfect for daily wear and business outfits.","refusal":null,"annotations":[]},"logprobs":null,"finish_reason":"stop"}],"usage":{"prompt_tokens":896,"completion_tokens":38,"total_tokens":934,"prompt_tokens_details":{"cached_tokens":0,"audio_tokens":0},"completion_tokens_details":{"reasoning_tokens":0,"audio_tokens":0,"accepted_prediction_tokens":0,"rejected_prediction_tokens":0}},"service_tier":"default","system_fingerprint":"fp_ad66631dec"}</t>
        </is>
      </c>
      <c r="M94" t="inlineStr">
        <is>
          <t>{"alt-svc":"h3=\":443\"; ma=2592000","apim-request-id":"082a8bae-3866-4386-aed0-5d0a7c50a504","azureml-model-session":"d20260405212659-a9daa006","cache-control":"no-cache","connection":"close","content-length":"995","content-type":"application/json","date":"Sun, 26 Apr 2026 01:04:05 GMT","server":"nginx","skip-error-remapping":"true","strict-transport-security":"max-age=31536000; includeSubDomains; preload","via":"1.1 Caddy","x-content-type-options":"nosniff","x-ms-client-request-id":"Not-Set","x-ms-is-spilled-over":"false","x-ms-rai-invoked":"false","x-ms-region":"Korea Central","x-new-api-version":"0.4.35","x-oneapi-request-id":"202604260104022759339648268d9d6XPmjOetW","x-ratelimit-abusepenalty-active":"False","x-ratelimit-limit-requests":"1000","x-ratelimit-limit-tokens":"1000000","x-ratelimit-remaining-requests":"999","x-ratelimit-remaining-tokens":"998342","x-ratelimit-renewalperiod-requests":"60","x-ratelimit-renewalperiod-tokens":"60","x-ratelimit-reset-requests":"60","x-ratelimit-reset-tokens":"99","x-request-id":"36a202fe-6c2d-4f4d-8c5f-c503697e9da1"}</t>
        </is>
      </c>
      <c r="N94" t="inlineStr">
        <is>
          <t>Gucci Classic Double G Black Gold Belt, crafted from leather and canvas, features iconic metal ring logo, vintage luxury style, unisex design, perfect for daily wear and business outfits.</t>
        </is>
      </c>
      <c r="O94" t="inlineStr">
        <is>
          <t>{"id":"chatcmpl-DYiYA3Uc9yP310O3noCWnIKusJ4gP","object":"chat.completion","created":1777166774,"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4" t="inlineStr">
        <is>
          <t>Gucci,Accessories,kakobuy,kakebuy2026,kekobuysheet,kakobuysheet2026,2026kakobuy,kakobuyspreadsheeet,kakobuylink,kakebuylist,Kakobuy MEGA Spreadsheet,kakobuysheetfind,kakobuysheetfind2026,2026kakobuysheetfind,kakobuysheet2026</t>
        </is>
      </c>
      <c r="Q94" t="inlineStr">
        <is>
          <t>Gucci X Adidas, Leather, Canvas, Vintage, Unisex, Black Gold</t>
        </is>
      </c>
      <c r="R94" t="inlineStr">
        <is>
          <t>recvhju1CrOcPX</t>
        </is>
      </c>
      <c r="S94" t="inlineStr">
        <is>
          <t>gucci-double-g-black-gold-leather-canvas-belt-recvhju1crocpx</t>
        </is>
      </c>
      <c r="T94"/>
      <c r="U94"/>
      <c r="V94"/>
      <c r="W94" t="inlineStr">
        <is>
          <t>{"id":"chatcmpl-DYhuDDCgFbjkKWDCbmrL3mqksu0IR","object":"chat.completion","created":1777164297,"model":"gpt-5-chat-2025-10-03","choices":[{"index":0,"message":{"role":"assistant","content":"Gucci：经典双G系列黑金色腰带，采用皮革与织纹帆布拼接材质，金属圆环Logo设计彰显品牌辨识度，复古奢华风格，男女皆宜，适合日常与商务造型。","refusal":null,"annotations":[]},"logprobs":null,"finish_reason":"stop"}],"usage":{"prompt_tokens":1301,"completion_tokens":62,"total_tokens":1363,"prompt_tokens_details":{"cached_tokens":1280,"audio_tokens":0},"completion_tokens_details":{"reasoning_tokens":0,"audio_tokens":0,"accepted_prediction_tokens":0,"rejected_prediction_tokens":0}},"service_tier":"default","system_fingerprint":"fp_ad66631dec"}</t>
        </is>
      </c>
      <c r="X94" t="inlineStr">
        <is>
          <t>Gucci：经典双G系列黑金色腰带，采用皮革与织纹帆布拼接材质，金属圆环Logo设计彰显品牌辨识度，复古奢华风格，男女皆宜，适合日常与商务造型。</t>
        </is>
      </c>
    </row>
    <row r="95" ht="25.5" customHeight="1">
      <c r="A95">
        <v>1654975475</v>
      </c>
      <c r="B95">
        <v>7622393742</v>
      </c>
      <c r="C95" s="2" t="str">
        <f>=HYPERLINK("https://weidian.com/item.html?itemID=7622393742", "https://weidian.com/item.html?itemID=7622393742")</f>
        <v>https://weidian.com/item.html?itemID=7622393742</v>
      </c>
      <c r="D95"/>
      <c r="E95" s="2" t="str">
        <f>=HYPERLINK("https://si.geilicdn.com/pcitem2014204438-63d80000019acdf81ef80a23037f_1440_1920.jpg?w=640&amp;h=640", "https://si.geilicdn.com/pcitem2014204438-63d80000019acdf81ef80a23037f_1440_1920.jpg?w=640&amp;h=640")</f>
        <v>https://si.geilicdn.com/pcitem2014204438-63d80000019acdf81ef80a23037f_1440_1920.jpg?w=640&amp;h=640</v>
      </c>
      <c r="F95" t="inlineStr">
        <is>
          <t>Accessories</t>
        </is>
      </c>
      <c r="G95" t="inlineStr">
        <is>
          <t>Louis Vuitton</t>
        </is>
      </c>
      <c r="H95">
        <v>460</v>
      </c>
      <c r="I95">
        <v>66.67</v>
      </c>
      <c r="J95" t="inlineStr">
        <is>
          <t>{"id":"chatcmpl-DYiznfZ5yF9hXUcCWhU29NcvgPAaA","object":"chat.completion","created":1777168487,"model":"gpt-5-chat-2025-10-03","choices":[{"index":0,"message":{"role":"assistant","content":"Louis Vuitton Damier Ebene Brown Canvas Men Belt","refusal":null,"annotations":[]},"logprobs":null,"finish_reason":"stop"}],"usage":{"prompt_tokens":863,"completion_tokens":10,"total_tokens":873,"prompt_tokens_details":{"cached_tokens":0,"audio_tokens":0},"completion_tokens_details":{"reasoning_tokens":0,"audio_tokens":0,"accepted_prediction_tokens":0,"rejected_prediction_tokens":0}},"service_tier":"default","system_fingerprint":"fp_ad66631dec"}</t>
        </is>
      </c>
      <c r="K95" t="inlineStr">
        <is>
          <t>Louis Vuitton Damier Ebene Brown Canvas Men Belt</t>
        </is>
      </c>
      <c r="L95" t="inlineStr">
        <is>
          <t>{"id":"chatcmpl-DYiEidNtz7DGRP3mV16DAL55K6agM","object":"chat.completion","created":1777165568,"model":"gpt-5-chat-2025-10-03","choices":[{"index":0,"message":{"role":"assistant","content":"Louis Vuitton Damier Ebene brown men’s belt with coated canvas, calfskin lining, and silver LV buckle, combining French luxury with modern minimalist elegance.","refusal":null,"annotations":[]},"logprobs":null,"finish_reason":"stop"}],"usage":{"prompt_tokens":899,"completion_tokens":31,"total_tokens":930,"prompt_tokens_details":{"cached_tokens":0,"audio_tokens":0},"completion_tokens_details":{"reasoning_tokens":0,"audio_tokens":0,"accepted_prediction_tokens":0,"rejected_prediction_tokens":0}},"service_tier":"default","system_fingerprint":"fp_ad66631dec"}</t>
        </is>
      </c>
      <c r="M95" t="inlineStr">
        <is>
          <t>{"alt-svc":"h3=\":443\"; ma=2592000","apim-request-id":"9e76c55a-2c26-468a-8536-7b7f83afaa4f","azureml-model-session":"d20260405225800-40f19e54","cache-control":"no-cache","connection":"close","content-length":"969","content-type":"application/json","date":"Sun, 26 Apr 2026 01:06:09 GMT","server":"Caddy","skip-error-remapping":"true","strict-transport-security":"max-age=31536000; includeSubDomains; preload","x-content-type-options":"nosniff","x-ms-client-request-id":"Not-Set","x-ms-is-spilled-over":"false","x-ms-rai-invoked":"false","x-ms-region":"Switzerland North","x-new-api-version":"0.4.35","x-oneapi-request-id":"202604260106062981870418268d9d6XKxfOSII","x-ratelimit-abusepenalty-active":"False","x-ratelimit-limit-requests":"1000","x-ratelimit-limit-tokens":"1000000","x-ratelimit-remaining-requests":"999","x-ratelimit-remaining-tokens":"998339","x-ratelimit-renewalperiod-requests":"60","x-ratelimit-renewalperiod-tokens":"60","x-ratelimit-reset-requests":"60","x-ratelimit-reset-tokens":"99","x-request-id":"c18ab695-4971-4a00-8ab0-250b56aed987"}</t>
        </is>
      </c>
      <c r="N95" t="inlineStr">
        <is>
          <t>Louis Vuitton Damier Ebene brown men’s belt with coated canvas, calfskin lining, and silver LV buckle, combining French luxury with modern minimalist elegance.</t>
        </is>
      </c>
      <c r="O95" t="inlineStr">
        <is>
          <t>{"id":"chatcmpl-DYiZG7oWV1pbq07qh0qKkYIgOZbDh","object":"chat.completion","created":1777166842,"model":"gpt-5-chat-2025-10-03","choices":[{"index":0,"message":{"role":"assistant","content":"Louis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5" t="inlineStr">
        <is>
          <t>Louis Vuitton,Accessories,kakobuy,kakebuy2026,kekobuysheet,kakobuysheet2026,2026kakobuy,kakobuyspreadsheeet,kakobuylink,kakebuylist,Kakobuy MEGA Spreadsheet,kakobuysheetfind,kakobuysheetfind2026,2026kakobuysheetfind,kakobuysheet2026</t>
        </is>
      </c>
      <c r="Q95" t="inlineStr">
        <is>
          <t>LV, Brown, Men, Minimalist, Elegant, Canvas</t>
        </is>
      </c>
      <c r="R95" t="inlineStr">
        <is>
          <t>recvhju1Cry4V2</t>
        </is>
      </c>
      <c r="S95" t="inlineStr">
        <is>
          <t>louis-vuitton-damier-ebene-brown-canvas-men-belt-recvhju1cry4v2</t>
        </is>
      </c>
      <c r="T95"/>
      <c r="U95"/>
      <c r="V95"/>
      <c r="W95" t="inlineStr">
        <is>
          <t>{"id":"chatcmpl-DYhrQbyVK1C7sftRUBPJffl3bWPVE","object":"chat.completion","created":1777164124,"model":"gpt-5-chat-2025-10-03","choices":[{"index":0,"message":{"role":"assistant","content":"Louis Vuitton：Damier Ebene棋盘格棕色男士皮带，采用优质涂层帆布与牛皮内衬，搭配银色LV字母扣设计，展现经典法式奢华与现代简约风格，凸显品质与品味。","refusal":null,"annotations":[]},"logprobs":null,"finish_reason":"stop"}],"usage":{"prompt_tokens":1299,"completion_tokens":66,"total_tokens":1365,"prompt_tokens_details":{"cached_tokens":0,"audio_tokens":0},"completion_tokens_details":{"reasoning_tokens":0,"audio_tokens":0,"accepted_prediction_tokens":0,"rejected_prediction_tokens":0}},"service_tier":"default","system_fingerprint":"fp_ad66631dec"}</t>
        </is>
      </c>
      <c r="X95" t="inlineStr">
        <is>
          <t>Louis Vuitton：Damier Ebene棋盘格棕色男士皮带，采用优质涂层帆布与牛皮内衬，搭配银色LV字母扣设计，展现经典法式奢华与现代简约风格，凸显品质与品味。</t>
        </is>
      </c>
    </row>
    <row r="96" ht="25.5" customHeight="1">
      <c r="A96">
        <v>1654975475</v>
      </c>
      <c r="B96">
        <v>7622387878</v>
      </c>
      <c r="C96" s="2" t="str">
        <f>=HYPERLINK("https://weidian.com/item.html?itemID=7622387878", "https://weidian.com/item.html?itemID=7622387878")</f>
        <v>https://weidian.com/item.html?itemID=7622387878</v>
      </c>
      <c r="D96"/>
      <c r="E96" s="2" t="str">
        <f>=HYPERLINK("https://si.geilicdn.com/pcitem2014204438-5c2b0000019acdf53dcb0a2102c5_1440_1920.jpg?w=640&amp;h=640", "https://si.geilicdn.com/pcitem2014204438-5c2b0000019acdf53dcb0a2102c5_1440_1920.jpg?w=640&amp;h=640")</f>
        <v>https://si.geilicdn.com/pcitem2014204438-5c2b0000019acdf53dcb0a2102c5_1440_1920.jpg?w=640&amp;h=640</v>
      </c>
      <c r="F96" t="inlineStr">
        <is>
          <t>Accessories</t>
        </is>
      </c>
      <c r="G96" t="inlineStr">
        <is>
          <t>Dior</t>
        </is>
      </c>
      <c r="H96">
        <v>460</v>
      </c>
      <c r="I96">
        <v>66.67</v>
      </c>
      <c r="J96" t="inlineStr">
        <is>
          <t>{"id":"chatcmpl-DYiyPRLvaquY39NcnIr2UYM87fg3E","object":"chat.completion","created":1777168401,"model":"gpt-5-chat-2025-10-03","choices":[{"index":0,"message":{"role":"assistant","content":"Dior Brown Leather Belt Gold CD Buckle Unisex Fashion","refusal":null,"annotations":[]},"logprobs":null,"finish_reason":"stop"}],"usage":{"prompt_tokens":868,"completion_tokens":13,"total_tokens":881,"prompt_tokens_details":{"cached_tokens":0,"audio_tokens":0},"completion_tokens_details":{"reasoning_tokens":0,"audio_tokens":0,"accepted_prediction_tokens":0,"rejected_prediction_tokens":0}},"service_tier":"default","system_fingerprint":"fp_ad66631dec"}</t>
        </is>
      </c>
      <c r="K96" t="inlineStr">
        <is>
          <t>Dior Brown Leather Belt Gold CD Buckle Unisex Fashion</t>
        </is>
      </c>
      <c r="L96" t="inlineStr">
        <is>
          <t>{"id":"chatcmpl-DYiGkY7nanYyKBVICSi3C5GFGYDII","object":"chat.completion","created":1777165694,"model":"gpt-5-chat-2025-10-03","choices":[{"index":0,"message":{"role":"assistant","content":"Dior Classic CD Logo Brown Leather Belt with Elegant Gold Double-Ring Buckle, Unisex Design, Minimalist Luxury Style Reflecting French Fashion Sophistication","refusal":null,"annotations":[]},"logprobs":null,"finish_reason":"stop"}],"usage":{"prompt_tokens":887,"completion_tokens":33,"total_tokens":920,"prompt_tokens_details":{"cached_tokens":0,"audio_tokens":0},"completion_tokens_details":{"reasoning_tokens":0,"audio_tokens":0,"accepted_prediction_tokens":0,"rejected_prediction_tokens":0}},"service_tier":"default","system_fingerprint":"fp_ad66631dec"}</t>
        </is>
      </c>
      <c r="M96" t="inlineStr">
        <is>
          <t>{"alt-svc":"h3=\":443\"; ma=2592000","apim-request-id":"29097c8d-9a75-4727-a57b-66b9f56269c2","azureml-model-session":"d20260405225800-40f19e54","cache-control":"no-cache","connection":"close","content-length":"965","content-type":"application/json","date":"Sun, 26 Apr 2026 01:08:16 GMT","server":"Caddy","skip-error-remapping":"true","strict-transport-security":"max-age=31536000; includeSubDomains; preload","x-content-type-options":"nosniff","x-ms-client-request-id":"Not-Set","x-ms-is-spilled-over":"false","x-ms-rai-invoked":"false","x-ms-region":"UK South","x-new-api-version":"0.4.35","x-oneapi-request-id":"202604260108133778159288268d9d608hAVE43","x-ratelimit-abusepenalty-active":"False","x-ratelimit-limit-requests":"1000","x-ratelimit-limit-tokens":"1000000","x-ratelimit-remaining-requests":"999","x-ratelimit-remaining-tokens":"997787","x-ratelimit-renewalperiod-requests":"60","x-ratelimit-renewalperiod-tokens":"60","x-ratelimit-reset-requests":"70","x-ratelimit-reset-tokens":"132","x-request-id":"102cca73-85c1-41be-aea0-c701cf5cf707"}</t>
        </is>
      </c>
      <c r="N96" t="inlineStr">
        <is>
          <t>Dior Classic CD Logo Brown Leather Belt with Elegant Gold Double-Ring Buckle, Unisex Design, Minimalist Luxury Style Reflecting French Fashion Sophistication</t>
        </is>
      </c>
      <c r="O96" t="inlineStr">
        <is>
          <t>{"id":"chatcmpl-DYiTuJFoMXQY9xIlXrqjVZBHxVN2P","object":"chat.completion","created":1777166510,"model":"gpt-5-chat-2025-10-03","choices":[{"index":0,"message":{"role":"assistant","content":"Dior,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6" t="inlineStr">
        <is>
          <t>Dior, Belt, kakobuy, kakebuy2026, kekobuysheet, kakobuysheet2026, 2026kakobuy, kakobuyspreadsheeet, kakobuylink, kakebuylist, Kakobuy MEGA Spreadsheet, kakobuysheetfind, kakobuysheetfind2026, 2026kakobuysheetfind, kakobuysheet2026</t>
        </is>
      </c>
      <c r="Q96" t="inlineStr">
        <is>
          <t>Dior, Brown, Leather, Elegant, Minimalist, Unisex</t>
        </is>
      </c>
      <c r="R96" t="inlineStr">
        <is>
          <t>recvhju1Crfrwf</t>
        </is>
      </c>
      <c r="S96" t="inlineStr">
        <is>
          <t>dior-brown-leather-belt-gold-cd-buckle-unisex-recvhju1crfrwf</t>
        </is>
      </c>
      <c r="T96"/>
      <c r="U96"/>
      <c r="V96"/>
      <c r="W96" t="inlineStr">
        <is>
          <t>{"id":"chatcmpl-DYhvLLd1rR1voMQRLyF24pmzpgDVo","object":"chat.completion","created":1777164367,"model":"gpt-5-chat-2025-10-03","choices":[{"index":0,"message":{"role":"assistant","content":"Dior：经典CD标识系列深棕色真皮腰带，精致金色双环扣设计，简约优雅风格，男女通用，高级质感彰显法式时尚品味。","refusal":null,"annotations":[]},"logprobs":null,"finish_reason":"stop"}],"usage":{"prompt_tokens":1307,"completion_tokens":50,"total_tokens":1357,"prompt_tokens_details":{"cached_tokens":1280,"audio_tokens":0},"completion_tokens_details":{"reasoning_tokens":0,"audio_tokens":0,"accepted_prediction_tokens":0,"rejected_prediction_tokens":0}},"service_tier":"default","system_fingerprint":"fp_ad66631dec"}</t>
        </is>
      </c>
      <c r="X96" t="inlineStr">
        <is>
          <t>Dior：经典CD标识系列深棕色真皮腰带，精致金色双环扣设计，简约优雅风格，男女通用，高级质感彰显法式时尚品味。</t>
        </is>
      </c>
    </row>
    <row r="97" ht="25.5" customHeight="1">
      <c r="A97">
        <v>1654975475</v>
      </c>
      <c r="B97">
        <v>7619037449</v>
      </c>
      <c r="C97" s="2" t="str">
        <f>=HYPERLINK("https://weidian.com/item.html?itemID=7619037449", "https://weidian.com/item.html?itemID=7619037449")</f>
        <v>https://weidian.com/item.html?itemID=7619037449</v>
      </c>
      <c r="D97"/>
      <c r="E97" s="2" t="str">
        <f>=HYPERLINK("https://si.geilicdn.com/pcitem2014204438-6d7d0000019acb3f4ca20a2301b4_1080_1080.jpg?w=640&amp;h=640", "https://si.geilicdn.com/pcitem2014204438-6d7d0000019acb3f4ca20a2301b4_1080_1080.jpg?w=640&amp;h=640")</f>
        <v>https://si.geilicdn.com/pcitem2014204438-6d7d0000019acb3f4ca20a2301b4_1080_1080.jpg?w=640&amp;h=640</v>
      </c>
      <c r="F97" t="inlineStr">
        <is>
          <t>Accessories</t>
        </is>
      </c>
      <c r="G97" t="inlineStr">
        <is>
          <t>Louis Vuitton</t>
        </is>
      </c>
      <c r="H97">
        <v>460</v>
      </c>
      <c r="I97">
        <v>66.67</v>
      </c>
      <c r="J97" t="inlineStr">
        <is>
          <t>{"id":"chatcmpl-DYixBRY7wBQwm11iWUw0tZB3RpH2G","object":"chat.completion","created":1777168325,"model":"gpt-5-chat-2025-10-03","choices":[{"index":0,"message":{"role":"assistant","content":"Louis Vuitton Damier Graphite Men Leather Belt","refusal":null,"annotations":[]},"logprobs":null,"finish_reason":"stop"}],"usage":{"prompt_tokens":873,"completion_tokens":10,"total_tokens":883,"prompt_tokens_details":{"cached_tokens":0,"audio_tokens":0},"completion_tokens_details":{"reasoning_tokens":0,"audio_tokens":0,"accepted_prediction_tokens":0,"rejected_prediction_tokens":0}},"service_tier":"default","system_fingerprint":"fp_ad66631dec"}</t>
        </is>
      </c>
      <c r="K97" t="inlineStr">
        <is>
          <t>Louis Vuitton Damier Graphite Men Leather Belt</t>
        </is>
      </c>
      <c r="L97" t="inlineStr">
        <is>
          <t>{"id":"chatcmpl-DYiF4MGbbJR66kt2H8C5QEdhFV0C5","object":"chat.completion","created":1777165590,"model":"gpt-5-chat-2025-10-03","choices":[{"index":0,"message":{"role":"assistant","content":"Louis Vuitton Damier Graphite Men’s Belt, crafted from premium calfskin with signature LV metal buckle, offering a sleek, modern, and sophisticated business style for everyday elegance.","refusal":null,"annotations":[]},"logprobs":null,"finish_reason":"stop"}],"usage":{"prompt_tokens":879,"completion_tokens":36,"total_tokens":915,"prompt_tokens_details":{"cached_tokens":0,"audio_tokens":0},"completion_tokens_details":{"reasoning_tokens":0,"audio_tokens":0,"accepted_prediction_tokens":0,"rejected_prediction_tokens":0}},"service_tier":"default","system_fingerprint":"fp_ad66631dec"}</t>
        </is>
      </c>
      <c r="M97" t="inlineStr">
        <is>
          <t>{"alt-svc":"h3=\":443\"; ma=2592000","apim-request-id":"fdf4144e-1840-4e2c-a0e7-4012fe17e683","azureml-model-session":"d20260402084046-4209e968","cache-control":"no-cache","connection":"close","content-length":"995","content-type":"application/json","date":"Sun, 26 Apr 2026 01:06:31 GMT","server":"nginx","skip-error-remapping":"true","strict-transport-security":"max-age=31536000; includeSubDomains; preload","via":"1.1 Caddy","x-content-type-options":"nosniff","x-ms-client-request-id":"Not-Set","x-ms-is-spilled-over":"false","x-ms-rai-invoked":"false","x-ms-region":"Sweden Central","x-new-api-version":"0.4.35","x-oneapi-request-id":"20260426010629658098348268d9d6Y3MkI1h9","x-ratelimit-abusepenalty-active":"False","x-ratelimit-key":"gpt-5-chat-global","x-ratelimit-limit-requests":"1000","x-ratelimit-limit-tokens":"1000000","x-ratelimit-remaining-requests":"999","x-ratelimit-remaining-tokens":"998359","x-ratelimit-renewalperiod-requests":"60","x-ratelimit-renewalperiod-tokens":"60","x-ratelimit-reset-requests":"60","x-ratelimit-reset-tokens":"98","x-request-id":"07b58516-5131-4293-ad15-4af31e97ac0c"}</t>
        </is>
      </c>
      <c r="N97" t="inlineStr">
        <is>
          <t>Louis Vuitton Damier Graphite Men’s Belt, crafted from premium calfskin with signature LV metal buckle, offering a sleek, modern, and sophisticated business style for everyday elegance.</t>
        </is>
      </c>
      <c r="O97" t="inlineStr">
        <is>
          <t>{"id":"chatcmpl-DYiYdVftF8Ivnk3dyL2avPpzUULJk","object":"chat.completion","created":1777166803,"model":"gpt-5-chat-2025-10-03","choices":[{"index":0,"message":{"role":"assistant","content":"Louis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7" t="inlineStr">
        <is>
          <t>Louis Vuitton, belt, kakobuy, kakebuy2026, kekobuysheet, kakobuysheet2026, 2026kakobuy, kakobuyspreadsheeet, kakobuylink, kakebuylist, Kakobuy MEGA Spreadsheet, kakobuysheetfind, kakobuysheetfind2026, 2026kakobuysheetfind, kakobuysheet2026</t>
        </is>
      </c>
      <c r="Q97" t="inlineStr">
        <is>
          <t>LV, Business, Leather, Men, Modern, Elegant</t>
        </is>
      </c>
      <c r="R97" t="inlineStr">
        <is>
          <t>recvhju1CrcSa7</t>
        </is>
      </c>
      <c r="S97" t="inlineStr">
        <is>
          <t>louis-vuitton-damier-graphite-men-leather-belt-recvhju1crcsa7</t>
        </is>
      </c>
      <c r="T97"/>
      <c r="U97"/>
      <c r="V97"/>
      <c r="W97" t="inlineStr">
        <is>
          <t>{"id":"chatcmpl-DYhpntXgFq9sCd7a1u0ivU7ZFseQR","object":"chat.completion","created":1777164023,"model":"gpt-5-chat-2025-10-03","choices":[{"index":0,"message":{"role":"assistant","content":"Louis Vuitton：Damier Graphite灰黑格纹男士皮带，采用优质小牛皮与金属LV字母扣设计，彰显现代简约商务风格。","refusal":null,"annotations":[]},"logprobs":null,"finish_reason":"stop"}],"usage":{"prompt_tokens":1309,"completion_tokens":41,"total_tokens":1350,"prompt_tokens_details":{"cached_tokens":1280,"audio_tokens":0},"completion_tokens_details":{"reasoning_tokens":0,"audio_tokens":0,"accepted_prediction_tokens":0,"rejected_prediction_tokens":0}},"service_tier":"default","system_fingerprint":"fp_ad66631dec"}</t>
        </is>
      </c>
      <c r="X97" t="inlineStr">
        <is>
          <t>Louis Vuitton：Damier Graphite灰黑格纹男士皮带，采用优质小牛皮与金属LV字母扣设计，彰显现代简约商务风格。</t>
        </is>
      </c>
    </row>
    <row r="98" ht="25.5" customHeight="1">
      <c r="A98">
        <v>1654975475</v>
      </c>
      <c r="B98">
        <v>7619002689</v>
      </c>
      <c r="C98" s="2" t="str">
        <f>=HYPERLINK("https://weidian.com/item.html?itemID=7619002689", "https://weidian.com/item.html?itemID=7619002689")</f>
        <v>https://weidian.com/item.html?itemID=7619002689</v>
      </c>
      <c r="D98"/>
      <c r="E98" s="2" t="str">
        <f>=HYPERLINK("https://si.geilicdn.com/pcitem2014204438-62c70000019acb3c46aa0a2396f4_1080_1080.jpg?w=640&amp;h=640", "https://si.geilicdn.com/pcitem2014204438-62c70000019acb3c46aa0a2396f4_1080_1080.jpg?w=640&amp;h=640")</f>
        <v>https://si.geilicdn.com/pcitem2014204438-62c70000019acb3c46aa0a2396f4_1080_1080.jpg?w=640&amp;h=640</v>
      </c>
      <c r="F98" t="inlineStr">
        <is>
          <t>Accessories</t>
        </is>
      </c>
      <c r="G98" t="inlineStr">
        <is>
          <t>Louis Vuitton</t>
        </is>
      </c>
      <c r="H98">
        <v>460</v>
      </c>
      <c r="I98">
        <v>66.67</v>
      </c>
      <c r="J98" t="inlineStr">
        <is>
          <t>{"id":"chatcmpl-DYj31kff5XlOlWe0LBkB83fqCt49h","object":"chat.completion","created":1777168687,"model":"gpt-5-chat-2025-10-03","choices":[{"index":0,"message":{"role":"assistant","content":"Louis Vuitton Damier Graphite Black Leather Belt","refusal":null,"annotations":[]},"logprobs":null,"finish_reason":"stop"}],"usage":{"prompt_tokens":867,"completion_tokens":10,"total_tokens":877,"prompt_tokens_details":{"cached_tokens":0,"audio_tokens":0},"completion_tokens_details":{"reasoning_tokens":0,"audio_tokens":0,"accepted_prediction_tokens":0,"rejected_prediction_tokens":0}},"service_tier":"default","system_fingerprint":"fp_ad66631dec"}</t>
        </is>
      </c>
      <c r="K98" t="inlineStr">
        <is>
          <t>Louis Vuitton Damier Graphite Black Leather Belt</t>
        </is>
      </c>
      <c r="L98" t="inlineStr">
        <is>
          <t>{"id":"chatcmpl-DYiJYvG2hUlJpSjHLd2Cc8MwSMW8p","object":"chat.completion","created":1777165868,"model":"gpt-5-chat-2025-10-03","choices":[{"index":0,"message":{"role":"assistant","content":"Louis Vuitton Damier Graphite Men’s Belt in black leather with iconic checker pattern and LV metal buckle, offering timeless elegance and refined luxury for the modern gentleman.","refusal":null,"annotations":[]},"logprobs":null,"finish_reason":"stop"}],"usage":{"prompt_tokens":880,"completion_tokens":33,"total_tokens":913,"prompt_tokens_details":{"cached_tokens":0,"audio_tokens":0},"completion_tokens_details":{"reasoning_tokens":0,"audio_tokens":0,"accepted_prediction_tokens":0,"rejected_prediction_tokens":0}},"service_tier":"default","system_fingerprint":"fp_ad66631dec"}</t>
        </is>
      </c>
      <c r="M98" t="inlineStr">
        <is>
          <t>{"alt-svc":"h3=\":443\"; ma=2592000","apim-request-id":"df426ee4-e9eb-43c5-a731-b938fd12c020","azureml-model-session":"d20260402084046-4209e968","cache-control":"no-cache","connection":"close","content-length":"988","content-type":"application/json","date":"Sun, 26 Apr 2026 01:11:10 GMT","server":"Caddy","skip-error-remapping":"true","strict-transport-security":"max-age=31536000; includeSubDomains; preload","x-content-type-options":"nosniff","x-ms-client-request-id":"Not-Set","x-ms-is-spilled-over":"false","x-ms-rai-invoked":"false","x-ms-region":"Sweden Central","x-new-api-version":"0.4.35","x-oneapi-request-id":"202604260111073404331998268d9d6iyaTdwuJ","x-ratelimit-abusepenalty-active":"False","x-ratelimit-key":"gpt-5-chat-global","x-ratelimit-limit-requests":"1000","x-ratelimit-limit-tokens":"1000000","x-ratelimit-remaining-requests":"999","x-ratelimit-remaining-tokens":"998358","x-ratelimit-renewalperiod-requests":"60","x-ratelimit-renewalperiod-tokens":"60","x-ratelimit-reset-requests":"60","x-ratelimit-reset-tokens":"98","x-request-id":"b2327e94-80bc-4977-8b4f-12c435715a60"}</t>
        </is>
      </c>
      <c r="N98" t="inlineStr">
        <is>
          <t>Louis Vuitton Damier Graphite Men’s Belt in black leather with iconic checker pattern and LV metal buckle, offering timeless elegance and refined luxury for the modern gentleman.</t>
        </is>
      </c>
      <c r="O98" t="inlineStr">
        <is>
          <t>{"id":"chatcmpl-DYiV8oLOldPuOOMzmbC6N98EFaDhw","object":"chat.completion","created":1777166586,"model":"gpt-5-chat-2025-10-03","choices":[{"index":0,"message":{"role":"assistant","content":"Louis Vuitton,Belt,kakobuy,kakebuy2026,kekobuysheet,kakobuysheet2026,2026kakobuy,kakobuyspreadsheeet,kakobuylink,kakebuylist,Kakobuy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98" t="inlineStr">
        <is>
          <t>Louis Vuitton,Belt,kakobuy,kakebuy2026,kekobuysheet,kakobuysheet2026,2026kakobuy,kakobuyspreadsheeet,kakobuylink,kakebuylist,Kakobuy MEGA Spreadsheet,kakobuysheetfind,kakobuysheetfind2026,2026kakobuysheetfind,kakobuysheet2026</t>
        </is>
      </c>
      <c r="Q98" t="inlineStr">
        <is>
          <t>LV, Leather, Black, Elegant, Men</t>
        </is>
      </c>
      <c r="R98" t="inlineStr">
        <is>
          <t>recvhju1CreNRp</t>
        </is>
      </c>
      <c r="S98" t="inlineStr">
        <is>
          <t>louis-vuitton-damier-graphite-black-leather-belt-recvhju1crenrp</t>
        </is>
      </c>
      <c r="T98"/>
      <c r="U98"/>
      <c r="V98"/>
      <c r="W98" t="inlineStr">
        <is>
          <t>{"id":"chatcmpl-DYhtNLqIn3bxvuhejHynqROScDMfp","object":"chat.completion","created":1777164245,"model":"gpt-5-chat-2025-10-03","choices":[{"index":0,"message":{"role":"assistant","content":"Louis Vuitton：Damier Graphite黑色皮质男士腰带，经典棋盘格纹搭配LV金属扣设计，低调奢华，彰显绅士格调。","refusal":null,"annotations":[]},"logprobs":null,"finish_reason":"stop"}],"usage":{"prompt_tokens":1305,"completion_tokens":44,"total_tokens":1349,"prompt_tokens_details":{"cached_tokens":0,"audio_tokens":0},"completion_tokens_details":{"reasoning_tokens":0,"audio_tokens":0,"accepted_prediction_tokens":0,"rejected_prediction_tokens":0}},"service_tier":"default","system_fingerprint":"fp_ad66631dec"}</t>
        </is>
      </c>
      <c r="X98" t="inlineStr">
        <is>
          <t>Louis Vuitton：Damier Graphite黑色皮质男士腰带，经典棋盘格纹搭配LV金属扣设计，低调奢华，彰显绅士格调。</t>
        </is>
      </c>
    </row>
    <row r="99" ht="25.5" customHeight="1">
      <c r="A99">
        <v>1654975475</v>
      </c>
      <c r="B99">
        <v>7622048942</v>
      </c>
      <c r="C99" s="2" t="str">
        <f>=HYPERLINK("https://weidian.com/item.html?itemID=7622048942", "https://weidian.com/item.html?itemID=7622048942")</f>
        <v>https://weidian.com/item.html?itemID=7622048942</v>
      </c>
      <c r="D99"/>
      <c r="E99" s="2" t="str">
        <f>=HYPERLINK("https://si.geilicdn.com/pcitem2014204438-43b90000019acb0b62c40a231177_1440_1920.jpg?w=640&amp;h=640", "https://si.geilicdn.com/pcitem2014204438-43b90000019acb0b62c40a231177_1440_1920.jpg?w=640&amp;h=640")</f>
        <v>https://si.geilicdn.com/pcitem2014204438-43b90000019acb0b62c40a231177_1440_1920.jpg?w=640&amp;h=640</v>
      </c>
      <c r="F99" t="inlineStr">
        <is>
          <t>Accessories</t>
        </is>
      </c>
      <c r="G99" t="inlineStr">
        <is>
          <t>Gucci</t>
        </is>
      </c>
      <c r="H99">
        <v>460</v>
      </c>
      <c r="I99">
        <v>66.67</v>
      </c>
      <c r="J99" t="inlineStr">
        <is>
          <t>{"id":"chatcmpl-DYiwP6JVfCDkeQ7bn0E0P6VmNrcmf","object":"chat.completion","created":1777168277,"model":"gpt-5-chat-2025-10-03","choices":[{"index":0,"message":{"role":"assistant","content":"Gucci Grey GG Leather Belt Double G Buckle Unisex","refusal":null,"annotations":[]},"logprobs":null,"finish_reason":"stop"}],"usage":{"prompt_tokens":863,"completion_tokens":13,"total_tokens":876,"prompt_tokens_details":{"cached_tokens":0,"audio_tokens":0},"completion_tokens_details":{"reasoning_tokens":0,"audio_tokens":0,"accepted_prediction_tokens":0,"rejected_prediction_tokens":0}},"service_tier":"default","system_fingerprint":"fp_ad66631dec"}</t>
        </is>
      </c>
      <c r="K99" t="inlineStr">
        <is>
          <t>Gucci Grey GG Leather Belt Double G Buckle Unisex</t>
        </is>
      </c>
      <c r="L99" t="inlineStr">
        <is>
          <t>{"id":"chatcmpl-DYiBttsMIWMVPZBSfCiDRjKsFTbI4","object":"chat.completion","created":1777165393,"model":"gpt-5-chat-2025-10-03","choices":[{"index":0,"message":{"role":"assistant","content":"Gucci Grey GG Jacquard Leather Belt with iconic Double G buckle, Italian minimalist design, unisex luxury accessory combining timeless elegance and modern sophistication.","refusal":null,"annotations":[]},"logprobs":null,"finish_reason":"stop"}],"usage":{"prompt_tokens":878,"completion_tokens":31,"total_tokens":909,"prompt_tokens_details":{"cached_tokens":0,"audio_tokens":0},"completion_tokens_details":{"reasoning_tokens":0,"audio_tokens":0,"accepted_prediction_tokens":0,"rejected_prediction_tokens":0}},"service_tier":"default","system_fingerprint":"fp_ad66631dec"}</t>
        </is>
      </c>
      <c r="M99" t="inlineStr">
        <is>
          <t>{"alt-svc":"h3=\":443\"; ma=2592000","apim-request-id":"dc3f71ed-a609-4b11-906b-8d07d35b2193","azureml-model-session":"d20260402074105-51db401e","cache-control":"no-cache","connection":"close","content-length":"978","content-type":"application/json","date":"Sun, 26 Apr 2026 01:03:14 GMT","server":"Caddy","skip-error-remapping":"true","strict-transport-security":"max-age=31536000; includeSubDomains; preload","x-content-type-options":"nosniff","x-ms-client-request-id":"Not-Set","x-ms-is-spilled-over":"false","x-ms-rai-invoked":"false","x-ms-region":"East US","x-new-api-version":"0.4.35","x-oneapi-request-id":"202604260103122381028808268d9d6s75Np50O","x-ratelimit-abusepenalty-active":"False","x-ratelimit-limit-requests":"1000","x-ratelimit-limit-tokens":"1000000","x-ratelimit-remaining-requests":"999","x-ratelimit-remaining-tokens":"998360","x-ratelimit-renewalperiod-requests":"60","x-ratelimit-renewalperiod-tokens":"60","x-ratelimit-reset-requests":"60","x-ratelimit-reset-tokens":"98","x-request-id":"8e164801-f1da-440a-af8a-82395f58b6db"}</t>
        </is>
      </c>
      <c r="N99" t="inlineStr">
        <is>
          <t>Gucci Grey GG Jacquard Leather Belt with iconic Double G buckle, Italian minimalist design, unisex luxury accessory combining timeless elegance and modern sophistication.</t>
        </is>
      </c>
      <c r="O99" t="inlineStr">
        <is>
          <t>{"id":"chatcmpl-DYiVkPiJ9bobvc1xAVuvOUuK9G4mk","object":"chat.completion","created":1777166624,"model":"gpt-5-chat-2025-10-03","choices":[{"index":0,"message":{"role":"assistant","content":"Gucci,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99" t="inlineStr">
        <is>
          <t>Gucci, belt, kakobuy, kakebuy2026, kekobuysheet, kakobuysheet2026, 2026kakobuy, kakobuyspreadsheeet, kakobuylink, kakebuylist, Kakobuy MEGA Spreadsheet, kakobuysheetfind, kakobuysheetfind2026, 2026kakobuysheetfind, kakobuysheet2026</t>
        </is>
      </c>
      <c r="Q99" t="inlineStr">
        <is>
          <t>Grey, Leather, Minimalist, Unisex, Elegant</t>
        </is>
      </c>
      <c r="R99" t="inlineStr">
        <is>
          <t>recvhju1CrbZXK</t>
        </is>
      </c>
      <c r="S99" t="inlineStr">
        <is>
          <t>gucci-grey-gg-leather-belt-double-g-buckle-unisex-recvhju1crbzxk</t>
        </is>
      </c>
      <c r="T99"/>
      <c r="U99"/>
      <c r="V99"/>
      <c r="W99" t="inlineStr">
        <is>
          <t>{"id":"chatcmpl-DYhtSSGeWOz1ksObaUNl6gKe4A6xq","object":"chat.completion","created":1777164250,"model":"gpt-5-chat-2025-10-03","choices":[{"index":0,"message":{"role":"assistant","content":"Gucci：灰色GG提花皮革腰带，经典双G金属扣设计，意式极简风格，男女通用，彰显高级质感与永恒格调。","refusal":null,"annotations":[]},"logprobs":null,"finish_reason":"stop"}],"usage":{"prompt_tokens":1301,"completion_tokens":44,"total_tokens":1345,"prompt_tokens_details":{"cached_tokens":0,"audio_tokens":0},"completion_tokens_details":{"reasoning_tokens":0,"audio_tokens":0,"accepted_prediction_tokens":0,"rejected_prediction_tokens":0}},"service_tier":"default","system_fingerprint":"fp_ad66631dec"}</t>
        </is>
      </c>
      <c r="X99" t="inlineStr">
        <is>
          <t>Gucci：灰色GG提花皮革腰带，经典双G金属扣设计，意式极简风格，男女通用，彰显高级质感与永恒格调。</t>
        </is>
      </c>
    </row>
    <row r="100" ht="25.5" customHeight="1">
      <c r="A100">
        <v>1654975475</v>
      </c>
      <c r="B100">
        <v>7621993558</v>
      </c>
      <c r="C100" s="2" t="str">
        <f>=HYPERLINK("https://weidian.com/item.html?itemID=7621993558", "https://weidian.com/item.html?itemID=7621993558")</f>
        <v>https://weidian.com/item.html?itemID=7621993558</v>
      </c>
      <c r="D100"/>
      <c r="E100" s="2" t="str">
        <f>=HYPERLINK("https://si.geilicdn.com/pcitem2014204438-62040000019acb2e0f5d0a23047e_1512_2016.jpg?w=640&amp;h=640", "https://si.geilicdn.com/pcitem2014204438-62040000019acb2e0f5d0a23047e_1512_2016.jpg?w=640&amp;h=640")</f>
        <v>https://si.geilicdn.com/pcitem2014204438-62040000019acb2e0f5d0a23047e_1512_2016.jpg?w=640&amp;h=640</v>
      </c>
      <c r="F100" t="inlineStr">
        <is>
          <t>Accessories</t>
        </is>
      </c>
      <c r="G100" t="inlineStr">
        <is>
          <t>Louis Vuitton</t>
        </is>
      </c>
      <c r="H100">
        <v>460</v>
      </c>
      <c r="I100">
        <v>66.67</v>
      </c>
      <c r="J100" t="inlineStr">
        <is>
          <t>{"id":"chatcmpl-DYj2DR6W4LSD2qKN8W9MVMt0P65qm","object":"chat.completion","created":1777168637,"model":"gpt-5-chat-2025-10-03","choices":[{"index":0,"message":{"role":"assistant","content":"Louis Vuitton Reversible Leather Belt Brown Black LV Buckle","refusal":null,"annotations":[]},"logprobs":null,"finish_reason":"stop"}],"usage":{"prompt_tokens":865,"completion_tokens":12,"total_tokens":877,"prompt_tokens_details":{"cached_tokens":0,"audio_tokens":0},"completion_tokens_details":{"reasoning_tokens":0,"audio_tokens":0,"accepted_prediction_tokens":0,"rejected_prediction_tokens":0}},"service_tier":"default","system_fingerprint":"fp_ad66631dec"}</t>
        </is>
      </c>
      <c r="K100" t="inlineStr">
        <is>
          <t>Louis Vuitton Reversible Leather Belt Brown Black LV Buckle</t>
        </is>
      </c>
      <c r="L100" t="inlineStr">
        <is>
          <t>{"id":"chatcmpl-DYiKYNDZfI0BCsc5K1y8HUd8NVKKe","object":"chat.completion","created":1777165930,"model":"gpt-5-chat-2025-10-03","choices":[{"index":0,"message":{"role":"assistant","content":"Louis Vuitton Classic Reversible Pebbled Leather Belt, dark brown and black design with metal LV buckle, unisex luxury style perfect for business or casual wear.","refusal":null,"annotations":[]},"logprobs":null,"finish_reason":"stop"}],"usage":{"prompt_tokens":902,"completion_tokens":32,"total_tokens":934,"prompt_tokens_details":{"cached_tokens":0,"audio_tokens":0},"completion_tokens_details":{"reasoning_tokens":0,"audio_tokens":0,"accepted_prediction_tokens":0,"rejected_prediction_tokens":0}},"service_tier":"default","system_fingerprint":"fp_ad66631dec"}</t>
        </is>
      </c>
      <c r="M100" t="inlineStr">
        <is>
          <t>{"alt-svc":"h3=\":443\"; ma=2592000","apim-request-id":"4a9e6ec9-1957-45e8-b0f9-d042d969fa0e","azureml-model-session":"d20260405225800-40f19e54","cache-control":"no-cache","connection":"close","content-length":"969","content-type":"application/json","date":"Sun, 26 Apr 2026 01:12:11 GMT","server":"nginx","skip-error-remapping":"true","strict-transport-security":"max-age=31536000; includeSubDomains; preload","via":"1.1 Caddy","x-content-type-options":"nosniff","x-ms-client-request-id":"Not-Set","x-ms-is-spilled-over":"false","x-ms-rai-invoked":"false","x-ms-region":"East US 2","x-new-api-version":"0.4.35","x-oneapi-request-id":"20260426011209360328278268d9d6DoztZdCf","x-ratelimit-abusepenalty-active":"False","x-ratelimit-limit-requests":"1000","x-ratelimit-limit-tokens":"1000000","x-ratelimit-remaining-requests":"999","x-ratelimit-remaining-tokens":"998336","x-ratelimit-renewalperiod-requests":"60","x-ratelimit-renewalperiod-tokens":"60","x-ratelimit-reset-requests":"60","x-ratelimit-reset-tokens":"99","x-request-id":"383bbad2-b7fe-4db7-a91f-03a745e889a9"}</t>
        </is>
      </c>
      <c r="N100" t="inlineStr">
        <is>
          <t>Louis Vuitton Classic Reversible Pebbled Leather Belt, dark brown and black design with metal LV buckle, unisex luxury style perfect for business or casual wear.</t>
        </is>
      </c>
      <c r="O100" t="inlineStr">
        <is>
          <t>{"id":"chatcmpl-DYiTl39EvZzNtWFvF271nFVltuAvC","object":"chat.completion","created":1777166501,"model":"gpt-5-chat-2025-10-03","choices":[{"index":0,"message":{"role":"assistant","content":"Louis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0" t="inlineStr">
        <is>
          <t>Louis Vuitton, Accessories, kakobuy, kakebuy2026, kekobuysheet, kakobuysheet2026, 2026kakobuy, kakobuyspreadsheeet, kakobuylink, kakebuylist, Kakobuy MEGA Spreadsheet, kakobuysheetfind, kakobuysheetfind2026, 2026kakobuysheetfind, kakobuysheet2026</t>
        </is>
      </c>
      <c r="Q100" t="inlineStr">
        <is>
          <t>LV, Leather, Dark Brown, Black, Unisex, Business Casual</t>
        </is>
      </c>
      <c r="R100" t="inlineStr">
        <is>
          <t>recvhju1CrfBIT</t>
        </is>
      </c>
      <c r="S100" t="inlineStr">
        <is>
          <t>louis-vuitton-reversible-leather-belt-recvhju1crfbit</t>
        </is>
      </c>
      <c r="T100"/>
      <c r="U100"/>
      <c r="V100"/>
      <c r="W100" t="inlineStr">
        <is>
          <t>{"id":"chatcmpl-DYhqxB72e7mVYi6C4GhLLSd7eh37b","object":"chat.completion","created":1777164095,"model":"gpt-5-chat-2025-10-03","choices":[{"index":0,"message":{"role":"assistant","content":"Louis Vuitton：经典双面荔枝纹皮革腰带，深棕配黑色设计，搭配金属LV字母扣，简约奢华格调，男女皆宜，彰显法式高定优雅，适合商务与休闲多场合佩戴。","refusal":null,"annotations":[]},"logprobs":null,"finish_reason":"stop"}],"usage":{"prompt_tokens":1305,"completion_tokens":66,"total_tokens":1371,"prompt_tokens_details":{"cached_tokens":1280,"audio_tokens":0},"completion_tokens_details":{"reasoning_tokens":0,"audio_tokens":0,"accepted_prediction_tokens":0,"rejected_prediction_tokens":0}},"service_tier":"default","system_fingerprint":"fp_ad66631dec"}</t>
        </is>
      </c>
      <c r="X100" t="inlineStr">
        <is>
          <t>Louis Vuitton：经典双面荔枝纹皮革腰带，深棕配黑色设计，搭配金属LV字母扣，简约奢华格调，男女皆宜，彰显法式高定优雅，适合商务与休闲多场合佩戴。</t>
        </is>
      </c>
    </row>
    <row r="101" ht="25.5" customHeight="1">
      <c r="A101">
        <v>1654975475</v>
      </c>
      <c r="B101">
        <v>7619143795</v>
      </c>
      <c r="C101" s="2" t="str">
        <f>=HYPERLINK("https://weidian.com/item.html?itemID=7619143795", "https://weidian.com/item.html?itemID=7619143795")</f>
        <v>https://weidian.com/item.html?itemID=7619143795</v>
      </c>
      <c r="D101"/>
      <c r="E101" s="2" t="str">
        <f>=HYPERLINK("https://si.geilicdn.com/pcitem2014204438-1c8d0000019acb0d31070a231316_1442_1922.jpg?w=640&amp;h=640", "https://si.geilicdn.com/pcitem2014204438-1c8d0000019acb0d31070a231316_1442_1922.jpg?w=640&amp;h=640")</f>
        <v>https://si.geilicdn.com/pcitem2014204438-1c8d0000019acb0d31070a231316_1442_1922.jpg?w=640&amp;h=640</v>
      </c>
      <c r="F101" t="inlineStr">
        <is>
          <t>Accessories</t>
        </is>
      </c>
      <c r="G101" t="inlineStr">
        <is>
          <t>Salvatore Ferragamo</t>
        </is>
      </c>
      <c r="H101">
        <v>460</v>
      </c>
      <c r="I101">
        <v>66.67</v>
      </c>
      <c r="J101" t="inlineStr">
        <is>
          <t>{"id":"chatcmpl-DYixpIygkOikWpPVxWISfLgjUPrfd","object":"chat.completion","created":1777168365,"model":"gpt-5-chat-2025-10-03","choices":[{"index":0,"message":{"role":"assistant","content":"Salvatore Ferragamo Black Reversible Leather Belt","refusal":null,"annotations":[]},"logprobs":null,"finish_reason":"stop"}],"usage":{"prompt_tokens":870,"completion_tokens":11,"total_tokens":881,"prompt_tokens_details":{"cached_tokens":0,"audio_tokens":0},"completion_tokens_details":{"reasoning_tokens":0,"audio_tokens":0,"accepted_prediction_tokens":0,"rejected_prediction_tokens":0}},"service_tier":"default","system_fingerprint":"fp_ad66631dec"}</t>
        </is>
      </c>
      <c r="K101" t="inlineStr">
        <is>
          <t>Salvatore Ferragamo Black Reversible Leather Belt</t>
        </is>
      </c>
      <c r="L101" t="inlineStr">
        <is>
          <t>{"id":"chatcmpl-DYiIjL3UGoYMsgCTb2ct58MQzcGf6","object":"chat.completion","created":1777165817,"model":"gpt-5-chat-2025-10-03","choices":[{"index":0,"message":{"role":"assistant","content":"Salvatore Ferragamo black reversible calfskin belt, Italian grain leather with silver Gancini buckle, exuding timeless elegance for both business and casual wear.","refusal":null,"annotations":[]},"logprobs":null,"finish_reason":"stop"}],"usage":{"prompt_tokens":890,"completion_tokens":33,"total_tokens":923,"prompt_tokens_details":{"cached_tokens":0,"audio_tokens":0},"completion_tokens_details":{"reasoning_tokens":0,"audio_tokens":0,"accepted_prediction_tokens":0,"rejected_prediction_tokens":0}},"service_tier":"default","system_fingerprint":"fp_ad66631dec"}</t>
        </is>
      </c>
      <c r="M101" t="inlineStr">
        <is>
          <t>{"alt-svc":"h3=\":443\"; ma=2592000","apim-request-id":"5202f3f4-4fc0-463a-88a5-24a85ac543aa","azureml-model-session":"d20260405225800-40f19e54","cache-control":"no-cache","connection":"close","content-length":"970","content-type":"application/json","date":"Sun, 26 Apr 2026 01:10:18 GMT","server":"nginx","skip-error-remapping":"true","strict-transport-security":"max-age=31536000; includeSubDomains; preload","via":"1.1 Caddy","x-content-type-options":"nosniff","x-ms-client-request-id":"Not-Set","x-ms-is-spilled-over":"false","x-ms-rai-invoked":"false","x-ms-region":"Japan East","x-new-api-version":"0.4.35","x-oneapi-request-id":"202604260110161982646388268d9d6653wUi2t","x-ratelimit-abusepenalty-active":"False","x-ratelimit-limit-requests":"1000","x-ratelimit-limit-tokens":"1000000","x-ratelimit-remaining-requests":"999","x-ratelimit-remaining-tokens":"998348","x-ratelimit-renewalperiod-requests":"60","x-ratelimit-renewalperiod-tokens":"60","x-ratelimit-reset-requests":"60","x-ratelimit-reset-tokens":"99","x-request-id":"b7388d4c-9d61-4ce4-af67-304ebce0e7dd"}</t>
        </is>
      </c>
      <c r="N101" t="inlineStr">
        <is>
          <t>Salvatore Ferragamo black reversible calfskin belt, Italian grain leather with silver Gancini buckle, exuding timeless elegance for both business and casual wear.</t>
        </is>
      </c>
      <c r="O101" t="inlineStr">
        <is>
          <t>{"id":"chatcmpl-DYiTsW25vKvsYw04bFLHw6Qm9ygOB","object":"chat.completion","created":1777166508,"model":"gpt-5-chat-2025-10-03","choices":[{"index":0,"message":{"role":"assistant","content":"Salvatore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01" t="inlineStr">
        <is>
          <t>Salvatore Ferragamo, Accessories, kakobuy, kakebuy2026, kekobuysheet, kakobuysheet2026, 2026kakobuy, kakobuyspreadsheeet, kakobuylink, kakebuylist, Kakobuy MEGA Spreadsheet, kakobuysheetfind, kakobuysheetfind2026, 2026kakobuysheetfind, kakobuysheet2026</t>
        </is>
      </c>
      <c r="Q101"/>
      <c r="R101" t="inlineStr">
        <is>
          <t>recvhju1CrdCFT</t>
        </is>
      </c>
      <c r="S101" t="inlineStr">
        <is>
          <t>ferragamo-black-reversible-leather-belt-recvhju1crdcft</t>
        </is>
      </c>
      <c r="T101"/>
      <c r="U101"/>
      <c r="V101"/>
      <c r="W101" t="inlineStr">
        <is>
          <t>{"id":"chatcmpl-DYhrv05hPTUAPJ8DxD2EaTtcLGWuY","object":"chat.completion","created":1777164155,"model":"gpt-5-chat-2025-10-03","choices":[{"index":0,"message":{"role":"assistant","content":"Salvatore Ferragamo：黑色双面牛皮皮带，意大利进口粒面纹理，搭配银色Gancini标志扣设计，彰显经典优雅格调，男士商务休闲皆宜。","refusal":null,"annotations":[]},"logprobs":null,"finish_reason":"stop"}],"usage":{"prompt_tokens":1309,"completion_tokens":52,"total_tokens":1361,"prompt_tokens_details":{"cached_tokens":1280,"audio_tokens":0},"completion_tokens_details":{"reasoning_tokens":0,"audio_tokens":0,"accepted_prediction_tokens":0,"rejected_prediction_tokens":0}},"service_tier":"default","system_fingerprint":"fp_ad66631dec"}</t>
        </is>
      </c>
      <c r="X101" t="inlineStr">
        <is>
          <t>Salvatore Ferragamo：黑色双面牛皮皮带，意大利进口粒面纹理，搭配银色Gancini标志扣设计，彰显经典优雅格调，男士商务休闲皆宜。</t>
        </is>
      </c>
    </row>
    <row r="102" ht="25.5" customHeight="1">
      <c r="A102">
        <v>1654975475</v>
      </c>
      <c r="B102">
        <v>7619038381</v>
      </c>
      <c r="C102" s="2" t="str">
        <f>=HYPERLINK("https://weidian.com/item.html?itemID=7619038381", "https://weidian.com/item.html?itemID=7619038381")</f>
        <v>https://weidian.com/item.html?itemID=7619038381</v>
      </c>
      <c r="D102"/>
      <c r="E102" s="2" t="str">
        <f>=HYPERLINK("https://si.geilicdn.com/pcitem2014204438-16c80000019acaff31ed0a231316_1080_1080.jpg?w=640&amp;h=640", "https://si.geilicdn.com/pcitem2014204438-16c80000019acaff31ed0a231316_1080_1080.jpg?w=640&amp;h=640")</f>
        <v>https://si.geilicdn.com/pcitem2014204438-16c80000019acaff31ed0a231316_1080_1080.jpg?w=640&amp;h=640</v>
      </c>
      <c r="F102" t="inlineStr">
        <is>
          <t>Accessories</t>
        </is>
      </c>
      <c r="G102" t="inlineStr">
        <is>
          <t>Montblanc</t>
        </is>
      </c>
      <c r="H102">
        <v>460</v>
      </c>
      <c r="I102">
        <v>66.67</v>
      </c>
      <c r="J102" t="inlineStr">
        <is>
          <t>{"id":"chatcmpl-DYizGXZU4TL7WPu4unbG8xkkTK33I","object":"chat.completion","created":1777168454,"model":"gpt-5-chat-2025-10-03","choices":[{"index":0,"message":{"role":"assistant","content":"Montblanc Black Leather Automatic Buckle Belt 3.5cm","refusal":null,"annotations":[]},"logprobs":null,"finish_reason":"stop"}],"usage":{"prompt_tokens":882,"completion_tokens":15,"total_tokens":897,"prompt_tokens_details":{"cached_tokens":0,"audio_tokens":0},"completion_tokens_details":{"reasoning_tokens":0,"audio_tokens":0,"accepted_prediction_tokens":0,"rejected_prediction_tokens":0}},"service_tier":"default","system_fingerprint":"fp_ad66631dec"}</t>
        </is>
      </c>
      <c r="K102" t="inlineStr">
        <is>
          <t>Montblanc Black Leather Automatic Buckle Belt 3.5cm</t>
        </is>
      </c>
      <c r="L102" t="inlineStr">
        <is>
          <t>{"id":"chatcmpl-DYiHwXmQFtAlf9oXxYpCaLODh6ZzR","object":"chat.completion","created":1777165768,"model":"gpt-5-chat-2025-10-03","choices":[{"index":0,"message":{"role":"assistant","content":"Montblanc Black Leather Automatic Buckle Belt 3.5cm – Crafted from premium calfskin with a silver geometric metal buckle and iconic star emblem, showcasing timeless elegance and modern business style.","refusal":null,"annotations":[]},"logprobs":null,"finish_reason":"stop"}],"usage":{"prompt_tokens":918,"completion_tokens":40,"total_tokens":958,"prompt_tokens_details":{"cached_tokens":0,"audio_tokens":0},"completion_tokens_details":{"reasoning_tokens":0,"audio_tokens":0,"accepted_prediction_tokens":0,"rejected_prediction_tokens":0}},"service_tier":"default","system_fingerprint":"fp_ad66631dec"}</t>
        </is>
      </c>
      <c r="M102" t="inlineStr">
        <is>
          <t>{"alt-svc":"h3=\":443\"; ma=2592000","apim-request-id":"0ba95092-b6f8-4678-b732-1c8d5c36cc07","azureml-model-session":"d20260405225800-40f19e54","cache-control":"no-cache","connection":"close","content-length":"1010","content-type":"application/json","date":"Sun, 26 Apr 2026 01:09:30 GMT","server":"Caddy","skip-error-remapping":"true","strict-transport-security":"max-age=31536000; includeSubDomains; preload","x-content-type-options":"nosniff","x-ms-client-request-id":"Not-Set","x-ms-is-spilled-over":"false","x-ms-rai-invoked":"false","x-ms-region":"Australia East","x-new-api-version":"0.4.35","x-oneapi-request-id":"202604260109263980574438268d9d6OzWCc0j4","x-ratelimit-abusepenalty-active":"False","x-ratelimit-limit-requests":"1000","x-ratelimit-limit-tokens":"1000000","x-ratelimit-remaining-requests":"999","x-ratelimit-remaining-tokens":"998320","x-ratelimit-renewalperiod-requests":"60","x-ratelimit-renewalperiod-tokens":"60","x-ratelimit-reset-requests":"60","x-ratelimit-reset-tokens":"100","x-request-id":"837d0133-1399-4015-b8be-f7247d63fdfc"}</t>
        </is>
      </c>
      <c r="N102" t="inlineStr">
        <is>
          <t>Montblanc Black Leather Automatic Buckle Belt 3.5cm – Crafted from premium calfskin with a silver geometric metal buckle and iconic star emblem, showcasing timeless elegance and modern business style.</t>
        </is>
      </c>
      <c r="O102" t="inlineStr">
        <is>
          <t>{"id":"chatcmpl-DYiXu8sP17kPooAtEZpXF859ttGfY","object":"chat.completion","created":1777166758,"model":"gpt-5-chat-2025-10-03","choices":[{"index":0,"message":{"role":"assistant","content":"Montblanc,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783,"completion_tokens":92,"total_tokens":875,"prompt_tokens_details":{"cached_tokens":0,"audio_tokens":0},"completion_tokens_details":{"reasoning_tokens":0,"audio_tokens":0,"accepted_prediction_tokens":0,"rejected_prediction_tokens":0}},"service_tier":"default","system_fingerprint":"fp_ad66631dec"}</t>
        </is>
      </c>
      <c r="P102" t="inlineStr">
        <is>
          <t>Montblanc, Belt, kakobuy, kakebuy2026, kekobuysheet, kakobuysheet2026, 2026kakobuy, kakobuyspreadsheeet, kakobuylink, kakebuylist, Kakobuy MEGA Spreadsheet, kakobuysheetfind, kakobuysheetfind2026, 2026kakobuysheetfind, kakobuysheet2026</t>
        </is>
      </c>
      <c r="Q102" t="inlineStr">
        <is>
          <t>Leather, Business, Business Formal, Elegant, Black, Silver</t>
        </is>
      </c>
      <c r="R102" t="inlineStr">
        <is>
          <t>recvhju1CrcH1a</t>
        </is>
      </c>
      <c r="S102" t="inlineStr">
        <is>
          <t>montblanc-black-leather-automatic-buckle-belt-3-5cm-recvhju1crcH1a</t>
        </is>
      </c>
      <c r="T102"/>
      <c r="U102"/>
      <c r="V102"/>
      <c r="W102" t="inlineStr">
        <is>
          <t>{"id":"chatcmpl-DYhrh0FdzZdzkJbIKUA2I3OqqsFuU","object":"chat.completion","created":1777164141,"model":"gpt-5-chat-2025-10-03","choices":[{"index":0,"message":{"role":"assistant","content":"Montblanc：黑色自动扣皮革腰带，甄选优质小牛皮材质，搭配银色几何纹理金属扣头及品牌六角星徽标，彰显经典商务风格。3.5cm宽设计，简约大气，男士必备时尚单品，匠心品质与现代优雅完美融合。","refusal":null,"annotations":[]},"logprobs":null,"finish_reason":"stop"}],"usage":{"prompt_tokens":1299,"completion_tokens":85,"total_tokens":1384,"prompt_tokens_details":{"cached_tokens":0,"audio_tokens":0},"completion_tokens_details":{"reasoning_tokens":0,"audio_tokens":0,"accepted_prediction_tokens":0,"rejected_prediction_tokens":0}},"service_tier":"default","system_fingerprint":"fp_ad66631dec"}</t>
        </is>
      </c>
      <c r="X102" t="inlineStr">
        <is>
          <t>Montblanc：黑色自动扣皮革腰带，甄选优质小牛皮材质，搭配银色几何纹理金属扣头及品牌六角星徽标，彰显经典商务风格。3.5cm宽设计，简约大气，男士必备时尚单品，匠心品质与现代优雅完美融合。</t>
        </is>
      </c>
    </row>
    <row r="103" ht="25.5" customHeight="1">
      <c r="A103">
        <v>1654975475</v>
      </c>
      <c r="B103">
        <v>7622088432</v>
      </c>
      <c r="C103" s="2" t="str">
        <f>=HYPERLINK("https://weidian.com/item.html?itemID=7622088432", "https://weidian.com/item.html?itemID=7622088432")</f>
        <v>https://weidian.com/item.html?itemID=7622088432</v>
      </c>
      <c r="D103"/>
      <c r="E103" s="2" t="str">
        <f>=HYPERLINK("https://si.geilicdn.com/pcitem2014204438-4c5a0000019acb0425d40a2102c5_1728_2304.jpg?w=640&amp;h=640", "https://si.geilicdn.com/pcitem2014204438-4c5a0000019acb0425d40a2102c5_1728_2304.jpg?w=640&amp;h=640")</f>
        <v>https://si.geilicdn.com/pcitem2014204438-4c5a0000019acb0425d40a2102c5_1728_2304.jpg?w=640&amp;h=640</v>
      </c>
      <c r="F103" t="inlineStr">
        <is>
          <t>Accessories</t>
        </is>
      </c>
      <c r="G103" t="inlineStr">
        <is>
          <t>Gucci</t>
        </is>
      </c>
      <c r="H103">
        <v>490</v>
      </c>
      <c r="I103">
        <v>71.01</v>
      </c>
      <c r="J103" t="inlineStr">
        <is>
          <t>{"id":"chatcmpl-DYiz7kKWKqX7vwnZVk8ZOK48UA6Wj","object":"chat.completion","created":1777168445,"model":"gpt-5-chat-2025-10-03","choices":[{"index":0,"message":{"role":"assistant","content":"Gucci Black Leather Belt Silver GG Buckle","refusal":null,"annotations":[]},"logprobs":null,"finish_reason":"stop"}],"usage":{"prompt_tokens":891,"completion_tokens":10,"total_tokens":901,"prompt_tokens_details":{"cached_tokens":0,"audio_tokens":0},"completion_tokens_details":{"reasoning_tokens":0,"audio_tokens":0,"accepted_prediction_tokens":0,"rejected_prediction_tokens":0}},"service_tier":"default","system_fingerprint":"fp_ad66631dec"}</t>
        </is>
      </c>
      <c r="K103" t="inlineStr">
        <is>
          <t>Gucci Black Leather Belt Silver GG Buckle</t>
        </is>
      </c>
      <c r="L103" t="inlineStr">
        <is>
          <t>{"id":"chatcmpl-DYiDxYgy6OPNeYJYjKR20Uudb9xbb","object":"chat.completion","created":1777165521,"model":"gpt-5-chat-2025-10-03","choices":[{"index":0,"message":{"role":"assistant","content":"Gucci Black Luxury Leather Belt with 3D Double G Embossed Design and Silver Metal Openwork Buckle, Unisex Minimalist Modern Style, Showcasing Italian Haute Couture Elegance and Timeless Charm.","refusal":null,"annotations":[]},"logprobs":null,"finish_reason":"stop"}],"usage":{"prompt_tokens":900,"completion_tokens":45,"total_tokens":945,"prompt_tokens_details":{"cached_tokens":0,"audio_tokens":0},"completion_tokens_details":{"reasoning_tokens":0,"audio_tokens":0,"accepted_prediction_tokens":0,"rejected_prediction_tokens":0}},"service_tier":"default","system_fingerprint":"fp_ad66631dec"}</t>
        </is>
      </c>
      <c r="M103" t="inlineStr">
        <is>
          <t>{"alt-svc":"h3=\":443\"; ma=2592000","apim-request-id":"8971d953-d1ee-4e7d-ba0e-15f77413d5f3","azureml-model-session":"d20260402084046-4209e968","cache-control":"no-cache","connection":"close","content-length":"1000","content-type":"application/json","date":"Sun, 26 Apr 2026 01:05:21 GMT","server":"Caddy","skip-error-remapping":"true","strict-transport-security":"max-age=31536000; includeSubDomains; preload","x-content-type-options":"nosniff","x-ms-client-request-id":"Not-Set","x-ms-is-spilled-over":"false","x-ms-rai-invoked":"false","x-ms-region":"East US","x-new-api-version":"0.4.35","x-oneapi-request-id":"20260426010520180445098268d9d6hLA3q6I2","x-ratelimit-abusepenalty-active":"False","x-ratelimit-limit-requests":"1000","x-ratelimit-limit-tokens":"1000000","x-ratelimit-remaining-requests":"999","x-ratelimit-remaining-tokens":"998338","x-ratelimit-renewalperiod-requests":"60","x-ratelimit-renewalperiod-tokens":"60","x-ratelimit-reset-requests":"60","x-ratelimit-reset-tokens":"99","x-request-id":"877e6b69-5417-4eef-b02a-766c25cdbab4"}</t>
        </is>
      </c>
      <c r="N103" t="inlineStr">
        <is>
          <t>Gucci Black Luxury Leather Belt with 3D Double G Embossed Design and Silver Metal Openwork Buckle, Unisex Minimalist Modern Style, Showcasing Italian Haute Couture Elegance and Timeless Charm.</t>
        </is>
      </c>
      <c r="O103" t="inlineStr">
        <is>
          <t>{"id":"chatcmpl-DYiT7NULLuVeeiXbpNbpO1I1qcidK","object":"chat.completion","created":1777166461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3" t="inlineStr">
        <is>
          <t>Gucci,Accessories,kakobuy,kakebuy2026,kekobuysheet,kakobuysheet2026,2026kakobuy,kakobuyspreadsheeet,kakobuylink,kakebuylist,Kakobuy MEGA Spreadsheet,kakobuysheetfind,kakobuysheetfind2026,2026kakobuysheetfind,kakobuysheet2026</t>
        </is>
      </c>
      <c r="Q103" t="inlineStr">
        <is>
          <t>Leather, Black, Silver, Minimalist, Modern, Unisex</t>
        </is>
      </c>
      <c r="R103" t="inlineStr">
        <is>
          <t>recvhju1CrETdN</t>
        </is>
      </c>
      <c r="S103" t="inlineStr">
        <is>
          <t>gucci-black-leather-belt-silver-gg-buckle-recvhju1cret</t>
        </is>
      </c>
      <c r="T103"/>
      <c r="U103"/>
      <c r="V103"/>
      <c r="W103" t="inlineStr">
        <is>
          <t>{"id":"chatcmpl-DYhrOKEaAOmI3RGyMbTW8Gfl89UwW","object":"chat.completion","created":1777164122,"model":"gpt-5-chat-2025-10-03","choices":[{"index":0,"message":{"role":"assistant","content":"Gucci：黑色奢华皮革腰带，饰以立体双G浮雕图案，搭配银色金属镂空扣头，散发极简现代美学，男女通用，彰显意式高定质感与永恒格调。","refusal":null,"annotations":[]},"logprobs":null,"finish_reason":"stop"}],"usage":{"prompt_tokens":1307,"completion_tokens":63,"total_tokens":1370,"prompt_tokens_details":{"cached_tokens":0,"audio_tokens":0},"completion_tokens_details":{"reasoning_tokens":0,"audio_tokens":0,"accepted_prediction_tokens":0,"rejected_prediction_tokens":0}},"service_tier":"default","system_fingerprint":"fp_ad66631dec"}</t>
        </is>
      </c>
      <c r="X103" t="inlineStr">
        <is>
          <t>Gucci：黑色奢华皮革腰带，饰以立体双G浮雕图案，搭配银色金属镂空扣头，散发极简现代美学，男女通用，彰显意式高定质感与永恒格调。</t>
        </is>
      </c>
    </row>
    <row r="104" ht="25.5" customHeight="1">
      <c r="A104">
        <v>1654975475</v>
      </c>
      <c r="B104">
        <v>7619108305</v>
      </c>
      <c r="C104" s="2" t="str">
        <f>=HYPERLINK("https://weidian.com/item.html?itemID=7619108305", "https://weidian.com/item.html?itemID=7619108305")</f>
        <v>https://weidian.com/item.html?itemID=7619108305</v>
      </c>
      <c r="D104"/>
      <c r="E104" s="2" t="str">
        <f>=HYPERLINK("https://si.geilicdn.com/pcitem2014204438-375b0000019acac00c630a23038e_1442_1922.jpg?w=640&amp;h=640", "https://si.geilicdn.com/pcitem2014204438-375b0000019acac00c630a23038e_1442_1922.jpg?w=640&amp;h=640")</f>
        <v>https://si.geilicdn.com/pcitem2014204438-375b0000019acac00c630a23038e_1442_1922.jpg?w=640&amp;h=640</v>
      </c>
      <c r="F104" t="inlineStr">
        <is>
          <t>Accessories</t>
        </is>
      </c>
      <c r="G104" t="inlineStr">
        <is>
          <t>Versace</t>
        </is>
      </c>
      <c r="H104">
        <v>460</v>
      </c>
      <c r="I104">
        <v>66.67</v>
      </c>
      <c r="J104" t="inlineStr">
        <is>
          <t>{"id":"chatcmpl-DYixkrGEY9XLXwq0kIxbmRJxVcdzJ","object":"chat.completion","created":1777168360,"model":"gpt-5-chat-2025-10-03","choices":[{"index":0,"message":{"role":"assistant","content":"Versace Black Leather Belt Silver Buckle Medusa","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04" t="inlineStr">
        <is>
          <t>Versace Black Leather Belt Silver Buckle Medusa</t>
        </is>
      </c>
      <c r="L104" t="inlineStr">
        <is>
          <t>{"id":"chatcmpl-DYiI4JJXpSJ8HSJCjF2NZKPAPnasG","object":"chat.completion","created":1777165776,"model":"gpt-5-chat-2025-10-03","choices":[{"index":0,"message":{"role":"assistant","content":"Versace black honeycomb leather belt with silver Greek key buckle and Medusa emblem, exuding luxury, strength, and modern Italian elegance. Unisex high-end fashion accessory.","refusal":null,"annotations":[]},"logprobs":null,"finish_reason":"stop"}],"usage":{"prompt_tokens":902,"completion_tokens":36,"total_tokens":938,"prompt_tokens_details":{"cached_tokens":0,"audio_tokens":0},"completion_tokens_details":{"reasoning_tokens":0,"audio_tokens":0,"accepted_prediction_tokens":0,"rejected_prediction_tokens":0}},"service_tier":"default","system_fingerprint":"fp_ad66631dec"}</t>
        </is>
      </c>
      <c r="M104" t="inlineStr">
        <is>
          <t>{"alt-svc":"h3=\":443\"; ma=2592000","apim-request-id":"15d2771a-cba5-4546-b1f6-aae838d3cccf","azureml-model-session":"d20260405212659-a9daa006","cache-control":"no-cache","connection":"close","content-length":"982","content-type":"application/json","date":"Sun, 26 Apr 2026 01:09:38 GMT","server":"Caddy","skip-error-remapping":"true","strict-transport-security":"max-age=31536000; includeSubDomains; preload","x-content-type-options":"nosniff","x-ms-client-request-id":"Not-Set","x-ms-is-spilled-over":"false","x-ms-rai-invoked":"false","x-ms-region":"Sweden Central","x-new-api-version":"0.4.35","x-oneapi-request-id":"202604260109353702320458268d9d6XwlQvmA1","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0075d5d3-41ed-422b-bda2-70ac2b2e4060"}</t>
        </is>
      </c>
      <c r="N104" t="inlineStr">
        <is>
          <t>Versace black honeycomb leather belt with silver Greek key buckle and Medusa emblem, exuding luxury, strength, and modern Italian elegance. Unisex high-end fashion accessory.</t>
        </is>
      </c>
      <c r="O104" t="inlineStr">
        <is>
          <t>{"id":"chatcmpl-DYiUuuoLMk0rKd3d0pHVhh7AH0mbG","object":"chat.completion","created":1777166572,"model":"gpt-5-chat-2025-10-03","choices":[{"index":0,"message":{"role":"assistant","content":"Versace,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4" t="inlineStr">
        <is>
          <t>Versace, Belt, kakobuy, kakebuy2026, kekobuysheet, kakobuysheet2026, 2026kakobuy, kakobuyspreadsheeet, kakobuylink, kakebuylist, Kakobuy MEGA Spreadsheet, kakobuysheetfind, kakobuysheetfind2026, 2026kakobuysheetfind, kakobuysheet2026</t>
        </is>
      </c>
      <c r="Q104" t="inlineStr">
        <is>
          <t>Black, Leather, Unisex, High End</t>
        </is>
      </c>
      <c r="R104" t="inlineStr">
        <is>
          <t>recvhju1Crvrvb</t>
        </is>
      </c>
      <c r="S104" t="inlineStr">
        <is>
          <t>versace-black-leather-belt-medusa-recvhju1crvrvb</t>
        </is>
      </c>
      <c r="T104"/>
      <c r="U104"/>
      <c r="V104"/>
      <c r="W104" t="inlineStr">
        <is>
          <t>{"id":"chatcmpl-DYhuileJU0twX0ayJsGZIpmChvtx7","object":"chat.completion","created":1777164328,"model":"gpt-5-chat-2025-10-03","choices":[{"index":0,"message":{"role":"assistant","content":"Versace：黑色蜂巢纹皮革腰带，镶嵌银色希腊回纹金属扣，饰以品牌美杜莎图腾，质感奢华刚毅，意式高定风格，男女皆宜，展现现代优雅与力量美学。","refusal":null,"annotations":[]},"logprobs":null,"finish_reason":"stop"}],"usage":{"prompt_tokens":1299,"completion_tokens":69,"total_tokens":1368,"prompt_tokens_details":{"cached_tokens":0,"audio_tokens":0},"completion_tokens_details":{"reasoning_tokens":0,"audio_tokens":0,"accepted_prediction_tokens":0,"rejected_prediction_tokens":0}},"service_tier":"default","system_fingerprint":"fp_ad66631dec"}</t>
        </is>
      </c>
      <c r="X104" t="inlineStr">
        <is>
          <t>Versace：黑色蜂巢纹皮革腰带，镶嵌银色希腊回纹金属扣，饰以品牌美杜莎图腾，质感奢华刚毅，意式高定风格，男女皆宜，展现现代优雅与力量美学。</t>
        </is>
      </c>
    </row>
    <row r="105" ht="25.5" customHeight="1">
      <c r="A105">
        <v>1654975475</v>
      </c>
      <c r="B105">
        <v>7622035054</v>
      </c>
      <c r="C105" s="2" t="str">
        <f>=HYPERLINK("https://weidian.com/item.html?itemID=7622035054", "https://weidian.com/item.html?itemID=7622035054")</f>
        <v>https://weidian.com/item.html?itemID=7622035054</v>
      </c>
      <c r="D105"/>
      <c r="E105" s="2" t="str">
        <f>=HYPERLINK("https://si.geilicdn.com/pcitem2014204438-56580000019acb1144f10a2301b4_1080_1080.jpg?w=640&amp;h=640", "https://si.geilicdn.com/pcitem2014204438-56580000019acb1144f10a2301b4_1080_1080.jpg?w=640&amp;h=640")</f>
        <v>https://si.geilicdn.com/pcitem2014204438-56580000019acb1144f10a2301b4_1080_1080.jpg?w=640&amp;h=640</v>
      </c>
      <c r="F105" t="inlineStr">
        <is>
          <t>Accessories</t>
        </is>
      </c>
      <c r="G105" t="inlineStr">
        <is>
          <t>Louis Vuitton</t>
        </is>
      </c>
      <c r="H105">
        <v>460</v>
      </c>
      <c r="I105">
        <v>66.67</v>
      </c>
      <c r="J105" t="inlineStr">
        <is>
          <t>{"id":"chatcmpl-DYj22jExwZtCRrksLLe0rqa4v8t5x","object":"chat.completion","created":1777168626,"model":"gpt-5-chat-2025-10-03","choices":[{"index":0,"message":{"role":"assistant","content":"Louis Vuitton Damier Graphite Men’s LV Leather Belt","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05" t="inlineStr">
        <is>
          <t>Louis Vuitton Damier Graphite Men’s LV Leather Belt</t>
        </is>
      </c>
      <c r="L105" t="inlineStr">
        <is>
          <t>{"id":"chatcmpl-DYiHcHFsMYsCpw8PfXBo7YZtt5rqa","object":"chat.completion","created":1777165748,"model":"gpt-5-chat-2025-10-03","choices":[{"index":0,"message":{"role":"assistant","content":"Louis Vuitton Damier Graphite Men’s Leather Belt features the iconic LV buckle and signature checkered design, offering a sleek, modern, and luxurious style for the sophisticated urban gentleman.","refusal":null,"annotations":[]},"logprobs":null,"finish_reason":"stop"}],"usage":{"prompt_tokens":881,"completion_tokens":37,"total_tokens":918,"prompt_tokens_details":{"cached_tokens":0,"audio_tokens":0},"completion_tokens_details":{"reasoning_tokens":0,"audio_tokens":0,"accepted_prediction_tokens":0,"rejected_prediction_tokens":0}},"service_tier":"default","system_fingerprint":"fp_ad66631dec"}</t>
        </is>
      </c>
      <c r="M105" t="inlineStr">
        <is>
          <t>{"alt-svc":"h3=\":443\"; ma=2592000","apim-request-id":"a48b6dff-e962-40e6-9b26-e4bb6009c53c","azureml-model-session":"d20260402074105-51db401e","cache-control":"no-cache","connection":"close","content-length":"1005","content-type":"application/json","date":"Sun, 26 Apr 2026 01:09:11 GMT","server":"nginx","skip-error-remapping":"true","strict-transport-security":"max-age=31536000; includeSubDomains; preload","via":"1.1 Caddy","x-content-type-options":"nosniff","x-ms-client-request-id":"Not-Set","x-ms-is-spilled-over":"false","x-ms-rai-invoked":"false","x-ms-region":"Korea Central","x-new-api-version":"0.4.35","x-oneapi-request-id":"202604260109077286833578268d9d6WInwoefW","x-ratelimit-abusepenalty-active":"False","x-ratelimit-limit-requests":"1000","x-ratelimit-limit-tokens":"1000000","x-ratelimit-remaining-requests":"999","x-ratelimit-remaining-tokens":"998357","x-ratelimit-renewalperiod-requests":"60","x-ratelimit-renewalperiod-tokens":"60","x-ratelimit-reset-requests":"60","x-ratelimit-reset-tokens":"98","x-request-id":"5f3dbd9c-9268-45f4-b265-13c1470f94de"}</t>
        </is>
      </c>
      <c r="N105" t="inlineStr">
        <is>
          <t>Louis Vuitton Damier Graphite Men’s Leather Belt features the iconic LV buckle and signature checkered design, offering a sleek, modern, and luxurious style for the sophisticated urban gentleman.</t>
        </is>
      </c>
      <c r="O105" t="inlineStr">
        <is>
          <t>{"id":"chatcmpl-DYiUI5cFqk6bhPFWDW9XB5WBphGXk","object":"chat.completion","created":1777166534,"model":"gpt-5-chat-2025-10-03","choices":[{"index":0,"message":{"role":"assistant","content":"Louis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05" t="inlineStr">
        <is>
          <t>Louis Vuitton, Belt, kakobuy, kakebuy2026, kekobuysheet, kakobuysheet2026, 2026kakobuy, kakobuyspreadsheeet, kakobuylink, kakebuylist, Kakobuy MEGA Spreadsheet, kakobuysheetfind, kakobuysheetfind2026, 2026kakobuysheetfind, kakobuysheet2026</t>
        </is>
      </c>
      <c r="Q105" t="inlineStr">
        <is>
          <t>LV, Leather, Men, Modern, High End, Sleek</t>
        </is>
      </c>
      <c r="R105" t="inlineStr">
        <is>
          <t>recvhju1CrBIAm</t>
        </is>
      </c>
      <c r="S105" t="inlineStr">
        <is>
          <t>louis-vuitton-damier-graphite-men-lv-leather-belt-recvhju1crbiam</t>
        </is>
      </c>
      <c r="T105"/>
      <c r="U105"/>
      <c r="V105"/>
      <c r="W105" t="inlineStr">
        <is>
          <t>{"id":"chatcmpl-DYhsAtm4oKSrbBG6zY9gwhVPz7S53","object":"chat.completion","created":1777164170,"model":"gpt-5-chat-2025-10-03","choices":[{"index":0,"message":{"role":"assistant","content":"Louis Vuitton：Damier Graphite黑色男士皮质腰带，标志性格纹设计搭配金属LV字母扣，简约奢华，彰显都市绅士风格。","refusal":null,"annotations":[]},"logprobs":null,"finish_reason":"stop"}],"usage":{"prompt_tokens":1301,"completion_tokens":47,"total_tokens":1348,"prompt_tokens_details":{"cached_tokens":1280,"audio_tokens":0},"completion_tokens_details":{"reasoning_tokens":0,"audio_tokens":0,"accepted_prediction_tokens":0,"rejected_prediction_tokens":0}},"service_tier":"default","system_fingerprint":"fp_ad66631dec"}</t>
        </is>
      </c>
      <c r="X105" t="inlineStr">
        <is>
          <t>Louis Vuitton：Damier Graphite黑色男士皮质腰带，标志性格纹设计搭配金属LV字母扣，简约奢华，彰显都市绅士风格。</t>
        </is>
      </c>
    </row>
    <row r="106" ht="25.5" customHeight="1">
      <c r="A106">
        <v>1654975475</v>
      </c>
      <c r="B106">
        <v>7619060969</v>
      </c>
      <c r="C106" s="2" t="str">
        <f>=HYPERLINK("https://weidian.com/item.html?itemID=7619060969", "https://weidian.com/item.html?itemID=7619060969")</f>
        <v>https://weidian.com/item.html?itemID=7619060969</v>
      </c>
      <c r="D106"/>
      <c r="E106" s="2" t="str">
        <f>=HYPERLINK("https://si.geilicdn.com/pcitem2014204438-4f440000019acb0a9f890a8134f0_1280_1280.jpg?w=640&amp;h=640", "https://si.geilicdn.com/pcitem2014204438-4f440000019acb0a9f890a8134f0_1280_1280.jpg?w=640&amp;h=640")</f>
        <v>https://si.geilicdn.com/pcitem2014204438-4f440000019acb0a9f890a8134f0_1280_1280.jpg?w=640&amp;h=640</v>
      </c>
      <c r="F106" t="inlineStr">
        <is>
          <t>Accessories</t>
        </is>
      </c>
      <c r="G106" t="inlineStr">
        <is>
          <t>Burberry</t>
        </is>
      </c>
      <c r="H106">
        <v>460</v>
      </c>
      <c r="I106">
        <v>66.67</v>
      </c>
      <c r="J106" t="inlineStr">
        <is>
          <t>{"id":"chatcmpl-DYiybyY9PRieyMldoavS6sMgHxXdr","object":"chat.completion","created":1777168413,"model":"gpt-5-chat-2025-10-03","choices":[{"index":0,"message":{"role":"assistant","content":"Burberry Black Leather Belt Gold Buckle TB Monogram","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06" t="inlineStr">
        <is>
          <t>Burberry Black Leather Belt Gold Buckle TB Monogram</t>
        </is>
      </c>
      <c r="L106" t="inlineStr">
        <is>
          <t>{"id":"chatcmpl-DYiKGxvmHmZtzNeNGpH1z1XG2ALiI","object":"chat.completion","created":1777165912,"model":"gpt-5-chat-2025-10-03","choices":[{"index":0,"message":{"role":"assistant","content":"Burberry black leather belt with embossed TB monogram and gold square buckle. Premium genuine leather, durable and smooth texture. Unisex, versatile for business or casual British luxury style.","refusal":null,"annotations":[]},"logprobs":null,"finish_reason":"stop"}],"usage":{"prompt_tokens":924,"completion_tokens":37,"total_tokens":961,"prompt_tokens_details":{"cached_tokens":0,"audio_tokens":0},"completion_tokens_details":{"reasoning_tokens":0,"audio_tokens":0,"accepted_prediction_tokens":0,"rejected_prediction_tokens":0}},"service_tier":"default","system_fingerprint":"fp_ad66631dec"}</t>
        </is>
      </c>
      <c r="M106" t="inlineStr">
        <is>
          <t>{"alt-svc":"h3=\":443\"; ma=2592000","apim-request-id":"719f17df-9089-4a6f-b07e-7714ba2e88ad","azureml-model-session":"d20260402084046-4209e968","cache-control":"no-cache","connection":"close","content-length":"1001","content-type":"application/json","date":"Sun, 26 Apr 2026 01:11:53 GMT","server":"nginx","skip-error-remapping":"true","strict-transport-security":"max-age=31536000; includeSubDomains; preload","via":"1.1 Caddy","x-content-type-options":"nosniff","x-ms-client-request-id":"Not-Set","x-ms-is-spilled-over":"false","x-ms-rai-invoked":"false","x-ms-region":"Switzerland North","x-new-api-version":"0.4.35","x-oneapi-request-id":"202604260111504491824328268d9d6rPf1Atwy","x-ratelimit-abusepenalty-active":"False","x-ratelimit-limit-requests":"1000","x-ratelimit-limit-tokens":"1000000","x-ratelimit-remaining-requests":"999","x-ratelimit-remaining-tokens":"998314","x-ratelimit-renewalperiod-requests":"60","x-ratelimit-renewalperiod-tokens":"60","x-ratelimit-reset-requests":"60","x-ratelimit-reset-tokens":"101","x-request-id":"987d3401-8798-42fe-8fd1-7b54a4eafc78"}</t>
        </is>
      </c>
      <c r="N106" t="inlineStr">
        <is>
          <t>Burberry black leather belt with embossed TB monogram and gold square buckle. Premium genuine leather, durable and smooth texture. Unisex, versatile for business or casual British luxury style.</t>
        </is>
      </c>
      <c r="O106" t="inlineStr">
        <is>
          <t>{"id":"chatcmpl-DYiWy1tJeVKTfTJ5UlxvocOkdjUf4","object":"chat.completion","created":1777166700,"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6" t="inlineStr">
        <is>
          <t>Burberry,Accessories,kakobuy,kakebuy2026,kekobuysheet,kakobuysheet2026,2026kakobuy,kakobuyspreadsheeet,kakobuylink,kakebuylist,Kakobuy MEGA Spreadsheet,kakobuysheetfind,kakobuysheetfind2026,2026kakobuysheetfind,kakobuysheet2026</t>
        </is>
      </c>
      <c r="Q106" t="inlineStr">
        <is>
          <t>Black, Leather, Genuine Leather, Unisex, Versatile, Business Casual</t>
        </is>
      </c>
      <c r="R106" t="inlineStr">
        <is>
          <t>recvhju1CrvrE6</t>
        </is>
      </c>
      <c r="S106" t="inlineStr">
        <is>
          <t>burberry-black-leather-belt-tb-monogram-recvhju1crvre6</t>
        </is>
      </c>
      <c r="T106"/>
      <c r="U106"/>
      <c r="V106"/>
      <c r="W106" t="inlineStr">
        <is>
          <t>{"id":"chatcmpl-DYhqZsWpuIzTgoUsMT6HOEgqeL9UG","object":"chat.completion","created":1777164071,"model":"gpt-5-chat-2025-10-03","choices":[{"index":0,"message":{"role":"assistant","content":"Burberry：黑色经典皮质腰带，采用精致压纹TB字母图腾设计，搭配金色金属方形扣头，彰显英伦奢华格调。甄选优质真皮材质，质感细腻且耐磨，适合男女通用，兼具实用与时尚气场，百搭商务休闲皆宜。","refusal":null,"annotations":[]},"logprobs":null,"finish_reason":"stop"}],"usage":{"prompt_tokens":1305,"completion_tokens":88,"total_tokens":1393,"prompt_tokens_details":{"cached_tokens":0,"audio_tokens":0},"completion_tokens_details":{"reasoning_tokens":0,"audio_tokens":0,"accepted_prediction_tokens":0,"rejected_prediction_tokens":0}},"service_tier":"default","system_fingerprint":"fp_ad66631dec"}</t>
        </is>
      </c>
      <c r="X106" t="inlineStr">
        <is>
          <t>Burberry：黑色经典皮质腰带，采用精致压纹TB字母图腾设计，搭配金色金属方形扣头，彰显英伦奢华格调。甄选优质真皮材质，质感细腻且耐磨，适合男女通用，兼具实用与时尚气场，百搭商务休闲皆宜。</t>
        </is>
      </c>
    </row>
    <row r="107" ht="25.5" customHeight="1">
      <c r="A107">
        <v>1654975475</v>
      </c>
      <c r="B107">
        <v>7619135737</v>
      </c>
      <c r="C107" s="2" t="str">
        <f>=HYPERLINK("https://weidian.com/item.html?itemID=7619135737", "https://weidian.com/item.html?itemID=7619135737")</f>
        <v>https://weidian.com/item.html?itemID=7619135737</v>
      </c>
      <c r="D107"/>
      <c r="E107" s="2" t="str">
        <f>=HYPERLINK("https://si.geilicdn.com/pcitem2014204438-26df0000019acac147120a231177_1440_1920.jpg?w=640&amp;h=640", "https://si.geilicdn.com/pcitem2014204438-26df0000019acac147120a231177_1440_1920.jpg?w=640&amp;h=640")</f>
        <v>https://si.geilicdn.com/pcitem2014204438-26df0000019acac147120a231177_1440_1920.jpg?w=640&amp;h=640</v>
      </c>
      <c r="F107" t="inlineStr">
        <is>
          <t>Accessories</t>
        </is>
      </c>
      <c r="G107" t="inlineStr">
        <is>
          <t>Gucci</t>
        </is>
      </c>
      <c r="H107">
        <v>460</v>
      </c>
      <c r="I107">
        <v>66.67</v>
      </c>
      <c r="J107" t="inlineStr">
        <is>
          <t>{"id":"chatcmpl-DYizRPfQmPJMucufeVm7OHIGQqpYx","object":"chat.completion","created":1777168465,"model":"gpt-5-chat-2025-10-03","choices":[{"index":0,"message":{"role":"assistant","content":"Gucci Black Leather Double G Gold Buckle Bel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07" t="inlineStr">
        <is>
          <t>Gucci Black Leather Double G Gold Buckle Belt</t>
        </is>
      </c>
      <c r="L107" t="inlineStr">
        <is>
          <t>{"id":"chatcmpl-DYiEaj2Qf0f30c79mUaUk64wtzcDz","object":"chat.completion","created":1777165560,"model":"gpt-5-chat-2025-10-03","choices":[{"index":0,"message":{"role":"assistant","content":"Gucci Classic Black Leather Double G Embossed Belt with Gold Rectangular Buckle, Unisex Luxury Accessory, Italian Craftsmanship, Perfect for Business or Casual Style.","refusal":null,"annotations":[]},"logprobs":null,"finish_reason":"stop"}],"usage":{"prompt_tokens":896,"completion_tokens":36,"total_tokens":932,"prompt_tokens_details":{"cached_tokens":0,"audio_tokens":0},"completion_tokens_details":{"reasoning_tokens":0,"audio_tokens":0,"accepted_prediction_tokens":0,"rejected_prediction_tokens":0}},"service_tier":"default","system_fingerprint":"fp_ad66631dec"}</t>
        </is>
      </c>
      <c r="M107" t="inlineStr">
        <is>
          <t>{"alt-svc":"h3=\":443\"; ma=2592000","apim-request-id":"75194492-9081-4362-acb3-604bf4e6bde0","azureml-model-session":"d20260405212659-a9daa006","cache-control":"no-cache","connection":"close","content-length":"974","content-type":"application/json","date":"Sun, 26 Apr 2026 01:06:02 GMT","server":"Caddy","skip-error-remapping":"true","strict-transport-security":"max-age=31536000; includeSubDomains; preload","x-content-type-options":"nosniff","x-ms-client-request-id":"Not-Set","x-ms-is-spilled-over":"false","x-ms-rai-invoked":"false","x-ms-region":"Korea Central","x-new-api-version":"0.4.35","x-oneapi-request-id":"202604260105592394270698268d9d6Ur7kO7yP","x-ratelimit-abusepenalty-active":"False","x-ratelimit-limit-requests":"1000","x-ratelimit-limit-tokens":"1000000","x-ratelimit-remaining-requests":"999","x-ratelimit-remaining-tokens":"998342","x-ratelimit-renewalperiod-requests":"60","x-ratelimit-renewalperiod-tokens":"60","x-ratelimit-reset-requests":"60","x-ratelimit-reset-tokens":"99","x-request-id":"b523c6d3-b68d-4d6a-8b4f-dab94ef46e83"}</t>
        </is>
      </c>
      <c r="N107" t="inlineStr">
        <is>
          <t>Gucci Classic Black Leather Double G Embossed Belt with Gold Rectangular Buckle, Unisex Luxury Accessory, Italian Craftsmanship, Perfect for Business or Casual Style.</t>
        </is>
      </c>
      <c r="O107" t="inlineStr">
        <is>
          <t>{"id":"chatcmpl-DYiXvOycgfFEeUhFvuLF8iwQFnqz5","object":"chat.completion","created":1777166759,"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7" t="inlineStr">
        <is>
          <t>Gucci,Accessories,kakobuy,kakebuy2026,kekobuysheet,kakobuysheet2026,2026kakobuy,kakobuyspreadsheeet,kakobuylink,kakebuylist,Kakobuy MEGA Spreadsheet,kakobuysheetfind,kakobuysheetfind2026,2026kakobuysheetfind,kakobuysheet2026</t>
        </is>
      </c>
      <c r="Q107" t="inlineStr">
        <is>
          <t>Black, Leather, Business, Unisex, Gold</t>
        </is>
      </c>
      <c r="R107" t="inlineStr">
        <is>
          <t>recvhju1CrxSrV</t>
        </is>
      </c>
      <c r="S107" t="inlineStr">
        <is>
          <t>gucci-black-leather-double-g-gold-buckle-belt-recvhju1crxsrv</t>
        </is>
      </c>
      <c r="T107"/>
      <c r="U107"/>
      <c r="V107"/>
      <c r="W107" t="inlineStr">
        <is>
          <t>{"id":"chatcmpl-DYhtUeVjkdG4SO0MQzpdZeWzrJMMu","object":"chat.completion","created":1777164252,"model":"gpt-5-chat-2025-10-03","choices":[{"index":0,"message":{"role":"assistant","content":"Gucci：经典黑色皮革双G浮雕腰带，搭配金色矩形金属扣，彰显奢华格调与现代设计，男女皆宜，意式精工打造，适合商务与休闲场合，尽显高端时尚品味。","refusal":null,"annotations":[]},"logprobs":null,"finish_reason":"stop"}],"usage":{"prompt_tokens":1295,"completion_tokens":65,"total_tokens":1360,"prompt_tokens_details":{"cached_tokens":0,"audio_tokens":0},"completion_tokens_details":{"reasoning_tokens":0,"audio_tokens":0,"accepted_prediction_tokens":0,"rejected_prediction_tokens":0}},"service_tier":"default","system_fingerprint":"fp_ad66631dec"}</t>
        </is>
      </c>
      <c r="X107" t="inlineStr">
        <is>
          <t>Gucci：经典黑色皮革双G浮雕腰带，搭配金色矩形金属扣，彰显奢华格调与现代设计，男女皆宜，意式精工打造，适合商务与休闲场合，尽显高端时尚品味。</t>
        </is>
      </c>
    </row>
    <row r="108" ht="25.5" customHeight="1">
      <c r="A108">
        <v>1654975475</v>
      </c>
      <c r="B108">
        <v>7622086522</v>
      </c>
      <c r="C108" s="2" t="str">
        <f>=HYPERLINK("https://weidian.com/item.html?itemID=7622086522", "https://weidian.com/item.html?itemID=7622086522")</f>
        <v>https://weidian.com/item.html?itemID=7622086522</v>
      </c>
      <c r="D108"/>
      <c r="E108" s="2" t="str">
        <f>=HYPERLINK("https://si.geilicdn.com/pcitem2014204438-55010000019acb0cc3530a20e284_1080_1080.jpg?w=640&amp;h=640", "https://si.geilicdn.com/pcitem2014204438-55010000019acb0cc3530a20e284_1080_1080.jpg?w=640&amp;h=640")</f>
        <v>https://si.geilicdn.com/pcitem2014204438-55010000019acb0cc3530a20e284_1080_1080.jpg?w=640&amp;h=640</v>
      </c>
      <c r="F108" t="inlineStr">
        <is>
          <t>Accessories</t>
        </is>
      </c>
      <c r="G108" t="inlineStr">
        <is>
          <t>Montblanc</t>
        </is>
      </c>
      <c r="H108">
        <v>460</v>
      </c>
      <c r="I108">
        <v>66.67</v>
      </c>
      <c r="J108" t="inlineStr">
        <is>
          <t>{"id":"chatcmpl-DYixgVJfHMrmKXnPmE1XIHECAoL5g","object":"chat.completion","created":1777168356,"model":"gpt-5-chat-2025-10-03","choices":[{"index":0,"message":{"role":"assistant","content":"Montblanc Classic Black Leather Belt for Men 3.5cm","refusal":null,"annotations":[]},"logprobs":null,"finish_reason":"stop"}],"usage":{"prompt_tokens":872,"completion_tokens":15,"total_tokens":887,"prompt_tokens_details":{"cached_tokens":0,"audio_tokens":0},"completion_tokens_details":{"reasoning_tokens":0,"audio_tokens":0,"accepted_prediction_tokens":0,"rejected_prediction_tokens":0}},"service_tier":"default","system_fingerprint":"fp_ad66631dec"}</t>
        </is>
      </c>
      <c r="K108" t="inlineStr">
        <is>
          <t>Montblanc Classic Black Leather Belt for Men 3.5cm</t>
        </is>
      </c>
      <c r="L108" t="inlineStr">
        <is>
          <t>{"id":"chatcmpl-DYiG3VC8lMIyhf1eja0LhzFJWtOKK","object":"chat.completion","created":1777165651,"model":"gpt-5-chat-2025-10-03","choices":[{"index":0,"message":{"role":"assistant","content":"Montblanc Classic Black Men’s Genuine Leather Belt with Polished Silver Buckle, Elegant Business Style, Premium Cowhide, Sophisticated Design for Formal and Casual Wear.","refusal":null,"annotations":[]},"logprobs":null,"finish_reason":"stop"}],"usage":{"prompt_tokens":900,"completion_tokens":35,"total_tokens":935,"prompt_tokens_details":{"cached_tokens":0,"audio_tokens":0},"completion_tokens_details":{"reasoning_tokens":0,"audio_tokens":0,"accepted_prediction_tokens":0,"rejected_prediction_tokens":0}},"service_tier":"default","system_fingerprint":"fp_ad66631dec"}</t>
        </is>
      </c>
      <c r="M108" t="inlineStr">
        <is>
          <t>{"alt-svc":"h3=\":443\"; ma=2592000","apim-request-id":"2757e4a1-9329-4eee-a818-52f1866adf30","azureml-model-session":"d20260405225800-40f19e54","cache-control":"no-cache","connection":"close","content-length":"979","content-type":"application/json","date":"Sun, 26 Apr 2026 01:07:33 GMT","server":"Caddy","skip-error-remapping":"true","strict-transport-security":"max-age=31536000; includeSubDomains; preload","x-content-type-options":"nosniff","x-ms-client-request-id":"Not-Set","x-ms-is-spilled-over":"false","x-ms-rai-invoked":"false","x-ms-region":"Japan East","x-new-api-version":"0.4.35","x-oneapi-request-id":"202604260107306114047898268d9d6onW5Zwuz","x-ratelimit-abusepenalty-active":"False","x-ratelimit-limit-requests":"1000","x-ratelimit-limit-tokens":"1000000","x-ratelimit-remaining-requests":"999","x-ratelimit-remaining-tokens":"998338","x-ratelimit-renewalperiod-requests":"60","x-ratelimit-renewalperiod-tokens":"60","x-ratelimit-reset-requests":"60","x-ratelimit-reset-tokens":"99","x-request-id":"2bcfc158-ec8e-4053-b844-017e8e1a9dc1"}</t>
        </is>
      </c>
      <c r="N108" t="inlineStr">
        <is>
          <t>Montblanc Classic Black Men’s Genuine Leather Belt with Polished Silver Buckle, Elegant Business Style, Premium Cowhide, Sophisticated Design for Formal and Casual Wear.</t>
        </is>
      </c>
      <c r="O108" t="inlineStr">
        <is>
          <t>{"id":"chatcmpl-DYiXnSGGlfctN5XjAZEcnkDnOqSCG","object":"chat.completion","created":1777166751,"model":"gpt-5-chat-2025-10-03","choices":[{"index":0,"message":{"role":"assistant","content":"Montblanc,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08" t="inlineStr">
        <is>
          <t>Montblanc,Belt,kakobuy,kakebuy2026,kekobuysheet,kakobuysheet2026,2026kakobuy,kakobuyspreadsheeet,kakobuylink,kakebuylist,Kakobuy MEGA Spreadsheet,kakobuysheetfind,kakobuysheetfind2026,2026kakobuysheetfind,kakobuysheet2026</t>
        </is>
      </c>
      <c r="Q108" t="inlineStr">
        <is>
          <t>Black, Business, Business Casual, Genuine Leather, Cowhide, Men</t>
        </is>
      </c>
      <c r="R108" t="inlineStr">
        <is>
          <t>recvhju1CrO3ud</t>
        </is>
      </c>
      <c r="S108" t="inlineStr">
        <is>
          <t>montblanc-classic-black-leather-belt-3-5cm-recvhju1cr03ud</t>
        </is>
      </c>
      <c r="T108"/>
      <c r="U108"/>
      <c r="V108"/>
      <c r="W108" t="inlineStr">
        <is>
          <t>{"id":"chatcmpl-DYhudRpkvoFZI25JV2F7iMCd5f3cj","object":"chat.completion","created":1777164323,"model":"gpt-5-chat-2025-10-03","choices":[{"index":0,"message":{"role":"assistant","content":"Montblanc：经典黑色男士真皮皮带，采用优质头层牛皮与抛光银色金属扣设计，简约沉稳商务风格，彰显绅士品味，适合正式与日常穿搭，尽显奢华质感。","refusal":null,"annotations":[]},"logprobs":null,"finish_reason":"stop"}],"usage":{"prompt_tokens":1301,"completion_tokens":66,"total_tokens":1367,"prompt_tokens_details":{"cached_tokens":0,"audio_tokens":0},"completion_tokens_details":{"reasoning_tokens":0,"audio_tokens":0,"accepted_prediction_tokens":0,"rejected_prediction_tokens":0}},"service_tier":"default","system_fingerprint":"fp_ad66631dec"}</t>
        </is>
      </c>
      <c r="X108" t="inlineStr">
        <is>
          <t>Montblanc：经典黑色男士真皮皮带，采用优质头层牛皮与抛光银色金属扣设计，简约沉稳商务风格，彰显绅士品味，适合正式与日常穿搭，尽显奢华质感。</t>
        </is>
      </c>
    </row>
    <row r="109" ht="25.5" customHeight="1">
      <c r="A109">
        <v>1654975475</v>
      </c>
      <c r="B109">
        <v>7622068788</v>
      </c>
      <c r="C109" s="2" t="str">
        <f>=HYPERLINK("https://weidian.com/item.html?itemID=7622068788", "https://weidian.com/item.html?itemID=7622068788")</f>
        <v>https://weidian.com/item.html?itemID=7622068788</v>
      </c>
      <c r="D109"/>
      <c r="E109" s="2" t="str">
        <f>=HYPERLINK("https://si.geilicdn.com/pcitem2014204438-4b8e0000019acb078d050a20e672_1280_1280.jpg?w=640&amp;h=640", "https://si.geilicdn.com/pcitem2014204438-4b8e0000019acb078d050a20e672_1280_1280.jpg?w=640&amp;h=640")</f>
        <v>https://si.geilicdn.com/pcitem2014204438-4b8e0000019acb078d050a20e672_1280_1280.jpg?w=640&amp;h=640</v>
      </c>
      <c r="F109" t="inlineStr">
        <is>
          <t>Accessories</t>
        </is>
      </c>
      <c r="G109" t="inlineStr">
        <is>
          <t>Burberry</t>
        </is>
      </c>
      <c r="H109">
        <v>460</v>
      </c>
      <c r="I109">
        <v>66.67</v>
      </c>
      <c r="J109" t="inlineStr">
        <is>
          <t>{"id":"chatcmpl-DYj2I1OvCj9O045qQ6hdzd58tFt0B","object":"chat.completion","created":1777168642,"model":"gpt-5-chat-2025-10-03","choices":[{"index":0,"message":{"role":"assistant","content":"Burberry Black Leather Belt Gold Buckle TB Monogram","refusal":null,"annotations":[]},"logprobs":null,"finish_reason":"stop"}],"usage":{"prompt_tokens":867,"completion_tokens":12,"total_tokens":879,"prompt_tokens_details":{"cached_tokens":0,"audio_tokens":0},"completion_tokens_details":{"reasoning_tokens":0,"audio_tokens":0,"accepted_prediction_tokens":0,"rejected_prediction_tokens":0}},"service_tier":"default","system_fingerprint":"fp_ad66631dec"}</t>
        </is>
      </c>
      <c r="K109" t="inlineStr">
        <is>
          <t>Burberry Black Leather Belt Gold Buckle TB Monogram</t>
        </is>
      </c>
      <c r="L109" t="inlineStr">
        <is>
          <t>{"id":"chatcmpl-DYiKjfAzKs4imEVVdFjmLJhzPn66e","object":"chat.completion","created":1777165941,"model":"gpt-5-chat-2025-10-03","choices":[{"index":0,"message":{"role":"assistant","content":"Burberry black embossed leather belt with classic TB monogram and gold buckle, crafted from premium genuine leather for refined British luxury style, elegant for men and women.","refusal":null,"annotations":[]},"logprobs":null,"finish_reason":"stop"}],"usage":{"prompt_tokens":918,"completion_tokens":33,"total_tokens":951,"prompt_tokens_details":{"cached_tokens":0,"audio_tokens":0},"completion_tokens_details":{"reasoning_tokens":0,"audio_tokens":0,"accepted_prediction_tokens":0,"rejected_prediction_tokens":0}},"service_tier":"default","system_fingerprint":"fp_ad66631dec"}</t>
        </is>
      </c>
      <c r="M109" t="inlineStr">
        <is>
          <t>{"alt-svc":"h3=\":443\"; ma=2592000","apim-request-id":"5340089e-294f-4af3-aa93-856f88e227f2","azureml-model-session":"d20260405225800-40f19e54","cache-control":"no-cache","connection":"close","content-length":"984","content-type":"application/json","date":"Sun, 26 Apr 2026 01:12:23 GMT","server":"nginx","skip-error-remapping":"true","strict-transport-security":"max-age=31536000; includeSubDomains; preload","via":"1.1 Caddy","x-content-type-options":"nosniff","x-ms-client-request-id":"Not-Set","x-ms-is-spilled-over":"false","x-ms-rai-invoked":"false","x-ms-region":"Korea Central","x-new-api-version":"0.4.35","x-oneapi-request-id":"202604260112211150603408268d9d6YZP94TC3","x-ratelimit-abusepenalty-active":"False","x-ratelimit-limit-requests":"1000","x-ratelimit-limit-tokens":"1000000","x-ratelimit-remaining-requests":"999","x-ratelimit-remaining-tokens":"998320","x-ratelimit-renewalperiod-requests":"60","x-ratelimit-renewalperiod-tokens":"60","x-ratelimit-reset-requests":"60","x-ratelimit-reset-tokens":"100","x-request-id":"337cfb54-256a-4518-84b7-b721983ae0cb"}</t>
        </is>
      </c>
      <c r="N109" t="inlineStr">
        <is>
          <t>Burberry black embossed leather belt with classic TB monogram and gold buckle, crafted from premium genuine leather for refined British luxury style, elegant for men and women.</t>
        </is>
      </c>
      <c r="O109" t="inlineStr">
        <is>
          <t>{"id":"chatcmpl-DYiVrPTAuWFrn9DdIxMXhjhN55mkU","object":"chat.completion","created":1777166631,"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09" t="inlineStr">
        <is>
          <t>Burberry,Accessories,kakobuy,kakebuy2026,kekobuysheet,kakobuysheet2026,2026kakobuy,kakobuyspreadsheeet,kakobuylink,kakebuylist,Kakobuy MEGA Spreadsheet,kakobuysheetfind,kakobuysheetfind2026,2026kakobuysheetfind,kakobuysheet2026</t>
        </is>
      </c>
      <c r="Q109" t="inlineStr">
        <is>
          <t>Genuine Leather, Gold, Elegant, Unisex</t>
        </is>
      </c>
      <c r="R109" t="inlineStr">
        <is>
          <t>recvhju1CriXjf</t>
        </is>
      </c>
      <c r="S109" t="inlineStr">
        <is>
          <t>burberry-black-leather-belt-gold-buckle-tb-monogram-recvhju1crixj</t>
        </is>
      </c>
      <c r="T109"/>
      <c r="U109"/>
      <c r="V109"/>
      <c r="W109" t="inlineStr">
        <is>
          <t>{"id":"chatcmpl-DYhrSbyeZZdQpmyO3FreiD71g8YEW","object":"chat.completion","created":1777164126,"model":"gpt-5-chat-2025-10-03","choices":[{"index":0,"message":{"role":"assistant","content":"Burberry：黑色皮质压纹腰带，饰以经典TB字母浮雕图案与金色金属扣，展现英伦奢华格调。甄选优质真皮材质，触感细腻柔韧，兼具时尚与实用功能，男女皆宜，现代绅士风范必备配饰。","refusal":null,"annotations":[]},"logprobs":null,"finish_reason":"stop"}],"usage":{"prompt_tokens":1303,"completion_tokens":83,"total_tokens":1386,"prompt_tokens_details":{"cached_tokens":0,"audio_tokens":0},"completion_tokens_details":{"reasoning_tokens":0,"audio_tokens":0,"accepted_prediction_tokens":0,"rejected_prediction_tokens":0}},"service_tier":"default","system_fingerprint":"fp_ad66631dec"}</t>
        </is>
      </c>
      <c r="X109" t="inlineStr">
        <is>
          <t>Burberry：黑色皮质压纹腰带，饰以经典TB字母浮雕图案与金色金属扣，展现英伦奢华格调。甄选优质真皮材质，触感细腻柔韧，兼具时尚与实用功能，男女皆宜，现代绅士风范必备配饰。</t>
        </is>
      </c>
    </row>
    <row r="110" ht="25.5" customHeight="1">
      <c r="A110">
        <v>1654975475</v>
      </c>
      <c r="B110">
        <v>7622086310</v>
      </c>
      <c r="C110" s="2" t="str">
        <f>=HYPERLINK("https://weidian.com/item.html?itemID=7622086310", "https://weidian.com/item.html?itemID=7622086310")</f>
        <v>https://weidian.com/item.html?itemID=7622086310</v>
      </c>
      <c r="D110"/>
      <c r="E110" s="2" t="str">
        <f>=HYPERLINK("https://si.geilicdn.com/pcitem2014204438-32bf0000019acac0a8eb0a8134f0_1512_2016.jpg?w=640&amp;h=640", "https://si.geilicdn.com/pcitem2014204438-32bf0000019acac0a8eb0a8134f0_1512_2016.jpg?w=640&amp;h=640")</f>
        <v>https://si.geilicdn.com/pcitem2014204438-32bf0000019acac0a8eb0a8134f0_1512_2016.jpg?w=640&amp;h=640</v>
      </c>
      <c r="F110" t="inlineStr">
        <is>
          <t>Accessories</t>
        </is>
      </c>
      <c r="G110" t="inlineStr">
        <is>
          <t>Dior</t>
        </is>
      </c>
      <c r="H110">
        <v>460</v>
      </c>
      <c r="I110">
        <v>66.67</v>
      </c>
      <c r="J110" t="inlineStr">
        <is>
          <t>{"id":"chatcmpl-DYiyeG3ubIEzYrLYr5PXoLls8m9yG","object":"chat.completion","created":1777168416,"model":"gpt-5-chat-2025-10-03","choices":[{"index":0,"message":{"role":"assistant","content":"Dior Deep Blue Leather Belt Silver Buckle","refusal":null,"annotations":[]},"logprobs":null,"finish_reason":"stop"}],"usage":{"prompt_tokens":863,"completion_tokens":10,"total_tokens":873,"prompt_tokens_details":{"cached_tokens":0,"audio_tokens":0},"completion_tokens_details":{"reasoning_tokens":0,"audio_tokens":0,"accepted_prediction_tokens":0,"rejected_prediction_tokens":0}},"service_tier":"default","system_fingerprint":"fp_ad66631dec"}</t>
        </is>
      </c>
      <c r="K110" t="inlineStr">
        <is>
          <t>Dior Deep Blue Leather Belt Silver Buckle</t>
        </is>
      </c>
      <c r="L110" t="inlineStr">
        <is>
          <t>{"id":"chatcmpl-DYiFxMUgVsxHKZe5MwpD9a8gQNA7g","object":"chat.completion","created":1777165645,"model":"gpt-5-chat-2025-10-03","choices":[{"index":0,"message":{"role":"assistant","content":"Dior Deep Blue Grained Leather Belt with Silver Vine Buckle, elegant and luxurious, unisex design for modern urban style and refined fashion lovers.","refusal":null,"annotations":[]},"logprobs":null,"finish_reason":"stop"}],"usage":{"prompt_tokens":888,"completion_tokens":31,"total_tokens":919,"prompt_tokens_details":{"cached_tokens":0,"audio_tokens":0},"completion_tokens_details":{"reasoning_tokens":0,"audio_tokens":0,"accepted_prediction_tokens":0,"rejected_prediction_tokens":0}},"service_tier":"default","system_fingerprint":"fp_ad66631dec"}</t>
        </is>
      </c>
      <c r="M110" t="inlineStr">
        <is>
          <t>{"alt-svc":"h3=\":443\"; ma=2592000","apim-request-id":"34f84a1c-1269-4a71-bdbd-eea623f5c20a","azureml-model-session":"d20260405225800-40f19e54","cache-control":"no-cache","connection":"close","content-length":"956","content-type":"application/json","date":"Sun, 26 Apr 2026 01:07:27 GMT","server":"Caddy","skip-error-remapping":"true","strict-transport-security":"max-age=31536000; includeSubDomains; preload","x-content-type-options":"nosniff","x-ms-client-request-id":"Not-Set","x-ms-is-spilled-over":"false","x-ms-rai-invoked":"false","x-ms-region":"Switzerland North","x-new-api-version":"0.4.35","x-oneapi-request-id":"202604260107248041330118268d9d6Dq9QSMvg","x-ratelimit-abusepenalty-active":"False","x-ratelimit-limit-requests":"1000","x-ratelimit-limit-tokens":"1000000","x-ratelimit-remaining-requests":"999","x-ratelimit-remaining-tokens":"998350","x-ratelimit-renewalperiod-requests":"60","x-ratelimit-renewalperiod-tokens":"60","x-ratelimit-reset-requests":"60","x-ratelimit-reset-tokens":"99","x-request-id":"c765ecc5-85c4-4226-b61e-42478c112282"}</t>
        </is>
      </c>
      <c r="N110" t="inlineStr">
        <is>
          <t>Dior Deep Blue Grained Leather Belt with Silver Vine Buckle, elegant and luxurious, unisex design for modern urban style and refined fashion lovers.</t>
        </is>
      </c>
      <c r="O110" t="inlineStr">
        <is>
          <t>{"id":"chatcmpl-DYiXr4416bZZqqw4X6yViJrcdy0uH","object":"chat.completion","created":1777166755,"model":"gpt-5-chat-2025-10-03","choices":[{"index":0,"message":{"role":"assistant","content":"Dior,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0" t="inlineStr">
        <is>
          <t>Dior, Belt, kakobuy, kakebuy2026, kekobuysheet, kakobuysheet2026, 2026kakobuy, kakobuyspreadsheeet, kakobuylink, kakebuylist, Kakobuy MEGA Spreadsheet, kakobuysheetfind, kakobuysheetfind2026, 2026kakobuysheetfind, kakobuysheet2026</t>
        </is>
      </c>
      <c r="Q110" t="inlineStr">
        <is>
          <t>Dior, Leather, Blue, Silver, Elegant, Unisex</t>
        </is>
      </c>
      <c r="R110" t="inlineStr">
        <is>
          <t>recvhju1CrzwNC</t>
        </is>
      </c>
      <c r="S110" t="inlineStr">
        <is>
          <t>dior-deep-blue-leather-belt-silver-buckle-recvhju1crzwnc</t>
        </is>
      </c>
      <c r="T110"/>
      <c r="U110"/>
      <c r="V110"/>
      <c r="W110" t="inlineStr">
        <is>
          <t>{"id":"chatcmpl-DYhoZlxjo5ZQcD4BtpMv81ZRRD1Sm","object":"chat.completion","created":1777163947,"model":"gpt-5-chat-2025-10-03","choices":[{"index":0,"message":{"role":"assistant","content":"Dior：深蓝色粒面皮革腰带，搭配银质藤蔓环扣设计，展现品牌优雅格调，简约奢华风格，男女皆宜，适合现代都市穿搭。","refusal":null,"annotations":[]},"logprobs":null,"finish_reason":"stop"}],"usage":{"prompt_tokens":1305,"completion_tokens":52,"total_tokens":1357,"prompt_tokens_details":{"cached_tokens":1280,"audio_tokens":0},"completion_tokens_details":{"reasoning_tokens":0,"audio_tokens":0,"accepted_prediction_tokens":0,"rejected_prediction_tokens":0}},"service_tier":"default","system_fingerprint":"fp_ad66631dec"}</t>
        </is>
      </c>
      <c r="X110" t="inlineStr">
        <is>
          <t>Dior：深蓝色粒面皮革腰带，搭配银质藤蔓环扣设计，展现品牌优雅格调，简约奢华风格，男女皆宜，适合现代都市穿搭。</t>
        </is>
      </c>
    </row>
    <row r="111" ht="25.5" customHeight="1">
      <c r="A111">
        <v>1654975475</v>
      </c>
      <c r="B111">
        <v>7619135945</v>
      </c>
      <c r="C111" s="2" t="str">
        <f>=HYPERLINK("https://weidian.com/item.html?itemID=7619135945", "https://weidian.com/item.html?itemID=7619135945")</f>
        <v>https://weidian.com/item.html?itemID=7619135945</v>
      </c>
      <c r="D111"/>
      <c r="E111" s="2" t="str">
        <f>=HYPERLINK("https://si.geilicdn.com/pcitem2014204438-4e490000019acb084e900a8134f0_1280_1280.jpg?w=640&amp;h=640", "https://si.geilicdn.com/pcitem2014204438-4e490000019acb084e900a8134f0_1280_1280.jpg?w=640&amp;h=640")</f>
        <v>https://si.geilicdn.com/pcitem2014204438-4e490000019acb084e900a8134f0_1280_1280.jpg?w=640&amp;h=640</v>
      </c>
      <c r="F111" t="inlineStr">
        <is>
          <t>Accessories</t>
        </is>
      </c>
      <c r="G111" t="inlineStr">
        <is>
          <t>Burberry</t>
        </is>
      </c>
      <c r="H111">
        <v>460</v>
      </c>
      <c r="I111">
        <v>66.67</v>
      </c>
      <c r="J111" t="inlineStr">
        <is>
          <t>{"id":"chatcmpl-DYiwneGxvUifKQFji2QOeqsyMFE7q","object":"chat.completion","created":1777168301,"model":"gpt-5-chat-2025-10-03","choices":[{"index":0,"message":{"role":"assistant","content":"Burberry Black Croc Leather Belt Gold Buckle","refusal":null,"annotations":[]},"logprobs":null,"finish_reason":"stop"}],"usage":{"prompt_tokens":887,"completion_tokens":11,"total_tokens":898,"prompt_tokens_details":{"cached_tokens":0,"audio_tokens":0},"completion_tokens_details":{"reasoning_tokens":0,"audio_tokens":0,"accepted_prediction_tokens":0,"rejected_prediction_tokens":0}},"service_tier":"default","system_fingerprint":"fp_ad66631dec"}</t>
        </is>
      </c>
      <c r="K111" t="inlineStr">
        <is>
          <t>Burberry Black Croc Leather Belt Gold Buckle</t>
        </is>
      </c>
      <c r="L111" t="inlineStr">
        <is>
          <t>{"id":"chatcmpl-DYiJbacghhBZ7UFMQKUYVirEI3mwq","object":"chat.completion","created":1777165871,"model":"gpt-5-chat-2025-10-03","choices":[{"index":0,"message":{"role":"assistant","content":"Burberry Black Croc-Embossed Leather Belt with Polished Gold Square Buckle, crafted from premium cowhide. Elegant and refined for business or casual style, a must-have accessory for modern gentlemen.","refusal":null,"annotations":[]},"logprobs":null,"finish_reason":"stop"}],"usage":{"prompt_tokens":928,"completion_tokens":43,"total_tokens":971,"prompt_tokens_details":{"cached_tokens":0,"audio_tokens":0},"completion_tokens_details":{"reasoning_tokens":0,"audio_tokens":0,"accepted_prediction_tokens":0,"rejected_prediction_tokens":0}},"service_tier":"default","system_fingerprint":"fp_ad66631dec"}</t>
        </is>
      </c>
      <c r="M111" t="inlineStr">
        <is>
          <t>{"alt-svc":"h3=\":443\"; ma=2592000","apim-request-id":"e53a5681-e8a9-4cdb-889f-7600b87f3072","azureml-model-session":"d20260405225800-40f19e54","cache-control":"no-cache","connection":"close","content-length":"1007","content-type":"application/json","date":"Sun, 26 Apr 2026 01:11:12 GMT","server":"nginx","skip-error-remapping":"true","strict-transport-security":"max-age=31536000; includeSubDomains; preload","via":"1.1 Caddy","x-content-type-options":"nosniff","x-ms-client-request-id":"Not-Set","x-ms-is-spilled-over":"false","x-ms-rai-invoked":"false","x-ms-region":"East US","x-new-api-version":"0.4.35","x-oneapi-request-id":"202604260111102322295998268d9d6Pa69ps5i","x-ratelimit-abusepenalty-active":"False","x-ratelimit-limit-requests":"1000","x-ratelimit-limit-tokens":"1000000","x-ratelimit-remaining-requests":"999","x-ratelimit-remaining-tokens":"998310","x-ratelimit-renewalperiod-requests":"60","x-ratelimit-renewalperiod-tokens":"60","x-ratelimit-reset-requests":"60","x-ratelimit-reset-tokens":"101","x-request-id":"ed3aac94-b815-4bbd-865a-ad0f84889bd6"}</t>
        </is>
      </c>
      <c r="N111" t="inlineStr">
        <is>
          <t>Burberry Black Croc-Embossed Leather Belt with Polished Gold Square Buckle, crafted from premium cowhide. Elegant and refined for business or casual style, a must-have accessory for modern gentlemen.</t>
        </is>
      </c>
      <c r="O111" t="inlineStr">
        <is>
          <t>{"id":"chatcmpl-DYiR8OhRIpQJodporUh25vWZFmtL1","object":"chat.completion","created":1777166338,"model":"gpt-5-chat-2025-10-03","choices":[{"index":0,"message":{"role":"assistant","content":"Burberry,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1" t="inlineStr">
        <is>
          <t>Burberry,Belt,kakobuy,kakebuy2026,kekobuysheet,kakobuysheet2026,2026kakobuy,kakobuyspreadsheeet,kakobuylink,kakebuylist,Kakobuy MEGA Spreadsheet,kakobuysheetfind,kakobuysheetfind2026,2026kakobuysheetfind,kakobuysheet2026</t>
        </is>
      </c>
      <c r="Q111" t="inlineStr">
        <is>
          <t>Black, Cowhide, Leather, Elegant, Business, Men</t>
        </is>
      </c>
      <c r="R111" t="inlineStr">
        <is>
          <t>recvhju1CrRL9W</t>
        </is>
      </c>
      <c r="S111" t="inlineStr">
        <is>
          <t>burberry-black-croc-leather-belt-gold-buckle-recvhju1crrl9w</t>
        </is>
      </c>
      <c r="T111"/>
      <c r="U111"/>
      <c r="V111"/>
      <c r="W111" t="inlineStr">
        <is>
          <t>{"id":"chatcmpl-DYhrINDxM87Tn6rVv8HLTghzaOGQq","object":"chat.completion","created":1777164116,"model":"gpt-5-chat-2025-10-03","choices":[{"index":0,"message":{"role":"assistant","content":"Burberry：黑色鳄纹皮革腰带，采用抛光金属方形扣设计，彰显英伦奢华格调。甄选上乘牛皮材质，质感细腻挺括，手工缝线精致考究。适合商务与休闲穿搭，优雅男士必备配饰，展现低调而精致的时尚品位。","refusal":null,"annotations":[]},"logprobs":null,"finish_reason":"stop"}],"usage":{"prompt_tokens":1301,"completion_tokens":94,"total_tokens":1395,"prompt_tokens_details":{"cached_tokens":1280,"audio_tokens":0},"completion_tokens_details":{"reasoning_tokens":0,"audio_tokens":0,"accepted_prediction_tokens":0,"rejected_prediction_tokens":0}},"service_tier":"default","system_fingerprint":"fp_ad66631dec"}</t>
        </is>
      </c>
      <c r="X111" t="inlineStr">
        <is>
          <t>Burberry：黑色鳄纹皮革腰带，采用抛光金属方形扣设计，彰显英伦奢华格调。甄选上乘牛皮材质，质感细腻挺括，手工缝线精致考究。适合商务与休闲穿搭，优雅男士必备配饰，展现低调而精致的时尚品位。</t>
        </is>
      </c>
    </row>
    <row r="112" ht="25.5" customHeight="1">
      <c r="A112">
        <v>1654975475</v>
      </c>
      <c r="B112">
        <v>7622123686</v>
      </c>
      <c r="C112" s="2" t="str">
        <f>=HYPERLINK("https://weidian.com/item.html?itemID=7622123686", "https://weidian.com/item.html?itemID=7622123686")</f>
        <v>https://weidian.com/item.html?itemID=7622123686</v>
      </c>
      <c r="D112"/>
      <c r="E112" s="2" t="str">
        <f>=HYPERLINK("https://si.geilicdn.com/pcitem2014204438-54380000019acaffb2340a2303ee_1074_1074.jpg?w=640&amp;h=640", "https://si.geilicdn.com/pcitem2014204438-54380000019acaffb2340a2303ee_1074_1074.jpg?w=640&amp;h=640")</f>
        <v>https://si.geilicdn.com/pcitem2014204438-54380000019acaffb2340a2303ee_1074_1074.jpg?w=640&amp;h=640</v>
      </c>
      <c r="F112" t="inlineStr">
        <is>
          <t>Accessories</t>
        </is>
      </c>
      <c r="G112" t="inlineStr">
        <is>
          <t>Louis Vuitton</t>
        </is>
      </c>
      <c r="H112">
        <v>460</v>
      </c>
      <c r="I112">
        <v>66.67</v>
      </c>
      <c r="J112" t="inlineStr">
        <is>
          <t>{"id":"chatcmpl-DYiyWK0NoKXOU5CooqNeAoLKjWORL","object":"chat.completion","created":1777168408,"model":"gpt-5-chat-2025-10-03","choices":[{"index":0,"message":{"role":"assistant","content":"Louis Vuitton Monogram Eclipse Men Belt Grey Black","refusal":null,"annotations":[]},"logprobs":null,"finish_reason":"stop"}],"usage":{"prompt_tokens":865,"completion_tokens":10,"total_tokens":875,"prompt_tokens_details":{"cached_tokens":0,"audio_tokens":0},"completion_tokens_details":{"reasoning_tokens":0,"audio_tokens":0,"accepted_prediction_tokens":0,"rejected_prediction_tokens":0}},"service_tier":"default","system_fingerprint":"fp_ad66631dec"}</t>
        </is>
      </c>
      <c r="K112" t="inlineStr">
        <is>
          <t>Louis Vuitton Monogram Eclipse Men Belt Grey Black</t>
        </is>
      </c>
      <c r="L112" t="inlineStr">
        <is>
          <t>{"id":"chatcmpl-DYiFVey1u4x3CEu1WJc9NvkJNIQ9e","object":"chat.completion","created":1777165617,"model":"gpt-5-chat-2025-10-03","choices":[{"index":0,"message":{"role":"assistant","content":"Louis Vuitton Monogram Eclipse Belt for Men in Grey and Black, crafted from premium coated canvas with LV metal buckle, blending understated luxury and modern urban elegance.","refusal":null,"annotations":[]},"logprobs":null,"finish_reason":"stop"}],"usage":{"prompt_tokens":892,"completion_tokens":32,"total_tokens":924,"prompt_tokens_details":{"cached_tokens":0,"audio_tokens":0},"completion_tokens_details":{"reasoning_tokens":0,"audio_tokens":0,"accepted_prediction_tokens":0,"rejected_prediction_tokens":0}},"service_tier":"default","system_fingerprint":"fp_ad66631dec"}</t>
        </is>
      </c>
      <c r="M112" t="inlineStr">
        <is>
          <t>{"alt-svc":"h3=\":443\"; ma=2592000","apim-request-id":"382a8a36-28a7-48f6-810e-9d9ed0e04724","azureml-model-session":"d20260405225800-40f19e54","cache-control":"no-cache","connection":"close","content-length":"982","content-type":"application/json","date":"Sun, 26 Apr 2026 01:06:59 GMT","server":"Caddy","skip-error-remapping":"true","strict-transport-security":"max-age=31536000; includeSubDomains; preload","x-content-type-options":"nosniff","x-ms-client-request-id":"Not-Set","x-ms-is-spilled-over":"false","x-ms-rai-invoked":"false","x-ms-region":"Japan East","x-new-api-version":"0.4.35","x-oneapi-request-id":"202604260106569399261968268d9d6FHBo2B5j","x-ratelimit-abusepenalty-active":"False","x-ratelimit-limit-requests":"1000","x-ratelimit-limit-tokens":"1000000","x-ratelimit-remaining-requests":"999","x-ratelimit-remaining-tokens":"998346","x-ratelimit-renewalperiod-requests":"60","x-ratelimit-renewalperiod-tokens":"60","x-ratelimit-reset-requests":"60","x-ratelimit-reset-tokens":"99","x-request-id":"b0f46419-d926-43ab-9752-0315035b744e"}</t>
        </is>
      </c>
      <c r="N112" t="inlineStr">
        <is>
          <t>Louis Vuitton Monogram Eclipse Belt for Men in Grey and Black, crafted from premium coated canvas with LV metal buckle, blending understated luxury and modern urban elegance.</t>
        </is>
      </c>
      <c r="O112" t="inlineStr">
        <is>
          <t>{"id":"chatcmpl-DYiUBj72oYAyVDptxhXexRndhnUdB","object":"chat.completion","created":1777166527,"model":"gpt-5-chat-2025-10-03","choices":[{"index":0,"message":{"role":"assistant","content":"Louis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2" t="inlineStr">
        <is>
          <t>Louis Vuitton, Accessories, kakobuy, kakebuy2026, kekobuysheet, kakobuysheet2026, 2026kakobuy, kakobuyspreadsheeet, kakobuylink, kakebuylist, Kakobuy MEGA Spreadsheet, kakobuysheetfind, kakobuysheetfind2026, 2026kakobuysheetfind, kakobuysheet2026</t>
        </is>
      </c>
      <c r="Q112" t="inlineStr">
        <is>
          <t>LV, Grey, Black, Men, Leather</t>
        </is>
      </c>
      <c r="R112" t="inlineStr">
        <is>
          <t>recvhju1Crt3FL</t>
        </is>
      </c>
      <c r="S112" t="inlineStr">
        <is>
          <t>louis-vuitton-monogram-eclipse-men-belt-grey-black-recvhju1crt3fl</t>
        </is>
      </c>
      <c r="T112"/>
      <c r="U112"/>
      <c r="V112"/>
      <c r="W112" t="inlineStr">
        <is>
          <t>{"id":"chatcmpl-DYhrsLfJmlum9CGPWFLO48oJhcyY1","object":"chat.completion","created":1777164152,"model":"gpt-5-chat-2025-10-03","choices":[{"index":0,"message":{"role":"assistant","content":"Louis Vuitton：Monogram Eclipse灰黑配色男士皮带，精选涂层帆布材质，经典LV标志金属扣设计，低调奢华兼具现代都市风格，彰显品牌精致工艺与时尚品味。","refusal":null,"annotations":[]},"logprobs":null,"finish_reason":"stop"}],"usage":{"prompt_tokens":1297,"completion_tokens":60,"total_tokens":1357,"prompt_tokens_details":{"cached_tokens":0,"audio_tokens":0},"completion_tokens_details":{"reasoning_tokens":0,"audio_tokens":0,"accepted_prediction_tokens":0,"rejected_prediction_tokens":0}},"service_tier":"default","system_fingerprint":"fp_ad66631dec"}</t>
        </is>
      </c>
      <c r="X112" t="inlineStr">
        <is>
          <t>Louis Vuitton：Monogram Eclipse灰黑配色男士皮带，精选涂层帆布材质，经典LV标志金属扣设计，低调奢华兼具现代都市风格，彰显品牌精致工艺与时尚品味。</t>
        </is>
      </c>
    </row>
    <row r="113" ht="25.5" customHeight="1">
      <c r="A113">
        <v>1654975475</v>
      </c>
      <c r="B113">
        <v>7619041083</v>
      </c>
      <c r="C113" s="2" t="str">
        <f>=HYPERLINK("https://weidian.com/item.html?itemID=7619041083", "https://weidian.com/item.html?itemID=7619041083")</f>
        <v>https://weidian.com/item.html?itemID=7619041083</v>
      </c>
      <c r="D113"/>
      <c r="E113" s="2" t="str">
        <f>=HYPERLINK("https://si.geilicdn.com/pcitem2014204438-56580000019acafba7310a23111a_1080_1080.jpg?w=640&amp;h=640", "https://si.geilicdn.com/pcitem2014204438-56580000019acafba7310a23111a_1080_1080.jpg?w=640&amp;h=640")</f>
        <v>https://si.geilicdn.com/pcitem2014204438-56580000019acafba7310a23111a_1080_1080.jpg?w=640&amp;h=640</v>
      </c>
      <c r="F113" t="inlineStr">
        <is>
          <t>Accessories</t>
        </is>
      </c>
      <c r="G113" t="inlineStr">
        <is>
          <t>Louis Vuitton</t>
        </is>
      </c>
      <c r="H113">
        <v>460</v>
      </c>
      <c r="I113">
        <v>66.67</v>
      </c>
      <c r="J113" t="inlineStr">
        <is>
          <t>{"id":"chatcmpl-DYj0pZOb881OWmiyiAnTYpp2mazAu","object":"chat.completion","created":1777168551,"model":"gpt-5-chat-2025-10-03","choices":[{"index":0,"message":{"role":"assistant","content":"Louis Vuitton Damier Graphite Black Leather Belt","refusal":null,"annotations":[]},"logprobs":null,"finish_reason":"stop"}],"usage":{"prompt_tokens":859,"completion_tokens":10,"total_tokens":869,"prompt_tokens_details":{"cached_tokens":0,"audio_tokens":0},"completion_tokens_details":{"reasoning_tokens":0,"audio_tokens":0,"accepted_prediction_tokens":0,"rejected_prediction_tokens":0}},"service_tier":"default","system_fingerprint":"fp_ad66631dec"}</t>
        </is>
      </c>
      <c r="K113" t="inlineStr">
        <is>
          <t>Louis Vuitton Damier Graphite Black Leather Belt</t>
        </is>
      </c>
      <c r="L113" t="inlineStr">
        <is>
          <t>{"id":"chatcmpl-DYiKse4sdrEqHhVeIFSKYX3YMOKOK","object":"chat.completion","created":1777165950,"model":"gpt-5-chat-2025-10-03","choices":[{"index":0,"message":{"role":"assistant","content":"Louis Vuitton Damier Graphite Men’s Leather Belt in black with silver LV buckle, a timeless luxury accessory perfect for business or casual looks.","refusal":null,"annotations":[]},"logprobs":null,"finish_reason":"stop"}],"usage":{"prompt_tokens":877,"completion_tokens":29,"total_tokens":906,"prompt_tokens_details":{"cached_tokens":0,"audio_tokens":0},"completion_tokens_details":{"reasoning_tokens":0,"audio_tokens":0,"accepted_prediction_tokens":0,"rejected_prediction_tokens":0}},"service_tier":"default","system_fingerprint":"fp_ad66631dec"}</t>
        </is>
      </c>
      <c r="M113" t="inlineStr">
        <is>
          <t>{"alt-svc":"h3=\":443\"; ma=2592000","apim-request-id":"e19d3dab-668f-4e89-aec9-b08a3d91d166","azureml-model-session":"d20260402084046-4209e968","cache-control":"no-cache","connection":"close","content-length":"956","content-type":"application/json","date":"Sun, 26 Apr 2026 01:12:31 GMT","server":"Caddy","skip-error-remapping":"true","strict-transport-security":"max-age=31536000; includeSubDomains; preload","x-content-type-options":"nosniff","x-ms-client-request-id":"Not-Set","x-ms-is-spilled-over":"false","x-ms-rai-invoked":"false","x-ms-region":"East US","x-new-api-version":"0.4.35","x-oneapi-request-id":"202604260112296262820208268d9d6ic9IBztY","x-ratelimit-abusepenalty-active":"False","x-ratelimit-limit-requests":"1000","x-ratelimit-limit-tokens":"1000000","x-ratelimit-remaining-requests":"999","x-ratelimit-remaining-tokens":"998361","x-ratelimit-renewalperiod-requests":"60","x-ratelimit-renewalperiod-tokens":"60","x-ratelimit-reset-requests":"60","x-ratelimit-reset-tokens":"98","x-request-id":"69dcaa1b-4b49-481d-a5d9-9e224e20760e"}</t>
        </is>
      </c>
      <c r="N113" t="inlineStr">
        <is>
          <t>Louis Vuitton Damier Graphite Men’s Leather Belt in black with silver LV buckle, a timeless luxury accessory perfect for business or casual looks.</t>
        </is>
      </c>
      <c r="O113" t="inlineStr">
        <is>
          <t>{"id":"chatcmpl-DYiTx6vyjrIBSfTdLjBGwRS1tFMxB","object":"chat.completion","created":1777166513,"model":"gpt-5-chat-2025-10-03","choices":[{"index":0,"message":{"role":"assistant","content":"Louis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3" t="inlineStr">
        <is>
          <t>Louis Vuitton, Accessories, kakobuy, kakebuy2026, kekobuysheet, kakobuysheet2026, 2026kakobuy, kakobuyspreadsheeet, kakobuylink, kakebuylist, Kakobuy MEGA Spreadsheet, kakobuysheetfind, kakobuysheetfind2026, 2026kakobuysheetfind, kakobuysheet2026</t>
        </is>
      </c>
      <c r="Q113" t="inlineStr">
        <is>
          <t>LV, Leather, Black, Silver, Business, Men</t>
        </is>
      </c>
      <c r="R113" t="inlineStr">
        <is>
          <t>recvhju1CrTjwb</t>
        </is>
      </c>
      <c r="S113" t="inlineStr">
        <is>
          <t>louis-vuitton-damier-graphite-black-leather-belt-recvhju1crtjwb</t>
        </is>
      </c>
      <c r="T113"/>
      <c r="U113"/>
      <c r="V113"/>
      <c r="W113" t="inlineStr">
        <is>
          <t>{"id":"chatcmpl-DYhnk7TFGohut9DGpgGEpzzeJtbkB","object":"chat.completion","created":1777163896,"model":"gpt-5-chat-2025-10-03","choices":[{"index":0,"message":{"role":"assistant","content":"Louis Vuitton：Damier Graphite系列黑色男士皮质腰带，搭配银色LV字母扣设计，彰显简约奢华格调，商务与休闲皆宜。","refusal":null,"annotations":[]},"logprobs":null,"finish_reason":"stop"}],"usage":{"prompt_tokens":1297,"completion_tokens":45,"total_tokens":1342,"prompt_tokens_details":{"cached_tokens":1280,"audio_tokens":0},"completion_tokens_details":{"reasoning_tokens":0,"audio_tokens":0,"accepted_prediction_tokens":0,"rejected_prediction_tokens":0}},"service_tier":"default","system_fingerprint":"fp_ad66631dec"}</t>
        </is>
      </c>
      <c r="X113" t="inlineStr">
        <is>
          <t>Louis Vuitton：Damier Graphite系列黑色男士皮质腰带，搭配银色LV字母扣设计，彰显简约奢华格调，商务与休闲皆宜。</t>
        </is>
      </c>
    </row>
    <row r="114" ht="25.5" customHeight="1">
      <c r="A114">
        <v>1654975475</v>
      </c>
      <c r="B114">
        <v>7619017279</v>
      </c>
      <c r="C114" s="2" t="str">
        <f>=HYPERLINK("https://weidian.com/item.html?itemID=7619017279", "https://weidian.com/item.html?itemID=7619017279")</f>
        <v>https://weidian.com/item.html?itemID=7619017279</v>
      </c>
      <c r="D114"/>
      <c r="E114" s="2" t="str">
        <f>=HYPERLINK("https://si.geilicdn.com/pcitem2014204438-0fb30000019acac427d70a2304aa_1440_1920.jpg?w=640&amp;h=640", "https://si.geilicdn.com/pcitem2014204438-0fb30000019acac427d70a2304aa_1440_1920.jpg?w=640&amp;h=640")</f>
        <v>https://si.geilicdn.com/pcitem2014204438-0fb30000019acac427d70a2304aa_1440_1920.jpg?w=640&amp;h=640</v>
      </c>
      <c r="F114" t="inlineStr">
        <is>
          <t>Accessories</t>
        </is>
      </c>
      <c r="G114" t="inlineStr">
        <is>
          <t>Salvatore Ferragamo</t>
        </is>
      </c>
      <c r="H114">
        <v>460</v>
      </c>
      <c r="I114">
        <v>66.67</v>
      </c>
      <c r="J114" t="inlineStr">
        <is>
          <t>{"id":"chatcmpl-DYizXw4D41AE13xWwzfMLOSKZQz7J","object":"chat.completion","created":1777168471,"model":"gpt-5-chat-2025-10-03","choices":[{"index":0,"message":{"role":"assistant","content":"Salvatore Ferragamo Gancini Grey Leather Men Belt","refusal":null,"annotations":[]},"logprobs":null,"finish_reason":"stop"}],"usage":{"prompt_tokens":872,"completion_tokens":13,"total_tokens":885,"prompt_tokens_details":{"cached_tokens":0,"audio_tokens":0},"completion_tokens_details":{"reasoning_tokens":0,"audio_tokens":0,"accepted_prediction_tokens":0,"rejected_prediction_tokens":0}},"service_tier":"default","system_fingerprint":"fp_ad66631dec"}</t>
        </is>
      </c>
      <c r="K114" t="inlineStr">
        <is>
          <t>Salvatore Ferragamo Gancini Grey Leather Men Belt</t>
        </is>
      </c>
      <c r="L114" t="inlineStr">
        <is>
          <t>{"id":"chatcmpl-DYiLAvJtPK3hcv4zxw08hE1ISZVNL","object":"chat.completion","created":1777165968,"model":"gpt-5-chat-2025-10-03","choices":[{"index":0,"message":{"role":"assistant","content":"Salvatore Ferragamo Gancini Men’s Grey Leather Belt crafted from premium textured calfskin with signature gold double-ring buckle, blending Italian elegance and modern sophistication.","refusal":null,"annotations":[]},"logprobs":null,"finish_reason":"stop"}],"usage":{"prompt_tokens":902,"completion_tokens":34,"total_tokens":936,"prompt_tokens_details":{"cached_tokens":0,"audio_tokens":0},"completion_tokens_details":{"reasoning_tokens":0,"audio_tokens":0,"accepted_prediction_tokens":0,"rejected_prediction_tokens":0}},"service_tier":"default","system_fingerprint":"fp_ad66631dec"}</t>
        </is>
      </c>
      <c r="M114" t="inlineStr">
        <is>
          <t>{"alt-svc":"h3=\":443\"; ma=2592000","apim-request-id":"78edb197-9086-403b-8c55-b58531118c65","azureml-model-session":"d20260402074105-51db401e","cache-control":"no-cache","connection":"close","content-length":"993","content-type":"application/json","date":"Sun, 26 Apr 2026 01:12:51 GMT","server":"nginx","skip-error-remapping":"true","strict-transport-security":"max-age=31536000; includeSubDomains; preload","via":"1.1 Caddy","x-content-type-options":"nosniff","x-ms-client-request-id":"Not-Set","x-ms-is-spilled-over":"false","x-ms-rai-invoked":"false","x-ms-region":"Australia East","x-new-api-version":"0.4.35","x-oneapi-request-id":"202604260112471996133498268d9d6U1zFuigd","x-ratelimit-abusepenalty-active":"False","x-ratelimit-limit-requests":"1000","x-ratelimit-limit-tokens":"1000000","x-ratelimit-remaining-requests":"999","x-ratelimit-remaining-tokens":"998336","x-ratelimit-renewalperiod-requests":"60","x-ratelimit-renewalperiod-tokens":"60","x-ratelimit-reset-requests":"60","x-ratelimit-reset-tokens":"99","x-request-id":"f69d12b7-404f-4995-8501-4d5fcda7543d"}</t>
        </is>
      </c>
      <c r="N114" t="inlineStr">
        <is>
          <t>Salvatore Ferragamo Gancini Men’s Grey Leather Belt crafted from premium textured calfskin with signature gold double-ring buckle, blending Italian elegance and modern sophistication.</t>
        </is>
      </c>
      <c r="O114" t="inlineStr">
        <is>
          <t>{"id":"chatcmpl-DYiWsGPsFH3i2QaEdtBOGCyx3pY86","object":"chat.completion","created":1777166694,"model":"gpt-5-chat-2025-10-03","choices":[{"index":0,"message":{"role":"assistant","content":"Salvatore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14" t="inlineStr">
        <is>
          <t>Salvatore Ferragamo, Accessories, kakobuy, kakebuy2026, kekobuysheet, kakobuysheet2026, 2026kakobuy, kakobuyspreadsheeet, kakobuylink, kakebuylist, Kakobuy MEGA Spreadsheet, kakobuysheetfind, kakobuysheetfind2026, 2026kakobuysheetfind, kakobuysheet2026</t>
        </is>
      </c>
      <c r="Q114"/>
      <c r="R114" t="inlineStr">
        <is>
          <t>recvhju1CrTTF0</t>
        </is>
      </c>
      <c r="S114" t="inlineStr">
        <is>
          <t>ferragamo-gancini-grey-leather-belt-recvhju1crttf0</t>
        </is>
      </c>
      <c r="T114"/>
      <c r="U114"/>
      <c r="V114"/>
      <c r="W114" t="inlineStr">
        <is>
          <t>{"id":"chatcmpl-DYhpOrIxc6IFFJ4c6JgkylNqg7Xs8","object":"chat.completion","created":1777163998,"model":"gpt-5-chat-2025-10-03","choices":[{"index":0,"message":{"role":"assistant","content":"Salvatore Ferragamo：Gancini系列灰色男士皮带，甄选高级纹理牛皮，搭配标志性金色双环扣设计，简约奢华兼具实用功能，展现意式优雅工艺与现代绅士格调。","refusal":null,"annotations":[]},"logprobs":null,"finish_reason":"stop"}],"usage":{"prompt_tokens":1305,"completion_tokens":66,"total_tokens":1371,"prompt_tokens_details":{"cached_tokens":0,"audio_tokens":0},"completion_tokens_details":{"reasoning_tokens":0,"audio_tokens":0,"accepted_prediction_tokens":0,"rejected_prediction_tokens":0}},"service_tier":"default","system_fingerprint":"fp_ad66631dec"}</t>
        </is>
      </c>
      <c r="X114" t="inlineStr">
        <is>
          <t>Salvatore Ferragamo：Gancini系列灰色男士皮带，甄选高级纹理牛皮，搭配标志性金色双环扣设计，简约奢华兼具实用功能，展现意式优雅工艺与现代绅士格调。</t>
        </is>
      </c>
    </row>
    <row r="115" ht="25.5" customHeight="1">
      <c r="A115">
        <v>1654975475</v>
      </c>
      <c r="B115">
        <v>7619098699</v>
      </c>
      <c r="C115" s="2" t="str">
        <f>=HYPERLINK("https://weidian.com/item.html?itemID=7619098699", "https://weidian.com/item.html?itemID=7619098699")</f>
        <v>https://weidian.com/item.html?itemID=7619098699</v>
      </c>
      <c r="D115"/>
      <c r="E115" s="2" t="str">
        <f>=HYPERLINK("https://si.geilicdn.com/pcitem2014204438-4a8c0000019acb00c6d90a230115_1074_1074.jpg?w=640&amp;h=640", "https://si.geilicdn.com/pcitem2014204438-4a8c0000019acb00c6d90a230115_1074_1074.jpg?w=640&amp;h=640")</f>
        <v>https://si.geilicdn.com/pcitem2014204438-4a8c0000019acb00c6d90a230115_1074_1074.jpg?w=640&amp;h=640</v>
      </c>
      <c r="F115" t="inlineStr">
        <is>
          <t>Accessories</t>
        </is>
      </c>
      <c r="G115" t="inlineStr">
        <is>
          <t>Fendi</t>
        </is>
      </c>
      <c r="H115">
        <v>460</v>
      </c>
      <c r="I115">
        <v>66.67</v>
      </c>
      <c r="J115" t="inlineStr">
        <is>
          <t>{"id":"chatcmpl-DYj1bhvPm4cYuRQ8QEyix2ky7fuwx","object":"chat.completion","created":1777168599,"model":"gpt-5-chat-2025-10-03","choices":[{"index":0,"message":{"role":"assistant","content":"Fendi FF Logo Brown Reversible Leather Belt Unisex","refusal":null,"annotations":[]},"logprobs":null,"finish_reason":"stop"}],"usage":{"prompt_tokens":883,"completion_tokens":12,"total_tokens":895,"prompt_tokens_details":{"cached_tokens":0,"audio_tokens":0},"completion_tokens_details":{"reasoning_tokens":0,"audio_tokens":0,"accepted_prediction_tokens":0,"rejected_prediction_tokens":0}},"service_tier":"default","system_fingerprint":"fp_ad66631dec"}</t>
        </is>
      </c>
      <c r="K115" t="inlineStr">
        <is>
          <t>Fendi FF Logo Brown Reversible Leather Belt Unisex</t>
        </is>
      </c>
      <c r="L115" t="inlineStr">
        <is>
          <t>{"id":"chatcmpl-DYiGggfV506LdnzN7PJikOMfs3cQL","object":"chat.completion","created":1777165690,"model":"gpt-5-chat-2025-10-03","choices":[{"index":0,"message":{"role":"assistant","content":"Fendi FF Logo Brown Leather Reversible Belt, crafted from premium cowhide with a sleek metal buckle, exudes Italian luxury. Unisex design suits business and casual wear with refined, understated elegance.","refusal":null,"annotations":[]},"logprobs":null,"finish_reason":"stop"}],"usage":{"prompt_tokens":903,"completion_tokens":41,"total_tokens":944,"prompt_tokens_details":{"cached_tokens":0,"audio_tokens":0},"completion_tokens_details":{"reasoning_tokens":0,"audio_tokens":0,"accepted_prediction_tokens":0,"rejected_prediction_tokens":0}},"service_tier":"default","system_fingerprint":"fp_ad66631dec"}</t>
        </is>
      </c>
      <c r="M115" t="inlineStr">
        <is>
          <t>{"alt-svc":"h3=\":443\"; ma=2592000","apim-request-id":"111860da-0e88-46f7-9dc6-5a4f4969412a","azureml-model-session":"d20260402074105-51db401e","cache-control":"no-cache","connection":"close","content-length":"1012","content-type":"application/json","date":"Sun, 26 Apr 2026 01:08:11 GMT","server":"Caddy","skip-error-remapping":"true","strict-transport-security":"max-age=31536000; includeSubDomains; preload","x-content-type-options":"nosniff","x-ms-client-request-id":"Not-Set","x-ms-is-spilled-over":"false","x-ms-rai-invoked":"false","x-ms-region":"UK South","x-new-api-version":"0.4.35","x-oneapi-request-id":"202604260108095143818338268d9d6gpNlE2nj","x-ratelimit-abusepenalty-active":"False","x-ratelimit-limit-requests":"1000","x-ratelimit-limit-tokens":"1000000","x-ratelimit-remaining-requests":"999","x-ratelimit-remaining-tokens":"998335","x-ratelimit-renewalperiod-requests":"60","x-ratelimit-renewalperiod-tokens":"60","x-ratelimit-reset-requests":"60","x-ratelimit-reset-tokens":"99","x-request-id":"73f9d99d-114e-4449-aeab-7de459586489"}</t>
        </is>
      </c>
      <c r="N115" t="inlineStr">
        <is>
          <t>Fendi FF Logo Brown Leather Reversible Belt, crafted from premium cowhide with a sleek metal buckle, exudes Italian luxury. Unisex design suits business and casual wear with refined, understated elegance.</t>
        </is>
      </c>
      <c r="O115" t="inlineStr">
        <is>
          <t>{"id":"chatcmpl-DYiRciOYkUTffKUU7hPXnbQK9b7HJ","object":"chat.completion","created":1777166368,"model":"gpt-5-chat-2025-10-03","choices":[{"index":0,"message":{"role":"assistant","content":"Fend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5" t="inlineStr">
        <is>
          <t>Fendi,Accessories,kakobuy,kakebuy2026,kekobuysheet,kakobuysheet2026,2026kakobuy,kakobuyspreadsheeet,kakobuylink,kakebuylist,Kakobuy MEGA Spreadsheet,kakobuysheetfind,kakobuysheetfind2026,2026kakobuysheetfind,kakobuysheet2026</t>
        </is>
      </c>
      <c r="Q115" t="inlineStr">
        <is>
          <t>Leather, Cowhide, Unisex, Business</t>
        </is>
      </c>
      <c r="R115" t="inlineStr">
        <is>
          <t>recvhju1CrjpxL</t>
        </is>
      </c>
      <c r="S115" t="inlineStr">
        <is>
          <t>fendi-ff-logo-brown-reversible-leather-belt-recvhju1crjpxl</t>
        </is>
      </c>
      <c r="T115"/>
      <c r="U115"/>
      <c r="V115"/>
      <c r="W115" t="inlineStr">
        <is>
          <t>{"id":"chatcmpl-DYhsBw4FIroGzYavVCuYiWJry2Xpx","object":"chat.completion","created":1777164171,"model":"gpt-5-chat-2025-10-03","choices":[{"index":0,"message":{"role":"assistant","content":"Fendi：FF字母印花咖色皮质双面腰带，采用优质牛皮与金属扣设计，质感典雅，彰显品牌意式奢华格调，男女通用，适合商务与休闲穿搭，展现低调精致品味。","refusal":null,"annotations":[]},"logprobs":null,"finish_reason":"stop"}],"usage":{"prompt_tokens":1305,"completion_tokens":67,"total_tokens":1372,"prompt_tokens_details":{"cached_tokens":1280,"audio_tokens":0},"completion_tokens_details":{"reasoning_tokens":0,"audio_tokens":0,"accepted_prediction_tokens":0,"rejected_prediction_tokens":0}},"service_tier":"default","system_fingerprint":"fp_ad66631dec"}</t>
        </is>
      </c>
      <c r="X115" t="inlineStr">
        <is>
          <t>Fendi：FF字母印花咖色皮质双面腰带，采用优质牛皮与金属扣设计，质感典雅，彰显品牌意式奢华格调，男女通用，适合商务与休闲穿搭，展现低调精致品味。</t>
        </is>
      </c>
    </row>
    <row r="116" ht="25.5" customHeight="1">
      <c r="A116">
        <v>1654975475</v>
      </c>
      <c r="B116">
        <v>7619127919</v>
      </c>
      <c r="C116" s="2" t="str">
        <f>=HYPERLINK("https://weidian.com/item.html?itemID=7619127919", "https://weidian.com/item.html?itemID=7619127919")</f>
        <v>https://weidian.com/item.html?itemID=7619127919</v>
      </c>
      <c r="D116"/>
      <c r="E116" s="2" t="str">
        <f>=HYPERLINK("https://si.geilicdn.com/pcitem2014204438-25760000019acb0ae5410a210139_1280_1280.jpg?w=640&amp;h=640", "https://si.geilicdn.com/pcitem2014204438-25760000019acb0ae5410a210139_1280_1280.jpg?w=640&amp;h=640")</f>
        <v>https://si.geilicdn.com/pcitem2014204438-25760000019acb0ae5410a210139_1280_1280.jpg?w=640&amp;h=640</v>
      </c>
      <c r="F116" t="inlineStr">
        <is>
          <t>Accessories</t>
        </is>
      </c>
      <c r="G116" t="inlineStr">
        <is>
          <t>Burberry</t>
        </is>
      </c>
      <c r="H116">
        <v>460</v>
      </c>
      <c r="I116">
        <v>66.67</v>
      </c>
      <c r="J116" t="inlineStr">
        <is>
          <t>{"id":"chatcmpl-DYizCFfIXfykUMRq5LA5rRLjLuHtR","object":"chat.completion","created":1777168450,"model":"gpt-5-chat-2025-10-03","choices":[{"index":0,"message":{"role":"assistant","content":"Burberry Black Leather Belt Gold Buckle TB Monogram","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16" t="inlineStr">
        <is>
          <t>Burberry Black Leather Belt Gold Buckle TB Monogram</t>
        </is>
      </c>
      <c r="L116" t="inlineStr">
        <is>
          <t>{"id":"chatcmpl-DYiC8ReGdLbpUDqK28bC1wvfm4jBr","object":"chat.completion","created":1777165408,"model":"gpt-5-chat-2025-10-03","choices":[{"index":0,"message":{"role":"assistant","content":"Burberry black embossed leather belt with a shiny gold buckle and signature TB monogram design, crafted for timeless British elegance. Perfect for both men and women, business or casual wear.","refusal":null,"annotations":[]},"logprobs":null,"finish_reason":"stop"}],"usage":{"prompt_tokens":894,"completion_tokens":37,"total_tokens":931,"prompt_tokens_details":{"cached_tokens":0,"audio_tokens":0},"completion_tokens_details":{"reasoning_tokens":0,"audio_tokens":0,"accepted_prediction_tokens":0,"rejected_prediction_tokens":0}},"service_tier":"default","system_fingerprint":"fp_ad66631dec"}</t>
        </is>
      </c>
      <c r="M116" t="inlineStr">
        <is>
          <t>{"alt-svc":"h3=\":443\"; ma=2592000","apim-request-id":"e826d8e6-ed5d-47dc-85ad-149295257f5a","azureml-model-session":"d20260402083108-57a85543","cache-control":"no-cache","connection":"close","content-length":"999","content-type":"application/json","date":"Sun, 26 Apr 2026 01:03:30 GMT","server":"nginx","skip-error-remapping":"true","strict-transport-security":"max-age=31536000; includeSubDomains; preload","via":"1.1 Caddy","x-content-type-options":"nosniff","x-ms-client-request-id":"Not-Set","x-ms-is-spilled-over":"false","x-ms-rai-invoked":"false","x-ms-region":"Japan East","x-new-api-version":"0.4.35","x-oneapi-request-id":"202604260103271842983578268d9d6sbosrBuU","x-ratelimit-abusepenalty-active":"False","x-ratelimit-limit-requests":"1000","x-ratelimit-limit-tokens":"1000000","x-ratelimit-remaining-requests":"999","x-ratelimit-remaining-tokens":"998344","x-ratelimit-renewalperiod-requests":"60","x-ratelimit-renewalperiod-tokens":"60","x-ratelimit-reset-requests":"60","x-ratelimit-reset-tokens":"99","x-request-id":"d012bd36-8a18-4e6c-8014-68732b184ffe"}</t>
        </is>
      </c>
      <c r="N116" t="inlineStr">
        <is>
          <t>Burberry black embossed leather belt with a shiny gold buckle and signature TB monogram design, crafted for timeless British elegance. Perfect for both men and women, business or casual wear.</t>
        </is>
      </c>
      <c r="O116" t="inlineStr">
        <is>
          <t>{"id":"chatcmpl-DYiRCHZ5mo2FchmCLkYlqvEtztBJI","object":"chat.completion","created":1777166342,"model":"gpt-5-chat-2025-10-03","choices":[{"index":0,"message":{"role":"assistant","content":"Burberry,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16" t="inlineStr">
        <is>
          <t>Burberry, Belt, kakobuy, kakebuy2026, kekobuysheet, kakobuysheet2026, 2026kakobuy, kakobuyspreadsheeet, kakobuylink, kakebuylist, Kakobuy MEGA Spreadsheet, kakobuysheetfind, kakobuysheetfind2026, 2026kakobuysheetfind, kakobuysheet2026</t>
        </is>
      </c>
      <c r="Q116" t="inlineStr">
        <is>
          <t>Black, Leather, Elegant, Business, Men's And Women's</t>
        </is>
      </c>
      <c r="R116" t="inlineStr">
        <is>
          <t>recvhju1CryhvI</t>
        </is>
      </c>
      <c r="S116" t="inlineStr">
        <is>
          <t>burberry-black-leather-belt-gold-buckle-tb-monogram-recvhju1cryhvi</t>
        </is>
      </c>
      <c r="T116"/>
      <c r="U116"/>
      <c r="V116"/>
      <c r="W116" t="inlineStr">
        <is>
          <t>{"id":"chatcmpl-DYhuajL9QdfnBVkDtMmDWP5Q8NeZF","object":"chat.completion","created":1777164320,"model":"gpt-5-chat-2025-10-03","choices":[{"index":0,"message":{"role":"assistant","content":"Burberry黑色压纹皮革腰带，闪耀金色金属扣设计，饰以标志性TB立体图案，匠心打造英伦经典质感，彰显奢华格调，适合男女通用商务与休闲穿搭。","refusal":null,"annotations":[]},"logprobs":null,"finish_reason":"stop"}],"usage":{"prompt_tokens":1297,"completion_tokens":62,"total_tokens":1359,"prompt_tokens_details":{"cached_tokens":1280,"audio_tokens":0},"completion_tokens_details":{"reasoning_tokens":0,"audio_tokens":0,"accepted_prediction_tokens":0,"rejected_prediction_tokens":0}},"service_tier":"default","system_fingerprint":"fp_ad66631dec"}</t>
        </is>
      </c>
      <c r="X116" t="inlineStr">
        <is>
          <t>Burberry黑色压纹皮革腰带，闪耀金色金属扣设计，饰以标志性TB立体图案，匠心打造英伦经典质感，彰显奢华格调，适合男女通用商务与休闲穿搭。</t>
        </is>
      </c>
    </row>
    <row r="117" ht="25.5" customHeight="1">
      <c r="A117">
        <v>1654975475</v>
      </c>
      <c r="B117">
        <v>7622058878</v>
      </c>
      <c r="C117" s="2" t="str">
        <f>=HYPERLINK("https://weidian.com/item.html?itemID=7622058878", "https://weidian.com/item.html?itemID=7622058878")</f>
        <v>https://weidian.com/item.html?itemID=7622058878</v>
      </c>
      <c r="D117"/>
      <c r="E117" s="2" t="str">
        <f>=HYPERLINK("https://si.geilicdn.com/pcitem2014204438-42960000019acb02618a0a20e273_1917_1921.jpg?w=640&amp;h=640", "https://si.geilicdn.com/pcitem2014204438-42960000019acb02618a0a20e273_1917_1921.jpg?w=640&amp;h=640")</f>
        <v>https://si.geilicdn.com/pcitem2014204438-42960000019acb02618a0a20e273_1917_1921.jpg?w=640&amp;h=640</v>
      </c>
      <c r="F117" t="inlineStr">
        <is>
          <t>Accessories</t>
        </is>
      </c>
      <c r="G117" t="inlineStr">
        <is>
          <t>Gucci</t>
        </is>
      </c>
      <c r="H117">
        <v>580</v>
      </c>
      <c r="I117">
        <v>84</v>
      </c>
      <c r="J117" t="inlineStr">
        <is>
          <t>{"id":"chatcmpl-DYj0VGyWddNgYvaODLdVfS8Jcgh1s","object":"chat.completion","created":1777168531,"model":"gpt-5-chat-2025-10-03","choices":[{"index":0,"message":{"role":"assistant","content":"Gucci GG Monogram Brown Leather Canvas Unisex Clutch","refusal":null,"annotations":[]},"logprobs":null,"finish_reason":"stop"}],"usage":{"prompt_tokens":883,"completion_tokens":13,"total_tokens":896,"prompt_tokens_details":{"cached_tokens":0,"audio_tokens":0},"completion_tokens_details":{"reasoning_tokens":0,"audio_tokens":0,"accepted_prediction_tokens":0,"rejected_prediction_tokens":0}},"service_tier":"default","system_fingerprint":"fp_ad66631dec"}</t>
        </is>
      </c>
      <c r="K117" t="inlineStr">
        <is>
          <t>Gucci GG Monogram Brown Leather Canvas Unisex Clutch</t>
        </is>
      </c>
      <c r="L117" t="inlineStr">
        <is>
          <t>{"id":"chatcmpl-DYiIT4ZAcV99PUxi1El0K01yKJ8dN","object":"chat.completion","created":1777165801,"model":"gpt-5-chat-2025-10-03","choices":[{"index":0,"message":{"role":"assistant","content":"Gucci Classic GG Monogram Brown Clutch, crafted from premium canvas and leather, featuring a vintage minimalist design that exudes Italian luxury style. Unisex, ideal for city life and casual occasions.","refusal":null,"annotations":[]},"logprobs":null,"finish_reason":"stop"}],"usage":{"prompt_tokens":889,"completion_tokens":41,"total_tokens":930,"prompt_tokens_details":{"cached_tokens":0,"audio_tokens":0},"completion_tokens_details":{"reasoning_tokens":0,"audio_tokens":0,"accepted_prediction_tokens":0,"rejected_prediction_tokens":0}},"service_tier":"default","system_fingerprint":"fp_ad66631dec"}</t>
        </is>
      </c>
      <c r="M117" t="inlineStr">
        <is>
          <t>{"alt-svc":"h3=\":443\"; ma=2592000","apim-request-id":"0cca962a-302a-41d6-ace2-b9763a334a53","azureml-model-session":"d20260402075109-1fc5a0ec","cache-control":"no-cache","connection":"close","content-length":"1010","content-type":"application/json","date":"Sun, 26 Apr 2026 01:10:03 GMT","server":"nginx","skip-error-remapping":"true","strict-transport-security":"max-age=31536000; includeSubDomains; preload","via":"1.1 Caddy","x-content-type-options":"nosniff","x-ms-client-request-id":"Not-Set","x-ms-is-spilled-over":"false","x-ms-rai-invoked":"false","x-ms-region":"UK South","x-new-api-version":"0.4.35","x-oneapi-request-id":"202604260110012139119108268d9d60bI7HD0S","x-ratelimit-abusepenalty-active":"False","x-ratelimit-limit-requests":"1000","x-ratelimit-limit-tokens":"1000000","x-ratelimit-remaining-requests":"999","x-ratelimit-remaining-tokens":"998349","x-ratelimit-renewalperiod-requests":"60","x-ratelimit-renewalperiod-tokens":"60","x-ratelimit-reset-requests":"60","x-ratelimit-reset-tokens":"99","x-request-id":"1e0dfc51-e332-4fce-84b4-30f8c2c1bbcc"}</t>
        </is>
      </c>
      <c r="N117" t="inlineStr">
        <is>
          <t>Gucci Classic GG Monogram Brown Clutch, crafted from premium canvas and leather, featuring a vintage minimalist design that exudes Italian luxury style. Unisex, ideal for city life and casual occasions.</t>
        </is>
      </c>
      <c r="O117" t="inlineStr">
        <is>
          <t>{"id":"chatcmpl-DYiVGOd6eWcfWecUlWK70q4Khon8F","object":"chat.completion","created":1777166594,"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7" t="inlineStr">
        <is>
          <t>Gucci,Accessories,kakobuy,kakebuy2026,kekobuysheet,kakobuysheet2026,2026kakobuy,kakobuyspreadsheeet,kakobuylink,kakebuylist,Kakobuy MEGA Spreadsheet,kakobuysheetfind,kakobuysheetfind2026,2026kakobuysheetfind,kakobuysheet2026</t>
        </is>
      </c>
      <c r="Q117" t="inlineStr">
        <is>
          <t>Gucci X Adidas, Brown, Minimalist, Unisex, Canvas</t>
        </is>
      </c>
      <c r="R117" t="inlineStr">
        <is>
          <t>recvhju1CrdG8E</t>
        </is>
      </c>
      <c r="S117" t="inlineStr">
        <is>
          <t>gucci-gg-monogram-brown-leather-canvas-clutch-recvhju1crdg8e</t>
        </is>
      </c>
      <c r="T117"/>
      <c r="U117"/>
      <c r="V117"/>
      <c r="W117" t="inlineStr">
        <is>
          <t>{"id":"chatcmpl-DYhr4V3kkb6iEgaZBlrXGSM4frkn4","object":"chat.completion","created":1777164102,"model":"gpt-5-chat-2025-10-03","choices":[{"index":0,"message":{"role":"assistant","content":"Gucci经典GG图腾棕色手包，甄选优质帆布拼皮革，复古简约设计，彰显意式奢华格调，男女皆宜，适合都市日常与休闲场合。","refusal":null,"annotations":[]},"logprobs":null,"finish_reason":"stop"}],"usage":{"prompt_tokens":1299,"completion_tokens":56,"total_tokens":1355,"prompt_tokens_details":{"cached_tokens":1280,"audio_tokens":0},"completion_tokens_details":{"reasoning_tokens":0,"audio_tokens":0,"accepted_prediction_tokens":0,"rejected_prediction_tokens":0}},"service_tier":"default","system_fingerprint":"fp_ad66631dec"}</t>
        </is>
      </c>
      <c r="X117" t="inlineStr">
        <is>
          <t>Gucci经典GG图腾棕色手包，甄选优质帆布拼皮革，复古简约设计，彰显意式奢华格调，男女皆宜，适合都市日常与休闲场合。</t>
        </is>
      </c>
    </row>
    <row r="118" ht="25.5" customHeight="1">
      <c r="A118">
        <v>1654975475</v>
      </c>
      <c r="B118">
        <v>7622056844</v>
      </c>
      <c r="C118" s="2" t="str">
        <f>=HYPERLINK("https://weidian.com/item.html?itemID=7622056844", "https://weidian.com/item.html?itemID=7622056844")</f>
        <v>https://weidian.com/item.html?itemID=7622056844</v>
      </c>
      <c r="D118"/>
      <c r="E118" s="2" t="str">
        <f>=HYPERLINK("https://si.geilicdn.com/pcitem2014204438-5acb0000019acb0624e90a23111a_1536_1536.jpg?w=640&amp;h=640", "https://si.geilicdn.com/pcitem2014204438-5acb0000019acb0624e90a23111a_1536_1536.jpg?w=640&amp;h=640")</f>
        <v>https://si.geilicdn.com/pcitem2014204438-5acb0000019acb0624e90a23111a_1536_1536.jpg?w=640&amp;h=640</v>
      </c>
      <c r="F118" t="inlineStr">
        <is>
          <t>Accessories</t>
        </is>
      </c>
      <c r="G118" t="inlineStr">
        <is>
          <t>Dior</t>
        </is>
      </c>
      <c r="H118">
        <v>460</v>
      </c>
      <c r="I118">
        <v>66.67</v>
      </c>
      <c r="J118" t="inlineStr">
        <is>
          <t>{"id":"chatcmpl-DYiyiWNmU1CETK2XxeVlL7XlHVf2e","object":"chat.completion","created":1777168420,"model":"gpt-5-chat-2025-10-03","choices":[{"index":0,"message":{"role":"assistant","content":"Dior Men Black Leather Belt Silver Logo Buckl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18" t="inlineStr">
        <is>
          <t>Dior Men Black Leather Belt Silver Logo Buckle</t>
        </is>
      </c>
      <c r="L118" t="inlineStr">
        <is>
          <t>{"id":"chatcmpl-DYiG3Cde92AJNBSjXTM6LGDVCqcL4","object":"chat.completion","created":1777165651,"model":"gpt-5-chat-2025-10-03","choices":[{"index":0,"message":{"role":"assistant","content":"Dior Men’s Black Leather Belt features premium grained calfskin with a silver metal DIOR logo buckle, offering timeless elegance and modern sophistication for business and casual style.","refusal":null,"annotations":[]},"logprobs":null,"finish_reason":"stop"}],"usage":{"prompt_tokens":907,"completion_tokens":35,"total_tokens":942,"prompt_tokens_details":{"cached_tokens":0,"audio_tokens":0},"completion_tokens_details":{"reasoning_tokens":0,"audio_tokens":0,"accepted_prediction_tokens":0,"rejected_prediction_tokens":0}},"service_tier":"default","system_fingerprint":"fp_ad66631dec"}</t>
        </is>
      </c>
      <c r="M118" t="inlineStr">
        <is>
          <t>{"alt-svc":"h3=\":443\"; ma=2592000","apim-request-id":"56966bd3-2038-4bc5-95f9-33aa37027369","azureml-model-session":"d20260405225800-40f19e54","cache-control":"no-cache","connection":"close","content-length":"995","content-type":"application/json","date":"Sun, 26 Apr 2026 01:07:33 GMT","server":"nginx","skip-error-remapping":"true","strict-transport-security":"max-age=31536000; includeSubDomains; preload","via":"1.1 Caddy","x-content-type-options":"nosniff","x-ms-client-request-id":"Not-Set","x-ms-is-spilled-over":"false","x-ms-rai-invoked":"false","x-ms-region":"Japan East","x-new-api-version":"0.4.35","x-oneapi-request-id":"202604260107301330255258268d9d6lIk2UWLg","x-ratelimit-abusepenalty-active":"False","x-ratelimit-limit-requests":"1000","x-ratelimit-limit-tokens":"1000000","x-ratelimit-remaining-requests":"999","x-ratelimit-remaining-tokens":"998331","x-ratelimit-renewalperiod-requests":"60","x-ratelimit-renewalperiod-tokens":"60","x-ratelimit-reset-requests":"60","x-ratelimit-reset-tokens":"100","x-request-id":"1904fcbf-b554-40c7-b2d4-19d25713a6a0"}</t>
        </is>
      </c>
      <c r="N118" t="inlineStr">
        <is>
          <t>Dior Men’s Black Leather Belt features premium grained calfskin with a silver metal DIOR logo buckle, offering timeless elegance and modern sophistication for business and casual style.</t>
        </is>
      </c>
      <c r="O118" t="inlineStr">
        <is>
          <t>{"id":"chatcmpl-DYiWPQ3a7lsbM07yPSsOhz9K9B8al","object":"chat.completion","created":1777166665,"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8" t="inlineStr">
        <is>
          <t>Dior,Belt,kakobuy,kakebuy2026,kekobuysheet,kakobuysheet2026,2026kakobuy,kakobuyspreadsheeet,kakobuylink,kakebuylist,Kakobuy MEGA Spreadsheet,kakobuysheetfind,kakobuysheetfind2026,2026kakobuysheetfind,kakobuysheet2026</t>
        </is>
      </c>
      <c r="Q118" t="inlineStr">
        <is>
          <t>Dior, Leather, Black, Silver, Business, Elegant</t>
        </is>
      </c>
      <c r="R118" t="inlineStr">
        <is>
          <t>recvhju1CrMraM</t>
        </is>
      </c>
      <c r="S118" t="inlineStr">
        <is>
          <t>dior-men-black-leather-belt-silver-logo-buckle-recvhju1crmram</t>
        </is>
      </c>
      <c r="T118"/>
      <c r="U118"/>
      <c r="V118"/>
      <c r="W118" t="inlineStr">
        <is>
          <t>{"id":"chatcmpl-DYhs846MdGuSHrEtmg57Wck2SnwNp","object":"chat.completion","created":1777164168,"model":"gpt-5-chat-2025-10-03","choices":[{"index":0,"message":{"role":"assistant","content":"Dior：黑色男士真皮腰带，甄选细腻荔枝纹牛皮材质，搭配银色金属Dior字母扣设计，简约奢华，彰显现代绅士风格，适合商务与日常穿搭，体现品牌高定质感。","refusal":null,"annotations":[]},"logprobs":null,"finish_reason":"stop"}],"usage":{"prompt_tokens":1303,"completion_tokens":72,"total_tokens":1375,"prompt_tokens_details":{"cached_tokens":1280,"audio_tokens":0},"completion_tokens_details":{"reasoning_tokens":0,"audio_tokens":0,"accepted_prediction_tokens":0,"rejected_prediction_tokens":0}},"service_tier":"default","system_fingerprint":"fp_ad66631dec"}</t>
        </is>
      </c>
      <c r="X118" t="inlineStr">
        <is>
          <t>Dior：黑色男士真皮腰带，甄选细腻荔枝纹牛皮材质，搭配银色金属Dior字母扣设计，简约奢华，彰显现代绅士风格，适合商务与日常穿搭，体现品牌高定质感。</t>
        </is>
      </c>
    </row>
    <row r="119" ht="25.5" customHeight="1">
      <c r="A119">
        <v>1654975475</v>
      </c>
      <c r="B119">
        <v>7619123993</v>
      </c>
      <c r="C119" s="2" t="str">
        <f>=HYPERLINK("https://weidian.com/item.html?itemID=7619123993", "https://weidian.com/item.html?itemID=7619123993")</f>
        <v>https://weidian.com/item.html?itemID=7619123993</v>
      </c>
      <c r="D119"/>
      <c r="E119" s="2" t="str">
        <f>=HYPERLINK("https://si.geilicdn.com/pcitem2014204438-19110000019acb04bd9d0a231316_1536_2048.jpg?w=640&amp;h=640", "https://si.geilicdn.com/pcitem2014204438-19110000019acb04bd9d0a231316_1536_2048.jpg?w=640&amp;h=640")</f>
        <v>https://si.geilicdn.com/pcitem2014204438-19110000019acb04bd9d0a231316_1536_2048.jpg?w=640&amp;h=640</v>
      </c>
      <c r="F119" t="inlineStr">
        <is>
          <t>Accessories</t>
        </is>
      </c>
      <c r="G119" t="inlineStr">
        <is>
          <t>Hermes</t>
        </is>
      </c>
      <c r="H119">
        <v>470</v>
      </c>
      <c r="I119">
        <v>68.12</v>
      </c>
      <c r="J119" t="inlineStr">
        <is>
          <t>{"id":"chatcmpl-DYiwMREleFhUK0QQeqz0lJ3fdGyc3","object":"chat.completion","created":1777168274,"model":"gpt-5-chat-2025-10-03","choices":[{"index":0,"message":{"role":"assistant","content":"Hermes White Reversible Leather H Buckle Belt Unisex","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119" t="inlineStr">
        <is>
          <t>Hermes White Reversible Leather H Buckle Belt Unisex</t>
        </is>
      </c>
      <c r="L119" t="inlineStr">
        <is>
          <t>{"id":"chatcmpl-DYiGqfWEPgiMn24wxifaBYFXdJKhM","object":"chat.completion","created":1777165700,"model":"gpt-5-chat-2025-10-03","choices":[{"index":0,"message":{"role":"assistant","content":"Hermès white reversible calfskin H buckle belt, crafted from premium grained leather with silver-tone metal buckle. Unisex, elegant and versatile, perfect for business or casual wear.","refusal":null,"annotations":[]},"logprobs":null,"finish_reason":"stop"}],"usage":{"prompt_tokens":914,"completion_tokens":37,"total_tokens":951,"prompt_tokens_details":{"cached_tokens":0,"audio_tokens":0},"completion_tokens_details":{"reasoning_tokens":0,"audio_tokens":0,"accepted_prediction_tokens":0,"rejected_prediction_tokens":0}},"service_tier":"default","system_fingerprint":"fp_ad66631dec"}</t>
        </is>
      </c>
      <c r="M119" t="inlineStr">
        <is>
          <t>{"alt-svc":"h3=\":443\"; ma=2592000","apim-request-id":"21e13c4a-6acd-4e56-9bfb-83a025e48905","azureml-model-session":"d20260402074105-51db401e","cache-control":"no-cache","connection":"close","content-length":"992","content-type":"application/json","date":"Sun, 26 Apr 2026 01:08:22 GMT","server":"Caddy","skip-error-remapping":"true","strict-transport-security":"max-age=31536000; includeSubDomains; preload","x-content-type-options":"nosniff","x-ms-client-request-id":"Not-Set","x-ms-is-spilled-over":"false","x-ms-rai-invoked":"false","x-ms-region":"Sweden Central","x-new-api-version":"0.4.35","x-oneapi-request-id":"202604260108196800934338268d9d6m7HXxrud","x-ratelimit-abusepenalty-active":"False","x-ratelimit-key":"gpt-5-chat-global","x-ratelimit-limit-requests":"1000","x-ratelimit-limit-tokens":"1000000","x-ratelimit-remaining-requests":"999","x-ratelimit-remaining-tokens":"998324","x-ratelimit-renewalperiod-requests":"60","x-ratelimit-renewalperiod-tokens":"60","x-ratelimit-reset-requests":"60","x-ratelimit-reset-tokens":"100","x-request-id":"8ce3acd5-59dc-42b8-87ae-e9460075dfa8"}</t>
        </is>
      </c>
      <c r="N119" t="inlineStr">
        <is>
          <t>Hermès white reversible calfskin H buckle belt, crafted from premium grained leather with silver-tone metal buckle. Unisex, elegant and versatile, perfect for business or casual wear.</t>
        </is>
      </c>
      <c r="O119" t="inlineStr">
        <is>
          <t>{"id":"chatcmpl-DYiYB2NlhMPe9ofz8pkwuqz3ZChLN","object":"chat.completion","created":1777166775,"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19" t="inlineStr">
        <is>
          <t>Hermes,Belt,kakobuy,kakebuy2026,kekobuysheet,kakobuysheet2026,2026kakobuy,kakobuyspreadsheeet,kakobuylink,kakebuylist,Kakobuy MEGA Spreadsheet,kakobuysheetfind,kakobuysheetfind2026,2026kakobuysheetfind,kakobuysheet2026</t>
        </is>
      </c>
      <c r="Q119"/>
      <c r="R119" t="inlineStr">
        <is>
          <t>recvhju1CrnZGY</t>
        </is>
      </c>
      <c r="S119" t="inlineStr">
        <is>
          <t>hermes-white-reversible-leather-h-buckle-belt-recvhju1crnzgy</t>
        </is>
      </c>
      <c r="T119"/>
      <c r="U119"/>
      <c r="V119"/>
      <c r="W119" t="inlineStr">
        <is>
          <t>{"id":"chatcmpl-DYhofjPnQbXZbVraDFtQUrKKwMflL","object":"chat.completion","created":1777163953,"model":"gpt-5-chat-2025-10-03","choices":[{"index":0,"message":{"role":"assistant","content":"Hermès：白色双面牛皮H扣腰带，甄选优质粒面皮革制作，搭配银色金属经典H标扣，简约大方彰显法式优雅格调。精致工艺与现代极简设计融合，男女皆宜，时尚百搭，适合商务与休闲场合佩戴。","refusal":null,"annotations":[]},"logprobs":null,"finish_reason":"stop"}],"usage":{"prompt_tokens":1299,"completion_tokens":81,"total_tokens":1380,"prompt_tokens_details":{"cached_tokens":1280,"audio_tokens":0},"completion_tokens_details":{"reasoning_tokens":0,"audio_tokens":0,"accepted_prediction_tokens":0,"rejected_prediction_tokens":0}},"service_tier":"default","system_fingerprint":"fp_ad66631dec"}</t>
        </is>
      </c>
      <c r="X119" t="inlineStr">
        <is>
          <t>Hermès：白色双面牛皮H扣腰带，甄选优质粒面皮革制作，搭配银色金属经典H标扣，简约大方彰显法式优雅格调。精致工艺与现代极简设计融合，男女皆宜，时尚百搭，适合商务与休闲场合佩戴。</t>
        </is>
      </c>
    </row>
    <row r="120" ht="25.5" customHeight="1">
      <c r="A120">
        <v>1654975475</v>
      </c>
      <c r="B120">
        <v>7619072895</v>
      </c>
      <c r="C120" s="2" t="str">
        <f>=HYPERLINK("https://weidian.com/item.html?itemID=7619072895", "https://weidian.com/item.html?itemID=7619072895")</f>
        <v>https://weidian.com/item.html?itemID=7619072895</v>
      </c>
      <c r="D120"/>
      <c r="E120" s="2" t="str">
        <f>=HYPERLINK("https://si.geilicdn.com/pcitem2014204438-4ad10000019acb05c0f60a20e672_1074_1074.jpg?w=640&amp;h=640", "https://si.geilicdn.com/pcitem2014204438-4ad10000019acb05c0f60a20e672_1074_1074.jpg?w=640&amp;h=640")</f>
        <v>https://si.geilicdn.com/pcitem2014204438-4ad10000019acb05c0f60a20e672_1074_1074.jpg?w=640&amp;h=640</v>
      </c>
      <c r="F120" t="inlineStr">
        <is>
          <t>Accessories</t>
        </is>
      </c>
      <c r="G120" t="inlineStr">
        <is>
          <t>Versace</t>
        </is>
      </c>
      <c r="H120">
        <v>460</v>
      </c>
      <c r="I120">
        <v>66.67</v>
      </c>
      <c r="J120" t="inlineStr">
        <is>
          <t>{"id":"chatcmpl-DYiwOpdpZV56f21UYGy8No9BDD8ae","object":"chat.completion","created":1777168276,"model":"gpt-5-chat-2025-10-03","choices":[{"index":0,"message":{"role":"assistant","content":"Versace Medusa Black Crocodile Leather Gold Buckle Belt","refusal":null,"annotations":[]},"logprobs":null,"finish_reason":"stop"}],"usage":{"prompt_tokens":869,"completion_tokens":14,"total_tokens":883,"prompt_tokens_details":{"cached_tokens":0,"audio_tokens":0},"completion_tokens_details":{"reasoning_tokens":0,"audio_tokens":0,"accepted_prediction_tokens":0,"rejected_prediction_tokens":0}},"service_tier":"default","system_fingerprint":"fp_ad66631dec"}</t>
        </is>
      </c>
      <c r="K120" t="inlineStr">
        <is>
          <t>Versace Medusa Black Crocodile Leather Gold Buckle Belt</t>
        </is>
      </c>
      <c r="L120" t="inlineStr">
        <is>
          <t>{"id":"chatcmpl-DYiEDq6XzdaC38xJo1E1MeGsZE6ZN","object":"chat.completion","created":1777165537,"model":"gpt-5-chat-2025-10-03","choices":[{"index":0,"message":{"role":"assistant","content":"Versace Medusa Classic Black Crocodile Leather Belt with Gold Sculpted Buckle, unisex, luxurious Italian design, timeless elegance and high-end fashion sophistication.","refusal":null,"annotations":[]},"logprobs":null,"finish_reason":"stop"}],"usage":{"prompt_tokens":894,"completion_tokens":34,"total_tokens":928,"prompt_tokens_details":{"cached_tokens":0,"audio_tokens":0},"completion_tokens_details":{"reasoning_tokens":0,"audio_tokens":0,"accepted_prediction_tokens":0,"rejected_prediction_tokens":0}},"service_tier":"default","system_fingerprint":"fp_ad66631dec"}</t>
        </is>
      </c>
      <c r="M120" t="inlineStr">
        <is>
          <t>{"alt-svc":"h3=\":443\"; ma=2592000","apim-request-id":"d3c7af8e-f18c-476a-b28a-cb92fc78b035","azureml-model-session":"d20260405225800-40f19e54","cache-control":"no-cache","connection":"close","content-length":"975","content-type":"application/json","date":"Sun, 26 Apr 2026 01:05:39 GMT","server":"nginx","skip-error-remapping":"true","strict-transport-security":"max-age=31536000; includeSubDomains; preload","via":"1.1 Caddy","x-content-type-options":"nosniff","x-ms-client-request-id":"Not-Set","x-ms-is-spilled-over":"false","x-ms-rai-invoked":"false","x-ms-region":"UK South","x-new-api-version":"0.4.35","x-oneapi-request-id":"202604260105365330391798268d9d6t3FdxsVE","x-ratelimit-abusepenalty-active":"False","x-ratelimit-limit-requests":"1000","x-ratelimit-limit-tokens":"1000000","x-ratelimit-remaining-requests":"999","x-ratelimit-remaining-tokens":"998344","x-ratelimit-renewalperiod-requests":"60","x-ratelimit-renewalperiod-tokens":"60","x-ratelimit-reset-requests":"60","x-ratelimit-reset-tokens":"99","x-request-id":"84ff88b7-45a9-4acf-b2b5-d445fd16d169"}</t>
        </is>
      </c>
      <c r="N120" t="inlineStr">
        <is>
          <t>Versace Medusa Classic Black Crocodile Leather Belt with Gold Sculpted Buckle, unisex, luxurious Italian design, timeless elegance and high-end fashion sophistication.</t>
        </is>
      </c>
      <c r="O120" t="inlineStr">
        <is>
          <t>{"id":"chatcmpl-DYiTkSaAoWd6jBYI6WrTkdPTAGexC","object":"chat.completion","created":1777166500,"model":"gpt-5-chat-2025-10-03","choices":[{"index":0,"message":{"role":"assistant","content":"Versace,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0" t="inlineStr">
        <is>
          <t>Versace, belt, kakobuy, kakebuy2026, kekobuysheet, kakobuysheet2026, 2026kakobuy, kakobuyspreadsheeet, kakobuylink, kakebuylist, Kakobuy MEGA Spreadsheet, kakobuysheetfind, kakobuysheetfind2026, 2026kakobuysheetfind, kakobuysheet2026</t>
        </is>
      </c>
      <c r="Q120" t="inlineStr">
        <is>
          <t>Black, Crocodile Pattern, Leather, Gold, High End, Unisex</t>
        </is>
      </c>
      <c r="R120" t="inlineStr">
        <is>
          <t>recvhju1Cr4gfy</t>
        </is>
      </c>
      <c r="S120" t="inlineStr">
        <is>
          <t>versace-medusa-black-crocodile-leather-gold-buckle-belt-recvhju1cr4gfy</t>
        </is>
      </c>
      <c r="T120"/>
      <c r="U120"/>
      <c r="V120"/>
      <c r="W120" t="inlineStr">
        <is>
          <t>{"id":"chatcmpl-DYht1G0DDofQ42dpBjilkPzWPRcNB","object":"chat.completion","created":1777164223,"model":"gpt-5-chat-2025-10-03","choices":[{"index":0,"message":{"role":"assistant","content":"Versace：经典美杜莎系列黑色鳄纹真皮腰带，镀金立体雕塑金属扣设计，彰显奢华意式风格，男女皆宜，精致百搭，尽显高端时尚品味。","refusal":null,"annotations":[]},"logprobs":null,"finish_reason":"stop"}],"usage":{"prompt_tokens":1303,"completion_tokens":59,"total_tokens":1362,"prompt_tokens_details":{"cached_tokens":0,"audio_tokens":0},"completion_tokens_details":{"reasoning_tokens":0,"audio_tokens":0,"accepted_prediction_tokens":0,"rejected_prediction_tokens":0}},"service_tier":"default","system_fingerprint":"fp_ad66631dec"}</t>
        </is>
      </c>
      <c r="X120" t="inlineStr">
        <is>
          <t>Versace：经典美杜莎系列黑色鳄纹真皮腰带，镀金立体雕塑金属扣设计，彰显奢华意式风格，男女皆宜，精致百搭，尽显高端时尚品味。</t>
        </is>
      </c>
    </row>
    <row r="121" ht="25.5" customHeight="1">
      <c r="A121">
        <v>1654975475</v>
      </c>
      <c r="B121">
        <v>7619055005</v>
      </c>
      <c r="C121" s="2" t="str">
        <f>=HYPERLINK("https://weidian.com/item.html?itemID=7619055005", "https://weidian.com/item.html?itemID=7619055005")</f>
        <v>https://weidian.com/item.html?itemID=7619055005</v>
      </c>
      <c r="D121"/>
      <c r="E121" s="2" t="str">
        <f>=HYPERLINK("https://si.geilicdn.com/pcitem2014204438-463d0000019acb0712640a239846_1512_2016.jpg?w=640&amp;h=640", "https://si.geilicdn.com/pcitem2014204438-463d0000019acb0712640a239846_1512_2016.jpg?w=640&amp;h=640")</f>
        <v>https://si.geilicdn.com/pcitem2014204438-463d0000019acb0712640a239846_1512_2016.jpg?w=640&amp;h=640</v>
      </c>
      <c r="F121" t="inlineStr">
        <is>
          <t>Accessories</t>
        </is>
      </c>
      <c r="G121" t="inlineStr">
        <is>
          <t>Gucci</t>
        </is>
      </c>
      <c r="H121">
        <v>460</v>
      </c>
      <c r="I121">
        <v>66.67</v>
      </c>
      <c r="J121" t="inlineStr">
        <is>
          <t>{"id":"chatcmpl-DYixVwpL4mqvsgQTw8szbKvlOimvp","object":"chat.completion","created":1777168345,"model":"gpt-5-chat-2025-10-03","choices":[{"index":0,"message":{"role":"assistant","content":"Gucci Men Black GG Leather Belt 3.5CM","refusal":null,"annotations":[]},"logprobs":null,"finish_reason":"stop"}],"usage":{"prompt_tokens":885,"completion_tokens":13,"total_tokens":898,"prompt_tokens_details":{"cached_tokens":0,"audio_tokens":0},"completion_tokens_details":{"reasoning_tokens":0,"audio_tokens":0,"accepted_prediction_tokens":0,"rejected_prediction_tokens":0}},"service_tier":"default","system_fingerprint":"fp_ad66631dec"}</t>
        </is>
      </c>
      <c r="K121" t="inlineStr">
        <is>
          <t>Gucci Men Black GG Leather Belt 3.5CM</t>
        </is>
      </c>
      <c r="L121" t="inlineStr">
        <is>
          <t>{"id":"chatcmpl-DYiK8lufMWQK9tsx0ArkbAs8wvtjh","object":"chat.completion","created":1777165904,"model":"gpt-5-chat-2025-10-03","choices":[{"index":0,"message":{"role":"assistant","content":"Gucci Men’s Classic Black GG Pattern Belt, crafted from top-grain calf leather and waterproof coated fabric, featuring a silver solid brass buckle. Elegant, versatile, and perfect for business or casual wear.","refusal":null,"annotations":[]},"logprobs":null,"finish_reason":"stop"}],"usage":{"prompt_tokens":900,"completion_tokens":42,"total_tokens":942,"prompt_tokens_details":{"cached_tokens":0,"audio_tokens":0},"completion_tokens_details":{"reasoning_tokens":0,"audio_tokens":0,"accepted_prediction_tokens":0,"rejected_prediction_tokens":0}},"service_tier":"default","system_fingerprint":"fp_ad66631dec"}</t>
        </is>
      </c>
      <c r="M121" t="inlineStr">
        <is>
          <t>{"alt-svc":"h3=\":443\"; ma=2592000","apim-request-id":"0396d72f-499d-4416-b509-5eb785fa35a0","azureml-model-session":"d20260405225800-40f19e54","cache-control":"no-cache","connection":"close","content-length":"1018","content-type":"application/json","date":"Sun, 26 Apr 2026 01:11:46 GMT","server":"nginx","skip-error-remapping":"true","strict-transport-security":"max-age=31536000; includeSubDomains; preload","via":"1.1 Caddy","x-content-type-options":"nosniff","x-ms-client-request-id":"Not-Set","x-ms-is-spilled-over":"false","x-ms-rai-invoked":"false","x-ms-region":"Sweden Central","x-new-api-version":"0.4.35","x-oneapi-request-id":"202604260111433813619848268d9d6XWBbxX1L","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eb604321-d50f-4f71-8bdd-0f9bb44aa3cb"}</t>
        </is>
      </c>
      <c r="N121" t="inlineStr">
        <is>
          <t>Gucci Men’s Classic Black GG Pattern Belt, crafted from top-grain calf leather and waterproof coated fabric, featuring a silver solid brass buckle. Elegant, versatile, and perfect for business or casual wear.</t>
        </is>
      </c>
      <c r="O121" t="inlineStr">
        <is>
          <t>{"id":"chatcmpl-DYiRfLh6dsSTNnKtz0bcRqBLzWHos","object":"chat.completion","created":1777166371,"model":"gpt-5-chat-2025-10-03","choices":[{"index":0,"message":{"role":"assistant","content":"Gucci,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1" t="inlineStr">
        <is>
          <t>Gucci, belt, kakobuy, kakebuy2026, kekobuysheet, kakobuysheet2026, 2026kakobuy, kakobuyspreadsheeet, kakobuylink, kakebuylist, Kakobuy MEGA Spreadsheet, kakobuysheetfind, kakobuysheetfind2026, 2026kakobuysheetfind, kakobuysheet2026</t>
        </is>
      </c>
      <c r="Q121" t="inlineStr">
        <is>
          <t>Black, Leather, Elegant, Versatile, Men</t>
        </is>
      </c>
      <c r="R121" t="inlineStr">
        <is>
          <t>recvhju1Cr6lMb</t>
        </is>
      </c>
      <c r="S121" t="inlineStr">
        <is>
          <t>gucci-men-black-gg-leather-belt-3-5cm-recvhju1cr6lmb</t>
        </is>
      </c>
      <c r="T121"/>
      <c r="U121"/>
      <c r="V121"/>
      <c r="W121" t="inlineStr">
        <is>
          <t>{"id":"chatcmpl-DYhsb3H53g7k4o07bHPeZXNuf69Y8","object":"chat.completion","created":1777164197,"model":"gpt-5-chat-2025-10-03","choices":[{"index":0,"message":{"role":"assistant","content":"Gucci：经典黑色GG图纹男士腰带，甄选头层小牛皮与防水涂层面料，搭配银色纯铜扣，简约优雅兼具质感，彰显意式奢华格调，适合商务与日常穿搭。","refusal":null,"annotations":[]},"logprobs":null,"finish_reason":"stop"}],"usage":{"prompt_tokens":1297,"completion_tokens":68,"total_tokens":1365,"prompt_tokens_details":{"cached_tokens":1280,"audio_tokens":0},"completion_tokens_details":{"reasoning_tokens":0,"audio_tokens":0,"accepted_prediction_tokens":0,"rejected_prediction_tokens":0}},"service_tier":"default","system_fingerprint":"fp_ad66631dec"}</t>
        </is>
      </c>
      <c r="X121" t="inlineStr">
        <is>
          <t>Gucci：经典黑色GG图纹男士腰带，甄选头层小牛皮与防水涂层面料，搭配银色纯铜扣，简约优雅兼具质感，彰显意式奢华格调，适合商务与日常穿搭。</t>
        </is>
      </c>
    </row>
    <row r="122" ht="25.5" customHeight="1">
      <c r="A122">
        <v>1654975475</v>
      </c>
      <c r="B122">
        <v>7622070732</v>
      </c>
      <c r="C122" s="2" t="str">
        <f>=HYPERLINK("https://weidian.com/item.html?itemID=7622070732", "https://weidian.com/item.html?itemID=7622070732")</f>
        <v>https://weidian.com/item.html?itemID=7622070732</v>
      </c>
      <c r="D122"/>
      <c r="E122" s="2" t="str">
        <f>=HYPERLINK("https://si.geilicdn.com/pcitem2014204438-45e90000019acafea5350a2396f4_1917_1921.jpg?w=640&amp;h=640", "https://si.geilicdn.com/pcitem2014204438-45e90000019acafea5350a2396f4_1917_1921.jpg?w=640&amp;h=640")</f>
        <v>https://si.geilicdn.com/pcitem2014204438-45e90000019acafea5350a2396f4_1917_1921.jpg?w=640&amp;h=640</v>
      </c>
      <c r="F122" t="inlineStr">
        <is>
          <t>Accessories</t>
        </is>
      </c>
      <c r="G122" t="inlineStr">
        <is>
          <t>Gucci</t>
        </is>
      </c>
      <c r="H122">
        <v>580</v>
      </c>
      <c r="I122">
        <v>84.06</v>
      </c>
      <c r="J122" t="inlineStr">
        <is>
          <t>{"id":"chatcmpl-DYix0XM0PzI27aqGeMwpn2OnYpKlW","object":"chat.completion","created":1777168314,"model":"gpt-5-chat-2025-10-03","choices":[{"index":0,"message":{"role":"assistant","content":"Gucci Double G Black Leather Clutch Bag for Men","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22" t="inlineStr">
        <is>
          <t>Gucci Double G Black Leather Clutch Bag for Men</t>
        </is>
      </c>
      <c r="L122" t="inlineStr">
        <is>
          <t>{"id":"chatcmpl-DYiFtms002pucPZW8cjPEt3cGdJPK","object":"chat.completion","created":1777165641,"model":"gpt-5-chat-2025-10-03","choices":[{"index":0,"message":{"role":"assistant","content":"Gucci Black Double G Embossed Leather Clutch, crafted from premium cowhide, featuring a sleek modern design, perfect for business or casual use, showcasing timeless Italian luxury style.","refusal":null,"annotations":[]},"logprobs":null,"finish_reason":"stop"}],"usage":{"prompt_tokens":894,"completion_tokens":38,"total_tokens":932,"prompt_tokens_details":{"cached_tokens":0,"audio_tokens":0},"completion_tokens_details":{"reasoning_tokens":0,"audio_tokens":0,"accepted_prediction_tokens":0,"rejected_prediction_tokens":0}},"service_tier":"default","system_fingerprint":"fp_ad66631dec"}</t>
        </is>
      </c>
      <c r="M122" t="inlineStr">
        <is>
          <t>{"alt-svc":"h3=\":443\"; ma=2592000","apim-request-id":"894dc9f8-f1de-40d9-9f7e-a3eabcd46a91","azureml-model-session":"d20260405225800-40f19e54","cache-control":"no-cache","connection":"close","content-length":"994","content-type":"application/json","date":"Sun, 26 Apr 2026 01:07:23 GMT","server":"Caddy","skip-error-remapping":"true","strict-transport-security":"max-age=31536000; includeSubDomains; preload","x-content-type-options":"nosniff","x-ms-client-request-id":"Not-Set","x-ms-is-spilled-over":"false","x-ms-rai-invoked":"false","x-ms-region":"Sweden Central","x-new-api-version":"0.4.35","x-oneapi-request-id":"20260426010720902666048268d9d6F5XGbHbB","x-ratelimit-abusepenalty-active":"False","x-ratelimit-key":"gpt-5-chat-global","x-ratelimit-limit-requests":"1000","x-ratelimit-limit-tokens":"1000000","x-ratelimit-remaining-requests":"999","x-ratelimit-remaining-tokens":"998344","x-ratelimit-renewalperiod-requests":"60","x-ratelimit-renewalperiod-tokens":"60","x-ratelimit-reset-requests":"60","x-ratelimit-reset-tokens":"99","x-request-id":"6ca93111-c4da-4624-a1fe-c6ce79da0e5e"}</t>
        </is>
      </c>
      <c r="N122" t="inlineStr">
        <is>
          <t>Gucci Black Double G Embossed Leather Clutch, crafted from premium cowhide, featuring a sleek modern design, perfect for business or casual use, showcasing timeless Italian luxury style.</t>
        </is>
      </c>
      <c r="O122" t="inlineStr">
        <is>
          <t>{"id":"chatcmpl-DYiWV1EnUS2XvYPUpHglJb30jm2ZU","object":"chat.completion","created":1777166671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22" t="inlineStr">
        <is>
          <t>Gucci,Accessories,kakobuy,kakebuy2026,kekobuysheet,kakobuysheet2026,2026kakobuy,kakobuyspreadsheeet,kakobuylink,kakebuylist,Kakobuy MEGA Spreadsheet,kakobuysheetfind,kakobuysheetfind2026,2026kakobuysheetfind,kakobuysheet2026</t>
        </is>
      </c>
      <c r="Q122" t="inlineStr">
        <is>
          <t>Leather, Black, Modern, Cowhide, Business</t>
        </is>
      </c>
      <c r="R122" t="inlineStr">
        <is>
          <t>recvhju1CrVwvK</t>
        </is>
      </c>
      <c r="S122" t="inlineStr">
        <is>
          <t>gucci-double-g-black-leather-clutch-recvhju1crvwvk</t>
        </is>
      </c>
      <c r="T122"/>
      <c r="U122"/>
      <c r="V122"/>
      <c r="W122" t="inlineStr">
        <is>
          <t>{"id":"chatcmpl-DYhpSryAMx31HAbmZ7J5nndFTJPMp","object":"chat.completion","created":1777164002,"model":"gpt-5-chat-2025-10-03","choices":[{"index":0,"message":{"role":"assistant","content":"Gucci：黑色双G压纹皮革手包，精选头层牛皮材质，搭配简约现代设计，彰显品牌经典格调，男女皆宜，适合商务与休闲场景，尽显意式奢华魅力。","refusal":null,"annotations":[]},"logprobs":null,"finish_reason":"stop"}],"usage":{"prompt_tokens":1301,"completion_tokens":60,"total_tokens":1361,"prompt_tokens_details":{"cached_tokens":1280,"audio_tokens":0},"completion_tokens_details":{"reasoning_tokens":0,"audio_tokens":0,"accepted_prediction_tokens":0,"rejected_prediction_tokens":0}},"service_tier":"default","system_fingerprint":"fp_ad66631dec"}</t>
        </is>
      </c>
      <c r="X122" t="inlineStr">
        <is>
          <t>Gucci：黑色双G压纹皮革手包，精选头层牛皮材质，搭配简约现代设计，彰显品牌经典格调，男女皆宜，适合商务与休闲场景，尽显意式奢华魅力。</t>
        </is>
      </c>
    </row>
    <row r="123" ht="25.5" customHeight="1">
      <c r="A123">
        <v>1654975475</v>
      </c>
      <c r="B123">
        <v>7619143787</v>
      </c>
      <c r="C123" s="2" t="str">
        <f>=HYPERLINK("https://weidian.com/item.html?itemID=7619143787", "https://weidian.com/item.html?itemID=7619143787")</f>
        <v>https://weidian.com/item.html?itemID=7619143787</v>
      </c>
      <c r="D123"/>
      <c r="E123" s="2" t="str">
        <f>=HYPERLINK("https://si.geilicdn.com/pcitem2014204438-4df10000019acb07ef8d0a2102c5_1280_1280.jpg?w=640&amp;h=640", "https://si.geilicdn.com/pcitem2014204438-4df10000019acb07ef8d0a2102c5_1280_1280.jpg?w=640&amp;h=640")</f>
        <v>https://si.geilicdn.com/pcitem2014204438-4df10000019acb07ef8d0a2102c5_1280_1280.jpg?w=640&amp;h=640</v>
      </c>
      <c r="F123" t="inlineStr">
        <is>
          <t>Accessories</t>
        </is>
      </c>
      <c r="G123" t="inlineStr">
        <is>
          <t>Burberry</t>
        </is>
      </c>
      <c r="H123">
        <v>460</v>
      </c>
      <c r="I123">
        <v>66.67</v>
      </c>
      <c r="J123" t="inlineStr">
        <is>
          <t>{"id":"chatcmpl-DYiwLJIxBzUadnbcnpDWxpbIHSVJ1","object":"chat.completion","created":1777168273,"model":"gpt-5-chat-2025-10-03","choices":[{"index":0,"message":{"role":"assistant","content":"Burberry Black Crocodile Leather Automatic Buckle Men’s Belt","refusal":null,"annotations":[]},"logprobs":null,"finish_reason":"stop"}],"usage":{"prompt_tokens":871,"completion_tokens":14,"total_tokens":885,"prompt_tokens_details":{"cached_tokens":0,"audio_tokens":0},"completion_tokens_details":{"reasoning_tokens":0,"audio_tokens":0,"accepted_prediction_tokens":0,"rejected_prediction_tokens":0}},"service_tier":"default","system_fingerprint":"fp_ad66631dec"}</t>
        </is>
      </c>
      <c r="K123" t="inlineStr">
        <is>
          <t>Burberry Black Crocodile Leather Automatic Buckle Men’s Belt</t>
        </is>
      </c>
      <c r="L123" t="inlineStr">
        <is>
          <t>{"id":"chatcmpl-DYiG5IDBMliQbf0BmK6c53riIDuKF","object":"chat.completion","created":1777165653,"model":"gpt-5-chat-2025-10-03","choices":[{"index":0,"message":{"role":"assistant","content":"Burberry Black Luxury Men’s Leather Belt, crafted from genuine crocodile-embossed leather with polished metal automatic buckle, sleek and refined for business or casual elegance.","refusal":null,"annotations":[]},"logprobs":null,"finish_reason":"stop"}],"usage":{"prompt_tokens":913,"completion_tokens":35,"total_tokens":948,"prompt_tokens_details":{"cached_tokens":0,"audio_tokens":0},"completion_tokens_details":{"reasoning_tokens":0,"audio_tokens":0,"accepted_prediction_tokens":0,"rejected_prediction_tokens":0}},"service_tier":"default","system_fingerprint":"fp_ad66631dec"}</t>
        </is>
      </c>
      <c r="M123" t="inlineStr">
        <is>
          <t>{"alt-svc":"h3=\":443\"; ma=2592000","apim-request-id":"dc9b9fd9-99a8-48c5-bde0-8c568f5c76e4","azureml-model-session":"d20260405225800-40f19e54","cache-control":"no-cache","connection":"close","content-length":"988","content-type":"application/json","date":"Sun, 26 Apr 2026 01:07:34 GMT","server":"Caddy","skip-error-remapping":"true","strict-transport-security":"max-age=31536000; includeSubDomains; preload","x-content-type-options":"nosniff","x-ms-client-request-id":"Not-Set","x-ms-is-spilled-over":"false","x-ms-rai-invoked":"false","x-ms-region":"East US 2","x-new-api-version":"0.4.35","x-oneapi-request-id":"202604260107312076439188268d9d67Zuqgt2W","x-ratelimit-abusepenalty-active":"False","x-ratelimit-limit-requests":"1000","x-ratelimit-limit-tokens":"1000000","x-ratelimit-remaining-requests":"999","x-ratelimit-remaining-tokens":"998325","x-ratelimit-renewalperiod-requests":"60","x-ratelimit-renewalperiod-tokens":"60","x-ratelimit-reset-requests":"60","x-ratelimit-reset-tokens":"100","x-request-id":"fc889922-a89b-486a-8b83-829274bb0157"}</t>
        </is>
      </c>
      <c r="N123" t="inlineStr">
        <is>
          <t>Burberry Black Luxury Men’s Leather Belt, crafted from genuine crocodile-embossed leather with polished metal automatic buckle, sleek and refined for business or casual elegance.</t>
        </is>
      </c>
      <c r="O123" t="inlineStr">
        <is>
          <t>{"id":"chatcmpl-DYiSTSs4fMhhYUUpGMuil8ZOpZPQW","object":"chat.completion","created":1777166421,"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23" t="inlineStr">
        <is>
          <t>Burberry,Accessories,kakobuy,kakebuy2026,kekobuysheet,kakobuysheet2026,2026kakobuy,kakobuyspreadsheeet,kakobuylink,kakebuylist,Kakobuy MEGA Spreadsheet,kakobuysheetfind,kakobuysheetfind2026,2026kakobuysheetfind,kakobuysheet2026</t>
        </is>
      </c>
      <c r="Q123" t="inlineStr">
        <is>
          <t>Black, Leather, Business, Business Casual, Men, Genuine Leather</t>
        </is>
      </c>
      <c r="R123" t="inlineStr">
        <is>
          <t>recvhju1CrZD5e</t>
        </is>
      </c>
      <c r="S123" t="inlineStr">
        <is>
          <t>burberry-black-crocodile-leather-belt-recvhju1crzd5e</t>
        </is>
      </c>
      <c r="T123"/>
      <c r="U123"/>
      <c r="V123"/>
      <c r="W123" t="inlineStr">
        <is>
          <t>{"id":"chatcmpl-DYhqYYcl4dXEOycyf718BAkk2rMjv","object":"chat.completion","created":1777164070,"model":"gpt-5-chat-2025-10-03","choices":[{"index":0,"message":{"role":"assistant","content":"Burberry：黑色奢华皮革男士腰带，甄选鳄鱼压纹真皮材质，搭配金属抛光自动扣设计，线条简洁硬朗。品牌标志雕刻低调彰显英伦格调，商务与休闲皆宜，尽显优雅尊贵魅力。","refusal":null,"annotations":[]},"logprobs":null,"finish_reason":"stop"}],"usage":{"prompt_tokens":1305,"completion_tokens":77,"total_tokens":1382,"prompt_tokens_details":{"cached_tokens":0,"audio_tokens":0},"completion_tokens_details":{"reasoning_tokens":0,"audio_tokens":0,"accepted_prediction_tokens":0,"rejected_prediction_tokens":0}},"service_tier":"default","system_fingerprint":"fp_ad66631dec"}</t>
        </is>
      </c>
      <c r="X123" t="inlineStr">
        <is>
          <t>Burberry：黑色奢华皮革男士腰带，甄选鳄鱼压纹真皮材质，搭配金属抛光自动扣设计，线条简洁硬朗。品牌标志雕刻低调彰显英伦格调，商务与休闲皆宜，尽显优雅尊贵魅力。</t>
        </is>
      </c>
    </row>
    <row r="124" ht="25.5" customHeight="1">
      <c r="A124">
        <v>1654975475</v>
      </c>
      <c r="B124">
        <v>7621964744</v>
      </c>
      <c r="C124" s="2" t="str">
        <f>=HYPERLINK("https://weidian.com/item.html?itemID=7621964744", "https://weidian.com/item.html?itemID=7621964744")</f>
        <v>https://weidian.com/item.html?itemID=7621964744</v>
      </c>
      <c r="D124"/>
      <c r="E124" s="2" t="str">
        <f>=HYPERLINK("https://si.geilicdn.com/pcitem2014204438-2b6c0000019acb305c4a0a231316_1440_1920.jpg?w=640&amp;h=640", "https://si.geilicdn.com/pcitem2014204438-2b6c0000019acb305c4a0a231316_1440_1920.jpg?w=640&amp;h=640")</f>
        <v>https://si.geilicdn.com/pcitem2014204438-2b6c0000019acb305c4a0a231316_1440_1920.jpg?w=640&amp;h=640</v>
      </c>
      <c r="F124" t="inlineStr">
        <is>
          <t>Accessories</t>
        </is>
      </c>
      <c r="G124" t="inlineStr">
        <is>
          <t>Gucci</t>
        </is>
      </c>
      <c r="H124">
        <v>460</v>
      </c>
      <c r="I124">
        <v>66.67</v>
      </c>
      <c r="J124" t="inlineStr">
        <is>
          <t>{"id":"chatcmpl-DYiz85hAYyubSU7ewyIgRHGdrfMAn","object":"chat.completion","created":1777168446,"model":"gpt-5-chat-2025-10-03","choices":[{"index":0,"message":{"role":"assistant","content":"Gucci Black Leather Belt Gold GG Buckle","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ad66631dec"}</t>
        </is>
      </c>
      <c r="K124" t="inlineStr">
        <is>
          <t>Gucci Black Leather Belt Gold GG Buckle</t>
        </is>
      </c>
      <c r="L124" t="inlineStr">
        <is>
          <t>{"id":"chatcmpl-DYiIzk4rSqPmYHrU8IzCcEBhoVQBv","object":"chat.completion","created":1777165833,"model":"gpt-5-chat-2025-10-03","choices":[{"index":0,"message":{"role":"assistant","content":"Gucci Classic Black Leather Belt with Iconic Gold Double G Buckle, Italian Minimalist Style, Luxury Unisex Fashion Accessory, Showcasing Timeless Elegance and Vintage Charm.","refusal":null,"annotations":[]},"logprobs":null,"finish_reason":"stop"}],"usage":{"prompt_tokens":889,"completion_tokens":39,"total_tokens":928,"prompt_tokens_details":{"cached_tokens":0,"audio_tokens":0},"completion_tokens_details":{"reasoning_tokens":0,"audio_tokens":0,"accepted_prediction_tokens":0,"rejected_prediction_tokens":0}},"service_tier":"default","system_fingerprint":"fp_ad66631dec"}</t>
        </is>
      </c>
      <c r="M124" t="inlineStr">
        <is>
          <t>{"alt-svc":"h3=\":443\"; ma=2592000","apim-request-id":"3b76626b-55a0-4dfa-9188-9f7e9b462dbe","azureml-model-session":"d20260402084046-4209e968","cache-control":"no-cache","connection":"close","content-length":"981","content-type":"application/json","date":"Sun, 26 Apr 2026 01:10:35 GMT","server":"nginx","skip-error-remapping":"true","strict-transport-security":"max-age=31536000; includeSubDomains; preload","via":"1.1 Caddy","x-content-type-options":"nosniff","x-ms-client-request-id":"Not-Set","x-ms-is-spilled-over":"false","x-ms-rai-invoked":"false","x-ms-region":"UK South","x-new-api-version":"0.4.35","x-oneapi-request-id":"202604260110318298972418268d9d6pQvVOiiB","x-ratelimit-abusepenalty-active":"False","x-ratelimit-limit-requests":"1000","x-ratelimit-limit-tokens":"1000000","x-ratelimit-remaining-requests":"999","x-ratelimit-remaining-tokens":"998349","x-ratelimit-renewalperiod-requests":"60","x-ratelimit-renewalperiod-tokens":"60","x-ratelimit-reset-requests":"60","x-ratelimit-reset-tokens":"99","x-request-id":"06629e58-e973-4003-af7d-c42f8e4f5486"}</t>
        </is>
      </c>
      <c r="N124" t="inlineStr">
        <is>
          <t>Gucci Classic Black Leather Belt with Iconic Gold Double G Buckle, Italian Minimalist Style, Luxury Unisex Fashion Accessory, Showcasing Timeless Elegance and Vintage Charm.</t>
        </is>
      </c>
      <c r="O124" t="inlineStr">
        <is>
          <t>{"id":"chatcmpl-DYiTjbmuBDCHJbC70NRvd6Han8zrr","object":"chat.completion","created":1777166499,"model":"gpt-5-chat-2025-10-03","choices":[{"index":0,"message":{"role":"assistant","content":"Gucci,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4" t="inlineStr">
        <is>
          <t>Gucci, Accessories, kakobuy, kakebuy2026, kekobuysheet, kakobuysheet2026, 2026kakobuy, kakobuyspreadsheeet, kakobuylink, kakebuylist, Kakobuy MEGA Spreadsheet, kakobuysheetfind, kakobuysheetfind2026, 2026kakobuysheetfind, kakobuysheet2026</t>
        </is>
      </c>
      <c r="Q124" t="inlineStr">
        <is>
          <t>Black, Leather, Minimalist, Vintage, Unisex, Elegant</t>
        </is>
      </c>
      <c r="R124" t="inlineStr">
        <is>
          <t>recvhju1CrZoWG</t>
        </is>
      </c>
      <c r="S124" t="inlineStr">
        <is>
          <t>gucci-black-leather-belt-gold-gg-buckle-recvhju1crzowg</t>
        </is>
      </c>
      <c r="T124"/>
      <c r="U124"/>
      <c r="V124"/>
      <c r="W124" t="inlineStr">
        <is>
          <t>{"id":"chatcmpl-DYhoCV00PzzaKaop7HFneLEAZ31XB","object":"chat.completion","created":1777163924,"model":"gpt-5-chat-2025-10-03","choices":[{"index":0,"message":{"role":"assistant","content":"Gucci：经典系列黑色真皮腰带，搭配金色双G标志扣，意大利简约设计，奢华质感，彰显男女皆宜的时尚格调与复古优雅魅力。","refusal":null,"annotations":[]},"logprobs":null,"finish_reason":"stop"}],"usage":{"prompt_tokens":1305,"completion_tokens":53,"total_tokens":1358,"prompt_tokens_details":{"cached_tokens":0,"audio_tokens":0},"completion_tokens_details":{"reasoning_tokens":0,"audio_tokens":0,"accepted_prediction_tokens":0,"rejected_prediction_tokens":0}},"service_tier":"default","system_fingerprint":"fp_ad66631dec"}</t>
        </is>
      </c>
      <c r="X124" t="inlineStr">
        <is>
          <t>Gucci：经典系列黑色真皮腰带，搭配金色双G标志扣，意大利简约设计，奢华质感，彰显男女皆宜的时尚格调与复古优雅魅力。</t>
        </is>
      </c>
    </row>
    <row r="125" ht="25.5" customHeight="1">
      <c r="A125">
        <v>1654975475</v>
      </c>
      <c r="B125">
        <v>7622011292</v>
      </c>
      <c r="C125" s="2" t="str">
        <f>=HYPERLINK("https://weidian.com/item.html?itemID=7622011292", "https://weidian.com/item.html?itemID=7622011292")</f>
        <v>https://weidian.com/item.html?itemID=7622011292</v>
      </c>
      <c r="D125"/>
      <c r="E125" s="2" t="str">
        <f>=HYPERLINK("https://si.geilicdn.com/pcitem2014204438-583b0000019acb31b0bc0a20e7c7_1440_1920.jpg?w=640&amp;h=640", "https://si.geilicdn.com/pcitem2014204438-583b0000019acb31b0bc0a20e7c7_1440_1920.jpg?w=640&amp;h=640")</f>
        <v>https://si.geilicdn.com/pcitem2014204438-583b0000019acb31b0bc0a20e7c7_1440_1920.jpg?w=640&amp;h=640</v>
      </c>
      <c r="F125" t="inlineStr">
        <is>
          <t>Accessories</t>
        </is>
      </c>
      <c r="G125" t="inlineStr">
        <is>
          <t>Gucci</t>
        </is>
      </c>
      <c r="H125">
        <v>460</v>
      </c>
      <c r="I125">
        <v>66.67</v>
      </c>
      <c r="J125" t="inlineStr">
        <is>
          <t>{"id":"chatcmpl-DYizs9hqrUpYxewNLa5iSoV9z3NSx","object":"chat.completion","created":1777168492,"model":"gpt-5-chat-2025-10-03","choices":[{"index":0,"message":{"role":"assistant","content":"Gucci Double G Black Leather Silver Buckle Belt","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25" t="inlineStr">
        <is>
          <t>Gucci Double G Black Leather Silver Buckle Belt</t>
        </is>
      </c>
      <c r="L125" t="inlineStr">
        <is>
          <t>{"id":"chatcmpl-DYiKmxtLHZrDtkBa2T96fLPz92kJw","object":"chat.completion","created":1777165944,"model":"gpt-5-chat-2025-10-03","choices":[{"index":0,"message":{"role":"assistant","content":"Gucci Classic Black Leather Double G Silver Buckle Belt, crafted from premium Italian cowhide, luxury minimalist design for men and women, perfect for business or casual modern style.","refusal":null,"annotations":[]},"logprobs":null,"finish_reason":"stop"}],"usage":{"prompt_tokens":897,"completion_tokens":36,"total_tokens":933,"prompt_tokens_details":{"cached_tokens":0,"audio_tokens":0},"completion_tokens_details":{"reasoning_tokens":0,"audio_tokens":0,"accepted_prediction_tokens":0,"rejected_prediction_tokens":0}},"service_tier":"default","system_fingerprint":"fp_ad66631dec"}</t>
        </is>
      </c>
      <c r="M125" t="inlineStr">
        <is>
          <t>{"alt-svc":"h3=\":443\"; ma=2592000","apim-request-id":"23d329fd-980f-4e93-9587-24732265dae3","azureml-model-session":"d20260405225800-40f19e54","cache-control":"no-cache","connection":"close","content-length":"991","content-type":"application/json","date":"Sun, 26 Apr 2026 01:12:25 GMT","server":"nginx","skip-error-remapping":"true","strict-transport-security":"max-age=31536000; includeSubDomains; preload","via":"1.1 Caddy","x-content-type-options":"nosniff","x-ms-client-request-id":"Not-Set","x-ms-is-spilled-over":"false","x-ms-rai-invoked":"false","x-ms-region":"Japan East","x-new-api-version":"0.4.35","x-oneapi-request-id":"202604260112231714859158268d9d6pgYmSm83","x-ratelimit-abusepenalty-active":"False","x-ratelimit-limit-requests":"1000","x-ratelimit-limit-tokens":"1000000","x-ratelimit-remaining-requests":"999","x-ratelimit-remaining-tokens":"998341","x-ratelimit-renewalperiod-requests":"60","x-ratelimit-renewalperiod-tokens":"60","x-ratelimit-reset-requests":"60","x-ratelimit-reset-tokens":"99","x-request-id":"33714632-c51c-4f1d-857d-704a38baf80e"}</t>
        </is>
      </c>
      <c r="N125" t="inlineStr">
        <is>
          <t>Gucci Classic Black Leather Double G Silver Buckle Belt, crafted from premium Italian cowhide, luxury minimalist design for men and women, perfect for business or casual modern style.</t>
        </is>
      </c>
      <c r="O125" t="inlineStr">
        <is>
          <t>{"id":"chatcmpl-DYiUp7dhqFVF7aNUr4eb3PfbFk9sx","object":"chat.completion","created":1777166567,"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25" t="inlineStr">
        <is>
          <t>Gucci,Accessories,kakobuy,kakebuy2026,kekobuysheet,kakobuysheet2026,2026kakobuy,kakobuyspreadsheeet,kakobuylink,kakebuylist,Kakobuy MEGA Spreadsheet,kakobuysheetfind,kakobuysheetfind2026,2026kakobuysheetfind,kakobuysheet2026</t>
        </is>
      </c>
      <c r="Q125" t="inlineStr">
        <is>
          <t>Leather, Black, Silver, Minimalist, Business, Unisex</t>
        </is>
      </c>
      <c r="R125" t="inlineStr">
        <is>
          <t>recvhju1CrDOrB</t>
        </is>
      </c>
      <c r="S125" t="inlineStr">
        <is>
          <t>gucci-double-g-black-leather-silver-buckle-belt-recvhju1crdo rb</t>
        </is>
      </c>
      <c r="T125"/>
      <c r="U125"/>
      <c r="V125"/>
      <c r="W125" t="inlineStr">
        <is>
          <t>{"id":"chatcmpl-DYhrVKFzfWNds6WIHMuhwoO1brkc2","object":"chat.completion","created":1777164129,"model":"gpt-5-chat-2025-10-03","choices":[{"index":0,"message":{"role":"assistant","content":"Gucci：经典黑色皮质双G银扣腰带，甄选意大利头层牛皮，简约奢华设计，男女皆宜，彰显现代摩登风格与品牌标志魅力，适合商务与休闲穿搭。","refusal":null,"annotations":[]},"logprobs":null,"finish_reason":"stop"}],"usage":{"prompt_tokens":1307,"completion_tokens":60,"total_tokens":1367,"prompt_tokens_details":{"cached_tokens":0,"audio_tokens":0},"completion_tokens_details":{"reasoning_tokens":0,"audio_tokens":0,"accepted_prediction_tokens":0,"rejected_prediction_tokens":0}},"service_tier":"default","system_fingerprint":"fp_ad66631dec"}</t>
        </is>
      </c>
      <c r="X125" t="inlineStr">
        <is>
          <t>Gucci：经典黑色皮质双G银扣腰带，甄选意大利头层牛皮，简约奢华设计，男女皆宜，彰显现代摩登风格与品牌标志魅力，适合商务与休闲穿搭。</t>
        </is>
      </c>
    </row>
    <row r="126" ht="25.5" customHeight="1">
      <c r="A126">
        <v>1654975475</v>
      </c>
      <c r="B126">
        <v>7622016416</v>
      </c>
      <c r="C126" s="2" t="str">
        <f>=HYPERLINK("https://weidian.com/item.html?itemID=7622016416", "https://weidian.com/item.html?itemID=7622016416")</f>
        <v>https://weidian.com/item.html?itemID=7622016416</v>
      </c>
      <c r="D126"/>
      <c r="E126" s="2" t="str">
        <f>=HYPERLINK("https://si.geilicdn.com/pcitem2014204438-69240000019acb322afb0a23057e_1536_2048.jpg?w=640&amp;h=640", "https://si.geilicdn.com/pcitem2014204438-69240000019acb322afb0a23057e_1536_2048.jpg?w=640&amp;h=640")</f>
        <v>https://si.geilicdn.com/pcitem2014204438-69240000019acb322afb0a23057e_1536_2048.jpg?w=640&amp;h=640</v>
      </c>
      <c r="F126" t="inlineStr">
        <is>
          <t>Accessories</t>
        </is>
      </c>
      <c r="G126" t="inlineStr">
        <is>
          <t>Salvatore Ferragamo</t>
        </is>
      </c>
      <c r="H126">
        <v>480</v>
      </c>
      <c r="I126">
        <v>69.5797101449275</v>
      </c>
      <c r="J126" t="inlineStr">
        <is>
          <t>{"id":"chatcmpl-DYiycC18u75tM6jF8LAhPLGBk74Co","object":"chat.completion","created":1777168414,"model":"gpt-5-chat-2025-10-03","choices":[{"index":0,"message":{"role":"assistant","content":"Salvatore Ferragamo Black Leather Gold Buckle Belt","refusal":null,"annotations":[]},"logprobs":null,"finish_reason":"stop"}],"usage":{"prompt_tokens":888,"completion_tokens":12,"total_tokens":900,"prompt_tokens_details":{"cached_tokens":0,"audio_tokens":0},"completion_tokens_details":{"reasoning_tokens":0,"audio_tokens":0,"accepted_prediction_tokens":0,"rejected_prediction_tokens":0}},"service_tier":"default","system_fingerprint":"fp_ad66631dec"}</t>
        </is>
      </c>
      <c r="K126" t="inlineStr">
        <is>
          <t>Salvatore Ferragamo Black Leather Gold Buckle Belt</t>
        </is>
      </c>
      <c r="L126" t="inlineStr">
        <is>
          <t>{"id":"chatcmpl-DYiGOhGiO6bprXi0XAQELRxrwWYhF","object":"chat.completion","created":1777165672,"model":"gpt-5-chat-2025-10-03","choices":[{"index":0,"message":{"role":"assistant","content":"Salvatore Ferragamo men’s classic black leather belt, crafted from premium Italian cowhide, featuring iconic gold double Gancini buckle for timeless luxury and modern elegance, ideal for business or casual wear.","refusal":null,"annotations":[]},"logprobs":null,"finish_reason":"stop"}],"usage":{"prompt_tokens":908,"completion_tokens":42,"total_tokens":950,"prompt_tokens_details":{"cached_tokens":0,"audio_tokens":0},"completion_tokens_details":{"reasoning_tokens":0,"audio_tokens":0,"accepted_prediction_tokens":0,"rejected_prediction_tokens":0}},"service_tier":"default","system_fingerprint":"fp_ad66631dec"}</t>
        </is>
      </c>
      <c r="M126" t="inlineStr">
        <is>
          <t>{"alt-svc":"h3=\":443\"; ma=2592000","apim-request-id":"905afb25-437f-4d69-b63f-f1c695a0daf6","azureml-model-session":"d20260402084046-4209e968","cache-control":"no-cache","connection":"close","content-length":"1021","content-type":"application/json","date":"Sun, 26 Apr 2026 01:07:52 GMT","server":"Caddy","skip-error-remapping":"true","strict-transport-security":"max-age=31536000; includeSubDomains; preload","x-content-type-options":"nosniff","x-ms-client-request-id":"Not-Set","x-ms-is-spilled-over":"false","x-ms-rai-invoked":"false","x-ms-region":"East US","x-new-api-version":"0.4.35","x-oneapi-request-id":"20260426010751969718898268d9d60LtNffjI","x-ratelimit-abusepenalty-active":"False","x-ratelimit-limit-requests":"1000","x-ratelimit-limit-tokens":"1000000","x-ratelimit-remaining-requests":"999","x-ratelimit-remaining-tokens":"998330","x-ratelimit-renewalperiod-requests":"60","x-ratelimit-renewalperiod-tokens":"60","x-ratelimit-reset-requests":"60","x-ratelimit-reset-tokens":"100","x-request-id":"0528a3ba-d829-4d29-b3a1-a7a7122c7e5f"}</t>
        </is>
      </c>
      <c r="N126" t="inlineStr">
        <is>
          <t>Salvatore Ferragamo men’s classic black leather belt, crafted from premium Italian cowhide, featuring iconic gold double Gancini buckle for timeless luxury and modern elegance, ideal for business or casual wear.</t>
        </is>
      </c>
      <c r="O126" t="inlineStr">
        <is>
          <t>{"id":"chatcmpl-DYiSTml1fRHHJ0uG6UouXyiLxIx7O","object":"chat.completion","created":1777166421,"model":"gpt-5-chat-2025-10-03","choices":[{"index":0,"message":{"role":"assistant","content":"Salvatore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26" t="inlineStr">
        <is>
          <t>Salvatore Ferragamo, Accessories, kakobuy, kakebuy2026, kekobuysheet, kakobuysheet2026, 2026kakobuy, kakobuyspreadsheeet, kakobuylink, kakebuylist, Kakobuy MEGA Spreadsheet, kakobuysheetfind, kakobuysheetfind2026, 2026kakobuysheetfind, kakobuysheet2026</t>
        </is>
      </c>
      <c r="Q126"/>
      <c r="R126" t="inlineStr">
        <is>
          <t>recvhju1CrD6ys</t>
        </is>
      </c>
      <c r="S126" t="inlineStr">
        <is>
          <t>ferragamo-black-leather-gold-buckle-belt-recvhju1cr-d6ys</t>
        </is>
      </c>
      <c r="T126"/>
      <c r="U126"/>
      <c r="V126"/>
      <c r="W126" t="inlineStr">
        <is>
          <t>{"id":"chatcmpl-DYhpUcjuhUuSFmy6FxTOajwXIqNQD","object":"chat.completion","created":1777164004,"model":"gpt-5-chat-2025-10-03","choices":[{"index":0,"message":{"role":"assistant","content":"Salvatore Ferragamo：经典黑色男士皮革腰带，甄选意大利头层牛皮，配以标志性金色双Gancini金属扣，简约大气，彰显品牌奢华格调与现代优雅风范，适合商务与休闲场合佩戴。","refusal":null,"annotations":[]},"logprobs":null,"finish_reason":"stop"}],"usage":{"prompt_tokens":1303,"completion_tokens":73,"total_tokens":1376,"prompt_tokens_details":{"cached_tokens":0,"audio_tokens":0},"completion_tokens_details":{"reasoning_tokens":0,"audio_tokens":0,"accepted_prediction_tokens":0,"rejected_prediction_tokens":0}},"service_tier":"default","system_fingerprint":"fp_ad66631dec"}</t>
        </is>
      </c>
      <c r="X126" t="inlineStr">
        <is>
          <t>Salvatore Ferragamo：经典黑色男士皮革腰带，甄选意大利头层牛皮，配以标志性金色双Gancini金属扣，简约大气，彰显品牌奢华格调与现代优雅风范，适合商务与休闲场合佩戴。</t>
        </is>
      </c>
    </row>
    <row r="127" ht="25.5" customHeight="1">
      <c r="A127">
        <v>1654975475</v>
      </c>
      <c r="B127">
        <v>7622021066</v>
      </c>
      <c r="C127" s="2" t="str">
        <f>=HYPERLINK("https://weidian.com/item.html?itemID=7622021066", "https://weidian.com/item.html?itemID=7622021066")</f>
        <v>https://weidian.com/item.html?itemID=7622021066</v>
      </c>
      <c r="D127"/>
      <c r="E127" s="2" t="str">
        <f>=HYPERLINK("https://si.geilicdn.com/pcitem2014204438-41cd0000019acafc59630a20e7c7_1917_1921.jpg?w=640&amp;h=640", "https://si.geilicdn.com/pcitem2014204438-41cd0000019acafc59630a20e7c7_1917_1921.jpg?w=640&amp;h=640")</f>
        <v>https://si.geilicdn.com/pcitem2014204438-41cd0000019acafc59630a20e7c7_1917_1921.jpg?w=640&amp;h=640</v>
      </c>
      <c r="F127" t="inlineStr">
        <is>
          <t>Accessories</t>
        </is>
      </c>
      <c r="G127" t="inlineStr">
        <is>
          <t>Louis Vuitton</t>
        </is>
      </c>
      <c r="H127">
        <v>580</v>
      </c>
      <c r="I127">
        <v>84.06</v>
      </c>
      <c r="J127" t="inlineStr">
        <is>
          <t>{"id":"chatcmpl-DYix4THO4pyBYxRB8jQ1ulBbldF4Y","object":"chat.completion","created":1777168318,"model":"gpt-5-chat-2025-10-03","choices":[{"index":0,"message":{"role":"assistant","content":"Louis Vuitton Monogram Brown Cartoon Canvas Clutch","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ad66631dec"}</t>
        </is>
      </c>
      <c r="K127" t="inlineStr">
        <is>
          <t>Louis Vuitton Monogram Brown Cartoon Canvas Clutch</t>
        </is>
      </c>
      <c r="L127" t="inlineStr">
        <is>
          <t>{"id":"chatcmpl-DYiHBmjvjT7sblClCLTmBLsei3W46","object":"chat.completion","created":1777165721,"model":"gpt-5-chat-2025-10-03","choices":[{"index":0,"message":{"role":"assistant","content":"Louis Vuitton Monogram Brown Clutch with cartoon motif, crafted from classic canvas, features gold LV logo, perfect for men and women, blending vintage and modern style for daily or business use.","refusal":null,"annotations":[]},"logprobs":null,"finish_reason":"stop"}],"usage":{"prompt_tokens":896,"completion_tokens":39,"total_tokens":935,"prompt_tokens_details":{"cached_tokens":0,"audio_tokens":0},"completion_tokens_details":{"reasoning_tokens":0,"audio_tokens":0,"accepted_prediction_tokens":0,"rejected_prediction_tokens":0}},"service_tier":"default","system_fingerprint":"fp_ad66631dec"}</t>
        </is>
      </c>
      <c r="M127" t="inlineStr">
        <is>
          <t>{"alt-svc":"h3=\":443\"; ma=2592000","apim-request-id":"28f4187b-5759-47c1-a421-ed8c1e88daae","azureml-model-session":"d20260402074105-51db401e","cache-control":"no-cache","connection":"close","content-length":"1003","content-type":"application/json","date":"Sun, 26 Apr 2026 01:08:44 GMT","server":"nginx","skip-error-remapping":"true","strict-transport-security":"max-age=31536000; includeSubDomains; preload","via":"1.1 Caddy","x-content-type-options":"nosniff","x-ms-client-request-id":"Not-Set","x-ms-is-spilled-over":"false","x-ms-rai-invoked":"false","x-ms-region":"Australia East","x-new-api-version":"0.4.35","x-oneapi-request-id":"202604260108408913576078268d9d6hJ3AmRNp","x-ratelimit-abusepenalty-active":"False","x-ratelimit-limit-requests":"1000","x-ratelimit-limit-tokens":"1000000","x-ratelimit-remaining-requests":"999","x-ratelimit-remaining-tokens":"998342","x-ratelimit-renewalperiod-requests":"60","x-ratelimit-renewalperiod-tokens":"60","x-ratelimit-reset-requests":"60","x-ratelimit-reset-tokens":"99","x-request-id":"840cc477-e86d-4ff7-b82f-9f8fae743362"}</t>
        </is>
      </c>
      <c r="N127" t="inlineStr">
        <is>
          <t>Louis Vuitton Monogram Brown Clutch with cartoon motif, crafted from classic canvas, features gold LV logo, perfect for men and women, blending vintage and modern style for daily or business use.</t>
        </is>
      </c>
      <c r="O127" t="inlineStr">
        <is>
          <t>{"id":"chatcmpl-DYiS0og85zhYCjYR5yLalVUHFtBCg","object":"chat.completion","created":1777166392,"model":"gpt-5-chat-2025-10-03","choices":[{"index":0,"message":{"role":"assistant","content":"Louis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7" t="inlineStr">
        <is>
          <t>Louis Vuitton, Accessories, kakobuy, kakebuy2026, kekobuysheet, kakobuysheet2026, 2026kakobuy, kakobuyspreadsheeet, kakobuylink, kakebuylist, Kakobuy MEGA Spreadsheet, kakobuysheetfind, kakobuysheetfind2026, 2026kakobuysheetfind, kakobuysheet2026</t>
        </is>
      </c>
      <c r="Q127" t="inlineStr">
        <is>
          <t>LV, Canvas, Brown, Gold, Vintage, Unisex</t>
        </is>
      </c>
      <c r="R127" t="inlineStr">
        <is>
          <t>recvhju1CrluVA</t>
        </is>
      </c>
      <c r="S127" t="inlineStr">
        <is>
          <t>louis-vuitton-monogram-brown-cartoon-canvas-clutch-recvhju1crluva</t>
        </is>
      </c>
      <c r="T127"/>
      <c r="U127"/>
      <c r="V127"/>
      <c r="W127" t="inlineStr">
        <is>
          <t>{"id":"chatcmpl-DYhoDVJpkC0vYFyPg4m6bHFiFihXS","object":"chat.completion","created":1777163925,"model":"gpt-5-chat-2025-10-03","choices":[{"index":0,"message":{"role":"assistant","content":"Louis Vuitton：Monogram棕色手包，以经典老花帆布打造，饰卡通图腾，金色LV标识彰显奢华格调，适合男女日常及商务场合，复古现代融合设计凸显品牌艺术美学。","refusal":null,"annotations":[]},"logprobs":null,"finish_reason":"stop"}],"usage":{"prompt_tokens":1303,"completion_tokens":61,"total_tokens":1364,"prompt_tokens_details":{"cached_tokens":0,"audio_tokens":0},"completion_tokens_details":{"reasoning_tokens":0,"audio_tokens":0,"accepted_prediction_tokens":0,"rejected_prediction_tokens":0}},"service_tier":"default","system_fingerprint":"fp_ad66631dec"}</t>
        </is>
      </c>
      <c r="X127" t="inlineStr">
        <is>
          <t>Louis Vuitton：Monogram棕色手包，以经典老花帆布打造，饰卡通图腾，金色LV标识彰显奢华格调，适合男女日常及商务场合，复古现代融合设计凸显品牌艺术美学。</t>
        </is>
      </c>
    </row>
    <row r="128" ht="25.5" customHeight="1">
      <c r="A128">
        <v>1654975475</v>
      </c>
      <c r="B128">
        <v>7619043099</v>
      </c>
      <c r="C128" s="2" t="str">
        <f>=HYPERLINK("https://weidian.com/item.html?itemID=7619043099", "https://weidian.com/item.html?itemID=7619043099")</f>
        <v>https://weidian.com/item.html?itemID=7619043099</v>
      </c>
      <c r="D128"/>
      <c r="E128" s="2" t="str">
        <f>=HYPERLINK("https://si.geilicdn.com/pcitem2014204438-4fb70000019acb02e6ad0a23047e_1917_1921.jpg?w=640&amp;h=640", "https://si.geilicdn.com/pcitem2014204438-4fb70000019acb02e6ad0a23047e_1917_1921.jpg?w=640&amp;h=640")</f>
        <v>https://si.geilicdn.com/pcitem2014204438-4fb70000019acb02e6ad0a23047e_1917_1921.jpg?w=640&amp;h=640</v>
      </c>
      <c r="F128" t="inlineStr">
        <is>
          <t>Accessories</t>
        </is>
      </c>
      <c r="G128" t="inlineStr">
        <is>
          <t>Louis Vuitton</t>
        </is>
      </c>
      <c r="H128">
        <v>580</v>
      </c>
      <c r="I128">
        <v>84.06</v>
      </c>
      <c r="J128" t="inlineStr">
        <is>
          <t>{"id":"chatcmpl-DYiznzvCKQwrYAwWLwRdP00UAeIyk","object":"chat.completion","created":1777168487,"model":"gpt-5-chat-2025-10-03","choices":[{"index":0,"message":{"role":"assistant","content":"Louis Vuitton Damier Graphite Gradient Logo Clutch","refusal":null,"annotations":[]},"logprobs":null,"finish_reason":"stop"}],"usage":{"prompt_tokens":873,"completion_tokens":11,"total_tokens":884,"prompt_tokens_details":{"cached_tokens":0,"audio_tokens":0},"completion_tokens_details":{"reasoning_tokens":0,"audio_tokens":0,"accepted_prediction_tokens":0,"rejected_prediction_tokens":0}},"service_tier":"default","system_fingerprint":"fp_ad66631dec"}</t>
        </is>
      </c>
      <c r="K128" t="inlineStr">
        <is>
          <t>Louis Vuitton Damier Graphite Gradient Logo Clutch</t>
        </is>
      </c>
      <c r="L128" t="inlineStr">
        <is>
          <t>{"id":"chatcmpl-DYiJPoDD2TFO5IGYLOwvVF0Fc6tGf","object":"chat.completion","created":1777165859,"model":"gpt-5-chat-2025-10-03","choices":[{"index":0,"message":{"role":"assistant","content":"Louis Vuitton Damier Graphite clutch in black and grey canvas with leather trim, featuring a gradient laser Logo, modern check pattern, ideal for business travel and daily urban style.","refusal":null,"annotations":[]},"logprobs":null,"finish_reason":"stop"}],"usage":{"prompt_tokens":918,"completion_tokens":36,"total_tokens":954,"prompt_tokens_details":{"cached_tokens":0,"audio_tokens":0},"completion_tokens_details":{"reasoning_tokens":0,"audio_tokens":0,"accepted_prediction_tokens":0,"rejected_prediction_tokens":0}},"service_tier":"default","system_fingerprint":"fp_ad66631dec"}</t>
        </is>
      </c>
      <c r="M128" t="inlineStr">
        <is>
          <t>{"alt-svc":"h3=\":443\"; ma=2592000","apim-request-id":"b7838ea7-29bf-4f8b-b8ec-f28b313e3896","azureml-model-session":"d20260402084046-4209e968","cache-control":"no-cache","connection":"close","content-length":"992","content-type":"application/json","date":"Sun, 26 Apr 2026 01:11:02 GMT","server":"Caddy","skip-error-remapping":"true","strict-transport-security":"max-age=31536000; includeSubDomains; preload","x-content-type-options":"nosniff","x-ms-client-request-id":"Not-Set","x-ms-is-spilled-over":"false","x-ms-rai-invoked":"false","x-ms-region":"Australia East","x-new-api-version":"0.4.35","x-oneapi-request-id":"202604260110588729312768268d9d6qJ8HKacC","x-ratelimit-abusepenalty-active":"False","x-ratelimit-limit-requests":"1000","x-ratelimit-limit-tokens":"1000000","x-ratelimit-remaining-requests":"999","x-ratelimit-remaining-tokens":"998320","x-ratelimit-renewalperiod-requests":"60","x-ratelimit-renewalperiod-tokens":"60","x-ratelimit-reset-requests":"60","x-ratelimit-reset-tokens":"100","x-request-id":"2dd36ed2-c072-4578-8fae-3a058802b010"}</t>
        </is>
      </c>
      <c r="N128" t="inlineStr">
        <is>
          <t>Louis Vuitton Damier Graphite clutch in black and grey canvas with leather trim, featuring a gradient laser Logo, modern check pattern, ideal for business travel and daily urban style.</t>
        </is>
      </c>
      <c r="O128" t="inlineStr">
        <is>
          <t>{"id":"chatcmpl-DYiX3XbjdUK6zMhYSm27DAd9W4BTf","object":"chat.completion","created":1777166705,"model":"gpt-5-chat-2025-10-03","choices":[{"index":0,"message":{"role":"assistant","content":"Louis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28" t="inlineStr">
        <is>
          <t>Louis Vuitton, Accessories, kakobuy, kakebuy2026, kekobuysheet, kakobuysheet2026, 2026kakobuy, kakobuyspreadsheeet, kakobuylink, kakebuylist, Kakobuy MEGA Spreadsheet, kakobuysheetfind, kakobuysheetfind2026, 2026kakobuysheetfind, kakobuysheet2026</t>
        </is>
      </c>
      <c r="Q128" t="inlineStr">
        <is>
          <t>LV, Canvas, Leather, Gradient, Modern, Business</t>
        </is>
      </c>
      <c r="R128" t="inlineStr">
        <is>
          <t>recvhju1CrJhVB</t>
        </is>
      </c>
      <c r="S128" t="inlineStr">
        <is>
          <t>louis-vuitton-damier-graphite-gradient-logo-clutch-recvhju1crjhvb</t>
        </is>
      </c>
      <c r="T128"/>
      <c r="U128"/>
      <c r="V128"/>
      <c r="W128" t="inlineStr">
        <is>
          <t>{"id":"chatcmpl-DYhsGV2F0UviburYX6H33E64sL43z","object":"chat.completion","created":1777164176,"model":"gpt-5-chat-2025-10-03","choices":[{"index":0,"message":{"role":"assistant","content":"Louis Vuitton：Damier Graphite黑灰配色手包，精选帆布材质搭配牛皮饰边，镭射渐变Logo设计彰显品牌识别度，方形格纹图腾结合现代极简风格，适合都市精英男士日常通勤与商务出行，兼具奢华质感与实用功能。","refusal":null,"annotations":[]},"logprobs":null,"finish_reason":"stop"}],"usage":{"prompt_tokens":1303,"completion_tokens":83,"total_tokens":1386,"prompt_tokens_details":{"cached_tokens":0,"audio_tokens":0},"completion_tokens_details":{"reasoning_tokens":0,"audio_tokens":0,"accepted_prediction_tokens":0,"rejected_prediction_tokens":0}},"service_tier":"default","system_fingerprint":"fp_ad66631dec"}</t>
        </is>
      </c>
      <c r="X128" t="inlineStr">
        <is>
          <t>Louis Vuitton：Damier Graphite黑灰配色手包，精选帆布材质搭配牛皮饰边，镭射渐变Logo设计彰显品牌识别度，方形格纹图腾结合现代极简风格，适合都市精英男士日常通勤与商务出行，兼具奢华质感与实用功能。</t>
        </is>
      </c>
    </row>
    <row r="129" ht="25.5" customHeight="1">
      <c r="A129">
        <v>1654975475</v>
      </c>
      <c r="B129">
        <v>7622025354</v>
      </c>
      <c r="C129" s="2" t="str">
        <f>=HYPERLINK("https://weidian.com/item.html?itemID=7622025354", "https://weidian.com/item.html?itemID=7622025354")</f>
        <v>https://weidian.com/item.html?itemID=7622025354</v>
      </c>
      <c r="D129"/>
      <c r="E129" s="2" t="str">
        <f>=HYPERLINK("https://si.geilicdn.com/pcitem2014204438-34c50000019acb3fcb450a811411_1728_2304.jpg?w=640&amp;h=640", "https://si.geilicdn.com/pcitem2014204438-34c50000019acb3fcb450a811411_1728_2304.jpg?w=640&amp;h=640")</f>
        <v>https://si.geilicdn.com/pcitem2014204438-34c50000019acb3fcb450a811411_1728_2304.jpg?w=640&amp;h=640</v>
      </c>
      <c r="F129" t="inlineStr">
        <is>
          <t>Accessories</t>
        </is>
      </c>
      <c r="G129" t="inlineStr">
        <is>
          <t>Salvatore Ferragamo</t>
        </is>
      </c>
      <c r="H129">
        <v>490</v>
      </c>
      <c r="I129">
        <v>71.01</v>
      </c>
      <c r="J129" t="inlineStr">
        <is>
          <t>{"id":"chatcmpl-DYj27K9GJVqXz3gWE2OJdE7cZ2Pfv","object":"chat.completion","created":1777168631,"model":"gpt-5-chat-2025-10-03","choices":[{"index":0,"message":{"role":"assistant","content":"Salvatore Ferragamo Gancini Black Leather Men Belt","refusal":null,"annotations":[]},"logprobs":null,"finish_reason":"stop"}],"usage":{"prompt_tokens":880,"completion_tokens":13,"total_tokens":893,"prompt_tokens_details":{"cached_tokens":0,"audio_tokens":0},"completion_tokens_details":{"reasoning_tokens":0,"audio_tokens":0,"accepted_prediction_tokens":0,"rejected_prediction_tokens":0}},"service_tier":"default","system_fingerprint":"fp_ad66631dec"}</t>
        </is>
      </c>
      <c r="K129" t="inlineStr">
        <is>
          <t>Salvatore Ferragamo Gancini Black Leather Men Belt</t>
        </is>
      </c>
      <c r="L129" t="inlineStr">
        <is>
          <t>{"id":"chatcmpl-DYiGNEXqnkYWpXvU6eVdZx1OxwhvQ","object":"chat.completion","created":1777165671,"model":"gpt-5-chat-2025-10-03","choices":[{"index":0,"message":{"role":"assistant","content":"Salvatore Ferragamo black leather belt for men, crafted from premium grained calfskin with signature metal Gancini double buckle, exuding timeless Italian elegance and sophisticated business style.","refusal":null,"annotations":[]},"logprobs":null,"finish_reason":"stop"}],"usage":{"prompt_tokens":894,"completion_tokens":38,"total_tokens":932,"prompt_tokens_details":{"cached_tokens":0,"audio_tokens":0},"completion_tokens_details":{"reasoning_tokens":0,"audio_tokens":0,"accepted_prediction_tokens":0,"rejected_prediction_tokens":0}},"service_tier":"default","system_fingerprint":"fp_ad66631dec"}</t>
        </is>
      </c>
      <c r="M129" t="inlineStr">
        <is>
          <t>{"alt-svc":"h3=\":443\"; ma=2592000","apim-request-id":"c84b4dc0-338e-4277-a4d8-3603048b1464","azureml-model-session":"d20260402084046-4209e968","cache-control":"no-cache","connection":"close","content-length":"1005","content-type":"application/json","date":"Sun, 26 Apr 2026 01:07:52 GMT","server":"nginx","skip-error-remapping":"true","strict-transport-security":"max-age=31536000; includeSubDomains; preload","via":"1.1 Caddy","x-content-type-options":"nosniff","x-ms-client-request-id":"Not-Set","x-ms-is-spilled-over":"false","x-ms-rai-invoked":"false","x-ms-region":"East US","x-new-api-version":"0.4.35","x-oneapi-request-id":"202604260107504676021078268d9d6tSb7VsrT","x-ratelimit-abusepenalty-active":"False","x-ratelimit-limit-requests":"1000","x-ratelimit-limit-tokens":"1000000","x-ratelimit-remaining-requests":"999","x-ratelimit-remaining-tokens":"998344","x-ratelimit-renewalperiod-requests":"60","x-ratelimit-renewalperiod-tokens":"60","x-ratelimit-reset-requests":"60","x-ratelimit-reset-tokens":"99","x-request-id":"cffb580d-4112-406a-a1fd-2b85493d5c8a"}</t>
        </is>
      </c>
      <c r="N129" t="inlineStr">
        <is>
          <t>Salvatore Ferragamo black leather belt for men, crafted from premium grained calfskin with signature metal Gancini double buckle, exuding timeless Italian elegance and sophisticated business style.</t>
        </is>
      </c>
      <c r="O129" t="inlineStr">
        <is>
          <t>{"id":"chatcmpl-DYiVWs0QX7axfMM9RO9Bcsyi2HCCP","object":"chat.completion","created":1777166610,"model":"gpt-5-chat-2025-10-03","choices":[{"index":0,"message":{"role":"assistant","content":"Salvatore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29" t="inlineStr">
        <is>
          <t>Salvatore Ferragamo,Accessories,kakobuy,kakebuy2026,kekobuysheet,kakobuysheet2026,2026kakobuy,kakobuyspreadsheeet,kakobuylink,kakebuylist,Kakobuy MEGA Spreadsheet,kakobuysheetfind,kakobuysheetfind2026,2026kakobuysheetfind,kakobuysheet2026</t>
        </is>
      </c>
      <c r="Q129"/>
      <c r="R129" t="inlineStr">
        <is>
          <t>recvhju1CrfxI7</t>
        </is>
      </c>
      <c r="S129" t="inlineStr">
        <is>
          <t>ferragamo-gancini-black-leather-men-belt-recvhju1crfxi7</t>
        </is>
      </c>
      <c r="T129"/>
      <c r="U129"/>
      <c r="V129"/>
      <c r="W129" t="inlineStr">
        <is>
          <t>{"id":"chatcmpl-DYhqYudUdFTApVlONAhAjHOwuiuAX","object":"chat.completion","created":1777164070,"model":"gpt-5-chat-2025-10-03","choices":[{"index":0,"message":{"role":"assistant","content":"Salvatore Ferragamo：黑色双环扣男士皮带，甄选粒面牛皮材质，搭配金属Gancini标志扣头，简约优雅商务风格，彰显品牌意式精致设计魅力。","refusal":null,"annotations":[]},"logprobs":null,"finish_reason":"stop"}],"usage":{"prompt_tokens":1305,"completion_tokens":58,"total_tokens":1363,"prompt_tokens_details":{"cached_tokens":1280,"audio_tokens":0},"completion_tokens_details":{"reasoning_tokens":0,"audio_tokens":0,"accepted_prediction_tokens":0,"rejected_prediction_tokens":0}},"service_tier":"default","system_fingerprint":"fp_ad66631dec"}</t>
        </is>
      </c>
      <c r="X129" t="inlineStr">
        <is>
          <t>Salvatore Ferragamo：黑色双环扣男士皮带，甄选粒面牛皮材质，搭配金属Gancini标志扣头，简约优雅商务风格，彰显品牌意式精致设计魅力。</t>
        </is>
      </c>
    </row>
    <row r="130" ht="25.5" customHeight="1">
      <c r="A130">
        <v>1654975475</v>
      </c>
      <c r="B130">
        <v>7622016396</v>
      </c>
      <c r="C130" s="2" t="str">
        <f>=HYPERLINK("https://weidian.com/item.html?itemID=7622016396", "https://weidian.com/item.html?itemID=7622016396")</f>
        <v>https://weidian.com/item.html?itemID=7622016396</v>
      </c>
      <c r="D130"/>
      <c r="E130" s="2" t="str">
        <f>=HYPERLINK("https://si.geilicdn.com/pcitem2014204438-553b0000019acb0d9b9a0a23038e_1442_1922.jpg?w=640&amp;h=640", "https://si.geilicdn.com/pcitem2014204438-553b0000019acb0d9b9a0a23038e_1442_1922.jpg?w=640&amp;h=640")</f>
        <v>https://si.geilicdn.com/pcitem2014204438-553b0000019acb0d9b9a0a23038e_1442_1922.jpg?w=640&amp;h=640</v>
      </c>
      <c r="F130" t="inlineStr">
        <is>
          <t>Accessories</t>
        </is>
      </c>
      <c r="G130" t="inlineStr">
        <is>
          <t>Salvatore Ferragamo</t>
        </is>
      </c>
      <c r="H130">
        <v>460</v>
      </c>
      <c r="I130">
        <v>66.67</v>
      </c>
      <c r="J130" t="inlineStr">
        <is>
          <t>{"id":"chatcmpl-DYj0vyP9WNt6ithJ0kUbMwMN0ujbY","object":"chat.completion","created":1777168557,"model":"gpt-5-chat-2025-10-03","choices":[{"index":0,"message":{"role":"assistant","content":"Salvatore Ferragamo Men’s Black Leather Belt Silver Buckle","refusal":null,"annotations":[]},"logprobs":null,"finish_reason":"stop"}],"usage":{"prompt_tokens":856,"completion_tokens":14,"total_tokens":870,"prompt_tokens_details":{"cached_tokens":0,"audio_tokens":0},"completion_tokens_details":{"reasoning_tokens":0,"audio_tokens":0,"accepted_prediction_tokens":0,"rejected_prediction_tokens":0}},"service_tier":"default","system_fingerprint":"fp_ad66631dec"}</t>
        </is>
      </c>
      <c r="K130" t="inlineStr">
        <is>
          <t>Salvatore Ferragamo Men’s Black Leather Belt Silver Buckle</t>
        </is>
      </c>
      <c r="L130" t="inlineStr">
        <is>
          <t>{"id":"chatcmpl-DYiFMKqJUhUxXsAgkPnrh8saRiG83","object":"chat.completion","created":1777165608,"model":"gpt-5-chat-2025-10-03","choices":[{"index":0,"message":{"role":"assistant","content":"Salvatore Ferragamo Italian Imported Black Grain Leather Men's Belt with Silver Gancini Buckle, Elegant Luxury Business Style.","refusal":null,"annotations":[]},"logprobs":null,"finish_reason":"stop"}],"usage":{"prompt_tokens":885,"completion_tokens":26,"total_tokens":911,"prompt_tokens_details":{"cached_tokens":0,"audio_tokens":0},"completion_tokens_details":{"reasoning_tokens":0,"audio_tokens":0,"accepted_prediction_tokens":0,"rejected_prediction_tokens":0}},"service_tier":"default","system_fingerprint":"fp_ad66631dec"}</t>
        </is>
      </c>
      <c r="M130" t="inlineStr">
        <is>
          <t>{"alt-svc":"h3=\":443\"; ma=2592000","apim-request-id":"00787ad0-d977-45e1-b620-85837fcdc343","azureml-model-session":"d20260405225800-40f19e54","cache-control":"no-cache","connection":"close","content-length":"934","content-type":"application/json","date":"Sun, 26 Apr 2026 01:06:50 GMT","server":"nginx","skip-error-remapping":"true","strict-transport-security":"max-age=31536000; includeSubDomains; preload","via":"1.1 Caddy","x-content-type-options":"nosniff","x-ms-client-request-id":"Not-Set","x-ms-is-spilled-over":"false","x-ms-rai-invoked":"false","x-ms-region":"Korea Central","x-new-api-version":"0.4.35","x-oneapi-request-id":"202604260106476300940858268d9d6aefk7VrT","x-ratelimit-abusepenalty-active":"False","x-ratelimit-limit-requests":"1000","x-ratelimit-limit-tokens":"1000000","x-ratelimit-remaining-requests":"999","x-ratelimit-remaining-tokens":"998353","x-ratelimit-renewalperiod-requests":"60","x-ratelimit-renewalperiod-tokens":"60","x-ratelimit-reset-requests":"60","x-ratelimit-reset-tokens":"98","x-request-id":"da724a28-f642-4849-aea4-08c1d25a1cec"}</t>
        </is>
      </c>
      <c r="N130" t="inlineStr">
        <is>
          <t>Salvatore Ferragamo Italian Imported Black Grain Leather Men's Belt with Silver Gancini Buckle, Elegant Luxury Business Style.</t>
        </is>
      </c>
      <c r="O130" t="inlineStr">
        <is>
          <t>{"id":"chatcmpl-DYiYZkbcBcpQnFd9CMKFBVTv25sb1","object":"chat.completion","created":1777166799,"model":"gpt-5-chat-2025-10-03","choices":[{"index":0,"message":{"role":"assistant","content":"Salvatore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30" t="inlineStr">
        <is>
          <t>Salvatore Ferragamo, Accessories, kakobuy, kakebuy2026, kekobuysheet, kakobuysheet2026, 2026kakobuy, kakobuyspreadsheeet, kakobuylink, kakebuylist, Kakobuy MEGA Spreadsheet, kakobuysheetfind, kakobuysheetfind2026, 2026kakobuysheetfind, kakobuysheet2026</t>
        </is>
      </c>
      <c r="Q130" t="inlineStr">
        <is>
          <t>Black, Elegant, Business, Leather, Men</t>
        </is>
      </c>
      <c r="R130" t="inlineStr">
        <is>
          <t>recvhju1Cr4vP1</t>
        </is>
      </c>
      <c r="S130" t="inlineStr">
        <is>
          <t>ferragamo-black-leather-belt-silver-buckle-recvhju1cr4vp1</t>
        </is>
      </c>
      <c r="T130"/>
      <c r="U130"/>
      <c r="V130"/>
      <c r="W130" t="inlineStr">
        <is>
          <t>{"id":"chatcmpl-DYhnoO4B45MJi420BmTol5KcB4UMm","object":"chat.completion","created":1777163900,"model":"gpt-5-chat-2025-10-03","choices":[{"index":0,"message":{"role":"assistant","content":"Salvatore Ferragamo：意大利进口黑色荔枝纹牛皮男士腰带，搭配银色Gancini枪扣设计，彰显低调奢华商务格调。","refusal":null,"annotations":[]},"logprobs":null,"finish_reason":"stop"}],"usage":{"prompt_tokens":1313,"completion_tokens":45,"total_tokens":1358,"prompt_tokens_details":{"cached_tokens":0,"audio_tokens":0},"completion_tokens_details":{"reasoning_tokens":0,"audio_tokens":0,"accepted_prediction_tokens":0,"rejected_prediction_tokens":0}},"service_tier":"default","system_fingerprint":"fp_ad66631dec"}</t>
        </is>
      </c>
      <c r="X130" t="inlineStr">
        <is>
          <t>Salvatore Ferragamo：意大利进口黑色荔枝纹牛皮男士腰带，搭配银色Gancini枪扣设计，彰显低调奢华商务格调。</t>
        </is>
      </c>
    </row>
    <row r="131" ht="25.5" customHeight="1">
      <c r="A131">
        <v>1654975475</v>
      </c>
      <c r="B131">
        <v>7622058898</v>
      </c>
      <c r="C131" s="2" t="str">
        <f>=HYPERLINK("https://weidian.com/item.html?itemID=7622058898", "https://weidian.com/item.html?itemID=7622058898")</f>
        <v>https://weidian.com/item.html?itemID=7622058898</v>
      </c>
      <c r="D131"/>
      <c r="E131" s="2" t="str">
        <f>=HYPERLINK("https://si.geilicdn.com/pcitem2014204438-45c10000019acb0a2eee0a20e273_1280_1280.jpg?w=640&amp;h=640", "https://si.geilicdn.com/pcitem2014204438-45c10000019acb0a2eee0a20e273_1280_1280.jpg?w=640&amp;h=640")</f>
        <v>https://si.geilicdn.com/pcitem2014204438-45c10000019acb0a2eee0a20e273_1280_1280.jpg?w=640&amp;h=640</v>
      </c>
      <c r="F131" t="inlineStr">
        <is>
          <t>Accessories</t>
        </is>
      </c>
      <c r="G131" t="inlineStr">
        <is>
          <t>Burberry</t>
        </is>
      </c>
      <c r="H131">
        <v>460</v>
      </c>
      <c r="I131">
        <v>66.67</v>
      </c>
      <c r="J131" t="inlineStr">
        <is>
          <t>{"id":"chatcmpl-DYiy48Z91vW9TUPq9KSpIqdTcMZQo","object":"chat.completion","created":1777168380,"model":"gpt-5-chat-2025-10-03","choices":[{"index":0,"message":{"role":"assistant","content":"Burberry Black Embossed Leather Silver Buckle Bel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31" t="inlineStr">
        <is>
          <t>Burberry Black Embossed Leather Silver Buckle Belt</t>
        </is>
      </c>
      <c r="L131" t="inlineStr">
        <is>
          <t>{"id":"chatcmpl-DYiGvKF3fEkYVQ3MJUh7Vs228WzmI","object":"chat.completion","created":1777165705,"model":"gpt-5-chat-2025-10-03","choices":[{"index":0,"message":{"role":"assistant","content":"Burberry Black Embossed Leather Belt crafted from premium cowhide, featuring a sleek silver buckle and signature embossed logo. Unisex design suits business or casual wear with timeless British elegance.","refusal":null,"annotations":[]},"logprobs":null,"finish_reason":"stop"}],"usage":{"prompt_tokens":915,"completion_tokens":38,"total_tokens":953,"prompt_tokens_details":{"cached_tokens":0,"audio_tokens":0},"completion_tokens_details":{"reasoning_tokens":0,"audio_tokens":0,"accepted_prediction_tokens":0,"rejected_prediction_tokens":0}},"service_tier":"default","system_fingerprint":"fp_ad66631dec"}</t>
        </is>
      </c>
      <c r="M131" t="inlineStr">
        <is>
          <t>{"alt-svc":"h3=\":443\"; ma=2592000","apim-request-id":"496d2576-2362-4c25-9ed0-f0eeb695dbcd","azureml-model-session":"d20260405225800-40f19e54","cache-control":"no-cache","connection":"close","content-length":"1011","content-type":"application/json","date":"Sun, 26 Apr 2026 01:08:26 GMT","server":"nginx","skip-error-remapping":"true","strict-transport-security":"max-age=31536000; includeSubDomains; preload","via":"1.1 Caddy","x-content-type-options":"nosniff","x-ms-client-request-id":"Not-Set","x-ms-is-spilled-over":"false","x-ms-rai-invoked":"false","x-ms-region":"East US 2","x-new-api-version":"0.4.35","x-oneapi-request-id":"202604260108245472665098268d9d6eXV4Y10N","x-ratelimit-abusepenalty-active":"False","x-ratelimit-limit-requests":"1000","x-ratelimit-limit-tokens":"1000000","x-ratelimit-remaining-requests":"999","x-ratelimit-remaining-tokens":"998323","x-ratelimit-renewalperiod-requests":"60","x-ratelimit-renewalperiod-tokens":"60","x-ratelimit-reset-requests":"60","x-ratelimit-reset-tokens":"100","x-request-id":"ae485fd9-9d78-4e26-8b55-6db316dd4720"}</t>
        </is>
      </c>
      <c r="N131" t="inlineStr">
        <is>
          <t>Burberry Black Embossed Leather Belt crafted from premium cowhide, featuring a sleek silver buckle and signature embossed logo. Unisex design suits business or casual wear with timeless British elegance.</t>
        </is>
      </c>
      <c r="O131" t="inlineStr">
        <is>
          <t>{"id":"chatcmpl-DYiRLAiSwjruiU3hBQ7lCflPQUq5r","object":"chat.completion","created":1777166351,"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1" t="inlineStr">
        <is>
          <t>Burberry,Accessories,kakobuy,kakebuy2026,kekobuysheet,kakobuysheet2026,2026kakobuy,kakobuyspreadsheeet,kakobuylink,kakebuylist,Kakobuy MEGA Spreadsheet,kakobuysheetfind,kakobuysheetfind2026,2026kakobuysheetfind,kakobuysheet2026</t>
        </is>
      </c>
      <c r="Q131" t="inlineStr">
        <is>
          <t>Leather, Black, Silver, Unisex, Business</t>
        </is>
      </c>
      <c r="R131" t="inlineStr">
        <is>
          <t>recvhju1CrVLYV</t>
        </is>
      </c>
      <c r="S131" t="inlineStr">
        <is>
          <t>burberry-black-embossed-leather-silver-buckle-belt-recvhju1crvlyv</t>
        </is>
      </c>
      <c r="T131"/>
      <c r="U131"/>
      <c r="V131"/>
      <c r="W131" t="inlineStr">
        <is>
          <t>{"id":"chatcmpl-DYhvQ4f57TKFCMW5zKqAbbNNhsVSI","object":"chat.completion","created":1777164372,"model":"gpt-5-chat-2025-10-03","choices":[{"index":0,"message":{"role":"assistant","content":"Burberry：黑色皮质雕纹字母腰带，甄选优质牛皮材质，配以亮银色金属扣头，呈现英伦现代格调。低调奢华的浮雕Logo设计彰显品牌标识，适合男女通用，商务与休闲皆可搭配，体现精致品味。","refusal":null,"annotations":[]},"logprobs":null,"finish_reason":"stop"}],"usage":{"prompt_tokens":1303,"completion_tokens":80,"total_tokens":1383,"prompt_tokens_details":{"cached_tokens":0,"audio_tokens":0},"completion_tokens_details":{"reasoning_tokens":0,"audio_tokens":0,"accepted_prediction_tokens":0,"rejected_prediction_tokens":0}},"service_tier":"default","system_fingerprint":"fp_ad66631dec"}</t>
        </is>
      </c>
      <c r="X131" t="inlineStr">
        <is>
          <t>Burberry：黑色皮质雕纹字母腰带，甄选优质牛皮材质，配以亮银色金属扣头，呈现英伦现代格调。低调奢华的浮雕Logo设计彰显品牌标识，适合男女通用，商务与休闲皆可搭配，体现精致品味。</t>
        </is>
      </c>
    </row>
    <row r="132" ht="25.5" customHeight="1">
      <c r="A132">
        <v>1654975475</v>
      </c>
      <c r="B132">
        <v>7622029188</v>
      </c>
      <c r="C132" s="2" t="str">
        <f>=HYPERLINK("https://weidian.com/item.html?itemID=7622029188", "https://weidian.com/item.html?itemID=7622029188")</f>
        <v>https://weidian.com/item.html?itemID=7622029188</v>
      </c>
      <c r="D132"/>
      <c r="E132" s="2" t="str">
        <f>=HYPERLINK("https://si.geilicdn.com/pcitem2014204438-69870000019acb33055c0a23057e_1454_1920.jpg?w=640&amp;h=640", "https://si.geilicdn.com/pcitem2014204438-69870000019acb33055c0a23057e_1454_1920.jpg?w=640&amp;h=640")</f>
        <v>https://si.geilicdn.com/pcitem2014204438-69870000019acb33055c0a23057e_1454_1920.jpg?w=640&amp;h=640</v>
      </c>
      <c r="F132" t="inlineStr">
        <is>
          <t>Accessories</t>
        </is>
      </c>
      <c r="G132" t="inlineStr">
        <is>
          <t>Salvatore Ferragamo</t>
        </is>
      </c>
      <c r="H132">
        <v>480</v>
      </c>
      <c r="I132">
        <v>69.5797101449275</v>
      </c>
      <c r="J132" t="inlineStr">
        <is>
          <t>{"id":"chatcmpl-DYizSiq5ovoTf2bDJCpVANEfGwVHD","object":"chat.completion","created":1777168466,"model":"gpt-5-chat-2025-10-03","choices":[{"index":0,"message":{"role":"assistant","content":"Salvatore Ferragamo Gancini Black Reversible Leather Belt","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132" t="inlineStr">
        <is>
          <t>Salvatore Ferragamo Gancini Black Reversible Leather Belt</t>
        </is>
      </c>
      <c r="L132" t="inlineStr">
        <is>
          <t>{"id":"chatcmpl-DYiFeh7kbw5nFtq5ZC77YQz1n8KXb","object":"chat.completion","created":1777165626,"model":"gpt-5-chat-2025-10-03","choices":[{"index":0,"message":{"role":"assistant","content":"Salvatore Ferragamo Gancini black reversible leather belt with engraved silver buckle. Elegant Italian design for men, perfect for business and casual wear. Luxurious style with timeless charm.","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132" t="inlineStr">
        <is>
          <t>{"alt-svc":"h3=\":443\"; ma=2592000","apim-request-id":"182e0da8-cf61-4fb2-8b4b-a0779a15a194","azureml-model-session":"d20260402083108-57a85543","cache-control":"no-cache","connection":"close","content-length":"1001","content-type":"application/json","date":"Sun, 26 Apr 2026 01:07:08 GMT","server":"nginx","skip-error-remapping":"true","strict-transport-security":"max-age=31536000; includeSubDomains; preload","via":"1.1 Caddy","x-content-type-options":"nosniff","x-ms-client-request-id":"Not-Set","x-ms-is-spilled-over":"false","x-ms-rai-invoked":"false","x-ms-region":"Sweden Central","x-new-api-version":"0.4.35","x-oneapi-request-id":"202604260107061683306708268d9d6d4MRMNSN","x-ratelimit-abusepenalty-active":"False","x-ratelimit-key":"gpt-5-chat-global","x-ratelimit-limit-requests":"1000","x-ratelimit-limit-tokens":"1000000","x-ratelimit-remaining-requests":"999","x-ratelimit-remaining-tokens":"998349","x-ratelimit-renewalperiod-requests":"60","x-ratelimit-renewalperiod-tokens":"60","x-ratelimit-reset-requests":"60","x-ratelimit-reset-tokens":"99","x-request-id":"d84ffe17-7550-4f6f-87b6-2082aabc192f"}</t>
        </is>
      </c>
      <c r="N132" t="inlineStr">
        <is>
          <t>Salvatore Ferragamo Gancini black reversible leather belt with engraved silver buckle. Elegant Italian design for men, perfect for business and casual wear. Luxurious style with timeless charm.</t>
        </is>
      </c>
      <c r="O132" t="inlineStr">
        <is>
          <t>{"id":"chatcmpl-DYiXSZJFgrxsQqqaYzzLscshIjJE2","object":"chat.completion","created":1777166730,"model":"gpt-5-chat-2025-10-03","choices":[{"index":0,"message":{"role":"assistant","content":"Salvatore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32" t="inlineStr">
        <is>
          <t>Salvatore Ferragamo, Accessories, kakobuy, kakebuy2026, kekobuysheet, kakobuysheet2026, 2026kakobuy, kakobuyspreadsheeet, kakobuylink, kakebuylist, Kakobuy MEGA Spreadsheet, kakobuysheetfind, kakobuysheetfind2026, 2026kakobuysheetfind, kakobuysheet2026</t>
        </is>
      </c>
      <c r="Q132"/>
      <c r="R132" t="inlineStr">
        <is>
          <t>recvhju1CrE8Cf</t>
        </is>
      </c>
      <c r="S132" t="inlineStr">
        <is>
          <t>ferragamo-gancini-black-reversible-leather-belt-recvhju1cre8cf</t>
        </is>
      </c>
      <c r="T132"/>
      <c r="U132"/>
      <c r="V132"/>
      <c r="W132" t="inlineStr">
        <is>
          <t>{"id":"chatcmpl-DYhrOpoG9iPWOHvIox6zhUEk0eSoJ","object":"chat.completion","created":1777164122,"model":"gpt-5-chat-2025-10-03","choices":[{"index":0,"message":{"role":"assistant","content":"Salvatore Ferragamo：Gancini系列黑色双面牛皮腰带，银色雕纹扣饰优雅奢华，经典意式设计，彰显绅士格调，男士商务休闲皆宜。","refusal":null,"annotations":[]},"logprobs":null,"finish_reason":"stop"}],"usage":{"prompt_tokens":1305,"completion_tokens":53,"total_tokens":1358,"prompt_tokens_details":{"cached_tokens":0,"audio_tokens":0},"completion_tokens_details":{"reasoning_tokens":0,"audio_tokens":0,"accepted_prediction_tokens":0,"rejected_prediction_tokens":0}},"service_tier":"default","system_fingerprint":"fp_ad66631dec"}</t>
        </is>
      </c>
      <c r="X132" t="inlineStr">
        <is>
          <t>Salvatore Ferragamo：Gancini系列黑色双面牛皮腰带，银色雕纹扣饰优雅奢华，经典意式设计，彰显绅士格调，男士商务休闲皆宜。</t>
        </is>
      </c>
    </row>
    <row r="133" ht="25.5" customHeight="1">
      <c r="A133">
        <v>1654975475</v>
      </c>
      <c r="B133">
        <v>7622070654</v>
      </c>
      <c r="C133" s="2" t="str">
        <f>=HYPERLINK("https://weidian.com/item.html?itemID=7622070654", "https://weidian.com/item.html?itemID=7622070654")</f>
        <v>https://weidian.com/item.html?itemID=7622070654</v>
      </c>
      <c r="D133"/>
      <c r="E133" s="2" t="str">
        <f>=HYPERLINK("https://si.geilicdn.com/pcitem2014204438-427e0000019acae27ef00a81347d_1328_2009.jpg?w=640&amp;h=640", "https://si.geilicdn.com/pcitem2014204438-427e0000019acae27ef00a81347d_1328_2009.jpg?w=640&amp;h=640")</f>
        <v>https://si.geilicdn.com/pcitem2014204438-427e0000019acae27ef00a81347d_1328_2009.jpg?w=640&amp;h=640</v>
      </c>
      <c r="F133" t="inlineStr">
        <is>
          <t>Accessories</t>
        </is>
      </c>
      <c r="G133" t="inlineStr">
        <is>
          <t>Burberry</t>
        </is>
      </c>
      <c r="H133">
        <v>460</v>
      </c>
      <c r="I133">
        <v>66.67</v>
      </c>
      <c r="J133" t="inlineStr">
        <is>
          <t>{"id":"chatcmpl-DYiyuqLbZBzqtLggJs6r6UkAig4WA","object":"chat.completion","created":1777168432,"model":"gpt-5-chat-2025-10-03","choices":[{"index":0,"message":{"role":"assistant","content":"Burberry Classic Check Beige Leather NFC Unisex Belt","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33" t="inlineStr">
        <is>
          <t>Burberry Classic Check Beige Leather NFC Unisex Belt</t>
        </is>
      </c>
      <c r="L133" t="inlineStr">
        <is>
          <t>{"id":"chatcmpl-DYiHIxPi3zIdT8KjgGHDdlzsVp5ip","object":"chat.completion","created":1777165728,"model":"gpt-5-chat-2025-10-03","choices":[{"index":0,"message":{"role":"assistant","content":"Burberry Classic Check Beige Leather Belt with Metal TB Buckle, British Retro Style, Unisex Design, Elegant Taste, Built-in NFC Chip for Smart Fashion Accessory.","refusal":null,"annotations":[]},"logprobs":null,"finish_reason":"stop"}],"usage":{"prompt_tokens":874,"completion_tokens":35,"total_tokens":909,"prompt_tokens_details":{"cached_tokens":0,"audio_tokens":0},"completion_tokens_details":{"reasoning_tokens":0,"audio_tokens":0,"accepted_prediction_tokens":0,"rejected_prediction_tokens":0}},"service_tier":"default","system_fingerprint":"fp_ad66631dec"}</t>
        </is>
      </c>
      <c r="M133" t="inlineStr">
        <is>
          <t>{"alt-svc":"h3=\":443\"; ma=2592000","apim-request-id":"f5ebc1c6-b27b-472e-be48-22ce2c0894ee","azureml-model-session":"d20260402084046-4209e968","cache-control":"no-cache","connection":"close","content-length":"969","content-type":"application/json","date":"Sun, 26 Apr 2026 01:08:50 GMT","server":"Caddy","skip-error-remapping":"true","strict-transport-security":"max-age=31536000; includeSubDomains; preload","x-content-type-options":"nosniff","x-ms-client-request-id":"Not-Set","x-ms-is-spilled-over":"false","x-ms-rai-invoked":"false","x-ms-region":"UK South","x-new-api-version":"0.4.35","x-oneapi-request-id":"202604260108478056854508268d9d6F8yzJ5zg","x-ratelimit-abusepenalty-active":"False","x-ratelimit-limit-requests":"1000","x-ratelimit-limit-tokens":"1000000","x-ratelimit-remaining-requests":"999","x-ratelimit-remaining-tokens":"998364","x-ratelimit-renewalperiod-requests":"60","x-ratelimit-renewalperiod-tokens":"60","x-ratelimit-reset-requests":"60","x-ratelimit-reset-tokens":"98","x-request-id":"d6c86d74-a9f6-42e9-8559-54e9938ffe12"}</t>
        </is>
      </c>
      <c r="N133" t="inlineStr">
        <is>
          <t>Burberry Classic Check Beige Leather Belt with Metal TB Buckle, British Retro Style, Unisex Design, Elegant Taste, Built-in NFC Chip for Smart Fashion Accessory.</t>
        </is>
      </c>
      <c r="O133" t="inlineStr">
        <is>
          <t>{"id":"chatcmpl-DYiVbNZ0zwJdpp6VIBkjw1nYEmT9T","object":"chat.completion","created":1777166615,"model":"gpt-5-chat-2025-10-03","choices":[{"index":0,"message":{"role":"assistant","content":"Burberry,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3" t="inlineStr">
        <is>
          <t>Burberry, Accessories, kakobuy, kakebuy2026, kekobuysheet, kakobuysheet2026, 2026kakobuy, kakobuyspreadsheeet, kakobuylink, kakebuylist, Kakobuy MEGA Spreadsheet, kakobuysheetfind, kakobuysheetfind2026, 2026kakobuysheetfind, kakobuysheet2026</t>
        </is>
      </c>
      <c r="Q133" t="inlineStr">
        <is>
          <t>Beige, Leather, Retro, Unisex, Elegant</t>
        </is>
      </c>
      <c r="R133" t="inlineStr">
        <is>
          <t>recvhju1Crm7P6</t>
        </is>
      </c>
      <c r="S133" t="inlineStr">
        <is>
          <t>burberry-classic-check-beige-leather-nfc-belt-recvhju1crm7p6</t>
        </is>
      </c>
      <c r="T133"/>
      <c r="U133"/>
      <c r="V133"/>
      <c r="W133" t="inlineStr">
        <is>
          <t>{"id":"chatcmpl-DYhtMJdTD5P5MJzLqQpn7NOupu5Aa","object":"chat.completion","created":1777164244,"model":"gpt-5-chat-2025-10-03","choices":[{"index":0,"message":{"role":"assistant","content":"Burberry：经典格纹米色皮革腰带，配金属TB字母扣，英伦复古风格，男女通用款，彰显高雅品味。","refusal":null,"annotations":[]},"logprobs":null,"finish_reason":"stop"}],"usage":{"prompt_tokens":1299,"completion_tokens":41,"total_tokens":1340,"prompt_tokens_details":{"cached_tokens":1280,"audio_tokens":0},"completion_tokens_details":{"reasoning_tokens":0,"audio_tokens":0,"accepted_prediction_tokens":0,"rejected_prediction_tokens":0}},"service_tier":"default","system_fingerprint":"fp_ad66631dec"}</t>
        </is>
      </c>
      <c r="X133" t="inlineStr">
        <is>
          <t>Burberry：经典格纹米色皮革腰带，配金属TB字母扣，英伦复古风格，男女通用款，彰显高雅品味。</t>
        </is>
      </c>
    </row>
    <row r="134" ht="25.5" customHeight="1">
      <c r="A134">
        <v>1654975475</v>
      </c>
      <c r="B134">
        <v>7622125800</v>
      </c>
      <c r="C134" s="2" t="str">
        <f>=HYPERLINK("https://weidian.com/item.html?itemID=7622125800", "https://weidian.com/item.html?itemID=7622125800")</f>
        <v>https://weidian.com/item.html?itemID=7622125800</v>
      </c>
      <c r="D134"/>
      <c r="E134" s="2" t="str">
        <f>=HYPERLINK("https://si.geilicdn.com/pcitem2014204438-11500000019acb3bb7760a2103bd_1442_1922.jpg?w=640&amp;h=640", "https://si.geilicdn.com/pcitem2014204438-11500000019acb3bb7760a2103bd_1442_1922.jpg?w=640&amp;h=640")</f>
        <v>https://si.geilicdn.com/pcitem2014204438-11500000019acb3bb7760a2103bd_1442_1922.jpg?w=640&amp;h=640</v>
      </c>
      <c r="F134" t="inlineStr">
        <is>
          <t>Accessories</t>
        </is>
      </c>
      <c r="G134" t="inlineStr">
        <is>
          <t>Louis Vuitton</t>
        </is>
      </c>
      <c r="H134">
        <v>460</v>
      </c>
      <c r="I134">
        <v>66.67</v>
      </c>
      <c r="J134" t="inlineStr">
        <is>
          <t>{"id":"chatcmpl-DYiwRcivoaufRc3gE0HsVEkrZ0jDZ","object":"chat.completion","created":1777168279,"model":"gpt-5-chat-2025-10-03","choices":[{"index":0,"message":{"role":"assistant","content":"LV Damier Black Leather Belt Gold Buckle Men","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134" t="inlineStr">
        <is>
          <t>LV Damier Black Leather Belt Gold Buckle Men</t>
        </is>
      </c>
      <c r="L134" t="inlineStr">
        <is>
          <t>{"id":"chatcmpl-DYiLA16Sx6VvKjHpiBIvA59LqE1Mq","object":"chat.completion","created":1777165968,"model":"gpt-5-chat-2025-10-03","choices":[{"index":0,"message":{"role":"assistant","content":"Louis Vuitton Damier black men’s leather belt with gold LV hollow buckle, crafted from imported top-grain cowhide, featuring auto-lock design, perfect for business or casual style.","refusal":null,"annotations":[]},"logprobs":null,"finish_reason":"stop"}],"usage":{"prompt_tokens":910,"completion_tokens":37,"total_tokens":947,"prompt_tokens_details":{"cached_tokens":0,"audio_tokens":0},"completion_tokens_details":{"reasoning_tokens":0,"audio_tokens":0,"accepted_prediction_tokens":0,"rejected_prediction_tokens":0}},"service_tier":"default","system_fingerprint":"fp_ad66631dec"}</t>
        </is>
      </c>
      <c r="M134" t="inlineStr">
        <is>
          <t>{"alt-svc":"h3=\":443\"; ma=2592000","apim-request-id":"738fe3a8-5fb1-48e6-9fd5-c9de165da2b4","azureml-model-session":"d20260402084046-4209e968","cache-control":"no-cache","connection":"close","content-length":"990","content-type":"application/json","date":"Sun, 26 Apr 2026 01:12:49 GMT","server":"nginx","skip-error-remapping":"true","strict-transport-security":"max-age=31536000; includeSubDomains; preload","via":"1.1 Caddy","x-content-type-options":"nosniff","x-ms-client-request-id":"Not-Set","x-ms-is-spilled-over":"false","x-ms-rai-invoked":"false","x-ms-region":"East US","x-new-api-version":"0.4.35","x-oneapi-request-id":"202604260112476882502538268d9d6QIsJMi6C","x-ratelimit-abusepenalty-active":"False","x-ratelimit-limit-requests":"1000","x-ratelimit-limit-tokens":"1000000","x-ratelimit-remaining-requests":"999","x-ratelimit-remaining-tokens":"998328","x-ratelimit-renewalperiod-requests":"60","x-ratelimit-renewalperiod-tokens":"60","x-ratelimit-reset-requests":"60","x-ratelimit-reset-tokens":"100","x-request-id":"5d2c8ddd-5516-4253-aca6-ae6d796c1178"}</t>
        </is>
      </c>
      <c r="N134" t="inlineStr">
        <is>
          <t>Louis Vuitton Damier black men’s leather belt with gold LV hollow buckle, crafted from imported top-grain cowhide, featuring auto-lock design, perfect for business or casual style.</t>
        </is>
      </c>
      <c r="O134" t="inlineStr">
        <is>
          <t>{"id":"chatcmpl-DYiTY8lc2pG8T0D4Zlg8hr957zSgq","object":"chat.completion","created":1777166488,"model":"gpt-5-chat-2025-10-03","choices":[{"index":0,"message":{"role":"assistant","content":"Louis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4" t="inlineStr">
        <is>
          <t>Louis Vuitton, Belt, kakobuy, kakebuy2026, kekobuysheet, kakobuysheet2026, 2026kakobuy, kakobuyspreadsheeet, kakobuylink, kakebuylist, Kakobuy MEGA Spreadsheet, kakobuysheetfind, kakobuysheetfind2026, 2026kakobuysheetfind, kakobuysheet2026</t>
        </is>
      </c>
      <c r="Q134" t="inlineStr">
        <is>
          <t>LV, Leather, Black, Gold, Business, Men</t>
        </is>
      </c>
      <c r="R134" t="inlineStr">
        <is>
          <t>recvhju1CrRjPg</t>
        </is>
      </c>
      <c r="S134" t="inlineStr">
        <is>
          <t>lv-damier-black-leather-belt-gold-buckle-men-recvhju1crrpgnpg</t>
        </is>
      </c>
      <c r="T134"/>
      <c r="U134"/>
      <c r="V134"/>
      <c r="W134" t="inlineStr">
        <is>
          <t>{"id":"chatcmpl-DYhuDWQ5fOywESIB1ZSQtMgzBgYZy","object":"chat.completion","created":1777164297,"model":"gpt-5-chat-2025-10-03","choices":[{"index":0,"message":{"role":"assistant","content":"Louis Vuitton：经典Damier格纹黑色男士皮带，甄选进口头层牛皮，搭配金色LV镂空金属扣，彰显奢华质感。精致自动扣设计，简约大气，适合商务与休闲穿搭，展现优雅品味与现代都会风格。","refusal":null,"annotations":[]},"logprobs":null,"finish_reason":"stop"}],"usage":{"prompt_tokens":1299,"completion_tokens":77,"total_tokens":1376,"prompt_tokens_details":{"cached_tokens":1280,"audio_tokens":0},"completion_tokens_details":{"reasoning_tokens":0,"audio_tokens":0,"accepted_prediction_tokens":0,"rejected_prediction_tokens":0}},"service_tier":"default","system_fingerprint":"fp_ad66631dec"}</t>
        </is>
      </c>
      <c r="X134" t="inlineStr">
        <is>
          <t>Louis Vuitton：经典Damier格纹黑色男士皮带，甄选进口头层牛皮，搭配金色LV镂空金属扣，彰显奢华质感。精致自动扣设计，简约大气，适合商务与休闲穿搭，展现优雅品味与现代都会风格。</t>
        </is>
      </c>
    </row>
    <row r="135" ht="25.5" customHeight="1">
      <c r="A135">
        <v>1654975475</v>
      </c>
      <c r="B135">
        <v>7619045033</v>
      </c>
      <c r="C135" s="2" t="str">
        <f>=HYPERLINK("https://weidian.com/item.html?itemID=7619045033", "https://weidian.com/item.html?itemID=7619045033")</f>
        <v>https://weidian.com/item.html?itemID=7619045033</v>
      </c>
      <c r="D135"/>
      <c r="E135" s="2" t="str">
        <f>=HYPERLINK("https://si.geilicdn.com/pcitem2014204438-54560000019acafb353a0a23041a_1080_1080.jpg?w=640&amp;h=640", "https://si.geilicdn.com/pcitem2014204438-54560000019acafb353a0a23041a_1080_1080.jpg?w=640&amp;h=640")</f>
        <v>https://si.geilicdn.com/pcitem2014204438-54560000019acafb353a0a23041a_1080_1080.jpg?w=640&amp;h=640</v>
      </c>
      <c r="F135" t="inlineStr">
        <is>
          <t>Accessories</t>
        </is>
      </c>
      <c r="G135" t="inlineStr">
        <is>
          <t>Hermes</t>
        </is>
      </c>
      <c r="H135">
        <v>460</v>
      </c>
      <c r="I135">
        <v>66.67</v>
      </c>
      <c r="J135" t="inlineStr">
        <is>
          <t>{"id":"chatcmpl-DYj0sgNDsi0IdfMvCIhZKjtQYph0o","object":"chat.completion","created":1777168554,"model":"gpt-5-chat-2025-10-03","choices":[{"index":0,"message":{"role":"assistant","content":"Hermes Classic H Black Leather Belt Unisex Luxury","refusal":null,"annotations":[]},"logprobs":null,"finish_reason":"stop"}],"usage":{"prompt_tokens":879,"completion_tokens":11,"total_tokens":890,"prompt_tokens_details":{"cached_tokens":0,"audio_tokens":0},"completion_tokens_details":{"reasoning_tokens":0,"audio_tokens":0,"accepted_prediction_tokens":0,"rejected_prediction_tokens":0}},"service_tier":"default","system_fingerprint":"fp_ad66631dec"}</t>
        </is>
      </c>
      <c r="K135" t="inlineStr">
        <is>
          <t>Hermes Classic H Black Leather Belt Unisex Luxury</t>
        </is>
      </c>
      <c r="L135" t="inlineStr">
        <is>
          <t>{"id":"chatcmpl-DYiCLtXS68UQFksooUeItJfvUkg1h","object":"chat.completion","created":1777165421,"model":"gpt-5-chat-2025-10-03","choices":[{"index":0,"message":{"role":"assistant","content":"Hermes Classic H Black Leather Belt, crafted from premium calfskin with a silver metal buckle. Unisex design, perfect for both business and casual wear, exuding timeless French luxury elegance.","refusal":null,"annotations":[]},"logprobs":null,"finish_reason":"stop"}],"usage":{"prompt_tokens":900,"completion_tokens":39,"total_tokens":939,"prompt_tokens_details":{"cached_tokens":0,"audio_tokens":0},"completion_tokens_details":{"reasoning_tokens":0,"audio_tokens":0,"accepted_prediction_tokens":0,"rejected_prediction_tokens":0}},"service_tier":"default","system_fingerprint":"fp_ad66631dec"}</t>
        </is>
      </c>
      <c r="M135" t="inlineStr">
        <is>
          <t>{"alt-svc":"h3=\":443\"; ma=2592000","apim-request-id":"e5c62bb1-3cb2-4f81-b641-a4350ba9f790","azureml-model-session":"d20260402074105-51db401e","cache-control":"no-cache","connection":"close","content-length":"1001","content-type":"application/json","date":"Sun, 26 Apr 2026 01:03:42 GMT","server":"Caddy","skip-error-remapping":"true","strict-transport-security":"max-age=31536000; includeSubDomains; preload","x-content-type-options":"nosniff","x-ms-client-request-id":"Not-Set","x-ms-is-spilled-over":"false","x-ms-rai-invoked":"false","x-ms-region":"East US","x-new-api-version":"0.4.35","x-oneapi-request-id":"202604260103408458179888268d9d6IztHZS1c","x-ratelimit-abusepenalty-active":"False","x-ratelimit-limit-requests":"1000","x-ratelimit-limit-tokens":"1000000","x-ratelimit-remaining-requests":"999","x-ratelimit-remaining-tokens":"998338","x-ratelimit-renewalperiod-requests":"60","x-ratelimit-renewalperiod-tokens":"60","x-ratelimit-reset-requests":"60","x-ratelimit-reset-tokens":"99","x-request-id":"9e48a54e-4970-476e-bcb4-1c1dc718d7df"}</t>
        </is>
      </c>
      <c r="N135" t="inlineStr">
        <is>
          <t>Hermes Classic H Black Leather Belt, crafted from premium calfskin with a silver metal buckle. Unisex design, perfect for both business and casual wear, exuding timeless French luxury elegance.</t>
        </is>
      </c>
      <c r="O135" t="inlineStr">
        <is>
          <t>{"id":"chatcmpl-DYiUvNlTtL96TnzmsJ8uP8xgwy1uH","object":"chat.completion","created":1777166573,"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5" t="inlineStr">
        <is>
          <t>Hermes,Belt,kakobuy,kakebuy2026,kekobuysheet,kakobuysheet2026,2026kakobuy,kakobuyspreadsheeet,kakobuylink,kakebuylist,Kakobuy MEGA Spreadsheet,kakobuysheetfind,kakobuysheetfind2026,2026kakobuysheetfind,kakobuysheet2026</t>
        </is>
      </c>
      <c r="Q135"/>
      <c r="R135" t="inlineStr">
        <is>
          <t>recvhju1Crxy8f</t>
        </is>
      </c>
      <c r="S135" t="inlineStr">
        <is>
          <t>hermes-classic-h-black-leather-belt-recvhju1crxy8f</t>
        </is>
      </c>
      <c r="T135"/>
      <c r="U135"/>
      <c r="V135"/>
      <c r="W135" t="inlineStr">
        <is>
          <t>{"id":"chatcmpl-DYhrrpZXRRSeSsV4KyPn3sy1dXbWR","object":"chat.completion","created":1777164151,"model":"gpt-5-chat-2025-10-03","choices":[{"index":0,"message":{"role":"assistant","content":"Hermes：经典H系列黑色真皮腰带，甄选小牛皮材质搭配银色金属扣设计，简约优雅，细腻纹理彰显奢华质感，男女通用，商务休闲皆宜，尽显法式高定格调。","refusal":null,"annotations":[]},"logprobs":null,"finish_reason":"stop"}],"usage":{"prompt_tokens":1297,"completion_tokens":68,"total_tokens":1365,"prompt_tokens_details":{"cached_tokens":1280,"audio_tokens":0},"completion_tokens_details":{"reasoning_tokens":0,"audio_tokens":0,"accepted_prediction_tokens":0,"rejected_prediction_tokens":0}},"service_tier":"default","system_fingerprint":"fp_ad66631dec"}</t>
        </is>
      </c>
      <c r="X135" t="inlineStr">
        <is>
          <t>Hermes：经典H系列黑色真皮腰带，甄选小牛皮材质搭配银色金属扣设计，简约优雅，细腻纹理彰显奢华质感，男女通用，商务休闲皆宜，尽显法式高定格调。</t>
        </is>
      </c>
    </row>
    <row r="136" ht="25.5" customHeight="1">
      <c r="A136">
        <v>1654975475</v>
      </c>
      <c r="B136">
        <v>7622009220</v>
      </c>
      <c r="C136" s="2" t="str">
        <f>=HYPERLINK("https://weidian.com/item.html?itemID=7622009220", "https://weidian.com/item.html?itemID=7622009220")</f>
        <v>https://weidian.com/item.html?itemID=7622009220</v>
      </c>
      <c r="D136"/>
      <c r="E136" s="2" t="str">
        <f>=HYPERLINK("https://si.geilicdn.com/pcitem2014204438-442c0000019acb0c5ca10a231177_1440_1920.jpg?w=640&amp;h=640", "https://si.geilicdn.com/pcitem2014204438-442c0000019acb0c5ca10a231177_1440_1920.jpg?w=640&amp;h=640")</f>
        <v>https://si.geilicdn.com/pcitem2014204438-442c0000019acb0c5ca10a231177_1440_1920.jpg?w=640&amp;h=640</v>
      </c>
      <c r="F136" t="inlineStr">
        <is>
          <t>Accessories</t>
        </is>
      </c>
      <c r="G136" t="inlineStr">
        <is>
          <t>Gucci</t>
        </is>
      </c>
      <c r="H136">
        <v>460</v>
      </c>
      <c r="I136">
        <v>66.67</v>
      </c>
      <c r="J136" t="inlineStr">
        <is>
          <t>{"id":"chatcmpl-DYj2mNGKX1dPWZiRpdcCQPiMdZaIr","object":"chat.completion","created":1777168672,"model":"gpt-5-chat-2025-10-03","choices":[{"index":0,"message":{"role":"assistant","content":"Gucci Men Leather Belt Gray Black Double G Buckle","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36" t="inlineStr">
        <is>
          <t>Gucci Men Leather Belt Gray Black Double G Buckle</t>
        </is>
      </c>
      <c r="L136" t="inlineStr">
        <is>
          <t>{"id":"chatcmpl-DYiHMglNZuQQubCZANDbXhAB4tpKK","object":"chat.completion","created":1777165732,"model":"gpt-5-chat-2025-10-03","choices":[{"index":0,"message":{"role":"assistant","content":"Gucci Men's Belt: Classic gray-black Double G monogram design, crafted from premium leather with a metal Double G round buckle. Simple yet luxurious, perfect for business or casual wear.","refusal":null,"annotations":[]},"logprobs":null,"finish_reason":"stop"}],"usage":{"prompt_tokens":893,"completion_tokens":38,"total_tokens":931,"prompt_tokens_details":{"cached_tokens":0,"audio_tokens":0},"completion_tokens_details":{"reasoning_tokens":0,"audio_tokens":0,"accepted_prediction_tokens":0,"rejected_prediction_tokens":0}},"service_tier":"default","system_fingerprint":"fp_ad66631dec"}</t>
        </is>
      </c>
      <c r="M136" t="inlineStr">
        <is>
          <t>{"alt-svc":"h3=\":443\"; ma=2592000","apim-request-id":"6a94a307-a775-4069-a7fe-0f2db76c4160","azureml-model-session":"d20260402074105-51db401e","cache-control":"no-cache","connection":"close","content-length":"994","content-type":"application/json","date":"Sun, 26 Apr 2026 01:08:53 GMT","server":"nginx","skip-error-remapping":"true","strict-transport-security":"max-age=31536000; includeSubDomains; preload","via":"1.1 Caddy","x-content-type-options":"nosniff","x-ms-client-request-id":"Not-Set","x-ms-is-spilled-over":"false","x-ms-rai-invoked":"false","x-ms-region":"East US 2","x-new-api-version":"0.4.35","x-oneapi-request-id":"20260426010851631456728268d9d6lOk4rgA7","x-ratelimit-abusepenalty-active":"False","x-ratelimit-limit-requests":"1000","x-ratelimit-limit-tokens":"1000000","x-ratelimit-remaining-requests":"999","x-ratelimit-remaining-tokens":"998345","x-ratelimit-renewalperiod-requests":"60","x-ratelimit-renewalperiod-tokens":"60","x-ratelimit-reset-requests":"60","x-ratelimit-reset-tokens":"99","x-request-id":"ad8f7ec8-d3ad-484e-8a20-c630d824fb86"}</t>
        </is>
      </c>
      <c r="N136" t="inlineStr">
        <is>
          <t>Gucci Men's Belt: Classic gray-black Double G monogram design, crafted from premium leather with a metal Double G round buckle. Simple yet luxurious, perfect for business or casual wear.</t>
        </is>
      </c>
      <c r="O136" t="inlineStr">
        <is>
          <t>{"id":"chatcmpl-DYiXYHf979sBrd1hq2CRjDh6Xp7l9","object":"chat.completion","created":1777166736,"model":"gpt-5-chat-2025-10-03","choices":[{"index":0,"message":{"role":"assistant","content":"Gucci,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6" t="inlineStr">
        <is>
          <t>Gucci, belt, kakobuy, kakebuy2026, kekobuysheet, kakobuysheet2026, 2026kakobuy, kakobuyspreadsheeet, kakobuylink, kakebuylist, Kakobuy MEGA Spreadsheet, kakobuysheetfind, kakobuysheetfind2026, 2026kakobuysheetfind, kakobuysheet2026</t>
        </is>
      </c>
      <c r="Q136" t="inlineStr">
        <is>
          <t>Leather, Classic, Business, Business Casual, Gray, Black</t>
        </is>
      </c>
      <c r="R136" t="inlineStr">
        <is>
          <t>recvhju1CrS3bz</t>
        </is>
      </c>
      <c r="S136" t="inlineStr">
        <is>
          <t>gucci-men-leather-belt-gray-black-double-g-buckle-recvhju1cr</t>
        </is>
      </c>
      <c r="T136"/>
      <c r="U136"/>
      <c r="V136"/>
      <c r="W136" t="inlineStr">
        <is>
          <t>{"id":"chatcmpl-DYhqgXM3TYzzdBWogDz4xlrdqXIL0","object":"chat.completion","created":1777164078,"model":"gpt-5-chat-2025-10-03","choices":[{"index":0,"message":{"role":"assistant","content":"Gucci：经典灰黑双G图腾男士皮带，选用高级牛皮材质，金属双G圆环扣设计，简约奢华，彰显雅致时尚气质，适合商务与休闲造型搭配。","refusal":null,"annotations":[]},"logprobs":null,"finish_reason":"stop"}],"usage":{"prompt_tokens":1301,"completion_tokens":59,"total_tokens":1360,"prompt_tokens_details":{"cached_tokens":0,"audio_tokens":0},"completion_tokens_details":{"reasoning_tokens":0,"audio_tokens":0,"accepted_prediction_tokens":0,"rejected_prediction_tokens":0}},"service_tier":"default","system_fingerprint":"fp_ad66631dec"}</t>
        </is>
      </c>
      <c r="X136" t="inlineStr">
        <is>
          <t>Gucci：经典灰黑双G图腾男士皮带，选用高级牛皮材质，金属双G圆环扣设计，简约奢华，彰显雅致时尚气质，适合商务与休闲造型搭配。</t>
        </is>
      </c>
    </row>
    <row r="137" ht="25.5" customHeight="1">
      <c r="A137">
        <v>1654975475</v>
      </c>
      <c r="B137">
        <v>7622023248</v>
      </c>
      <c r="C137" s="2" t="str">
        <f>=HYPERLINK("https://weidian.com/item.html?itemID=7622023248", "https://weidian.com/item.html?itemID=7622023248")</f>
        <v>https://weidian.com/item.html?itemID=7622023248</v>
      </c>
      <c r="D137"/>
      <c r="E137" s="2" t="str">
        <f>=HYPERLINK("https://si.geilicdn.com/pcitem2014204438-6c7b0000019acb369da50a2303ee_1512_2016.jpg?w=640&amp;h=640", "https://si.geilicdn.com/pcitem2014204438-6c7b0000019acb369da50a2303ee_1512_2016.jpg?w=640&amp;h=640")</f>
        <v>https://si.geilicdn.com/pcitem2014204438-6c7b0000019acb369da50a2303ee_1512_2016.jpg?w=640&amp;h=640</v>
      </c>
      <c r="F137" t="inlineStr">
        <is>
          <t>Accessories</t>
        </is>
      </c>
      <c r="G137" t="inlineStr">
        <is>
          <t>Louis Vuitton</t>
        </is>
      </c>
      <c r="H137">
        <v>460</v>
      </c>
      <c r="I137">
        <v>66.67</v>
      </c>
      <c r="J137" t="inlineStr">
        <is>
          <t>{"id":"chatcmpl-DYj1DmkR3RO0BgXVVbXYLYxhsd1WD","object":"chat.completion","created":1777168575,"model":"gpt-5-chat-2025-10-03","choices":[{"index":0,"message":{"role":"assistant","content":"Louis Vuitton Black Monogram Leather LV Buckle Belt","refusal":null,"annotations":[]},"logprobs":null,"finish_reason":"stop"}],"usage":{"prompt_tokens":861,"completion_tokens":11,"total_tokens":872,"prompt_tokens_details":{"cached_tokens":0,"audio_tokens":0},"completion_tokens_details":{"reasoning_tokens":0,"audio_tokens":0,"accepted_prediction_tokens":0,"rejected_prediction_tokens":0}},"service_tier":"default","system_fingerprint":"fp_ad66631dec"}</t>
        </is>
      </c>
      <c r="K137" t="inlineStr">
        <is>
          <t>Louis Vuitton Black Monogram Leather LV Buckle Belt</t>
        </is>
      </c>
      <c r="L137" t="inlineStr">
        <is>
          <t>{"id":"chatcmpl-DYiGpE1drKfHDKSufk6UfJWIstpby","object":"chat.completion","created":1777165699,"model":"gpt-5-chat-2025-10-03","choices":[{"index":0,"message":{"role":"assistant","content":"Louis Vuitton Black Monogram Leather Belt with Signature LV Metal Buckle, showcasing a modern minimalist style, perfect for elegant and versatile men’s fashion.","refusal":null,"annotations":[]},"logprobs":null,"finish_reason":"stop"}],"usage":{"prompt_tokens":870,"completion_tokens":30,"total_tokens":900,"prompt_tokens_details":{"cached_tokens":0,"audio_tokens":0},"completion_tokens_details":{"reasoning_tokens":0,"audio_tokens":0,"accepted_prediction_tokens":0,"rejected_prediction_tokens":0}},"service_tier":"default","system_fingerprint":"fp_ad66631dec"}</t>
        </is>
      </c>
      <c r="M137" t="inlineStr">
        <is>
          <t>{"alt-svc":"h3=\":443\"; ma=2592000","apim-request-id":"54a3947b-2f5a-4ca3-9213-8dcc3c8f45d6","azureml-model-session":"d20260405234249-f9874baf","cache-control":"no-cache","connection":"close","content-length":"970","content-type":"application/json","date":"Sun, 26 Apr 2026 01:08:22 GMT","server":"nginx","skip-error-remapping":"true","strict-transport-security":"max-age=31536000; includeSubDomains; preload","via":"1.1 Caddy","x-content-type-options":"nosniff","x-ms-client-request-id":"Not-Set","x-ms-is-spilled-over":"false","x-ms-rai-invoked":"false","x-ms-region":"Australia East","x-new-api-version":"0.4.35","x-oneapi-request-id":"202604260108189392417698268d9d6oR6MJuG3","x-ratelimit-abusepenalty-active":"False","x-ratelimit-limit-requests":"1000","x-ratelimit-limit-tokens":"1000000","x-ratelimit-remaining-requests":"999","x-ratelimit-remaining-tokens":"998368","x-ratelimit-renewalperiod-requests":"60","x-ratelimit-renewalperiod-tokens":"60","x-ratelimit-reset-requests":"60","x-ratelimit-reset-tokens":"97","x-request-id":"9aa1343b-1d59-4ba1-9c40-493578d81b57"}</t>
        </is>
      </c>
      <c r="N137" t="inlineStr">
        <is>
          <t>Louis Vuitton Black Monogram Leather Belt with Signature LV Metal Buckle, showcasing a modern minimalist style, perfect for elegant and versatile men’s fashion.</t>
        </is>
      </c>
      <c r="O137" t="inlineStr">
        <is>
          <t>{"id":"chatcmpl-DYiUISVctFyqVa3dNxHeqfT8f6IFp","object":"chat.completion","created":1777166534,"model":"gpt-5-chat-2025-10-03","choices":[{"index":0,"message":{"role":"assistant","content":"Louis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7" t="inlineStr">
        <is>
          <t>Louis Vuitton,Accessories,kakobuy,kakebuy2026,kekobuysheet,kakobuysheet2026,2026kakobuy,kakobuyspreadsheeet,kakobuylink,kakebuylist,Kakobuy MEGA Spreadsheet,kakobuysheetfind,kakobuysheetfind2026,2026kakobuysheetfind,kakobuysheet2026</t>
        </is>
      </c>
      <c r="Q137" t="inlineStr">
        <is>
          <t>LV, Leather, Black, Minimalist, Elegant, Men</t>
        </is>
      </c>
      <c r="R137" t="inlineStr">
        <is>
          <t>recvhju1CrQ85z</t>
        </is>
      </c>
      <c r="S137" t="inlineStr">
        <is>
          <t>lv-black-monogram-leather-buckle-belt-recvhju1crq85z</t>
        </is>
      </c>
      <c r="T137"/>
      <c r="U137"/>
      <c r="V137"/>
      <c r="W137" t="inlineStr">
        <is>
          <t>{"id":"chatcmpl-DYhuBSMEPOxiG3GpY6sSQTP1ppJn9","object":"chat.completion","created":1777164295,"model":"gpt-5-chat-2025-10-03","choices":[{"index":0,"message":{"role":"assistant","content":"Louis Vuitton 黑色Monogram皮质腰带，经典LV金属扣设计，彰显现代简约格调，男士优雅百搭款。","refusal":null,"annotations":[]},"logprobs":null,"finish_reason":"stop"}],"usage":{"prompt_tokens":1303,"completion_tokens":35,"total_tokens":1338,"prompt_tokens_details":{"cached_tokens":0,"audio_tokens":0},"completion_tokens_details":{"reasoning_tokens":0,"audio_tokens":0,"accepted_prediction_tokens":0,"rejected_prediction_tokens":0}},"service_tier":"default","system_fingerprint":"fp_ad66631dec"}</t>
        </is>
      </c>
      <c r="X137" t="inlineStr">
        <is>
          <t>Louis Vuitton 黑色Monogram皮质腰带，经典LV金属扣设计，彰显现代简约格调，男士优雅百搭款。</t>
        </is>
      </c>
    </row>
    <row r="138" ht="25.5" customHeight="1">
      <c r="A138">
        <v>1654975475</v>
      </c>
      <c r="B138">
        <v>7622060982</v>
      </c>
      <c r="C138" s="2" t="str">
        <f>=HYPERLINK("https://weidian.com/item.html?itemID=7622060982", "https://weidian.com/item.html?itemID=7622060982")</f>
        <v>https://weidian.com/item.html?itemID=7622060982</v>
      </c>
      <c r="D138"/>
      <c r="E138" s="2" t="str">
        <f>=HYPERLINK("https://si.geilicdn.com/pcitem2014204438-606c0000019acb3ddf8e0a239846_1080_1080.jpg?w=640&amp;h=640", "https://si.geilicdn.com/pcitem2014204438-606c0000019acb3ddf8e0a239846_1080_1080.jpg?w=640&amp;h=640")</f>
        <v>https://si.geilicdn.com/pcitem2014204438-606c0000019acb3ddf8e0a239846_1080_1080.jpg?w=640&amp;h=640</v>
      </c>
      <c r="F138" t="inlineStr">
        <is>
          <t>Accessories</t>
        </is>
      </c>
      <c r="G138" t="inlineStr">
        <is>
          <t>Louis Vuitton</t>
        </is>
      </c>
      <c r="H138">
        <v>460</v>
      </c>
      <c r="I138">
        <v>66.67</v>
      </c>
      <c r="J138" t="inlineStr">
        <is>
          <t>{"id":"chatcmpl-DYj0FX8N72boDQavHDBjgJMHAnjvq","object":"chat.completion","created":1777168515,"model":"gpt-5-chat-2025-10-03","choices":[{"index":0,"message":{"role":"assistant","content":"Louis Vuitton Black Leather LV Buckle Unisex Belt","refusal":null,"annotations":[]},"logprobs":null,"finish_reason":"stop"}],"usage":{"prompt_tokens":861,"completion_tokens":11,"total_tokens":872,"prompt_tokens_details":{"cached_tokens":0,"audio_tokens":0},"completion_tokens_details":{"reasoning_tokens":0,"audio_tokens":0,"accepted_prediction_tokens":0,"rejected_prediction_tokens":0}},"service_tier":"default","system_fingerprint":"fp_ad66631dec"}</t>
        </is>
      </c>
      <c r="K138" t="inlineStr">
        <is>
          <t>Louis Vuitton Black Leather LV Buckle Unisex Belt</t>
        </is>
      </c>
      <c r="L138" t="inlineStr">
        <is>
          <t>{"id":"chatcmpl-DYiDrZCjsXBvjZR4ZhuwfAbXx5d1V","object":"chat.completion","created":1777165515,"model":"gpt-5-chat-2025-10-03","choices":[{"index":0,"message":{"role":"assistant","content":"Louis Vuitton black grained leather belt with iconic gold LV buckle, unisex luxury accessory blending modern elegance and versatility for both business and casual fashion.","refusal":null,"annotations":[]},"logprobs":null,"finish_reason":"stop"}],"usage":{"prompt_tokens":892,"completion_tokens":30,"total_tokens":922,"prompt_tokens_details":{"cached_tokens":0,"audio_tokens":0},"completion_tokens_details":{"reasoning_tokens":0,"audio_tokens":0,"accepted_prediction_tokens":0,"rejected_prediction_tokens":0}},"service_tier":"default","system_fingerprint":"fp_ad66631dec"}</t>
        </is>
      </c>
      <c r="M138" t="inlineStr">
        <is>
          <t>{"alt-svc":"h3=\":443\"; ma=2592000","apim-request-id":"3e04dc77-f39c-43d3-8440-cc3fe42ea4c9","azureml-model-session":"d20260402084046-4209e968","cache-control":"no-cache","connection":"close","content-length":"979","content-type":"application/json","date":"Sun, 26 Apr 2026 01:05:17 GMT","server":"Caddy","skip-error-remapping":"true","strict-transport-security":"max-age=31536000; includeSubDomains; preload","x-content-type-options":"nosniff","x-ms-client-request-id":"Not-Set","x-ms-is-spilled-over":"false","x-ms-rai-invoked":"false","x-ms-region":"Australia East","x-new-api-version":"0.4.35","x-oneapi-request-id":"202604260105131506967168268d9d6BhKvKQ2e","x-ratelimit-abusepenalty-active":"False","x-ratelimit-limit-requests":"1000","x-ratelimit-limit-tokens":"1000000","x-ratelimit-remaining-requests":"999","x-ratelimit-remaining-tokens":"998346","x-ratelimit-renewalperiod-requests":"60","x-ratelimit-renewalperiod-tokens":"60","x-ratelimit-reset-requests":"60","x-ratelimit-reset-tokens":"99","x-request-id":"4948661b-8e41-4ddf-bfd8-858779a099c2"}</t>
        </is>
      </c>
      <c r="N138" t="inlineStr">
        <is>
          <t>Louis Vuitton black grained leather belt with iconic gold LV buckle, unisex luxury accessory blending modern elegance and versatility for both business and casual fashion.</t>
        </is>
      </c>
      <c r="O138" t="inlineStr">
        <is>
          <t>{"id":"chatcmpl-DYiV2KwZxNCcSzimuMLZgFzAkl3zA","object":"chat.completion","created":1777166580,"model":"gpt-5-chat-2025-10-03","choices":[{"index":0,"message":{"role":"assistant","content":"Louis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38" t="inlineStr">
        <is>
          <t>Louis Vuitton, Accessories, kakobuy, kakebuy2026, kekobuysheet, kakobuysheet2026, 2026kakobuy, kakobuyspreadsheeet, kakobuylink, kakebuylist, Kakobuy MEGA Spreadsheet, kakobuysheetfind, kakobuysheetfind2026, 2026kakobuysheetfind, kakobuysheet2026</t>
        </is>
      </c>
      <c r="Q138" t="inlineStr">
        <is>
          <t>LV, Black, Leather, Unisex, Elegant, Versatile</t>
        </is>
      </c>
      <c r="R138" t="inlineStr">
        <is>
          <t>recvhju1CrZvey</t>
        </is>
      </c>
      <c r="S138" t="inlineStr">
        <is>
          <t>louis-vuitton-black-leather-lv-buckle-belt-recvhju1crzvey</t>
        </is>
      </c>
      <c r="T138"/>
      <c r="U138"/>
      <c r="V138"/>
      <c r="W138" t="inlineStr">
        <is>
          <t>{"id":"chatcmpl-DYhqjzY9I364FvAinZSGF4srQZpTw","object":"chat.completion","created":1777164081,"model":"gpt-5-chat-2025-10-03","choices":[{"index":0,"message":{"role":"assistant","content":"Louis Vuitton：黑色经典粒面皮质腰带，配以标志性金色LV金属扣，彰显奢华质感与现代艺术设计。适合男女通用，融合时尚与功能性，商务休闲皆宜。","refusal":null,"annotations":[]},"logprobs":null,"finish_reason":"stop"}],"usage":{"prompt_tokens":1303,"completion_tokens":57,"total_tokens":1360,"prompt_tokens_details":{"cached_tokens":0,"audio_tokens":0},"completion_tokens_details":{"reasoning_tokens":0,"audio_tokens":0,"accepted_prediction_tokens":0,"rejected_prediction_tokens":0}},"service_tier":"default","system_fingerprint":"fp_ad66631dec"}</t>
        </is>
      </c>
      <c r="X138" t="inlineStr">
        <is>
          <t>Louis Vuitton：黑色经典粒面皮质腰带，配以标志性金色LV金属扣，彰显奢华质感与现代艺术设计。适合男女通用，融合时尚与功能性，商务休闲皆宜。</t>
        </is>
      </c>
    </row>
    <row r="139" ht="25.5" customHeight="1">
      <c r="A139">
        <v>1654975475</v>
      </c>
      <c r="B139">
        <v>7621967530</v>
      </c>
      <c r="C139" s="2" t="str">
        <f>=HYPERLINK("https://weidian.com/item.html?itemID=7621967530", "https://weidian.com/item.html?itemID=7621967530")</f>
        <v>https://weidian.com/item.html?itemID=7621967530</v>
      </c>
      <c r="D139"/>
      <c r="E139" s="2" t="str">
        <f>=HYPERLINK("https://si.geilicdn.com/pcitem2014204438-33cd0000019acb3e5e4a0a811411_1440_1920.jpg?w=640&amp;h=640", "https://si.geilicdn.com/pcitem2014204438-33cd0000019acb3e5e4a0a811411_1440_1920.jpg?w=640&amp;h=640")</f>
        <v>https://si.geilicdn.com/pcitem2014204438-33cd0000019acb3e5e4a0a811411_1440_1920.jpg?w=640&amp;h=640</v>
      </c>
      <c r="F139" t="inlineStr">
        <is>
          <t>Accessories</t>
        </is>
      </c>
      <c r="G139" t="inlineStr">
        <is>
          <t>Gucci</t>
        </is>
      </c>
      <c r="H139">
        <v>460</v>
      </c>
      <c r="I139">
        <v>66.67</v>
      </c>
      <c r="J139" t="inlineStr">
        <is>
          <t>{"id":"chatcmpl-DYiwiAQfEFPsrCATY5kMqCpolYvoz","object":"chat.completion","created":1777168296,"model":"gpt-5-chat-2025-10-03","choices":[{"index":0,"message":{"role":"assistant","content":"Gucci Classic Black Leather Belt Gold GG 3.0cm","refusal":null,"annotations":[]},"logprobs":null,"finish_reason":"stop"}],"usage":{"prompt_tokens":887,"completion_tokens":14,"total_tokens":901,"prompt_tokens_details":{"cached_tokens":0,"audio_tokens":0},"completion_tokens_details":{"reasoning_tokens":0,"audio_tokens":0,"accepted_prediction_tokens":0,"rejected_prediction_tokens":0}},"service_tier":"default","system_fingerprint":"fp_ad66631dec"}</t>
        </is>
      </c>
      <c r="K139" t="inlineStr">
        <is>
          <t>Gucci Classic Black Leather Belt Gold GG 3.0cm</t>
        </is>
      </c>
      <c r="L139" t="inlineStr">
        <is>
          <t>{"id":"chatcmpl-DYiH46kpmQQ1KbWQYkh0IcjIFMebf","object":"chat.completion","created":1777165714,"model":"gpt-5-chat-2025-10-03","choices":[{"index":0,"message":{"role":"assistant","content":"Gucci Classic Black Leather Belt 3.0cm, crafted from fine-grain cowhide with iconic gold Double G buckle. Unisex luxury design blending vintage and modern style for timeless elegance and fashion allure.","refusal":null,"annotations":[]},"logprobs":null,"finish_reason":"stop"}],"usage":{"prompt_tokens":905,"completion_tokens":43,"total_tokens":948,"prompt_tokens_details":{"cached_tokens":0,"audio_tokens":0},"completion_tokens_details":{"reasoning_tokens":0,"audio_tokens":0,"accepted_prediction_tokens":0,"rejected_prediction_tokens":0}},"service_tier":"default","system_fingerprint":"fp_ad66631dec"}</t>
        </is>
      </c>
      <c r="M139" t="inlineStr">
        <is>
          <t>{"alt-svc":"h3=\":443\"; ma=2592000","apim-request-id":"a4b06483-716b-443a-8525-82f74b208376","azureml-model-session":"d20260405234249-f9874baf","cache-control":"no-cache","connection":"close","content-length":"1010","content-type":"application/json","date":"Sun, 26 Apr 2026 01:08:35 GMT","server":"Caddy","skip-error-remapping":"true","strict-transport-security":"max-age=31536000; includeSubDomains; preload","x-content-type-options":"nosniff","x-ms-client-request-id":"Not-Set","x-ms-is-spilled-over":"false","x-ms-rai-invoked":"false","x-ms-region":"East US 2","x-new-api-version":"0.4.35","x-oneapi-request-id":"202604260108333410658638268d9d6FOE3a6ek","x-ratelimit-abusepenalty-active":"False","x-ratelimit-limit-requests":"1000","x-ratelimit-limit-tokens":"1000000","x-ratelimit-remaining-requests":"999","x-ratelimit-remaining-tokens":"997021","x-ratelimit-renewalperiod-requests":"60","x-ratelimit-renewalperiod-tokens":"60","x-ratelimit-reset-requests":"60","x-ratelimit-reset-tokens":"178","x-request-id":"54f72c44-9c5b-4c5c-93b1-2c16ae43404a"}</t>
        </is>
      </c>
      <c r="N139" t="inlineStr">
        <is>
          <t>Gucci Classic Black Leather Belt 3.0cm, crafted from fine-grain cowhide with iconic gold Double G buckle. Unisex luxury design blending vintage and modern style for timeless elegance and fashion allure.</t>
        </is>
      </c>
      <c r="O139" t="inlineStr">
        <is>
          <t>{"id":"chatcmpl-DYiYyJj7VFzzwk0q7zpP9MxBIINOs","object":"chat.completion","created":1777166824,"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39" t="inlineStr">
        <is>
          <t>Gucci,Accessories,kakobuy,kakebuy2026,kekobuysheet,kakobuysheet2026,2026kakobuy,kakobuyspreadsheeet,kakobuylink,kakebuylist,Kakobuy MEGA Spreadsheet,kakobuysheetfind,kakobuysheetfind2026,2026kakobuysheetfind,kakobuysheet2026</t>
        </is>
      </c>
      <c r="Q139" t="inlineStr">
        <is>
          <t>Black, Leather, Cowhide, Unisex, Vintage, Fashion</t>
        </is>
      </c>
      <c r="R139" t="inlineStr">
        <is>
          <t>recvhju1Cr3dDP</t>
        </is>
      </c>
      <c r="S139" t="inlineStr">
        <is>
          <t>gucci-black-leather-belt-gold-gg-3cm-recvhju1cr3ddp</t>
        </is>
      </c>
      <c r="T139"/>
      <c r="U139"/>
      <c r="V139"/>
      <c r="W139" t="inlineStr">
        <is>
          <t>{"id":"chatcmpl-DYhnohnLjLEsqTAffEtRaIvhMsw7S","object":"chat.completion","created":1777163900,"model":"gpt-5-chat-2025-10-03","choices":[{"index":0,"message":{"role":"assistant","content":"Gucci：经典黑色皮质腰带，甄选细纹牛皮搭配金色双G标志扣，极简奢华设计彰显品牌格调，3.0cm宽版男女皆宜，复古与现代融合，尽显高端质感与时尚魅力。","refusal":null,"annotations":[]},"logprobs":null,"finish_reason":"stop"}],"usage":{"prompt_tokens":1305,"completion_tokens":69,"total_tokens":1374,"prompt_tokens_details":{"cached_tokens":0,"audio_tokens":0},"completion_tokens_details":{"reasoning_tokens":0,"audio_tokens":0,"accepted_prediction_tokens":0,"rejected_prediction_tokens":0}},"service_tier":"default","system_fingerprint":"fp_ad66631dec"}</t>
        </is>
      </c>
      <c r="X139" t="inlineStr">
        <is>
          <t>Gucci：经典黑色皮质腰带，甄选细纹牛皮搭配金色双G标志扣，极简奢华设计彰显品牌格调，3.0cm宽版男女皆宜，复古与现代融合，尽显高端质感与时尚魅力。</t>
        </is>
      </c>
    </row>
    <row r="140" ht="25.5" customHeight="1">
      <c r="A140">
        <v>1654975475</v>
      </c>
      <c r="B140">
        <v>7619059049</v>
      </c>
      <c r="C140" s="2" t="str">
        <f>=HYPERLINK("https://weidian.com/item.html?itemID=7619059049", "https://weidian.com/item.html?itemID=7619059049")</f>
        <v>https://weidian.com/item.html?itemID=7619059049</v>
      </c>
      <c r="D140"/>
      <c r="E140" s="2" t="str">
        <f>=HYPERLINK("https://si.geilicdn.com/pcitem2014204438-564c0000019acb314b8d0a20e273_1440_1920.jpg?w=640&amp;h=640", "https://si.geilicdn.com/pcitem2014204438-564c0000019acb314b8d0a20e273_1440_1920.jpg?w=640&amp;h=640")</f>
        <v>https://si.geilicdn.com/pcitem2014204438-564c0000019acb314b8d0a20e273_1440_1920.jpg?w=640&amp;h=640</v>
      </c>
      <c r="F140" t="inlineStr">
        <is>
          <t>Accessories</t>
        </is>
      </c>
      <c r="G140" t="inlineStr">
        <is>
          <t>Gucci</t>
        </is>
      </c>
      <c r="H140">
        <v>460</v>
      </c>
      <c r="I140">
        <v>66.67</v>
      </c>
      <c r="J140" t="inlineStr">
        <is>
          <t>{"id":"chatcmpl-DYj2InquKNWvBAu9EjANgSGMj3G4K","object":"chat.completion","created":1777168642,"model":"gpt-5-chat-2025-10-03","choices":[{"index":0,"message":{"role":"assistant","content":"Gucci Black GG Leather Belt Gold Double G Buckle","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40" t="inlineStr">
        <is>
          <t>Gucci Black GG Leather Belt Gold Double G Buckle</t>
        </is>
      </c>
      <c r="L140" t="inlineStr">
        <is>
          <t>{"id":"chatcmpl-DYiD402zRbpSB9aaoHCtMe58PmiZC","object":"chat.completion","created":1777165466,"model":"gpt-5-chat-2025-10-03","choices":[{"index":0,"message":{"role":"assistant","content":"Gucci Classic Black GG Pattern Leather Belt with Gold Double G Buckle, crafted from premium cowhide for timeless luxury. Unisex design, showcasing modern Italian elegance and high-end style.","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140" t="inlineStr">
        <is>
          <t>{"alt-svc":"h3=\":443\"; ma=2592000","apim-request-id":"636363ff-e6f2-4a5e-97b7-3c9dacdd5558","azureml-model-session":"d20260405225800-40f19e54","cache-control":"no-cache","connection":"close","content-length":"998","content-type":"application/json","date":"Sun, 26 Apr 2026 01:04:28 GMT","server":"nginx","skip-error-remapping":"true","strict-transport-security":"max-age=31536000; includeSubDomains; preload","via":"1.1 Caddy","x-content-type-options":"nosniff","x-ms-client-request-id":"Not-Set","x-ms-is-spilled-over":"false","x-ms-rai-invoked":"false","x-ms-region":"UK South","x-new-api-version":"0.4.35","x-oneapi-request-id":"202604260104258535600438268d9d6pNG12QCH","x-ratelimit-abusepenalty-active":"False","x-ratelimit-limit-requests":"1000","x-ratelimit-limit-tokens":"1000000","x-ratelimit-remaining-requests":"999","x-ratelimit-remaining-tokens":"998349","x-ratelimit-renewalperiod-requests":"60","x-ratelimit-renewalperiod-tokens":"60","x-ratelimit-reset-requests":"60","x-ratelimit-reset-tokens":"99","x-request-id":"64cd8f4a-7b61-4ded-b7cb-c1741c820106"}</t>
        </is>
      </c>
      <c r="N140" t="inlineStr">
        <is>
          <t>Gucci Classic Black GG Pattern Leather Belt with Gold Double G Buckle, crafted from premium cowhide for timeless luxury. Unisex design, showcasing modern Italian elegance and high-end style.</t>
        </is>
      </c>
      <c r="O140" t="inlineStr">
        <is>
          <t>{"id":"chatcmpl-DYiTzcelSYsnXgWLg5Q7fawM7KkJj","object":"chat.completion","created":1777166515,"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40" t="inlineStr">
        <is>
          <t>Gucci,Accessories,kakobuy,kakebuy2026,kekobuysheet,kakobuysheet2026,2026kakobuy,kakobuyspreadsheeet,kakobuylink,kakebuylist,Kakobuy MEGA Spreadsheet,kakobuysheetfind,kakobuysheetfind2026,2026kakobuysheetfind,kakobuysheet2026</t>
        </is>
      </c>
      <c r="Q140" t="inlineStr">
        <is>
          <t>Black, Leather, Gold, Unisex, High End</t>
        </is>
      </c>
      <c r="R140" t="inlineStr">
        <is>
          <t>recvhju1Cr5nXM</t>
        </is>
      </c>
      <c r="S140" t="inlineStr">
        <is>
          <t>gucci-black-gg-leather-belt-gold-double-g-buckle-recvhju1cr5nxm</t>
        </is>
      </c>
      <c r="T140"/>
      <c r="U140"/>
      <c r="V140"/>
      <c r="W140" t="inlineStr">
        <is>
          <t>{"id":"chatcmpl-DYhqIrxznt6WVlLSc7J3tDdfac8qV","object":"chat.completion","created":1777164054,"model":"gpt-5-chat-2025-10-03","choices":[{"index":0,"message":{"role":"assistant","content":"Gucci：经典黑色GG图腾皮革腰带，甄选优质牛皮搭配金色双G圆环扣，简约奢华，男女皆宜，意式现代风格尽显高端品味。","refusal":null,"annotations":[]},"logprobs":null,"finish_reason":"stop"}],"usage":{"prompt_tokens":1303,"completion_tokens":54,"total_tokens":1357,"prompt_tokens_details":{"cached_tokens":1280,"audio_tokens":0},"completion_tokens_details":{"reasoning_tokens":0,"audio_tokens":0,"accepted_prediction_tokens":0,"rejected_prediction_tokens":0}},"service_tier":"default","system_fingerprint":"fp_ad66631dec"}</t>
        </is>
      </c>
      <c r="X140" t="inlineStr">
        <is>
          <t>Gucci：经典黑色GG图腾皮革腰带，甄选优质牛皮搭配金色双G圆环扣，简约奢华，男女皆宜，意式现代风格尽显高端品味。</t>
        </is>
      </c>
    </row>
    <row r="141" ht="25.5" customHeight="1">
      <c r="A141">
        <v>1654975475</v>
      </c>
      <c r="B141">
        <v>7622029232</v>
      </c>
      <c r="C141" s="2" t="str">
        <f>=HYPERLINK("https://weidian.com/item.html?itemID=7622029232", "https://weidian.com/item.html?itemID=7622029232")</f>
        <v>https://weidian.com/item.html?itemID=7622029232</v>
      </c>
      <c r="D141"/>
      <c r="E141" s="2" t="str">
        <f>=HYPERLINK("https://si.geilicdn.com/pcitem2014204438-56360000019acb3555480a231177_1080_1080.jpg?w=640&amp;h=640", "https://si.geilicdn.com/pcitem2014204438-56360000019acb3555480a231177_1080_1080.jpg?w=640&amp;h=640")</f>
        <v>https://si.geilicdn.com/pcitem2014204438-56360000019acb3555480a231177_1080_1080.jpg?w=640&amp;h=640</v>
      </c>
      <c r="F141" t="inlineStr">
        <is>
          <t>Accessories</t>
        </is>
      </c>
      <c r="G141" t="inlineStr">
        <is>
          <t>Louis Vuitton</t>
        </is>
      </c>
      <c r="H141">
        <v>460</v>
      </c>
      <c r="I141">
        <v>66.67</v>
      </c>
      <c r="J141" t="inlineStr">
        <is>
          <t>{"id":"chatcmpl-DYiyTiogwAuXi1pxik4Gm5T0kfMZO","object":"chat.completion","created":1777168405,"model":"gpt-5-chat-2025-10-03","choices":[{"index":0,"message":{"role":"assistant","content":"Louis Vuitton Black Leather LV Logo Belt","refusal":null,"annotations":[]},"logprobs":null,"finish_reason":"stop"}],"usage":{"prompt_tokens":871,"completion_tokens":8,"total_tokens":879,"prompt_tokens_details":{"cached_tokens":0,"audio_tokens":0},"completion_tokens_details":{"reasoning_tokens":0,"audio_tokens":0,"accepted_prediction_tokens":0,"rejected_prediction_tokens":0}},"service_tier":"default","system_fingerprint":"fp_ad66631dec"}</t>
        </is>
      </c>
      <c r="K141" t="inlineStr">
        <is>
          <t>Louis Vuitton Black Leather LV Logo Belt</t>
        </is>
      </c>
      <c r="L141" t="inlineStr">
        <is>
          <t>{"id":"chatcmpl-DYiJbvowWLxic11OkZCHdRmxkmLLe","object":"chat.completion","created":1777165871,"model":"gpt-5-chat-2025-10-03","choices":[{"index":0,"message":{"role":"assistant","content":"Louis Vuitton classic black LV logo leather belt crafted from premium cowhide with a sleek metal buckle. Unisex design for business or casual wear, showcasing timeless French luxury style.","refusal":null,"annotations":[]},"logprobs":null,"finish_reason":"stop"}],"usage":{"prompt_tokens":898,"completion_tokens":35,"total_tokens":933,"prompt_tokens_details":{"cached_tokens":0,"audio_tokens":0},"completion_tokens_details":{"reasoning_tokens":0,"audio_tokens":0,"accepted_prediction_tokens":0,"rejected_prediction_tokens":0}},"service_tier":"default","system_fingerprint":"fp_ad66631dec"}</t>
        </is>
      </c>
      <c r="M141" t="inlineStr">
        <is>
          <t>{"alt-svc":"h3=\":443\"; ma=2592000","apim-request-id":"6a2b657d-3abe-4a04-ae5b-2fc32eba645c","azureml-model-session":"d20260402084046-4209e968","cache-control":"no-cache","connection":"close","content-length":"996","content-type":"application/json","date":"Sun, 26 Apr 2026 01:11:12 GMT","server":"Caddy","skip-error-remapping":"true","strict-transport-security":"max-age=31536000; includeSubDomains; preload","x-content-type-options":"nosniff","x-ms-client-request-id":"Not-Set","x-ms-is-spilled-over":"false","x-ms-rai-invoked":"false","x-ms-region":"East US","x-new-api-version":"0.4.35","x-oneapi-request-id":"202604260111106256876858268d9d6GMBWMcL8","x-ratelimit-abusepenalty-active":"False","x-ratelimit-limit-requests":"1000","x-ratelimit-limit-tokens":"1000000","x-ratelimit-remaining-requests":"999","x-ratelimit-remaining-tokens":"998340","x-ratelimit-renewalperiod-requests":"60","x-ratelimit-renewalperiod-tokens":"60","x-ratelimit-reset-requests":"60","x-ratelimit-reset-tokens":"99","x-request-id":"4249cc2f-7be1-4164-b617-971eb1186355"}</t>
        </is>
      </c>
      <c r="N141" t="inlineStr">
        <is>
          <t>Louis Vuitton classic black LV logo leather belt crafted from premium cowhide with a sleek metal buckle. Unisex design for business or casual wear, showcasing timeless French luxury style.</t>
        </is>
      </c>
      <c r="O141" t="inlineStr">
        <is>
          <t>{"id":"chatcmpl-DYiWXDaduN2xQ6YyWlhjZSP2hkUf2","object":"chat.completion","created":1777166673,"model":"gpt-5-chat-2025-10-03","choices":[{"index":0,"message":{"role":"assistant","content":"Louis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1" t="inlineStr">
        <is>
          <t>Louis Vuitton, Accessories, kakobuy, kakebuy2026, kekobuysheet, kakobuysheet2026, 2026kakobuy, kakobuyspreadsheeet, kakobuylink, kakebuylist, Kakobuy MEGA Spreadsheet, kakobuysheetfind, kakobuysheetfind2026, 2026kakobuysheetfind, kakobuysheet2026</t>
        </is>
      </c>
      <c r="Q141" t="inlineStr">
        <is>
          <t>LV, Leather, Black, Unisex, Classic, Business</t>
        </is>
      </c>
      <c r="R141" t="inlineStr">
        <is>
          <t>recvhju1CrDgzn</t>
        </is>
      </c>
      <c r="S141" t="inlineStr">
        <is>
          <t>louis-vuitton-black-leather-lv-logo-belt-recvhju1crdgzn</t>
        </is>
      </c>
      <c r="T141"/>
      <c r="U141"/>
      <c r="V141"/>
      <c r="W141" t="inlineStr">
        <is>
          <t>{"id":"chatcmpl-DYhtmTqeFP9TrDuqyTUy36PlKWNMA","object":"chat.completion","created":1777164270,"model":"gpt-5-chat-2025-10-03","choices":[{"index":0,"message":{"role":"assistant","content":"Louis Vuitton：经典黑色LV字母皮带，甄选高级牛皮材质，搭配金属LV标志扣，简约优雅彰显奢华品味。男士通用款，适合商务与休闲穿搭，展现法式时尚格调。","refusal":null,"annotations":[]},"logprobs":null,"finish_reason":"stop"}],"usage":{"prompt_tokens":1295,"completion_tokens":67,"total_tokens":1362,"prompt_tokens_details":{"cached_tokens":0,"audio_tokens":0},"completion_tokens_details":{"reasoning_tokens":0,"audio_tokens":0,"accepted_prediction_tokens":0,"rejected_prediction_tokens":0}},"service_tier":"default","system_fingerprint":"fp_ad66631dec"}</t>
        </is>
      </c>
      <c r="X141" t="inlineStr">
        <is>
          <t>Louis Vuitton：经典黑色LV字母皮带，甄选高级牛皮材质，搭配金属LV标志扣，简约优雅彰显奢华品味。男士通用款，适合商务与休闲穿搭，展现法式时尚格调。</t>
        </is>
      </c>
    </row>
    <row r="142" ht="25.5" customHeight="1">
      <c r="A142">
        <v>1654975475</v>
      </c>
      <c r="B142">
        <v>7619102749</v>
      </c>
      <c r="C142" s="2" t="str">
        <f>=HYPERLINK("https://weidian.com/item.html?itemID=7619102749", "https://weidian.com/item.html?itemID=7619102749")</f>
        <v>https://weidian.com/item.html?itemID=7619102749</v>
      </c>
      <c r="D142"/>
      <c r="E142" s="2" t="str">
        <f>=HYPERLINK("https://si.geilicdn.com/pcitem2014204438-6e260000019acb38e0960a2303ee_1440_1920.jpg?w=640&amp;h=640", "https://si.geilicdn.com/pcitem2014204438-6e260000019acb38e0960a2303ee_1440_1920.jpg?w=640&amp;h=640")</f>
        <v>https://si.geilicdn.com/pcitem2014204438-6e260000019acb38e0960a2303ee_1440_1920.jpg?w=640&amp;h=640</v>
      </c>
      <c r="F142" t="inlineStr">
        <is>
          <t>Accessories</t>
        </is>
      </c>
      <c r="G142" t="inlineStr">
        <is>
          <t>Salvatore Ferragamo</t>
        </is>
      </c>
      <c r="H142">
        <v>490</v>
      </c>
      <c r="I142">
        <v>71.01</v>
      </c>
      <c r="J142" t="inlineStr">
        <is>
          <t>{"id":"chatcmpl-DYj2dc64Xv1KQkEZCsscGT7tVEtdn","object":"chat.completion","created":1777168663,"model":"gpt-5-chat-2025-10-03","choices":[{"index":0,"message":{"role":"assistant","content":"Salvatore Ferragamo Black Croc Embossed Leather Belt","refusal":null,"annotations":[]},"logprobs":null,"finish_reason":"stop"}],"usage":{"prompt_tokens":878,"completion_tokens":14,"total_tokens":892,"prompt_tokens_details":{"cached_tokens":0,"audio_tokens":0},"completion_tokens_details":{"reasoning_tokens":0,"audio_tokens":0,"accepted_prediction_tokens":0,"rejected_prediction_tokens":0}},"service_tier":"default","system_fingerprint":"fp_ad66631dec"}</t>
        </is>
      </c>
      <c r="K142" t="inlineStr">
        <is>
          <t>Salvatore Ferragamo Black Croc Embossed Leather Belt</t>
        </is>
      </c>
      <c r="L142" t="inlineStr">
        <is>
          <t>{"id":"chatcmpl-DYiJYst8pMqpWFf9ms0YgAVaQW3Wg","object":"chat.completion","created":1777165868,"model":"gpt-5-chat-2025-10-03","choices":[{"index":0,"message":{"role":"assistant","content":"Salvatore Ferragamo black calfskin belt with crocodile embossing, silver double Gancini buckle, Italian minimalist design for men and women, elegant luxury meets modern practicality.","refusal":null,"annotations":[]},"logprobs":null,"finish_reason":"stop"}],"usage":{"prompt_tokens":898,"completion_tokens":37,"total_tokens":935,"prompt_tokens_details":{"cached_tokens":0,"audio_tokens":0},"completion_tokens_details":{"reasoning_tokens":0,"audio_tokens":0,"accepted_prediction_tokens":0,"rejected_prediction_tokens":0}},"service_tier":"default","system_fingerprint":"fp_ad66631dec"}</t>
        </is>
      </c>
      <c r="M142" t="inlineStr">
        <is>
          <t>{"alt-svc":"h3=\":443\"; ma=2592000","apim-request-id":"d0a93a0c-cfe8-424e-a1af-42348fded7ae","azureml-model-session":"d20260405225800-40f19e54","cache-control":"no-cache","connection":"close","content-length":"990","content-type":"application/json","date":"Sun, 26 Apr 2026 01:11:10 GMT","server":"Caddy","skip-error-remapping":"true","strict-transport-security":"max-age=31536000; includeSubDomains; preload","x-content-type-options":"nosniff","x-ms-client-request-id":"Not-Set","x-ms-is-spilled-over":"false","x-ms-rai-invoked":"false","x-ms-region":"Sweden Central","x-new-api-version":"0.4.35","x-oneapi-request-id":"202604260111072929440888268d9d6A9oWLUYH","x-ratelimit-abusepenalty-active":"False","x-ratelimit-key":"gpt-5-chat-global","x-ratelimit-limit-requests":"1000","x-ratelimit-limit-tokens":"1000000","x-ratelimit-remaining-requests":"999","x-ratelimit-remaining-tokens":"998340","x-ratelimit-renewalperiod-requests":"60","x-ratelimit-renewalperiod-tokens":"60","x-ratelimit-reset-requests":"60","x-ratelimit-reset-tokens":"99","x-request-id":"8e8ba1db-1dde-463e-b535-85617e4724a7"}</t>
        </is>
      </c>
      <c r="N142" t="inlineStr">
        <is>
          <t>Salvatore Ferragamo black calfskin belt with crocodile embossing, silver double Gancini buckle, Italian minimalist design for men and women, elegant luxury meets modern practicality.</t>
        </is>
      </c>
      <c r="O142" t="inlineStr">
        <is>
          <t>{"id":"chatcmpl-DYiUmglDCqIcEPNzxhOzt4I8J2K0c","object":"chat.completion","created":1777166564,"model":"gpt-5-chat-2025-10-03","choices":[{"index":0,"message":{"role":"assistant","content":"Salvatore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42" t="inlineStr">
        <is>
          <t>Salvatore Ferragamo, Accessories, kakobuy, kakebuy2026, kekobuysheet, kakobuysheet2026, 2026kakobuy, kakobuyspreadsheeet, kakobuylink, kakebuylist, Kakobuy MEGA Spreadsheet, kakobuysheetfind, kakobuysheetfind2026, 2026kakobuysheetfind, kakobuysheet2026</t>
        </is>
      </c>
      <c r="Q142" t="inlineStr">
        <is>
          <t>Black, Leather, Minimalist, Elegant, Unisex</t>
        </is>
      </c>
      <c r="R142" t="inlineStr">
        <is>
          <t>recvhju1Cr2yLM</t>
        </is>
      </c>
      <c r="S142" t="inlineStr">
        <is>
          <t>ferragamo-black-croc-embossed-leather-belt-recvhju1cr2ylm</t>
        </is>
      </c>
      <c r="T142"/>
      <c r="U142"/>
      <c r="V142"/>
      <c r="W142" t="inlineStr">
        <is>
          <t>{"id":"chatcmpl-DYhrqCX6GR6hNCBG40p4tISc2QEjK","object":"chat.completion","created":1777164150,"model":"gpt-5-chat-2025-10-03","choices":[{"index":0,"message":{"role":"assistant","content":"Salvatore Ferragamo：黑色牛皮鳄鱼纹腰带，配以银色双Gancini金属扣，意式简约设计，彰显现代绅士格调，男女通用款，优雅奢华与实用兼备。","refusal":null,"annotations":[]},"logprobs":null,"finish_reason":"stop"}],"usage":{"prompt_tokens":1307,"completion_tokens":61,"total_tokens":1368,"prompt_tokens_details":{"cached_tokens":1280,"audio_tokens":0},"completion_tokens_details":{"reasoning_tokens":0,"audio_tokens":0,"accepted_prediction_tokens":0,"rejected_prediction_tokens":0}},"service_tier":"default","system_fingerprint":"fp_ad66631dec"}</t>
        </is>
      </c>
      <c r="X142" t="inlineStr">
        <is>
          <t>Salvatore Ferragamo：黑色牛皮鳄鱼纹腰带，配以银色双Gancini金属扣，意式简约设计，彰显现代绅士格调，男女通用款，优雅奢华与实用兼备。</t>
        </is>
      </c>
    </row>
    <row r="143" ht="25.5" customHeight="1">
      <c r="A143">
        <v>1654975475</v>
      </c>
      <c r="B143">
        <v>7622005540</v>
      </c>
      <c r="C143" s="2" t="str">
        <f>=HYPERLINK("https://weidian.com/item.html?itemID=7622005540", "https://weidian.com/item.html?itemID=7622005540")</f>
        <v>https://weidian.com/item.html?itemID=7622005540</v>
      </c>
      <c r="D143"/>
      <c r="E143" s="2" t="str">
        <f>=HYPERLINK("https://si.geilicdn.com/pcitem2014204438-44370000019acb3d759f0a20e2c5_1074_1074.jpg?w=640&amp;h=640", "https://si.geilicdn.com/pcitem2014204438-44370000019acb3d759f0a20e2c5_1074_1074.jpg?w=640&amp;h=640")</f>
        <v>https://si.geilicdn.com/pcitem2014204438-44370000019acb3d759f0a20e2c5_1074_1074.jpg?w=640&amp;h=640</v>
      </c>
      <c r="F143" t="inlineStr">
        <is>
          <t>Accessories</t>
        </is>
      </c>
      <c r="G143" t="inlineStr">
        <is>
          <t>Louis Vuitton</t>
        </is>
      </c>
      <c r="H143">
        <v>460</v>
      </c>
      <c r="I143">
        <v>66.67</v>
      </c>
      <c r="J143" t="inlineStr">
        <is>
          <t>{"id":"chatcmpl-DYixvSfId12p0hqLqDyBb1hkvLPoL","object":"chat.completion","created":1777168371,"model":"gpt-5-chat-2025-10-03","choices":[{"index":0,"message":{"role":"assistant","content":"Louis Vuitton Damier Graphite Gold Buckle Leather Belt","refusal":null,"annotations":[]},"logprobs":null,"finish_reason":"stop"}],"usage":{"prompt_tokens":877,"completion_tokens":12,"total_tokens":889,"prompt_tokens_details":{"cached_tokens":0,"audio_tokens":0},"completion_tokens_details":{"reasoning_tokens":0,"audio_tokens":0,"accepted_prediction_tokens":0,"rejected_prediction_tokens":0}},"service_tier":"default","system_fingerprint":"fp_ad66631dec"}</t>
        </is>
      </c>
      <c r="K143" t="inlineStr">
        <is>
          <t>Louis Vuitton Damier Graphite Gold Buckle Leather Belt</t>
        </is>
      </c>
      <c r="L143" t="inlineStr">
        <is>
          <t>{"id":"chatcmpl-DYiJ7qcqaUP41AeI9BzCn1qBeBG3G","object":"chat.completion","created":1777165841,"model":"gpt-5-chat-2025-10-03","choices":[{"index":0,"message":{"role":"assistant","content":"Louis Vuitton Damier Graphite leather belt with gold LV buckle, showcasing urban chic elegance. Unisex design perfect for both business and casual wear, combining luxury, style, and quality.","refusal":null,"annotations":[]},"logprobs":null,"finish_reason":"stop"}],"usage":{"prompt_tokens":889,"completion_tokens":38,"total_tokens":927,"prompt_tokens_details":{"cached_tokens":0,"audio_tokens":0},"completion_tokens_details":{"reasoning_tokens":0,"audio_tokens":0,"accepted_prediction_tokens":0,"rejected_prediction_tokens":0}},"service_tier":"default","system_fingerprint":"fp_ad66631dec"}</t>
        </is>
      </c>
      <c r="M143" t="inlineStr">
        <is>
          <t>{"alt-svc":"h3=\":443\"; ma=2592000","apim-request-id":"313b9b4e-1e32-46a9-8eff-128fa9fdb9c0","azureml-model-session":"d20260402074105-51db401e","cache-control":"no-cache","connection":"close","content-length":"998","content-type":"application/json","date":"Sun, 26 Apr 2026 01:10:42 GMT","server":"nginx","skip-error-remapping":"true","strict-transport-security":"max-age=31536000; includeSubDomains; preload","via":"1.1 Caddy","x-content-type-options":"nosniff","x-ms-client-request-id":"Not-Set","x-ms-is-spilled-over":"false","x-ms-rai-invoked":"false","x-ms-region":"East US 2","x-new-api-version":"0.4.35","x-oneapi-request-id":"202604260110392314922578268d9d6H2O1gYKT","x-ratelimit-abusepenalty-active":"False","x-ratelimit-limit-requests":"1000","x-ratelimit-limit-tokens":"1000000","x-ratelimit-remaining-requests":"999","x-ratelimit-remaining-tokens":"998349","x-ratelimit-renewalperiod-requests":"60","x-ratelimit-renewalperiod-tokens":"60","x-ratelimit-reset-requests":"60","x-ratelimit-reset-tokens":"99","x-request-id":"e5d0c61d-3ec5-4344-9d6f-01d8a62daa4d"}</t>
        </is>
      </c>
      <c r="N143" t="inlineStr">
        <is>
          <t>Louis Vuitton Damier Graphite leather belt with gold LV buckle, showcasing urban chic elegance. Unisex design perfect for both business and casual wear, combining luxury, style, and quality.</t>
        </is>
      </c>
      <c r="O143" t="inlineStr">
        <is>
          <t>{"id":"chatcmpl-DYiVKHkfeZOSClIHWDnindIuenUWI","object":"chat.completion","created":1777166598,"model":"gpt-5-chat-2025-10-03","choices":[{"index":0,"message":{"role":"assistant","content":"Louis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3" t="inlineStr">
        <is>
          <t>Louis Vuitton, Accessories, kakobuy, kakebuy2026, kekobuysheet, kakobuysheet2026, 2026kakobuy, kakobuyspreadsheeet, kakobuylink, kakebuylist, Kakobuy MEGA Spreadsheet, kakobuysheetfind, kakobuysheetfind2026, 2026kakobuysheetfind, kakobuysheet2026</t>
        </is>
      </c>
      <c r="Q143" t="inlineStr">
        <is>
          <t>LV, Leather, Gold, Unisex, Business Casual</t>
        </is>
      </c>
      <c r="R143" t="inlineStr">
        <is>
          <t>recvhju1CrwRxX</t>
        </is>
      </c>
      <c r="S143" t="inlineStr">
        <is>
          <t>louis-vuitton-damier-graphite-gold-buckle-leather-belt-recvhju1crwrxx</t>
        </is>
      </c>
      <c r="T143"/>
      <c r="U143"/>
      <c r="V143"/>
      <c r="W143" t="inlineStr">
        <is>
          <t>{"id":"chatcmpl-DYhocfxilPZKZvnLQbLgjQN8Ih4gz","object":"chat.completion","created":1777163950,"model":"gpt-5-chat-2025-10-03","choices":[{"index":0,"message":{"role":"assistant","content":"Louis Vuitton：Damier Graphite格纹棕黑皮质腰带，配以金色LV字母扣，彰显都市摩登格调，兼具品质与时尚，适合男女通用商务休闲穿搭。","refusal":null,"annotations":[]},"logprobs":null,"finish_reason":"stop"}],"usage":{"prompt_tokens":1305,"completion_tokens":53,"total_tokens":1358,"prompt_tokens_details":{"cached_tokens":1280,"audio_tokens":0},"completion_tokens_details":{"reasoning_tokens":0,"audio_tokens":0,"accepted_prediction_tokens":0,"rejected_prediction_tokens":0}},"service_tier":"default","system_fingerprint":"fp_ad66631dec"}</t>
        </is>
      </c>
      <c r="X143" t="inlineStr">
        <is>
          <t>Louis Vuitton：Damier Graphite格纹棕黑皮质腰带，配以金色LV字母扣，彰显都市摩登格调，兼具品质与时尚，适合男女通用商务休闲穿搭。</t>
        </is>
      </c>
    </row>
    <row r="144" ht="25.5" customHeight="1">
      <c r="A144">
        <v>1654975475</v>
      </c>
      <c r="B144">
        <v>7622058788</v>
      </c>
      <c r="C144" s="2" t="str">
        <f>=HYPERLINK("https://weidian.com/item.html?itemID=7622058788", "https://weidian.com/item.html?itemID=7622058788")</f>
        <v>https://weidian.com/item.html?itemID=7622058788</v>
      </c>
      <c r="D144"/>
      <c r="E144" s="2" t="str">
        <f>=HYPERLINK("https://si.geilicdn.com/pcitem2014204438-44fc0000019acae832360a23047e_1440_1920.jpg?w=640&amp;h=640", "https://si.geilicdn.com/pcitem2014204438-44fc0000019acae832360a23047e_1440_1920.jpg?w=640&amp;h=640")</f>
        <v>https://si.geilicdn.com/pcitem2014204438-44fc0000019acae832360a23047e_1440_1920.jpg?w=640&amp;h=640</v>
      </c>
      <c r="F144" t="inlineStr">
        <is>
          <t>Accessories</t>
        </is>
      </c>
      <c r="G144" t="inlineStr">
        <is>
          <t>Gucci</t>
        </is>
      </c>
      <c r="H144">
        <v>460</v>
      </c>
      <c r="I144">
        <v>66.67</v>
      </c>
      <c r="J144" t="inlineStr">
        <is>
          <t>{"id":"chatcmpl-DYj1xpACN7LTzNRh9wmceA9Xcqlji","object":"chat.completion","created":1777168621,"model":"gpt-5-chat-2025-10-03","choices":[{"index":0,"message":{"role":"assistant","content":"Gucci White Leather Belt Silver GG Buckle","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44" t="inlineStr">
        <is>
          <t>Gucci White Leather Belt Silver GG Buckle</t>
        </is>
      </c>
      <c r="L144" t="inlineStr">
        <is>
          <t>{"id":"chatcmpl-DYiL8mrVdSVWT2JM9K88MnxE472BF","object":"chat.completion","created":1777165966,"model":"gpt-5-chat-2025-10-03","choices":[{"index":0,"message":{"role":"assistant","content":"Gucci Classic White Leather Belt with Silver GG Buckle, crafted from premium calfskin, minimalist modern design for men and women, Italian elegance, versatile luxury accessory for any occasion.","refusal":null,"annotations":[]},"logprobs":null,"finish_reason":"stop"}],"usage":{"prompt_tokens":896,"completion_tokens":37,"total_tokens":933,"prompt_tokens_details":{"cached_tokens":0,"audio_tokens":0},"completion_tokens_details":{"reasoning_tokens":0,"audio_tokens":0,"accepted_prediction_tokens":0,"rejected_prediction_tokens":0}},"service_tier":"default","system_fingerprint":"fp_ad66631dec"}</t>
        </is>
      </c>
      <c r="M144" t="inlineStr">
        <is>
          <t>{"alt-svc":"h3=\":443\"; ma=2592000","apim-request-id":"167654bd-95b8-40f0-97d8-80f87e5d6aa8","azureml-model-session":"d20260405234249-f9874baf","cache-control":"no-cache","connection":"close","content-length":"1001","content-type":"application/json","date":"Sun, 26 Apr 2026 01:12:48 GMT","server":"Caddy","skip-error-remapping":"true","strict-transport-security":"max-age=31536000; includeSubDomains; preload","x-content-type-options":"nosniff","x-ms-client-request-id":"Not-Set","x-ms-is-spilled-over":"false","x-ms-rai-invoked":"false","x-ms-region":"Sweden Central","x-new-api-version":"0.4.35","x-oneapi-request-id":"202604260112458865095988268d9d6FQhjDAOy","x-ratelimit-abusepenalty-active":"False","x-ratelimit-key":"gpt-5-chat-global","x-ratelimit-limit-requests":"1000","x-ratelimit-limit-tokens":"1000000","x-ratelimit-remaining-requests":"999","x-ratelimit-remaining-tokens":"998342","x-ratelimit-renewalperiod-requests":"60","x-ratelimit-renewalperiod-tokens":"60","x-ratelimit-reset-requests":"60","x-ratelimit-reset-tokens":"99","x-request-id":"8e7768a1-0a06-466c-ab73-f1f92dbb2c2d"}</t>
        </is>
      </c>
      <c r="N144" t="inlineStr">
        <is>
          <t>Gucci Classic White Leather Belt with Silver GG Buckle, crafted from premium calfskin, minimalist modern design for men and women, Italian elegance, versatile luxury accessory for any occasion.</t>
        </is>
      </c>
      <c r="O144" t="inlineStr">
        <is>
          <t>{"id":"chatcmpl-DYiRehxkGJ46lQhxywwxehbyGjvs3","object":"chat.completion","created":1777166370,"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44" t="inlineStr">
        <is>
          <t>Gucci,Belt,kakobuy,kakebuy2026,kekobuysheet,kakobuysheet2026,2026kakobuy,kakobuyspreadsheeet,kakobuylink,kakebuylist,Kakobuy MEGA Spreadsheet,kakobuysheetfind,kakobuysheetfind2026,2026kakobuysheetfind,kakobuysheet2026</t>
        </is>
      </c>
      <c r="Q144" t="inlineStr">
        <is>
          <t>Leather, White, Silver, Minimalist, Modern, Unisex</t>
        </is>
      </c>
      <c r="R144" t="inlineStr">
        <is>
          <t>recvhju1CrgdfN</t>
        </is>
      </c>
      <c r="S144" t="inlineStr">
        <is>
          <t>gucci-white-leather-belt-silver-gg-buckle-recvhju1crgdfn</t>
        </is>
      </c>
      <c r="T144"/>
      <c r="U144"/>
      <c r="V144"/>
      <c r="W144" t="inlineStr">
        <is>
          <t>{"id":"chatcmpl-DYhusQeb8tLGMzu8Ma8CdvlihEF7P","object":"chat.completion","created":1777164338,"model":"gpt-5-chat-2025-10-03","choices":[{"index":0,"message":{"role":"assistant","content":"Gucci：经典系列白色真皮腰带，采用优质牛皮材质，银色GG金属扣设计，极简现代风格，男女皆宜，彰显意式优雅格调，轻奢百搭，适合多场合时尚穿搭。","refusal":null,"annotations":[]},"logprobs":null,"finish_reason":"stop"}],"usage":{"prompt_tokens":1297,"completion_tokens":64,"total_tokens":1361,"prompt_tokens_details":{"cached_tokens":0,"audio_tokens":0},"completion_tokens_details":{"reasoning_tokens":0,"audio_tokens":0,"accepted_prediction_tokens":0,"rejected_prediction_tokens":0}},"service_tier":"default","system_fingerprint":"fp_ad66631dec"}</t>
        </is>
      </c>
      <c r="X144" t="inlineStr">
        <is>
          <t>Gucci：经典系列白色真皮腰带，采用优质牛皮材质，银色GG金属扣设计，极简现代风格，男女皆宜，彰显意式优雅格调，轻奢百搭，适合多场合时尚穿搭。</t>
        </is>
      </c>
    </row>
    <row r="145" ht="25.5" customHeight="1">
      <c r="A145">
        <v>1654975475</v>
      </c>
      <c r="B145">
        <v>7619062351</v>
      </c>
      <c r="C145" s="2" t="str">
        <f>=HYPERLINK("https://weidian.com/item.html?itemID=7619062351", "https://weidian.com/item.html?itemID=7619062351")</f>
        <v>https://weidian.com/item.html?itemID=7619062351</v>
      </c>
      <c r="D145"/>
      <c r="E145" s="2" t="str">
        <f>=HYPERLINK("https://si.geilicdn.com/pcitem2014204438-4ab60000019acb11e2dd0a20e7c7_1080_1080.jpg?w=640&amp;h=640", "https://si.geilicdn.com/pcitem2014204438-4ab60000019acb11e2dd0a20e7c7_1080_1080.jpg?w=640&amp;h=640")</f>
        <v>https://si.geilicdn.com/pcitem2014204438-4ab60000019acb11e2dd0a20e7c7_1080_1080.jpg?w=640&amp;h=640</v>
      </c>
      <c r="F145" t="inlineStr">
        <is>
          <t>Accessories</t>
        </is>
      </c>
      <c r="G145" t="inlineStr">
        <is>
          <t>Louis Vuitton</t>
        </is>
      </c>
      <c r="H145">
        <v>460</v>
      </c>
      <c r="I145">
        <v>66.67</v>
      </c>
      <c r="J145" t="inlineStr">
        <is>
          <t>{"id":"chatcmpl-DYj31H3pVfO8ZEko3d7H9SaikreFM","object":"chat.completion","created":1777168687,"model":"gpt-5-chat-2025-10-03","choices":[{"index":0,"message":{"role":"assistant","content":"Louis Vuitton Black Monogram Leather Men Belt","refusal":null,"annotations":[]},"logprobs":null,"finish_reason":"stop"}],"usage":{"prompt_tokens":867,"completion_tokens":9,"total_tokens":876,"prompt_tokens_details":{"cached_tokens":0,"audio_tokens":0},"completion_tokens_details":{"reasoning_tokens":0,"audio_tokens":0,"accepted_prediction_tokens":0,"rejected_prediction_tokens":0}},"service_tier":"default","system_fingerprint":"fp_ad66631dec"}</t>
        </is>
      </c>
      <c r="K145" t="inlineStr">
        <is>
          <t>Louis Vuitton Black Monogram Leather Men Belt</t>
        </is>
      </c>
      <c r="L145" t="inlineStr">
        <is>
          <t>{"id":"chatcmpl-DYiHIk7tZjhafoVa5qu2QWmwYcT06","object":"chat.completion","created":1777165728,"model":"gpt-5-chat-2025-10-03","choices":[{"index":0,"message":{"role":"assistant","content":"Louis Vuitton black Monogram men’s belt crafted from premium grained leather, featuring iconic LV metal buckle. Elegant and modern, perfect for business or casual style.","refusal":null,"annotations":[]},"logprobs":null,"finish_reason":"stop"}],"usage":{"prompt_tokens":902,"completion_tokens":33,"total_tokens":935,"prompt_tokens_details":{"cached_tokens":0,"audio_tokens":0},"completion_tokens_details":{"reasoning_tokens":0,"audio_tokens":0,"accepted_prediction_tokens":0,"rejected_prediction_tokens":0}},"service_tier":"default","system_fingerprint":"fp_ad66631dec"}</t>
        </is>
      </c>
      <c r="M145" t="inlineStr">
        <is>
          <t>{"alt-svc":"h3=\":443\"; ma=2592000","apim-request-id":"baa6dece-c1e3-4bf4-8f53-2afbf8441af4","azureml-model-session":"d20260405225800-40f19e54","cache-control":"no-cache","connection":"close","content-length":"979","content-type":"application/json","date":"Sun, 26 Apr 2026 01:08:50 GMT","server":"nginx","skip-error-remapping":"true","strict-transport-security":"max-age=31536000; includeSubDomains; preload","via":"1.1 Caddy","x-content-type-options":"nosniff","x-ms-client-request-id":"Not-Set","x-ms-is-spilled-over":"false","x-ms-rai-invoked":"false","x-ms-region":"Sweden Central","x-new-api-version":"0.4.35","x-oneapi-request-id":"20260426010848217472288268d9d6DMDeFiR4","x-ratelimit-abusepenalty-active":"False","x-ratelimit-key":"gpt-5-chat-global","x-ratelimit-limit-requests":"1000","x-ratelimit-limit-tokens":"1000000","x-ratelimit-remaining-requests":"999","x-ratelimit-remaining-tokens":"998336","x-ratelimit-renewalperiod-requests":"60","x-ratelimit-renewalperiod-tokens":"60","x-ratelimit-reset-requests":"60","x-ratelimit-reset-tokens":"99","x-request-id":"d4784879-6148-448f-84b8-69faee406ca3"}</t>
        </is>
      </c>
      <c r="N145" t="inlineStr">
        <is>
          <t>Louis Vuitton black Monogram men’s belt crafted from premium grained leather, featuring iconic LV metal buckle. Elegant and modern, perfect for business or casual style.</t>
        </is>
      </c>
      <c r="O145" t="inlineStr">
        <is>
          <t>{"id":"chatcmpl-DYiSLdP6tyYNNE62qF1625xDjd9KP","object":"chat.completion","created":1777166413,"model":"gpt-5-chat-2025-10-03","choices":[{"index":0,"message":{"role":"assistant","content":"Louis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5" t="inlineStr">
        <is>
          <t>Louis Vuitton, Accessories, kakobuy, kakebuy2026, kekobuysheet, kakobuysheet2026, 2026kakobuy, kakobuyspreadsheeet, kakobuylink, kakebuylist, Kakobuy MEGA Spreadsheet, kakobuysheetfind, kakobuysheetfind2026, 2026kakobuysheetfind, kakobuysheet2026</t>
        </is>
      </c>
      <c r="Q145" t="inlineStr">
        <is>
          <t>LV, Business Casual, Black, Leather, Men</t>
        </is>
      </c>
      <c r="R145" t="inlineStr">
        <is>
          <t>recvhju1CrtNN8</t>
        </is>
      </c>
      <c r="S145" t="inlineStr">
        <is>
          <t>louis-vuitton-black-monogram-leather-men-belt-recvhju1crtnn8</t>
        </is>
      </c>
      <c r="T145"/>
      <c r="U145"/>
      <c r="V145"/>
      <c r="W145" t="inlineStr">
        <is>
          <t>{"id":"chatcmpl-DYhvSJWjz0WJ0SZ1RdaLcO2tqInvp","object":"chat.completion","created":1777164374,"model":"gpt-5-chat-2025-10-03","choices":[{"index":0,"message":{"role":"assistant","content":"Louis Vuitton：黑色Monogram图纹男士皮带，采用优质粒面牛皮材质，搭配标志性LV字母金属扣，简约奢华设计，彰显现代绅士气质，适合商务与休闲多场合穿搭。","refusal":null,"annotations":[]},"logprobs":null,"finish_reason":"stop"}],"usage":{"prompt_tokens":1307,"completion_tokens":65,"total_tokens":1372,"prompt_tokens_details":{"cached_tokens":0,"audio_tokens":0},"completion_tokens_details":{"reasoning_tokens":0,"audio_tokens":0,"accepted_prediction_tokens":0,"rejected_prediction_tokens":0}},"service_tier":"default","system_fingerprint":"fp_ad66631dec"}</t>
        </is>
      </c>
      <c r="X145" t="inlineStr">
        <is>
          <t>Louis Vuitton：黑色Monogram图纹男士皮带，采用优质粒面牛皮材质，搭配标志性LV字母金属扣，简约奢华设计，彰显现代绅士气质，适合商务与休闲多场合穿搭。</t>
        </is>
      </c>
    </row>
    <row r="146" ht="25.5" customHeight="1">
      <c r="A146">
        <v>1654975475</v>
      </c>
      <c r="B146">
        <v>7622111884</v>
      </c>
      <c r="C146" s="2" t="str">
        <f>=HYPERLINK("https://weidian.com/item.html?itemID=7622111884", "https://weidian.com/item.html?itemID=7622111884")</f>
        <v>https://weidian.com/item.html?itemID=7622111884</v>
      </c>
      <c r="D146"/>
      <c r="E146" s="2" t="str">
        <f>=HYPERLINK("https://si.geilicdn.com/pcitem2014204438-69cb0000019acb3382a30a23057e_3024_3024.jpg?w=640&amp;h=640", "https://si.geilicdn.com/pcitem2014204438-69cb0000019acb3382a30a23057e_3024_3024.jpg?w=640&amp;h=640")</f>
        <v>https://si.geilicdn.com/pcitem2014204438-69cb0000019acb3382a30a23057e_3024_3024.jpg?w=640&amp;h=640</v>
      </c>
      <c r="F146" t="inlineStr">
        <is>
          <t>Accessories</t>
        </is>
      </c>
      <c r="G146" t="inlineStr">
        <is>
          <t>Louis Vuitton</t>
        </is>
      </c>
      <c r="H146">
        <v>480</v>
      </c>
      <c r="I146">
        <v>69.5797101449275</v>
      </c>
      <c r="J146" t="inlineStr">
        <is>
          <t>{"id":"chatcmpl-DYj1LAuClkoCG6YPTTRp3MSxKhq7x","object":"chat.completion","created":1777168583,"model":"gpt-5-chat-2025-10-03","choices":[{"index":0,"message":{"role":"assistant","content":"Louis Vuitton Reversible Leather Belt Silver LV Buckle","refusal":null,"annotations":[]},"logprobs":null,"finish_reason":"stop"}],"usage":{"prompt_tokens":861,"completion_tokens":11,"total_tokens":872,"prompt_tokens_details":{"cached_tokens":0,"audio_tokens":0},"completion_tokens_details":{"reasoning_tokens":0,"audio_tokens":0,"accepted_prediction_tokens":0,"rejected_prediction_tokens":0}},"service_tier":"default","system_fingerprint":"fp_ad66631dec"}</t>
        </is>
      </c>
      <c r="K146" t="inlineStr">
        <is>
          <t>Louis Vuitton Reversible Leather Belt Silver LV Buckle</t>
        </is>
      </c>
      <c r="L146" t="inlineStr">
        <is>
          <t>{"id":"chatcmpl-DYiGOWzluPNinUSbJNqj7ugnvE418","object":"chat.completion","created":1777165672,"model":"gpt-5-chat-2025-10-03","choices":[{"index":0,"message":{"role":"assistant","content":"Louis Vuitton classic black and brown reversible genuine leather belt with silver LV buckle, modern minimalist design, unisex, perfect for business or casual wear.","refusal":null,"annotations":[]},"logprobs":null,"finish_reason":"stop"}],"usage":{"prompt_tokens":887,"completion_tokens":30,"total_tokens":917,"prompt_tokens_details":{"cached_tokens":0,"audio_tokens":0},"completion_tokens_details":{"reasoning_tokens":0,"audio_tokens":0,"accepted_prediction_tokens":0,"rejected_prediction_tokens":0}},"service_tier":"default","system_fingerprint":"fp_ad66631dec"}</t>
        </is>
      </c>
      <c r="M146" t="inlineStr">
        <is>
          <t>{"alt-svc":"h3=\":443\"; ma=2592000","apim-request-id":"75a0b6f5-0cab-4449-a6aa-b25f82858537","azureml-model-session":"d20260402084046-4209e968","cache-control":"no-cache","connection":"close","content-length":"971","content-type":"application/json","date":"Sun, 26 Apr 2026 01:07:53 GMT","server":"Caddy","skip-error-remapping":"true","strict-transport-security":"max-age=31536000; includeSubDomains; preload","x-content-type-options":"nosniff","x-ms-client-request-id":"Not-Set","x-ms-is-spilled-over":"false","x-ms-rai-invoked":"false","x-ms-region":"East US","x-new-api-version":"0.4.35","x-oneapi-request-id":"202604260107511427166718268d9d6uYWLrZYq","x-ratelimit-abusepenalty-active":"False","x-ratelimit-limit-requests":"1000","x-ratelimit-limit-tokens":"1000000","x-ratelimit-remaining-requests":"999","x-ratelimit-remaining-tokens":"998351","x-ratelimit-renewalperiod-requests":"60","x-ratelimit-renewalperiod-tokens":"60","x-ratelimit-reset-requests":"60","x-ratelimit-reset-tokens":"98","x-request-id":"363aba4f-d642-43d7-bfff-8af0e0400c01"}</t>
        </is>
      </c>
      <c r="N146" t="inlineStr">
        <is>
          <t>Louis Vuitton classic black and brown reversible genuine leather belt with silver LV buckle, modern minimalist design, unisex, perfect for business or casual wear.</t>
        </is>
      </c>
      <c r="O146" t="inlineStr">
        <is>
          <t>{"id":"chatcmpl-DYiVm2eCnFLlHwp08r7eFol4Qlj9a","object":"chat.completion","created":1777166626,"model":"gpt-5-chat-2025-10-03","choices":[{"index":0,"message":{"role":"assistant","content":"Louis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6" t="inlineStr">
        <is>
          <t>Louis Vuitton, Accessories, kakobuy, kakebuy2026, kekobuysheet, kakobuysheet2026, 2026kakobuy, kakobuyspreadsheeet, kakobuylink, kakebuylist, Kakobuy MEGA Spreadsheet, kakobuysheetfind, kakobuysheetfind2026, 2026kakobuysheetfind, kakobuysheet2026</t>
        </is>
      </c>
      <c r="Q146" t="inlineStr">
        <is>
          <t>LV, Genuine Leather, Black, Brown, Silver, Minimalist</t>
        </is>
      </c>
      <c r="R146" t="inlineStr">
        <is>
          <t>recvhju1Cr7yDg</t>
        </is>
      </c>
      <c r="S146" t="inlineStr">
        <is>
          <t>louis-vuitton-reversible-leather-belt-silver-lv-buckle-recvhju1cr7ydg</t>
        </is>
      </c>
      <c r="T146"/>
      <c r="U146"/>
      <c r="V146"/>
      <c r="W146" t="inlineStr">
        <is>
          <t>{"id":"chatcmpl-DYhu9Ivfh2GsJKwk5td3xmfnnVA0X","object":"chat.completion","created":1777164293,"model":"gpt-5-chat-2025-10-03","choices":[{"index":0,"message":{"role":"assistant","content":"Louis Vuitton：经典黑棕双色双面真皮腰带，配以银色LV标志扣，简约现代设计，彰显奢华品味，男女通用，适合商务休闲多场景穿搭。","refusal":null,"annotations":[]},"logprobs":null,"finish_reason":"stop"}],"usage":{"prompt_tokens":1301,"completion_tokens":53,"total_tokens":1354,"prompt_tokens_details":{"cached_tokens":0,"audio_tokens":0},"completion_tokens_details":{"reasoning_tokens":0,"audio_tokens":0,"accepted_prediction_tokens":0,"rejected_prediction_tokens":0}},"service_tier":"default","system_fingerprint":"fp_ad66631dec"}</t>
        </is>
      </c>
      <c r="X146" t="inlineStr">
        <is>
          <t>Louis Vuitton：经典黑棕双色双面真皮腰带，配以银色LV标志扣，简约现代设计，彰显奢华品味，男女通用，适合商务休闲多场景穿搭。</t>
        </is>
      </c>
    </row>
    <row r="147" ht="25.5" customHeight="1">
      <c r="A147">
        <v>1654975475</v>
      </c>
      <c r="B147">
        <v>7622054950</v>
      </c>
      <c r="C147" s="2" t="str">
        <f>=HYPERLINK("https://weidian.com/item.html?itemID=7622054950", "https://weidian.com/item.html?itemID=7622054950")</f>
        <v>https://weidian.com/item.html?itemID=7622054950</v>
      </c>
      <c r="D147"/>
      <c r="E147" s="2" t="str">
        <f>=HYPERLINK("https://si.geilicdn.com/pcitem2014204438-6ae00000019acb3ac5180a20e284_3024_3024.jpg?w=640&amp;h=640", "https://si.geilicdn.com/pcitem2014204438-6ae00000019acb3ac5180a20e284_3024_3024.jpg?w=640&amp;h=640")</f>
        <v>https://si.geilicdn.com/pcitem2014204438-6ae00000019acb3ac5180a20e284_3024_3024.jpg?w=640&amp;h=640</v>
      </c>
      <c r="F147" t="inlineStr">
        <is>
          <t>Accessories</t>
        </is>
      </c>
      <c r="G147" t="inlineStr">
        <is>
          <t>Louis Vuitton</t>
        </is>
      </c>
      <c r="H147">
        <v>480</v>
      </c>
      <c r="I147">
        <v>69.5797101449275</v>
      </c>
      <c r="J147" t="inlineStr">
        <is>
          <t>{"id":"chatcmpl-DYj09kc3KywcHW9tJsN0HdBO54bKh","object":"chat.completion","created":1777168509,"model":"gpt-5-chat-2025-10-03","choices":[{"index":0,"message":{"role":"assistant","content":"Louis Vuitton Black Crocodile Leather Belt Gold Buckle  ","refusal":null,"annotations":[]},"logprobs":null,"finish_reason":"stop"}],"usage":{"prompt_tokens":861,"completion_tokens":13,"total_tokens":874,"prompt_tokens_details":{"cached_tokens":0,"audio_tokens":0},"completion_tokens_details":{"reasoning_tokens":0,"audio_tokens":0,"accepted_prediction_tokens":0,"rejected_prediction_tokens":0}},"service_tier":"default","system_fingerprint":"fp_ad66631dec"}</t>
        </is>
      </c>
      <c r="K147" t="inlineStr">
        <is>
          <t xml:space="preserve">Louis Vuitton Black Crocodile Leather Belt Gold Buckle  </t>
        </is>
      </c>
      <c r="L147" t="inlineStr">
        <is>
          <t>{"id":"chatcmpl-DYiKwiG9T6SoeRGkMi3H0PLSxb7eg","object":"chat.completion","created":1777165954,"model":"gpt-5-chat-2025-10-03","choices":[{"index":0,"message":{"role":"assistant","content":"Louis Vuitton black crocodile leather belt with shiny gold LV buckle, luxurious and elegant design for men and women, perfect for business or casual wear.","refusal":null,"annotations":[]},"logprobs":null,"finish_reason":"stop"}],"usage":{"prompt_tokens":891,"completion_tokens":30,"total_tokens":921,"prompt_tokens_details":{"cached_tokens":0,"audio_tokens":0},"completion_tokens_details":{"reasoning_tokens":0,"audio_tokens":0,"accepted_prediction_tokens":0,"rejected_prediction_tokens":0}},"service_tier":"default","system_fingerprint":"fp_ad66631dec"}</t>
        </is>
      </c>
      <c r="M147" t="inlineStr">
        <is>
          <t>{"alt-svc":"h3=\":443\"; ma=2592000","apim-request-id":"f2753a7b-de02-4642-8a4c-dd2d8a087017","azureml-model-session":"d20260402084046-4209e968","cache-control":"no-cache","connection":"close","content-length":"962","content-type":"application/json","date":"Sun, 26 Apr 2026 01:12:35 GMT","server":"Caddy","skip-error-remapping":"true","strict-transport-security":"max-age=31536000; includeSubDomains; preload","x-content-type-options":"nosniff","x-ms-client-request-id":"Not-Set","x-ms-is-spilled-over":"false","x-ms-rai-invoked":"false","x-ms-region":"Switzerland North","x-new-api-version":"0.4.35","x-oneapi-request-id":"202604260112335116246188268d9d6hrce8I7p","x-ratelimit-abusepenalty-active":"False","x-ratelimit-limit-requests":"1000","x-ratelimit-limit-tokens":"1000000","x-ratelimit-remaining-requests":"999","x-ratelimit-remaining-tokens":"998347","x-ratelimit-renewalperiod-requests":"60","x-ratelimit-renewalperiod-tokens":"60","x-ratelimit-reset-requests":"60","x-ratelimit-reset-tokens":"99","x-request-id":"db2f9617-9bd3-4669-b85a-c4d1642a3c01"}</t>
        </is>
      </c>
      <c r="N147" t="inlineStr">
        <is>
          <t>Louis Vuitton black crocodile leather belt with shiny gold LV buckle, luxurious and elegant design for men and women, perfect for business or casual wear.</t>
        </is>
      </c>
      <c r="O147" t="inlineStr">
        <is>
          <t>{"id":"chatcmpl-DYiWd2AgTT6eq7ETk193Bba2hpcwZ","object":"chat.completion","created":1777166679,"model":"gpt-5-chat-2025-10-03","choices":[{"index":0,"message":{"role":"assistant","content":"Louis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7" t="inlineStr">
        <is>
          <t>Louis Vuitton, Accessories, kakobuy, kakebuy2026, kekobuysheet, kakobuysheet2026, 2026kakobuy, kakobuyspreadsheeet, kakobuylink, kakebuylist, Kakobuy MEGA Spreadsheet, kakobuysheetfind, kakobuysheetfind2026, 2026kakobuysheetfind, kakobuysheet2026</t>
        </is>
      </c>
      <c r="Q147" t="inlineStr">
        <is>
          <t>LV, Black, Crocodile Pattern, Elegant, Business, Business Casual</t>
        </is>
      </c>
      <c r="R147" t="inlineStr">
        <is>
          <t>recvhju1Cr37a0</t>
        </is>
      </c>
      <c r="S147" t="inlineStr">
        <is>
          <t>louis-vuitton-black-crocodile-leather-belt-gold-buckle-recvhju1cr37a0</t>
        </is>
      </c>
      <c r="T147"/>
      <c r="U147"/>
      <c r="V147"/>
      <c r="W147" t="inlineStr">
        <is>
          <t>{"id":"chatcmpl-DYhrWattInOrthEJlBqq7UH1O9CRw","object":"chat.completion","created":1777164130,"model":"gpt-5-chat-2025-10-03","choices":[{"index":0,"message":{"role":"assistant","content":"Louis Vuitton：黑色鳄鱼纹皮革腰带，亮金色LV刻字金属扣设计，精致奢华质感，彰显绅士格调，男女皆宜，适合商务与休闲场合佩戴。","refusal":null,"annotations":[]},"logprobs":null,"finish_reason":"stop"}],"usage":{"prompt_tokens":1301,"completion_tokens":57,"total_tokens":1358,"prompt_tokens_details":{"cached_tokens":1280,"audio_tokens":0},"completion_tokens_details":{"reasoning_tokens":0,"audio_tokens":0,"accepted_prediction_tokens":0,"rejected_prediction_tokens":0}},"service_tier":"default","system_fingerprint":"fp_ad66631dec"}</t>
        </is>
      </c>
      <c r="X147" t="inlineStr">
        <is>
          <t>Louis Vuitton：黑色鳄鱼纹皮革腰带，亮金色LV刻字金属扣设计，精致奢华质感，彰显绅士格调，男女皆宜，适合商务与休闲场合佩戴。</t>
        </is>
      </c>
    </row>
    <row r="148" ht="25.5" customHeight="1">
      <c r="A148">
        <v>1654975475</v>
      </c>
      <c r="B148">
        <v>7619033351</v>
      </c>
      <c r="C148" s="2" t="str">
        <f>=HYPERLINK("https://weidian.com/item.html?itemID=7619033351", "https://weidian.com/item.html?itemID=7619033351")</f>
        <v>https://weidian.com/item.html?itemID=7619033351</v>
      </c>
      <c r="D148"/>
      <c r="E148" s="2" t="str">
        <f>=HYPERLINK("https://si.geilicdn.com/pcitem2014204438-644b0000019acb384e4b0a8134f0_1440_1920.jpg?w=640&amp;h=640", "https://si.geilicdn.com/pcitem2014204438-644b0000019acb384e4b0a8134f0_1440_1920.jpg?w=640&amp;h=640")</f>
        <v>https://si.geilicdn.com/pcitem2014204438-644b0000019acb384e4b0a8134f0_1440_1920.jpg?w=640&amp;h=640</v>
      </c>
      <c r="F148" t="inlineStr">
        <is>
          <t>Accessories</t>
        </is>
      </c>
      <c r="G148" t="inlineStr">
        <is>
          <t>Louis Vuitton</t>
        </is>
      </c>
      <c r="H148">
        <v>310</v>
      </c>
      <c r="I148">
        <v>44.93</v>
      </c>
      <c r="J148" t="inlineStr">
        <is>
          <t>{"id":"chatcmpl-DYizmnziKvRwq5AKZjIbOcsMVcXZD","object":"chat.completion","created":1777168486,"model":"gpt-5-chat-2025-10-03","choices":[{"index":0,"message":{"role":"assistant","content":"Louis Vuitton LO2 Gray Leather Belt for Men","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ad66631dec"}</t>
        </is>
      </c>
      <c r="K148" t="inlineStr">
        <is>
          <t>Louis Vuitton LO2 Gray Leather Belt for Men</t>
        </is>
      </c>
      <c r="L148" t="inlineStr">
        <is>
          <t>{"id":"chatcmpl-DYiJoNNtHUe3C5zpNGNRS52bYOZDq","object":"chat.completion","created":1777165884,"model":"gpt-5-chat-2025-10-03","choices":[{"index":0,"message":{"role":"assistant","content":"Louis Vuitton LO2 Gray Leather Belt crafted from premium top-grain cowhide, featuring a sleek silver LV buckle and minimalist design, embodying French elegance for business and casual men’s style.","refusal":null,"annotations":[]},"logprobs":null,"finish_reason":"stop"}],"usage":{"prompt_tokens":891,"completion_tokens":39,"total_tokens":930,"prompt_tokens_details":{"cached_tokens":0,"audio_tokens":0},"completion_tokens_details":{"reasoning_tokens":0,"audio_tokens":0,"accepted_prediction_tokens":0,"rejected_prediction_tokens":0}},"service_tier":"default","system_fingerprint":"fp_ad66631dec"}</t>
        </is>
      </c>
      <c r="M148" t="inlineStr">
        <is>
          <t>{"alt-svc":"h3=\":443\"; ma=2592000","apim-request-id":"302bebbe-b550-45b8-8cf9-f6e4c147f29e","azureml-model-session":"d20260405225800-40f19e54","cache-control":"no-cache","connection":"close","content-length":"1006","content-type":"application/json","date":"Sun, 26 Apr 2026 01:11:26 GMT","server":"nginx","skip-error-remapping":"true","strict-transport-security":"max-age=31536000; includeSubDomains; preload","via":"1.1 Caddy","x-content-type-options":"nosniff","x-ms-client-request-id":"Not-Set","x-ms-is-spilled-over":"false","x-ms-rai-invoked":"false","x-ms-region":"UK South","x-new-api-version":"0.4.35","x-oneapi-request-id":"202604260111236854263818268d9d6g9kPGQYE","x-ratelimit-abusepenalty-active":"False","x-ratelimit-limit-requests":"1000","x-ratelimit-limit-tokens":"1000000","x-ratelimit-remaining-requests":"999","x-ratelimit-remaining-tokens":"998347","x-ratelimit-renewalperiod-requests":"60","x-ratelimit-renewalperiod-tokens":"60","x-ratelimit-reset-requests":"60","x-ratelimit-reset-tokens":"99","x-request-id":"68c669ae-23b4-44ca-9dac-7954463bd018"}</t>
        </is>
      </c>
      <c r="N148" t="inlineStr">
        <is>
          <t>Louis Vuitton LO2 Gray Leather Belt crafted from premium top-grain cowhide, featuring a sleek silver LV buckle and minimalist design, embodying French elegance for business and casual men’s style.</t>
        </is>
      </c>
      <c r="O148" t="inlineStr">
        <is>
          <t>{"id":"chatcmpl-DYiVs9U0MFxXar8FDPnsKwBpWelaQ","object":"chat.completion","created":1777166632,"model":"gpt-5-chat-2025-10-03","choices":[{"index":0,"message":{"role":"assistant","content":"Louis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8" t="inlineStr">
        <is>
          <t>Louis Vuitton, Accessories, kakobuy, kakebuy2026, kekobuysheet, kakobuysheet2026, 2026kakobuy, kakobuyspreadsheeet, kakobuylink, kakebuylist, Kakobuy MEGA Spreadsheet, kakobuysheetfind, kakobuysheetfind2026, 2026kakobuysheetfind, kakobuysheet2026</t>
        </is>
      </c>
      <c r="Q148" t="inlineStr">
        <is>
          <t>LV, Leather, Minimalist, Business, Business Casual, Men</t>
        </is>
      </c>
      <c r="R148" t="inlineStr">
        <is>
          <t>recvhju1CrMpUy</t>
        </is>
      </c>
      <c r="S148" t="inlineStr">
        <is>
          <t>louis-vuitton-lo2-gray-leather-belt-men-recvhju1crmputy</t>
        </is>
      </c>
      <c r="T148"/>
      <c r="U148"/>
      <c r="V148"/>
      <c r="W148" t="inlineStr">
        <is>
          <t>{"id":"chatcmpl-DYhu03VIaltEB9XbvOCzgVd6abj9C","object":"chat.completion","created":1777164284,"model":"gpt-5-chat-2025-10-03","choices":[{"index":0,"message":{"role":"assistant","content":"Louis Vuitton：LO2灰色皮带，精选头层牛皮材质，搭配低调银色LV标扣，简约现代设计，彰显法式优雅格调，适合男士商务与休闲穿搭。  ","refusal":null,"annotations":[]},"logprobs":null,"finish_reason":"stop"}],"usage":{"prompt_tokens":1305,"completion_tokens":55,"total_tokens":1360,"prompt_tokens_details":{"cached_tokens":0,"audio_tokens":0},"completion_tokens_details":{"reasoning_tokens":0,"audio_tokens":0,"accepted_prediction_tokens":0,"rejected_prediction_tokens":0}},"service_tier":"default","system_fingerprint":"fp_ad66631dec"}</t>
        </is>
      </c>
      <c r="X148" t="inlineStr">
        <is>
          <t xml:space="preserve">Louis Vuitton：LO2灰色皮带，精选头层牛皮材质，搭配低调银色LV标扣，简约现代设计，彰显法式优雅格调，适合男士商务与休闲穿搭。  </t>
        </is>
      </c>
    </row>
    <row r="149" ht="25.5" customHeight="1">
      <c r="A149">
        <v>1654975475</v>
      </c>
      <c r="B149">
        <v>7619151687</v>
      </c>
      <c r="C149" s="2" t="str">
        <f>=HYPERLINK("https://weidian.com/item.html?itemID=7619151687", "https://weidian.com/item.html?itemID=7619151687")</f>
        <v>https://weidian.com/item.html?itemID=7619151687</v>
      </c>
      <c r="D149"/>
      <c r="E149" s="2" t="str">
        <f>=HYPERLINK("https://si.geilicdn.com/pcitem2014204438-6c440000019acb3cf28b0a23038e_1440_1920.jpg?w=640&amp;h=640", "https://si.geilicdn.com/pcitem2014204438-6c440000019acb3cf28b0a23038e_1440_1920.jpg?w=640&amp;h=640")</f>
        <v>https://si.geilicdn.com/pcitem2014204438-6c440000019acb3cf28b0a23038e_1440_1920.jpg?w=640&amp;h=640</v>
      </c>
      <c r="F149" t="inlineStr">
        <is>
          <t>Accessories</t>
        </is>
      </c>
      <c r="G149" t="inlineStr">
        <is>
          <t>Hermes</t>
        </is>
      </c>
      <c r="H149">
        <v>460</v>
      </c>
      <c r="I149">
        <v>66.67</v>
      </c>
      <c r="J149" t="inlineStr">
        <is>
          <t>{"id":"chatcmpl-DYizt1rWeBF6Zy59BbONJ6xhQJY4G","object":"chat.completion","created":1777168493,"model":"gpt-5-chat-2025-10-03","choices":[{"index":0,"message":{"role":"assistant","content":"Hermes Black H Gold Buckle Leather Belt","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49" t="inlineStr">
        <is>
          <t>Hermes Black H Gold Buckle Leather Belt</t>
        </is>
      </c>
      <c r="L149" t="inlineStr">
        <is>
          <t>{"id":"chatcmpl-DYiE0wfCf5npCnvvBhQ8VTTuLOceO","object":"chat.completion","created":1777165524,"model":"gpt-5-chat-2025-10-03","choices":[{"index":0,"message":{"role":"assistant","content":"Hermes Classic Black H Gold Buckle Leather Belt, crafted from fine cowhide, exuding French luxury and timeless elegance for men and women, perfect for business or casual wear.","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is>
      </c>
      <c r="M149" t="inlineStr">
        <is>
          <t>{"alt-svc":"h3=\":443\"; ma=2592000","apim-request-id":"4d57cc36-279b-4d47-bcb8-e44fc41d1861","azureml-model-session":"d20260405225800-40f19e54","cache-control":"no-cache","connection":"close","content-length":"983","content-type":"application/json","date":"Sun, 26 Apr 2026 01:05:26 GMT","server":"Caddy","skip-error-remapping":"true","strict-transport-security":"max-age=31536000; includeSubDomains; preload","x-content-type-options":"nosniff","x-ms-client-request-id":"Not-Set","x-ms-is-spilled-over":"false","x-ms-rai-invoked":"false","x-ms-region":"Sweden Central","x-new-api-version":"0.4.35","x-oneapi-request-id":"2026042601052410102368268d9d6eoWarVpM","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8f45b84b-ca82-4284-8c6b-67829df37105"}</t>
        </is>
      </c>
      <c r="N149" t="inlineStr">
        <is>
          <t>Hermes Classic Black H Gold Buckle Leather Belt, crafted from fine cowhide, exuding French luxury and timeless elegance for men and women, perfect for business or casual wear.</t>
        </is>
      </c>
      <c r="O149" t="inlineStr">
        <is>
          <t>{"id":"chatcmpl-DYiYxratF5JDIebyFPvDWlfor80sX","object":"chat.completion","created":1777166823,"model":"gpt-5-chat-2025-10-03","choices":[{"index":0,"message":{"role":"assistant","content":"Hermes,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49" t="inlineStr">
        <is>
          <t>Hermes, Belt, kakobuy, kakebuy2026, kekobuysheet, kakobuysheet2026, 2026kakobuy, kakobuyspreadsheeet, kakobuylink, kakebuylist, Kakobuy MEGA Spreadsheet, kakobuysheetfind, kakobuysheetfind2026, 2026kakobuysheetfind, kakobuysheet2026</t>
        </is>
      </c>
      <c r="Q149"/>
      <c r="R149" t="inlineStr">
        <is>
          <t>recvhju1CrUb24</t>
        </is>
      </c>
      <c r="S149" t="inlineStr">
        <is>
          <t>hermes-black-h-gold-buckle-leather-belt-recvhju1crub24</t>
        </is>
      </c>
      <c r="T149"/>
      <c r="U149"/>
      <c r="V149"/>
      <c r="W149" t="inlineStr">
        <is>
          <t>{"id":"chatcmpl-DYhpkZEKW4ibea4fk733SXb7bX9JG","object":"chat.completion","created":1777164020,"model":"gpt-5-chat-2025-10-03","choices":[{"index":0,"message":{"role":"assistant","content":"Hermes：经典黑色H金色扣真皮腰带，甄选细腻牛皮，优雅简约设计，彰显法式奢华格调，男女皆宜，百搭商务休闲之选。","refusal":null,"annotations":[]},"logprobs":null,"finish_reason":"stop"}],"usage":{"prompt_tokens":1303,"completion_tokens":53,"total_tokens":1356,"prompt_tokens_details":{"cached_tokens":0,"audio_tokens":0},"completion_tokens_details":{"reasoning_tokens":0,"audio_tokens":0,"accepted_prediction_tokens":0,"rejected_prediction_tokens":0}},"service_tier":"default","system_fingerprint":"fp_ad66631dec"}</t>
        </is>
      </c>
      <c r="X149" t="inlineStr">
        <is>
          <t>Hermes：经典黑色H金色扣真皮腰带，甄选细腻牛皮，优雅简约设计，彰显法式奢华格调，男女皆宜，百搭商务休闲之选。</t>
        </is>
      </c>
    </row>
    <row r="150" ht="25.5" customHeight="1">
      <c r="A150">
        <v>1654975475</v>
      </c>
      <c r="B150">
        <v>7619086981</v>
      </c>
      <c r="C150" s="2" t="str">
        <f>=HYPERLINK("https://weidian.com/item.html?itemID=7619086981", "https://weidian.com/item.html?itemID=7619086981")</f>
        <v>https://weidian.com/item.html?itemID=7619086981</v>
      </c>
      <c r="D150"/>
      <c r="E150" s="2" t="str">
        <f>=HYPERLINK("https://si.geilicdn.com/pcitem2014204438-580a0000019acb3602520a239646_1074_1074.jpg?w=640&amp;h=640", "https://si.geilicdn.com/pcitem2014204438-580a0000019acb3602520a239646_1074_1074.jpg?w=640&amp;h=640")</f>
        <v>https://si.geilicdn.com/pcitem2014204438-580a0000019acb3602520a239646_1074_1074.jpg?w=640&amp;h=640</v>
      </c>
      <c r="F150" t="inlineStr">
        <is>
          <t>Accessories</t>
        </is>
      </c>
      <c r="G150" t="inlineStr">
        <is>
          <t>Gucci</t>
        </is>
      </c>
      <c r="H150">
        <v>460</v>
      </c>
      <c r="I150">
        <v>66.67</v>
      </c>
      <c r="J150" t="inlineStr">
        <is>
          <t>{"id":"chatcmpl-DYiwmMReHRjJTn8PEoGY70KzQkYke","object":"chat.completion","created":1777168300,"model":"gpt-5-chat-2025-10-03","choices":[{"index":0,"message":{"role":"assistant","content":"Gucci Black Leather Belt Gold Double G Buckle","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150" t="inlineStr">
        <is>
          <t>Gucci Black Leather Belt Gold Double G Buckle</t>
        </is>
      </c>
      <c r="L150" t="inlineStr">
        <is>
          <t>{"id":"chatcmpl-DYiKegqJoG5cu09SV5JMkbxUEaZuv","object":"chat.completion","created":1777165936,"model":"gpt-5-chat-2025-10-03","choices":[{"index":0,"message":{"role":"assistant","content":"Gucci Classic Black Leather Belt with Gold Double G Buckle, crafted from premium cowhide, unisex design, blending Italian vintage elegance with modern luxury style.","refusal":null,"annotations":[]},"logprobs":null,"finish_reason":"stop"}],"usage":{"prompt_tokens":900,"completion_tokens":33,"total_tokens":933,"prompt_tokens_details":{"cached_tokens":0,"audio_tokens":0},"completion_tokens_details":{"reasoning_tokens":0,"audio_tokens":0,"accepted_prediction_tokens":0,"rejected_prediction_tokens":0}},"service_tier":"default","system_fingerprint":"fp_ad66631dec"}</t>
        </is>
      </c>
      <c r="M150" t="inlineStr">
        <is>
          <t>{"alt-svc":"h3=\":443\"; ma=2592000","apim-request-id":"3565244f-a798-4f25-8d71-d430ef3383e0","azureml-model-session":"d20260402084046-4209e968","cache-control":"no-cache","connection":"close","content-length":"972","content-type":"application/json","date":"Sun, 26 Apr 2026 01:12:18 GMT","server":"Caddy","skip-error-remapping":"true","strict-transport-security":"max-age=31536000; includeSubDomains; preload","x-content-type-options":"nosniff","x-ms-client-request-id":"Not-Set","x-ms-is-spilled-over":"false","x-ms-rai-invoked":"false","x-ms-region":"Korea Central","x-new-api-version":"0.4.35","x-oneapi-request-id":"202604260112154757927908268d9d6FzwK4Xr2","x-ratelimit-abusepenalty-active":"False","x-ratelimit-limit-requests":"1000","x-ratelimit-limit-tokens":"1000000","x-ratelimit-remaining-requests":"999","x-ratelimit-remaining-tokens":"998338","x-ratelimit-renewalperiod-requests":"60","x-ratelimit-renewalperiod-tokens":"60","x-ratelimit-reset-requests":"60","x-ratelimit-reset-tokens":"99","x-request-id":"3535b3a7-26a7-44e5-b499-48c70c7c920b"}</t>
        </is>
      </c>
      <c r="N150" t="inlineStr">
        <is>
          <t>Gucci Classic Black Leather Belt with Gold Double G Buckle, crafted from premium cowhide, unisex design, blending Italian vintage elegance with modern luxury style.</t>
        </is>
      </c>
      <c r="O150" t="inlineStr">
        <is>
          <t>{"id":"chatcmpl-DYiSw5MfK2akHHjYIENo0LRGHrm4p","object":"chat.completion","created":1777166450,"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50" t="inlineStr">
        <is>
          <t>Gucci,Accessories,kakobuy,kakebuy2026,kekobuysheet,kakobuysheet2026,2026kakobuy,kakobuyspreadsheeet,kakobuylink,kakebuylist,Kakobuy MEGA Spreadsheet,kakobuysheetfind,kakobuysheetfind2026,2026kakobuysheetfind,kakobuysheet2026</t>
        </is>
      </c>
      <c r="Q150" t="inlineStr">
        <is>
          <t>Black, Leather, Cowhide, Unisex, Vintage, Elegant</t>
        </is>
      </c>
      <c r="R150" t="inlineStr">
        <is>
          <t>recvhju1Cr5eys</t>
        </is>
      </c>
      <c r="S150" t="inlineStr">
        <is>
          <t>gucci-black-leather-belt-gold-double-g-buckle-recvhju1cr5eys</t>
        </is>
      </c>
      <c r="T150"/>
      <c r="U150"/>
      <c r="V150"/>
      <c r="W150" t="inlineStr">
        <is>
          <t>{"id":"chatcmpl-DYhuXKwdPin5wwVD6hbtbURt1vnOe","object":"chat.completion","created":1777164317,"model":"gpt-5-chat-2025-10-03","choices":[{"index":0,"message":{"role":"assistant","content":"Gucci：经典系列黑色真皮腰带，配以金色双G圆形扣设计，采用优质牛皮材质打造，低调奢华中彰显品牌标志性美学，男女皆宜，展现意式复古优雅与现代时尚融合风格。","refusal":null,"annotations":[]},"logprobs":null,"finish_reason":"stop"}],"usage":{"prompt_tokens":1297,"completion_tokens":68,"total_tokens":1365,"prompt_tokens_details":{"cached_tokens":0,"audio_tokens":0},"completion_tokens_details":{"reasoning_tokens":0,"audio_tokens":0,"accepted_prediction_tokens":0,"rejected_prediction_tokens":0}},"service_tier":"default","system_fingerprint":"fp_ad66631dec"}</t>
        </is>
      </c>
      <c r="X150" t="inlineStr">
        <is>
          <t>Gucci：经典系列黑色真皮腰带，配以金色双G圆形扣设计，采用优质牛皮材质打造，低调奢华中彰显品牌标志性美学，男女皆宜，展现意式复古优雅与现代时尚融合风格。</t>
        </is>
      </c>
    </row>
    <row r="151" ht="25.5" customHeight="1">
      <c r="A151">
        <v>1654975475</v>
      </c>
      <c r="B151">
        <v>7619053097</v>
      </c>
      <c r="C151" s="2" t="str">
        <f>=HYPERLINK("https://weidian.com/item.html?itemID=7619053097", "https://weidian.com/item.html?itemID=7619053097")</f>
        <v>https://weidian.com/item.html?itemID=7619053097</v>
      </c>
      <c r="D151"/>
      <c r="E151" s="2" t="str">
        <f>=HYPERLINK("https://si.geilicdn.com/pcitem2014204438-6bbe0000019acb32a14e0a23041a_1074_1074.jpg?w=640&amp;h=640", "https://si.geilicdn.com/pcitem2014204438-6bbe0000019acb32a14e0a23041a_1074_1074.jpg?w=640&amp;h=640")</f>
        <v>https://si.geilicdn.com/pcitem2014204438-6bbe0000019acb32a14e0a23041a_1074_1074.jpg?w=640&amp;h=640</v>
      </c>
      <c r="F151" t="inlineStr">
        <is>
          <t>Accessories</t>
        </is>
      </c>
      <c r="G151" t="inlineStr">
        <is>
          <t>Fendi</t>
        </is>
      </c>
      <c r="H151">
        <v>460</v>
      </c>
      <c r="I151">
        <v>66.67</v>
      </c>
      <c r="J151" t="inlineStr">
        <is>
          <t>{"id":"chatcmpl-DYiyNaK8aW0OGtM4hUvpvsO4vNQcC","object":"chat.completion","created":1777168399,"model":"gpt-5-chat-2025-10-03","choices":[{"index":0,"message":{"role":"assistant","content":"Fendi Classic Brown Reversible Leather Belt","refusal":null,"annotations":[]},"logprobs":null,"finish_reason":"stop"}],"usage":{"prompt_tokens":875,"completion_tokens":9,"total_tokens":884,"prompt_tokens_details":{"cached_tokens":0,"audio_tokens":0},"completion_tokens_details":{"reasoning_tokens":0,"audio_tokens":0,"accepted_prediction_tokens":0,"rejected_prediction_tokens":0}},"service_tier":"default","system_fingerprint":"fp_ad66631dec"}</t>
        </is>
      </c>
      <c r="K151" t="inlineStr">
        <is>
          <t>Fendi Classic Brown Reversible Leather Belt</t>
        </is>
      </c>
      <c r="L151" t="inlineStr">
        <is>
          <t>{"id":"chatcmpl-DYiEJ4vkTftQii4GmZlSNvKFCPbHW","object":"chat.completion","created":1777165543,"model":"gpt-5-chat-2025-10-03","choices":[{"index":0,"message":{"role":"assistant","content":"Fendi Classic Brown Reversible Leather Belt crafted from premium calfskin with gold FF logo buckle, monogram interior, unisex Italian minimalist design for modern city style and timeless elegance.","refusal":null,"annotations":[]},"logprobs":null,"finish_reason":"stop"}],"usage":{"prompt_tokens":920,"completion_tokens":37,"total_tokens":957,"prompt_tokens_details":{"cached_tokens":0,"audio_tokens":0},"completion_tokens_details":{"reasoning_tokens":0,"audio_tokens":0,"accepted_prediction_tokens":0,"rejected_prediction_tokens":0}},"service_tier":"default","system_fingerprint":"fp_ad66631dec"}</t>
        </is>
      </c>
      <c r="M151" t="inlineStr">
        <is>
          <t>{"alt-svc":"h3=\":443\"; ma=2592000","apim-request-id":"b36305c2-be4d-426a-a7ef-01d302d78c9e","azureml-model-session":"d20260402084046-4209e968","cache-control":"no-cache","connection":"close","content-length":"1004","content-type":"application/json","date":"Sun, 26 Apr 2026 01:05:46 GMT","server":"Caddy","skip-error-remapping":"true","strict-transport-security":"max-age=31536000; includeSubDomains; preload","x-content-type-options":"nosniff","x-ms-client-request-id":"Not-Set","x-ms-is-spilled-over":"false","x-ms-rai-invoked":"false","x-ms-region":"Korea Central","x-new-api-version":"0.4.35","x-oneapi-request-id":"202604260105423904022838268d9d6HCnN1KFS","x-ratelimit-abusepenalty-active":"False","x-ratelimit-limit-requests":"1000","x-ratelimit-limit-tokens":"1000000","x-ratelimit-remaining-requests":"999","x-ratelimit-remaining-tokens":"998318","x-ratelimit-renewalperiod-requests":"60","x-ratelimit-renewalperiod-tokens":"60","x-ratelimit-reset-requests":"60","x-ratelimit-reset-tokens":"100","x-request-id":"041ae219-afb9-4bff-a227-e30e298b77fd"}</t>
        </is>
      </c>
      <c r="N151" t="inlineStr">
        <is>
          <t>Fendi Classic Brown Reversible Leather Belt crafted from premium calfskin with gold FF logo buckle, monogram interior, unisex Italian minimalist design for modern city style and timeless elegance.</t>
        </is>
      </c>
      <c r="O151" t="inlineStr">
        <is>
          <t>{"id":"chatcmpl-DYiYgUYQWl31l5Ke7eJCqphCQduR4","object":"chat.completion","created":1777166806,"model":"gpt-5-chat-2025-10-03","choices":[{"index":0,"message":{"role":"assistant","content":"Fendi,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1" t="inlineStr">
        <is>
          <t>Fendi, Belt, kakobuy, kakebuy2026, kekobuysheet, kakobuysheet2026, 2026kakobuy, kakobuyspreadsheeet, kakobuylink, kakebuylist, Kakobuy MEGA Spreadsheet, kakobuysheetfind, kakobuysheetfind2026, 2026kakobuysheetfind, kakobuysheet2026</t>
        </is>
      </c>
      <c r="Q151" t="inlineStr">
        <is>
          <t>Brown, Leather, Unisex, Minimalist, Modern</t>
        </is>
      </c>
      <c r="R151" t="inlineStr">
        <is>
          <t>recvhju1Crcw9g</t>
        </is>
      </c>
      <c r="S151" t="inlineStr">
        <is>
          <t>fendi-classic-brown-reversible-leather-belt-recvhju1crcw9g</t>
        </is>
      </c>
      <c r="T151"/>
      <c r="U151"/>
      <c r="V151"/>
      <c r="W151" t="inlineStr">
        <is>
          <t>{"id":"chatcmpl-DYhq7GviGWTD66kC3pj3cF7p2wYXL","object":"chat.completion","created":1777164043,"model":"gpt-5-chat-2025-10-03","choices":[{"index":0,"message":{"role":"assistant","content":"Fendi：经典棕色双面皮革腰带，甄选优质小牛皮材质搭配金色FF标志扣，内衬印花Logo图腾，意式简约设计彰显奢华格调，男女皆宜，适合现代都市风格穿搭，演绎复古与时尚并存的优雅气质。","refusal":null,"annotations":[]},"logprobs":null,"finish_reason":"stop"}],"usage":{"prompt_tokens":1303,"completion_tokens":85,"total_tokens":1388,"prompt_tokens_details":{"cached_tokens":0,"audio_tokens":0},"completion_tokens_details":{"reasoning_tokens":0,"audio_tokens":0,"accepted_prediction_tokens":0,"rejected_prediction_tokens":0}},"service_tier":"default","system_fingerprint":"fp_ad66631dec"}</t>
        </is>
      </c>
      <c r="X151" t="inlineStr">
        <is>
          <t>Fendi：经典棕色双面皮革腰带，甄选优质小牛皮材质搭配金色FF标志扣，内衬印花Logo图腾，意式简约设计彰显奢华格调，男女皆宜，适合现代都市风格穿搭，演绎复古与时尚并存的优雅气质。</t>
        </is>
      </c>
    </row>
    <row r="152" ht="25.5" customHeight="1">
      <c r="A152">
        <v>1654975475</v>
      </c>
      <c r="B152">
        <v>7622037112</v>
      </c>
      <c r="C152" s="2" t="str">
        <f>=HYPERLINK("https://weidian.com/item.html?itemID=7622037112", "https://weidian.com/item.html?itemID=7622037112")</f>
        <v>https://weidian.com/item.html?itemID=7622037112</v>
      </c>
      <c r="D152"/>
      <c r="E152" s="2" t="str">
        <f>=HYPERLINK("https://si.geilicdn.com/pcitem2014204438-66d80000019acb37613d0a81347d_1440_1920.jpg?w=640&amp;h=640", "https://si.geilicdn.com/pcitem2014204438-66d80000019acb37613d0a81347d_1440_1920.jpg?w=640&amp;h=640")</f>
        <v>https://si.geilicdn.com/pcitem2014204438-66d80000019acb37613d0a81347d_1440_1920.jpg?w=640&amp;h=640</v>
      </c>
      <c r="F152" t="inlineStr">
        <is>
          <t>Accessories</t>
        </is>
      </c>
      <c r="G152" t="inlineStr">
        <is>
          <t>Louis Vuitton</t>
        </is>
      </c>
      <c r="H152">
        <v>310</v>
      </c>
      <c r="I152">
        <v>44.93</v>
      </c>
      <c r="J152" t="inlineStr">
        <is>
          <t>{"id":"chatcmpl-DYj22YgC4par0WD5F4Flj6riOb2Pf","object":"chat.completion","created":1777168626,"model":"gpt-5-chat-2025-10-03","choices":[{"index":0,"message":{"role":"assistant","content":"Louis Vuitton Monogram Eclipse Black Leather Belt","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ad66631dec"}</t>
        </is>
      </c>
      <c r="K152" t="inlineStr">
        <is>
          <t>Louis Vuitton Monogram Eclipse Black Leather Belt</t>
        </is>
      </c>
      <c r="L152" t="inlineStr">
        <is>
          <t>{"id":"chatcmpl-DYiIRyz93mKwFLmMJL7uI7ivLBSsL","object":"chat.completion","created":1777165799,"model":"gpt-5-chat-2025-10-03","choices":[{"index":0,"message":{"role":"assistant","content":"Louis Vuitton Monogram Eclipse black leather belt with iconic LV buckle, crafted from premium leather for durability and elegance, perfect for business or casual wear, unisex French luxury style.","refusal":null,"annotations":[]},"logprobs":null,"finish_reason":"stop"}],"usage":{"prompt_tokens":924,"completion_tokens":36,"total_tokens":960,"prompt_tokens_details":{"cached_tokens":0,"audio_tokens":0},"completion_tokens_details":{"reasoning_tokens":0,"audio_tokens":0,"accepted_prediction_tokens":0,"rejected_prediction_tokens":0}},"service_tier":"default","system_fingerprint":"fp_ad66631dec"}</t>
        </is>
      </c>
      <c r="M152" t="inlineStr">
        <is>
          <t>{"alt-svc":"h3=\":443\"; ma=2592000","apim-request-id":"c90fc103-72d1-4677-b455-fbec474b007b","azureml-model-session":"d20260402084046-4209e968","cache-control":"no-cache","connection":"close","content-length":"1003","content-type":"application/json","date":"Sun, 26 Apr 2026 01:09:59 GMT","server":"Caddy","skip-error-remapping":"true","strict-transport-security":"max-age=31536000; includeSubDomains; preload","x-content-type-options":"nosniff","x-ms-client-request-id":"Not-Set","x-ms-is-spilled-over":"false","x-ms-rai-invoked":"false","x-ms-region":"East US","x-new-api-version":"0.4.35","x-oneapi-request-id":"202604260109575395818208268d9d6H12Cv0AE","x-ratelimit-abusepenalty-active":"False","x-ratelimit-limit-requests":"1000","x-ratelimit-limit-tokens":"1000000","x-ratelimit-remaining-requests":"999","x-ratelimit-remaining-tokens":"998314","x-ratelimit-renewalperiod-requests":"60","x-ratelimit-renewalperiod-tokens":"60","x-ratelimit-reset-requests":"60","x-ratelimit-reset-tokens":"101","x-request-id":"70054206-9e12-4ab4-b89f-c569f8f9f9c6"}</t>
        </is>
      </c>
      <c r="N152" t="inlineStr">
        <is>
          <t>Louis Vuitton Monogram Eclipse black leather belt with iconic LV buckle, crafted from premium leather for durability and elegance, perfect for business or casual wear, unisex French luxury style.</t>
        </is>
      </c>
      <c r="O152" t="inlineStr">
        <is>
          <t>{"id":"chatcmpl-DYiRviShV7CS1bLyNa5aHeO72UdFS","object":"chat.completion","created":1777166387,"model":"gpt-5-chat-2025-10-03","choices":[{"index":0,"message":{"role":"assistant","content":"Louis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2" t="inlineStr">
        <is>
          <t>Louis Vuitton, Accessories, kakobuy, kakebuy2026, kekobuysheet, kakobuysheet2026, 2026kakobuy, kakobuyspreadsheeet, kakobuylink, kakebuylist, Kakobuy MEGA Spreadsheet, kakobuysheetfind, kakobuysheetfind2026, 2026kakobuysheetfind, kakobuysheet2026</t>
        </is>
      </c>
      <c r="Q152" t="inlineStr">
        <is>
          <t>LV, Leather, Unisex, Business, Elegant</t>
        </is>
      </c>
      <c r="R152" t="inlineStr">
        <is>
          <t>recvhju1Crvgpb</t>
        </is>
      </c>
      <c r="S152" t="inlineStr">
        <is>
          <t>louis-vuitton-monogram-eclipse-black-leather-belt-recvhju1crvgpb</t>
        </is>
      </c>
      <c r="T152"/>
      <c r="U152"/>
      <c r="V152"/>
      <c r="W152" t="inlineStr">
        <is>
          <t>{"id":"chatcmpl-DYhnom8o49AHWC0JANzJ9mdzPHCz5","object":"chat.completion","created":1777163900,"model":"gpt-5-chat-2025-10-03","choices":[{"index":0,"message":{"role":"assistant","content":"Louis Vuitton：Monogram Eclipse 黑色真皮腰带，经典LV标扣设计，饰以标志性老花图腾，展现现代绅士低调奢华气质。精选高级皮革打造，质感柔韧耐用，适合商务与休闲场合，百搭男女通用款，呈现法式优雅与力量平衡的时尚态度。","refusal":null,"annotations":[]},"logprobs":null,"finish_reason":"stop"}],"usage":{"prompt_tokens":1301,"completion_tokens":90,"total_tokens":1391,"prompt_tokens_details":{"cached_tokens":0,"audio_tokens":0},"completion_tokens_details":{"reasoning_tokens":0,"audio_tokens":0,"accepted_prediction_tokens":0,"rejected_prediction_tokens":0}},"service_tier":"default","system_fingerprint":"fp_ad66631dec"}</t>
        </is>
      </c>
      <c r="X152" t="inlineStr">
        <is>
          <t>Louis Vuitton：Monogram Eclipse 黑色真皮腰带，经典LV标扣设计，饰以标志性老花图腾，展现现代绅士低调奢华气质。精选高级皮革打造，质感柔韧耐用，适合商务与休闲场合，百搭男女通用款，呈现法式优雅与力量平衡的时尚态度。</t>
        </is>
      </c>
    </row>
    <row r="153" ht="25.5" customHeight="1">
      <c r="A153">
        <v>1654975475</v>
      </c>
      <c r="B153">
        <v>7619157637</v>
      </c>
      <c r="C153" s="2" t="str">
        <f>=HYPERLINK("https://weidian.com/item.html?itemID=7619157637", "https://weidian.com/item.html?itemID=7619157637")</f>
        <v>https://weidian.com/item.html?itemID=7619157637</v>
      </c>
      <c r="D153"/>
      <c r="E153" s="2" t="str">
        <f>=HYPERLINK("https://si.geilicdn.com/pcitem2014204438-5e590000019acb3edd100a239646_1080_1080.jpg?w=640&amp;h=640", "https://si.geilicdn.com/pcitem2014204438-5e590000019acb3edd100a239646_1080_1080.jpg?w=640&amp;h=640")</f>
        <v>https://si.geilicdn.com/pcitem2014204438-5e590000019acb3edd100a239646_1080_1080.jpg?w=640&amp;h=640</v>
      </c>
      <c r="F153" t="inlineStr">
        <is>
          <t>Accessories</t>
        </is>
      </c>
      <c r="G153" t="inlineStr">
        <is>
          <t>Louis Vuitton</t>
        </is>
      </c>
      <c r="H153">
        <v>490</v>
      </c>
      <c r="I153">
        <v>71.01</v>
      </c>
      <c r="J153" t="inlineStr">
        <is>
          <t>{"id":"chatcmpl-DYj0Tw6LAisX96WCMgr8iXYMDFSG3","object":"chat.completion","created":1777168529,"model":"gpt-5-chat-2025-10-03","choices":[{"index":0,"message":{"role":"assistant","content":"Louis Vuitton Grey Monogram Leather Belt Gold Buckle","refusal":null,"annotations":[]},"logprobs":null,"finish_reason":"stop"}],"usage":{"prompt_tokens":875,"completion_tokens":11,"total_tokens":886,"prompt_tokens_details":{"cached_tokens":0,"audio_tokens":0},"completion_tokens_details":{"reasoning_tokens":0,"audio_tokens":0,"accepted_prediction_tokens":0,"rejected_prediction_tokens":0}},"service_tier":"default","system_fingerprint":"fp_ad66631dec"}</t>
        </is>
      </c>
      <c r="K153" t="inlineStr">
        <is>
          <t>Louis Vuitton Grey Monogram Leather Belt Gold Buckle</t>
        </is>
      </c>
      <c r="L153" t="inlineStr">
        <is>
          <t>{"id":"chatcmpl-DYiKLPIn047fTUF7vJjIlMfI1KE2I","object":"chat.completion","created":1777165917,"model":"gpt-5-chat-2025-10-03","choices":[{"index":0,"message":{"role":"assistant","content":"Louis Vuitton Grey Monogram Embossed Leather Belt with Gold LV Buckle, luxury minimalist design, durable premium cowhide for men and women, perfect for daily or business style.","refusal":null,"annotations":[]},"logprobs":null,"finish_reason":"stop"}],"usage":{"prompt_tokens":908,"completion_tokens":37,"total_tokens":945,"prompt_tokens_details":{"cached_tokens":0,"audio_tokens":0},"completion_tokens_details":{"reasoning_tokens":0,"audio_tokens":0,"accepted_prediction_tokens":0,"rejected_prediction_tokens":0}},"service_tier":"default","system_fingerprint":"fp_ad66631dec"}</t>
        </is>
      </c>
      <c r="M153" t="inlineStr">
        <is>
          <t>{"alt-svc":"h3=\":443\"; ma=2592000","apim-request-id":"c0a73c5a-2d3b-4a3a-94d8-532b772d0589","azureml-model-session":"d20260405225800-40f19e54","cache-control":"no-cache","connection":"close","content-length":"984","content-type":"application/json","date":"Sun, 26 Apr 2026 01:11:58 GMT","server":"Caddy","skip-error-remapping":"true","strict-transport-security":"max-age=31536000; includeSubDomains; preload","x-content-type-options":"nosniff","x-ms-client-request-id":"Not-Set","x-ms-is-spilled-over":"false","x-ms-rai-invoked":"false","x-ms-region":"East US","x-new-api-version":"0.4.35","x-oneapi-request-id":"202604260111559840959018268d9d6FoTqYMGn","x-ratelimit-abusepenalty-active":"False","x-ratelimit-limit-requests":"1000","x-ratelimit-limit-tokens":"1000000","x-ratelimit-remaining-requests":"999","x-ratelimit-remaining-tokens":"998330","x-ratelimit-renewalperiod-requests":"60","x-ratelimit-renewalperiod-tokens":"60","x-ratelimit-reset-requests":"60","x-ratelimit-reset-tokens":"100","x-request-id":"1d7c0aad-a262-4f49-9856-be992960f6be"}</t>
        </is>
      </c>
      <c r="N153" t="inlineStr">
        <is>
          <t>Louis Vuitton Grey Monogram Embossed Leather Belt with Gold LV Buckle, luxury minimalist design, durable premium cowhide for men and women, perfect for daily or business style.</t>
        </is>
      </c>
      <c r="O153" t="inlineStr">
        <is>
          <t>{"id":"chatcmpl-DYiWAKHH7z1FWglB7bBRopE2QIesY","object":"chat.completion","created":1777166650,"model":"gpt-5-chat-2025-10-03","choices":[{"index":0,"message":{"role":"assistant","content":"Louis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3" t="inlineStr">
        <is>
          <t>Louis Vuitton, Accessories, kakobuy, kakebuy2026, kekobuysheet, kakobuysheet2026, 2026kakobuy, kakobuyspreadsheeet, kakobuylink, kakebuylist, Kakobuy MEGA Spreadsheet, kakobuysheetfind, kakobuysheetfind2026, 2026kakobuysheetfind, kakobuysheet2026</t>
        </is>
      </c>
      <c r="Q153" t="inlineStr">
        <is>
          <t>LV, Leather, Grey, Gold, Minimalist, Men's And Women's</t>
        </is>
      </c>
      <c r="R153" t="inlineStr">
        <is>
          <t>recvhju1CrrN3v</t>
        </is>
      </c>
      <c r="S153" t="inlineStr">
        <is>
          <t>louis-vuitton-grey-monogram-leather-belt-gold-buckle-recvhju1crrn3vv</t>
        </is>
      </c>
      <c r="T153"/>
      <c r="U153"/>
      <c r="V153"/>
      <c r="W153" t="inlineStr">
        <is>
          <t>{"id":"chatcmpl-DYhp299FjFeLJ18kc9DpOElE71J1U","object":"chat.completion","created":1777163976,"model":"gpt-5-chat-2025-10-03","choices":[{"index":0,"message":{"role":"assistant","content":"Louis Vuitton：灰色Monogram压纹皮革腰带，金色LV金属扣设计，细节彰显低调奢华。简约现代风格，精选进口牛皮材质，坚韧耐用兼具质感，适合男女通用日常或商务造型，尽显品牌优雅格调。","refusal":null,"annotations":[]},"logprobs":null,"finish_reason":"stop"}],"usage":{"prompt_tokens":1297,"completion_tokens":76,"total_tokens":1373,"prompt_tokens_details":{"cached_tokens":0,"audio_tokens":0},"completion_tokens_details":{"reasoning_tokens":0,"audio_tokens":0,"accepted_prediction_tokens":0,"rejected_prediction_tokens":0}},"service_tier":"default","system_fingerprint":"fp_ad66631dec"}</t>
        </is>
      </c>
      <c r="X153" t="inlineStr">
        <is>
          <t>Louis Vuitton：灰色Monogram压纹皮革腰带，金色LV金属扣设计，细节彰显低调奢华。简约现代风格，精选进口牛皮材质，坚韧耐用兼具质感，适合男女通用日常或商务造型，尽显品牌优雅格调。</t>
        </is>
      </c>
    </row>
    <row r="154" ht="25.5" customHeight="1">
      <c r="A154">
        <v>1654975475</v>
      </c>
      <c r="B154">
        <v>7622111768</v>
      </c>
      <c r="C154" s="2" t="str">
        <f>=HYPERLINK("https://weidian.com/item.html?itemID=7622111768", "https://weidian.com/item.html?itemID=7622111768")</f>
        <v>https://weidian.com/item.html?itemID=7622111768</v>
      </c>
      <c r="D154"/>
      <c r="E154" s="2" t="str">
        <f>=HYPERLINK("https://si.geilicdn.com/pcitem2014204438-6a730000019acae4fd3f0a2103bd_1440_1920.jpg?w=640&amp;h=640", "https://si.geilicdn.com/pcitem2014204438-6a730000019acae4fd3f0a2103bd_1440_1920.jpg?w=640&amp;h=640")</f>
        <v>https://si.geilicdn.com/pcitem2014204438-6a730000019acae4fd3f0a2103bd_1440_1920.jpg?w=640&amp;h=640</v>
      </c>
      <c r="F154" t="inlineStr">
        <is>
          <t>Accessories</t>
        </is>
      </c>
      <c r="G154" t="inlineStr">
        <is>
          <t>Louis Vuitton</t>
        </is>
      </c>
      <c r="H154">
        <v>460</v>
      </c>
      <c r="I154">
        <v>66.67</v>
      </c>
      <c r="J154" t="inlineStr">
        <is>
          <t>{"id":"chatcmpl-DYixQdIOE7RuIQsxY07iqFNuG3zNf","object":"chat.completion","created":1777168340,"model":"gpt-5-chat-2025-10-03","choices":[{"index":0,"message":{"role":"assistant","content":"Louis Vuitton Men Black Leather Belt Silver Buckle","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154" t="inlineStr">
        <is>
          <t>Louis Vuitton Men Black Leather Belt Silver Buckle</t>
        </is>
      </c>
      <c r="L154" t="inlineStr">
        <is>
          <t>{"id":"chatcmpl-DYiCnW4qUw0SIkdfKjoSTd66oC7D1","object":"chat.completion","created":1777165449,"model":"gpt-5-chat-2025-10-03","choices":[{"index":0,"message":{"role":"assistant","content":"Louis Vuitton classic black men’s leather belt crafted from textured calfskin with a sleek silver buckle, exuding refined craftsmanship and modern gentleman elegance for business and casual style.","refusal":null,"annotations":[]},"logprobs":null,"finish_reason":"stop"}],"usage":{"prompt_tokens":892,"completion_tokens":34,"total_tokens":926,"prompt_tokens_details":{"cached_tokens":0,"audio_tokens":0},"completion_tokens_details":{"reasoning_tokens":0,"audio_tokens":0,"accepted_prediction_tokens":0,"rejected_prediction_tokens":0}},"service_tier":"default","system_fingerprint":"fp_ad66631dec"}</t>
        </is>
      </c>
      <c r="M154" t="inlineStr">
        <is>
          <t>{"alt-svc":"h3=\":443\"; ma=2592000","apim-request-id":"70bb05e3-0cbd-42cb-9998-f17561437a65","azureml-model-session":"d20260405225800-40f19e54","cache-control":"no-cache","connection":"close","content-length":"1006","content-type":"application/json","date":"Sun, 26 Apr 2026 01:04:10 GMT","server":"Caddy","skip-error-remapping":"true","strict-transport-security":"max-age=31536000; includeSubDomains; preload","x-content-type-options":"nosniff","x-ms-client-request-id":"Not-Set","x-ms-is-spilled-over":"false","x-ms-rai-invoked":"false","x-ms-region":"East US","x-new-api-version":"0.4.35","x-oneapi-request-id":"202604260104083240972308268d9d6VhgxCDNh","x-ratelimit-abusepenalty-active":"False","x-ratelimit-limit-requests":"1000","x-ratelimit-limit-tokens":"1000000","x-ratelimit-remaining-requests":"999","x-ratelimit-remaining-tokens":"998346","x-ratelimit-renewalperiod-requests":"60","x-ratelimit-renewalperiod-tokens":"60","x-ratelimit-reset-requests":"60","x-ratelimit-reset-tokens":"99","x-request-id":"56a66848-ee69-4db3-ba89-a541a64dcc8a"}</t>
        </is>
      </c>
      <c r="N154" t="inlineStr">
        <is>
          <t>Louis Vuitton classic black men’s leather belt crafted from textured calfskin with a sleek silver buckle, exuding refined craftsmanship and modern gentleman elegance for business and casual style.</t>
        </is>
      </c>
      <c r="O154" t="inlineStr">
        <is>
          <t>{"id":"chatcmpl-DYiYuYEYv3eQwShDP6unyPzpaIJ0f","object":"chat.completion","created":1777166820,"model":"gpt-5-chat-2025-10-03","choices":[{"index":0,"message":{"role":"assistant","content":"Louis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4" t="inlineStr">
        <is>
          <t>Louis Vuitton, Accessories, kakobuy, kakebuy2026, kekobuysheet, kakobuysheet2026, 2026kakobuy, kakobuyspreadsheeet, kakobuylink, kakebuylist, Kakobuy MEGA Spreadsheet, kakobuysheetfind, kakobuysheetfind2026, 2026kakobuysheetfind, kakobuysheet2026</t>
        </is>
      </c>
      <c r="Q154" t="inlineStr">
        <is>
          <t>LV, Leather, Black, Silver, Business, Men</t>
        </is>
      </c>
      <c r="R154" t="inlineStr">
        <is>
          <t>recvhju1CrDT8J</t>
        </is>
      </c>
      <c r="S154" t="inlineStr">
        <is>
          <t>louis-vuitton-men-black-leather-belt-silver-buckle-recvhju1crdt8j</t>
        </is>
      </c>
      <c r="T154"/>
      <c r="U154"/>
      <c r="V154"/>
      <c r="W154" t="inlineStr">
        <is>
          <t>{"id":"chatcmpl-DYhozr0VLXIFIfP9mZCZ4AnU9cTF7","object":"chat.completion","created":1777163973,"model":"gpt-5-chat-2025-10-03","choices":[{"index":0,"message":{"role":"assistant","content":"Louis Vuitton：经典系列黑色男士皮质腰带，甄选颗粒纹牛皮材质搭配银色金属扣设计，简约优雅商务风格，彰显品牌精致工艺与现代绅士品味。","refusal":null,"annotations":[]},"logprobs":null,"finish_reason":"stop"}],"usage":{"prompt_tokens":1303,"completion_tokens":57,"total_tokens":1360,"prompt_tokens_details":{"cached_tokens":0,"audio_tokens":0},"completion_tokens_details":{"reasoning_tokens":0,"audio_tokens":0,"accepted_prediction_tokens":0,"rejected_prediction_tokens":0}},"service_tier":"default","system_fingerprint":"fp_ad66631dec"}</t>
        </is>
      </c>
      <c r="X154" t="inlineStr">
        <is>
          <t>Louis Vuitton：经典系列黑色男士皮质腰带，甄选颗粒纹牛皮材质搭配银色金属扣设计，简约优雅商务风格，彰显品牌精致工艺与现代绅士品味。</t>
        </is>
      </c>
    </row>
    <row r="155" ht="25.5" customHeight="1">
      <c r="A155">
        <v>1654975475</v>
      </c>
      <c r="B155">
        <v>7622035042</v>
      </c>
      <c r="C155" s="2" t="str">
        <f>=HYPERLINK("https://weidian.com/item.html?itemID=7622035042", "https://weidian.com/item.html?itemID=7622035042")</f>
        <v>https://weidian.com/item.html?itemID=7622035042</v>
      </c>
      <c r="D155"/>
      <c r="E155" s="2" t="str">
        <f>=HYPERLINK("https://si.geilicdn.com/pcitem2014204438-48330000019acb0be0880a239846_1440_1920.jpg?w=640&amp;h=640", "https://si.geilicdn.com/pcitem2014204438-48330000019acb0be0880a239846_1440_1920.jpg?w=640&amp;h=640")</f>
        <v>https://si.geilicdn.com/pcitem2014204438-48330000019acb0be0880a239846_1440_1920.jpg?w=640&amp;h=640</v>
      </c>
      <c r="F155" t="inlineStr">
        <is>
          <t>Accessories</t>
        </is>
      </c>
      <c r="G155" t="inlineStr">
        <is>
          <t>Gucci</t>
        </is>
      </c>
      <c r="H155">
        <v>460</v>
      </c>
      <c r="I155">
        <v>66.67</v>
      </c>
      <c r="J155" t="inlineStr">
        <is>
          <t>{"id":"chatcmpl-DYj38dt1vn4Y59EHnDojkLRZa7CUw","object":"chat.completion","created":1777168694,"model":"gpt-5-chat-2025-10-03","choices":[{"index":0,"message":{"role":"assistant","content":"Gucci GG Supreme Beige Leather Belt Gold Buckle","refusal":null,"annotations":[]},"logprobs":null,"finish_reason":"stop"}],"usage":{"prompt_tokens":869,"completion_tokens":11,"total_tokens":880,"prompt_tokens_details":{"cached_tokens":0,"audio_tokens":0},"completion_tokens_details":{"reasoning_tokens":0,"audio_tokens":0,"accepted_prediction_tokens":0,"rejected_prediction_tokens":0}},"service_tier":"default","system_fingerprint":"fp_ad66631dec"}</t>
        </is>
      </c>
      <c r="K155" t="inlineStr">
        <is>
          <t>Gucci GG Supreme Beige Leather Belt Gold Buckle</t>
        </is>
      </c>
      <c r="L155" t="inlineStr">
        <is>
          <t>{"id":"chatcmpl-DYiJu9DfNx29xwshXJZJnnYmYnz7S","object":"chat.completion","created":1777165890,"model":"gpt-5-chat-2025-10-03","choices":[{"index":0,"message":{"role":"assistant","content":"Gucci GG Supreme Beige Leather Belt with Gold Double G Round Buckle, a classic unisex accessory that blends vintage luxury with modern style, perfect for any outfit.","refusal":null,"annotations":[]},"logprobs":null,"finish_reason":"stop"}],"usage":{"prompt_tokens":878,"completion_tokens":34,"total_tokens":912,"prompt_tokens_details":{"cached_tokens":0,"audio_tokens":0},"completion_tokens_details":{"reasoning_tokens":0,"audio_tokens":0,"accepted_prediction_tokens":0,"rejected_prediction_tokens":0}},"service_tier":"default","system_fingerprint":"fp_ad66631dec"}</t>
        </is>
      </c>
      <c r="M155" t="inlineStr">
        <is>
          <t>{"alt-svc":"h3=\":443\"; ma=2592000","apim-request-id":"9f7bce94-bfb4-4335-ab4f-271c25714c1c","azureml-model-session":"d20260402084046-4209e968","cache-control":"no-cache","connection":"close","content-length":"973","content-type":"application/json","date":"Sun, 26 Apr 2026 01:11:32 GMT","server":"Caddy","skip-error-remapping":"true","strict-transport-security":"max-age=31536000; includeSubDomains; preload","x-content-type-options":"nosniff","x-ms-client-request-id":"Not-Set","x-ms-is-spilled-over":"false","x-ms-rai-invoked":"false","x-ms-region":"UK South","x-new-api-version":"0.4.35","x-oneapi-request-id":"202604260111292979531718268d9d6Qsf83r4k","x-ratelimit-abusepenalty-active":"False","x-ratelimit-limit-requests":"1000","x-ratelimit-limit-tokens":"1000000","x-ratelimit-remaining-requests":"999","x-ratelimit-remaining-tokens":"998360","x-ratelimit-renewalperiod-requests":"60","x-ratelimit-renewalperiod-tokens":"60","x-ratelimit-reset-requests":"60","x-ratelimit-reset-tokens":"98","x-request-id":"c99169c2-7aee-4ab3-8d24-25eab1bd0ce1"}</t>
        </is>
      </c>
      <c r="N155" t="inlineStr">
        <is>
          <t>Gucci GG Supreme Beige Leather Belt with Gold Double G Round Buckle, a classic unisex accessory that blends vintage luxury with modern style, perfect for any outfit.</t>
        </is>
      </c>
      <c r="O155" t="inlineStr">
        <is>
          <t>{"id":"chatcmpl-DYiSvAX1E63qtjbd5G0pjsbHZKUcD","object":"chat.completion","created":1777166449,"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55" t="inlineStr">
        <is>
          <t>Gucci,Accessories,kakobuy,kakebuy2026,kekobuysheet,kakobuysheet2026,2026kakobuy,kakobuyspreadsheeet,kakobuylink,kakebuylist,Kakobuy MEGA Spreadsheet,kakobuysheetfind,kakobuysheetfind2026,2026kakobuysheetfind,kakobuysheet2026</t>
        </is>
      </c>
      <c r="Q155" t="inlineStr">
        <is>
          <t>Leather, Beige, Gold, Classic, Unisex</t>
        </is>
      </c>
      <c r="R155" t="inlineStr">
        <is>
          <t>recvhju1CrVu78</t>
        </is>
      </c>
      <c r="S155" t="inlineStr">
        <is>
          <t>gucci-gg-supreme-beige-leather-belt-gold-buckle-recvhju1crvu78</t>
        </is>
      </c>
      <c r="T155"/>
      <c r="U155"/>
      <c r="V155"/>
      <c r="W155" t="inlineStr">
        <is>
          <t>{"id":"chatcmpl-DYhuHXHB65ij1dYVSYrOGhDdbasiY","object":"chat.completion","created":1777164301,"model":"gpt-5-chat-2025-10-03","choices":[{"index":0,"message":{"role":"assistant","content":"Gucci：经典GG Supreme米色皮革腰带，搭配金色双G圆形扣头，彰显复古奢华气质，男女皆宜，时尚百搭之选。","refusal":null,"annotations":[]},"logprobs":null,"finish_reason":"stop"}],"usage":{"prompt_tokens":1297,"completion_tokens":46,"total_tokens":1343,"prompt_tokens_details":{"cached_tokens":0,"audio_tokens":0},"completion_tokens_details":{"reasoning_tokens":0,"audio_tokens":0,"accepted_prediction_tokens":0,"rejected_prediction_tokens":0}},"service_tier":"default","system_fingerprint":"fp_ad66631dec"}</t>
        </is>
      </c>
      <c r="X155" t="inlineStr">
        <is>
          <t>Gucci：经典GG Supreme米色皮革腰带，搭配金色双G圆形扣头，彰显复古奢华气质，男女皆宜，时尚百搭之选。</t>
        </is>
      </c>
    </row>
    <row r="156" ht="25.5" customHeight="1">
      <c r="A156">
        <v>1654975475</v>
      </c>
      <c r="B156">
        <v>7619038395</v>
      </c>
      <c r="C156" s="2" t="str">
        <f>=HYPERLINK("https://weidian.com/item.html?itemID=7619038395", "https://weidian.com/item.html?itemID=7619038395")</f>
        <v>https://weidian.com/item.html?itemID=7619038395</v>
      </c>
      <c r="D156"/>
      <c r="E156" s="2" t="str">
        <f>=HYPERLINK("https://si.geilicdn.com/pcitem2014204438-26d20000019acb0e22f70a210139_1442_1922.jpg?w=640&amp;h=640", "https://si.geilicdn.com/pcitem2014204438-26d20000019acb0e22f70a210139_1442_1922.jpg?w=640&amp;h=640")</f>
        <v>https://si.geilicdn.com/pcitem2014204438-26d20000019acb0e22f70a210139_1442_1922.jpg?w=640&amp;h=640</v>
      </c>
      <c r="F156" t="inlineStr">
        <is>
          <t>Accessories</t>
        </is>
      </c>
      <c r="G156" t="inlineStr">
        <is>
          <t>Salvatore Ferragamo</t>
        </is>
      </c>
      <c r="H156">
        <v>460</v>
      </c>
      <c r="I156">
        <v>66.67</v>
      </c>
      <c r="J156" t="inlineStr">
        <is>
          <t>{"id":"chatcmpl-DYj1CLElihJKug3U1wqimSOFcFxch","object":"chat.completion","created":1777168574,"model":"gpt-5-chat-2025-10-03","choices":[{"index":0,"message":{"role":"assistant","content":"Salvatore Ferragamo Gancini Black Leather Men's Belt","refusal":null,"annotations":[]},"logprobs":null,"finish_reason":"stop"}],"usage":{"prompt_tokens":884,"completion_tokens":13,"total_tokens":897,"prompt_tokens_details":{"cached_tokens":0,"audio_tokens":0},"completion_tokens_details":{"reasoning_tokens":0,"audio_tokens":0,"accepted_prediction_tokens":0,"rejected_prediction_tokens":0}},"service_tier":"default","system_fingerprint":"fp_ad66631dec"}</t>
        </is>
      </c>
      <c r="K156" t="inlineStr">
        <is>
          <t>Salvatore Ferragamo Gancini Black Leather Men's Belt</t>
        </is>
      </c>
      <c r="L156" t="inlineStr">
        <is>
          <t>{"id":"chatcmpl-DYiCOEJiMhV9CkoRuh0P61dbwm9R2","object":"chat.completion","created":1777165424,"model":"gpt-5-chat-2025-10-03","choices":[{"index":0,"message":{"role":"assistant","content":"Salvatore Ferragamo Gancini black men's leather belt, crafted from Italian pebbled calfskin with signature double-ring buckle. Perfect for business or casual wear, exuding timeless luxury.","refusal":null,"annotations":[]},"logprobs":null,"finish_reason":"stop"}],"usage":{"prompt_tokens":903,"completion_tokens":40,"total_tokens":943,"prompt_tokens_details":{"cached_tokens":0,"audio_tokens":0},"completion_tokens_details":{"reasoning_tokens":0,"audio_tokens":0,"accepted_prediction_tokens":0,"rejected_prediction_tokens":0}},"service_tier":"default","system_fingerprint":"fp_ad66631dec"}</t>
        </is>
      </c>
      <c r="M156" t="inlineStr">
        <is>
          <t>{"alt-svc":"h3=\":443\"; ma=2592000","apim-request-id":"df4f935a-a6cb-40c4-9631-9e46a40b396f","azureml-model-session":"d20260405225800-40f19e54","cache-control":"no-cache","connection":"close","content-length":"996","content-type":"application/json","date":"Sun, 26 Apr 2026 01:03:47 GMT","server":"Caddy","skip-error-remapping":"true","strict-transport-security":"max-age=31536000; includeSubDomains; preload","x-content-type-options":"nosniff","x-ms-client-request-id":"Not-Set","x-ms-is-spilled-over":"false","x-ms-rai-invoked":"false","x-ms-region":"Australia East","x-new-api-version":"0.4.35","x-oneapi-request-id":"202604260103422423381368268d9d6t43Z6YLq","x-ratelimit-abusepenalty-active":"False","x-ratelimit-limit-requests":"1000","x-ratelimit-limit-tokens":"1000000","x-ratelimit-remaining-requests":"999","x-ratelimit-remaining-tokens":"998335","x-ratelimit-renewalperiod-requests":"60","x-ratelimit-renewalperiod-tokens":"60","x-ratelimit-reset-requests":"60","x-ratelimit-reset-tokens":"99","x-request-id":"33d029b3-1d7a-4169-85ca-f3f3003ceb9f"}</t>
        </is>
      </c>
      <c r="N156" t="inlineStr">
        <is>
          <t>Salvatore Ferragamo Gancini black men's leather belt, crafted from Italian pebbled calfskin with signature double-ring buckle. Perfect for business or casual wear, exuding timeless luxury.</t>
        </is>
      </c>
      <c r="O156" t="inlineStr">
        <is>
          <t>{"id":"chatcmpl-DYiRp0F5EaQqb6pM2SlYo3xqfFKxh","object":"chat.completion","created":1777166381,"model":"gpt-5-chat-2025-10-03","choices":[{"index":0,"message":{"role":"assistant","content":"Salvatore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56" t="inlineStr">
        <is>
          <t>Salvatore Ferragamo, Accessories, kakobuy, kakebuy2026, kekobuysheet, kakobuysheet2026, 2026kakobuy, kakobuyspreadsheeet, kakobuylink, kakebuylist, Kakobuy MEGA Spreadsheet, kakobuysheetfind, kakobuysheetfind2026, 2026kakobuysheetfind, kakobuysheet2026</t>
        </is>
      </c>
      <c r="Q156"/>
      <c r="R156" t="inlineStr">
        <is>
          <t>recvhju1Cr0AGE</t>
        </is>
      </c>
      <c r="S156" t="inlineStr">
        <is>
          <t>ferragamo-gancini-black-leather-belt-recvhju1cr0age</t>
        </is>
      </c>
      <c r="T156"/>
      <c r="U156"/>
      <c r="V156"/>
      <c r="W156" t="inlineStr">
        <is>
          <t>{"id":"chatcmpl-DYhuCkaZ72NVkIajx0dr75yq8LdmU","object":"chat.completion","created":1777164296,"model":"gpt-5-chat-2025-10-03","choices":[{"index":0,"message":{"role":"assistant","content":"Salvatore Ferragamo：Gancini系列黑色男士皮质腰带，甄选意大利荔枝纹牛皮，搭配标志性双环金属扣设计，尽显奢华格调，商务休闲皆宜，彰显绅士风范。","refusal":null,"annotations":[]},"logprobs":null,"finish_reason":"stop"}],"usage":{"prompt_tokens":1307,"completion_tokens":66,"total_tokens":1373,"prompt_tokens_details":{"cached_tokens":1280,"audio_tokens":0},"completion_tokens_details":{"reasoning_tokens":0,"audio_tokens":0,"accepted_prediction_tokens":0,"rejected_prediction_tokens":0}},"service_tier":"default","system_fingerprint":"fp_ad66631dec"}</t>
        </is>
      </c>
      <c r="X156" t="inlineStr">
        <is>
          <t>Salvatore Ferragamo：Gancini系列黑色男士皮质腰带，甄选意大利荔枝纹牛皮，搭配标志性双环金属扣设计，尽显奢华格调，商务休闲皆宜，彰显绅士风范。</t>
        </is>
      </c>
    </row>
    <row r="157" ht="25.5" customHeight="1">
      <c r="A157">
        <v>1654975475</v>
      </c>
      <c r="B157">
        <v>7619053085</v>
      </c>
      <c r="C157" s="2" t="str">
        <f>=HYPERLINK("https://weidian.com/item.html?itemID=7619053085", "https://weidian.com/item.html?itemID=7619053085")</f>
        <v>https://weidian.com/item.html?itemID=7619053085</v>
      </c>
      <c r="D157"/>
      <c r="E157" s="2" t="str">
        <f>=HYPERLINK("https://si.geilicdn.com/pcitem2014204438-5d560000019acb30dbf50a20e672_1512_2016.jpg?w=640&amp;h=640", "https://si.geilicdn.com/pcitem2014204438-5d560000019acb30dbf50a20e672_1512_2016.jpg?w=640&amp;h=640")</f>
        <v>https://si.geilicdn.com/pcitem2014204438-5d560000019acb30dbf50a20e672_1512_2016.jpg?w=640&amp;h=640</v>
      </c>
      <c r="F157" t="inlineStr">
        <is>
          <t>Accessories</t>
        </is>
      </c>
      <c r="G157" t="inlineStr">
        <is>
          <t>Louis Vuitton</t>
        </is>
      </c>
      <c r="H157">
        <v>460</v>
      </c>
      <c r="I157">
        <v>66.67</v>
      </c>
      <c r="J157" t="inlineStr">
        <is>
          <t>{"id":"chatcmpl-DYiwkjOcAwK7gS9DTZL9H2aj17eYo","object":"chat.completion","created":1777168298,"model":"gpt-5-chat-2025-10-03","choices":[{"index":0,"message":{"role":"assistant","content":"Louis Vuitton Monogram Eclipse Black Blue LV Belt","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57" t="inlineStr">
        <is>
          <t>Louis Vuitton Monogram Eclipse Black Blue LV Belt</t>
        </is>
      </c>
      <c r="L157" t="inlineStr">
        <is>
          <t>{"id":"chatcmpl-DYiGcAxlYXGnq0IcFhmngfyZlr5N8","object":"chat.completion","created":1777165686,"model":"gpt-5-chat-2025-10-03","choices":[{"index":0,"message":{"role":"assistant","content":"Louis Vuitton Monogram Eclipse black leather belt with shiny blue LV buckle, blending classic pattern and modern style for men’s urban fashion, exuding refined luxury and timeless elegance.","refusal":null,"annotations":[]},"logprobs":null,"finish_reason":"stop"}],"usage":{"prompt_tokens":886,"completion_tokens":35,"total_tokens":921,"prompt_tokens_details":{"cached_tokens":0,"audio_tokens":0},"completion_tokens_details":{"reasoning_tokens":0,"audio_tokens":0,"accepted_prediction_tokens":0,"rejected_prediction_tokens":0}},"service_tier":"default","system_fingerprint":"fp_ad66631dec"}</t>
        </is>
      </c>
      <c r="M157" t="inlineStr">
        <is>
          <t>{"alt-svc":"h3=\":443\"; ma=2592000","apim-request-id":"9b7b520b-c080-4b95-9996-e6d6715e8231","azureml-model-session":"d20260402074105-51db401e","cache-control":"no-cache","connection":"close","content-length":"999","content-type":"application/json","date":"Sun, 26 Apr 2026 01:08:08 GMT","server":"nginx","skip-error-remapping":"true","strict-transport-security":"max-age=31536000; includeSubDomains; preload","via":"1.1 Caddy","x-content-type-options":"nosniff","x-ms-client-request-id":"Not-Set","x-ms-is-spilled-over":"false","x-ms-rai-invoked":"false","x-ms-region":"Japan East","x-new-api-version":"0.4.35","x-oneapi-request-id":"202604260108058058448008268d9d6ZW3uAmv1","x-ratelimit-abusepenalty-active":"False","x-ratelimit-limit-requests":"1000","x-ratelimit-limit-tokens":"1000000","x-ratelimit-remaining-requests":"999","x-ratelimit-remaining-tokens":"997301","x-ratelimit-renewalperiod-requests":"60","x-ratelimit-renewalperiod-tokens":"60","x-ratelimit-reset-requests":"83","x-ratelimit-reset-tokens":"161","x-request-id":"0eef20fc-cd32-4d10-bee8-d614710a460c"}</t>
        </is>
      </c>
      <c r="N157" t="inlineStr">
        <is>
          <t>Louis Vuitton Monogram Eclipse black leather belt with shiny blue LV buckle, blending classic pattern and modern style for men’s urban fashion, exuding refined luxury and timeless elegance.</t>
        </is>
      </c>
      <c r="O157" t="inlineStr">
        <is>
          <t>{"id":"chatcmpl-DYiU7VcFzWJFmKefkwyIP3drb0NJC","object":"chat.completion","created":1777166523,"model":"gpt-5-chat-2025-10-03","choices":[{"index":0,"message":{"role":"assistant","content":"Louis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57" t="inlineStr">
        <is>
          <t>Louis Vuitton, Belt, kakobuy, kakebuy2026, kekobuysheet, kakobuysheet2026, 2026kakobuy, kakobuyspreadsheeet, kakobuylink, kakebuylist, Kakobuy MEGA Spreadsheet, kakobuysheetfind, kakobuysheetfind2026, 2026kakobuysheetfind, kakobuysheet2026</t>
        </is>
      </c>
      <c r="Q157" t="inlineStr">
        <is>
          <t>LV, Leather, Black, Classic, Men, Elegant</t>
        </is>
      </c>
      <c r="R157" t="inlineStr">
        <is>
          <t>recvhju1Cr4EEc</t>
        </is>
      </c>
      <c r="S157" t="inlineStr">
        <is>
          <t>lv-monogram-eclipse-black-blue-belt-recvhju1cr4eec</t>
        </is>
      </c>
      <c r="T157"/>
      <c r="U157"/>
      <c r="V157"/>
      <c r="W157" t="inlineStr">
        <is>
          <t>{"id":"chatcmpl-DYhrsBPhckp1HiAJA43ZbGwdh3TBG","object":"chat.completion","created":1777164152,"model":"gpt-5-chat-2025-10-03","choices":[{"index":0,"message":{"role":"assistant","content":"Louis Vuitton：Monogram Eclipse黑色皮革腰带，亮蓝镀金LV字母扣设计，融合经典花纹与现代质感，男士都市时尚配饰，彰显低调奢华格调。","refusal":null,"annotations":[]},"logprobs":null,"finish_reason":"stop"}],"usage":{"prompt_tokens":1301,"completion_tokens":52,"total_tokens":1353,"prompt_tokens_details":{"cached_tokens":0,"audio_tokens":0},"completion_tokens_details":{"reasoning_tokens":0,"audio_tokens":0,"accepted_prediction_tokens":0,"rejected_prediction_tokens":0}},"service_tier":"default","system_fingerprint":"fp_ad66631dec"}</t>
        </is>
      </c>
      <c r="X157" t="inlineStr">
        <is>
          <t>Louis Vuitton：Monogram Eclipse黑色皮革腰带，亮蓝镀金LV字母扣设计，融合经典花纹与现代质感，男士都市时尚配饰，彰显低调奢华格调。</t>
        </is>
      </c>
    </row>
    <row r="158" ht="25.5" customHeight="1">
      <c r="A158">
        <v>1654975475</v>
      </c>
      <c r="B158">
        <v>7618984801</v>
      </c>
      <c r="C158" s="2" t="str">
        <f>=HYPERLINK("https://weidian.com/item.html?itemID=7618984801", "https://weidian.com/item.html?itemID=7618984801")</f>
        <v>https://weidian.com/item.html?itemID=7618984801</v>
      </c>
      <c r="D158"/>
      <c r="E158" s="2" t="str">
        <f>=HYPERLINK("https://si.geilicdn.com/pcitem2014204438-278b0000019acb0030700a20e2c5_1728_2304.jpg?w=640&amp;h=640", "https://si.geilicdn.com/pcitem2014204438-278b0000019acb0030700a20e2c5_1728_2304.jpg?w=640&amp;h=640")</f>
        <v>https://si.geilicdn.com/pcitem2014204438-278b0000019acb0030700a20e2c5_1728_2304.jpg?w=640&amp;h=640</v>
      </c>
      <c r="F158" t="inlineStr">
        <is>
          <t>Accessories</t>
        </is>
      </c>
      <c r="G158" t="inlineStr">
        <is>
          <t>Gucci</t>
        </is>
      </c>
      <c r="H158">
        <v>460</v>
      </c>
      <c r="I158">
        <v>66.67</v>
      </c>
      <c r="J158" t="inlineStr">
        <is>
          <t>{"id":"chatcmpl-DYizS1IghDAHBEC5KsbIIXx67mahp","object":"chat.completion","created":1777168466,"model":"gpt-5-chat-2025-10-03","choices":[{"index":0,"message":{"role":"assistant","content":"Gucci Black Leather Belt Silver G Buckle","refusal":null,"annotations":[]},"logprobs":null,"finish_reason":"stop"}],"usage":{"prompt_tokens":869,"completion_tokens":10,"total_tokens":879,"prompt_tokens_details":{"cached_tokens":0,"audio_tokens":0},"completion_tokens_details":{"reasoning_tokens":0,"audio_tokens":0,"accepted_prediction_tokens":0,"rejected_prediction_tokens":0}},"service_tier":"default","system_fingerprint":"fp_ad66631dec"}</t>
        </is>
      </c>
      <c r="K158" t="inlineStr">
        <is>
          <t>Gucci Black Leather Belt Silver G Buckle</t>
        </is>
      </c>
      <c r="L158" t="inlineStr">
        <is>
          <t>{"id":"chatcmpl-DYiCDDdo10ghL53x6o7fZ8fttCG2o","object":"chat.completion","created":1777165413,"model":"gpt-5-chat-2025-10-03","choices":[{"index":0,"message":{"role":"assistant","content":"Gucci Black Double G Embossed Leather Belt with Silver Geometric Buckle, Unisex Luxury Fashion Accessory, Modern Italian Design for Stylish Men and Women.","refusal":null,"annotations":[]},"logprobs":null,"finish_reason":"stop"}],"usage":{"prompt_tokens":875,"completion_tokens":34,"total_tokens":909,"prompt_tokens_details":{"cached_tokens":0,"audio_tokens":0},"completion_tokens_details":{"reasoning_tokens":0,"audio_tokens":0,"accepted_prediction_tokens":0,"rejected_prediction_tokens":0}},"service_tier":"default","system_fingerprint":"fp_ad66631dec"}</t>
        </is>
      </c>
      <c r="M158" t="inlineStr">
        <is>
          <t>{"alt-svc":"h3=\":443\"; ma=2592000","apim-request-id":"48face08-3a10-469d-9035-d7f61da32f72","azureml-model-session":"d20260402074105-51db401e","cache-control":"no-cache","connection":"close","content-length":"962","content-type":"application/json","date":"Sun, 26 Apr 2026 01:03:36 GMT","server":"Caddy","skip-error-remapping":"true","strict-transport-security":"max-age=31536000; includeSubDomains; preload","x-content-type-options":"nosniff","x-ms-client-request-id":"Not-Set","x-ms-is-spilled-over":"false","x-ms-rai-invoked":"false","x-ms-region":"Korea Central","x-new-api-version":"0.4.35","x-oneapi-request-id":"202604260103329964420928268d9d6VeiJTPbb","x-ratelimit-abusepenalty-active":"False","x-ratelimit-limit-requests":"1000","x-ratelimit-limit-tokens":"1000000","x-ratelimit-remaining-requests":"999","x-ratelimit-remaining-tokens":"998363","x-ratelimit-renewalperiod-requests":"60","x-ratelimit-renewalperiod-tokens":"60","x-ratelimit-reset-requests":"60","x-ratelimit-reset-tokens":"98","x-request-id":"6b081453-827b-4bb2-a2a3-6e19e8490936"}</t>
        </is>
      </c>
      <c r="N158" t="inlineStr">
        <is>
          <t>Gucci Black Double G Embossed Leather Belt with Silver Geometric Buckle, Unisex Luxury Fashion Accessory, Modern Italian Design for Stylish Men and Women.</t>
        </is>
      </c>
      <c r="O158" t="inlineStr">
        <is>
          <t>{"id":"chatcmpl-DYiVAlGY0FK1GBgVCsN0wAyC1aeHF","object":"chat.completion","created":1777166588,"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58" t="inlineStr">
        <is>
          <t>Gucci,Belt,kakobuy,kakebuy2026,kekobuysheet,kakobuysheet2026,2026kakobuy,kakobuyspreadsheeet,kakobuylink,kakebuylist,Kakobuy MEGA Spreadsheet,kakobuysheetfind,kakobuysheetfind2026,2026kakobuysheetfind,kakobuysheet2026</t>
        </is>
      </c>
      <c r="Q158" t="inlineStr">
        <is>
          <t>Gucci Superstar, Leather, Silver, Modern, Unisex, Fashion</t>
        </is>
      </c>
      <c r="R158" t="inlineStr">
        <is>
          <t>recvhju1CrhcpJ</t>
        </is>
      </c>
      <c r="S158" t="inlineStr">
        <is>
          <t>gucci-black-leather-belt-silver-g-buckle-recvhju1crhcpj</t>
        </is>
      </c>
      <c r="T158"/>
      <c r="U158"/>
      <c r="V158"/>
      <c r="W158" t="inlineStr">
        <is>
          <t>{"id":"chatcmpl-DYhr0uK3VytMc3bA9B5RFWTwGfl5i","object":"chat.completion","created":1777164098,"model":"gpt-5-chat-2025-10-03","choices":[{"index":0,"message":{"role":"assistant","content":"Gucci: 黑色双G浮雕皮革腰带，配银色几何金属扣，奢华现代风格，男女皆宜，意大利设计精品。","refusal":null,"annotations":[]},"logprobs":null,"finish_reason":"stop"}],"usage":{"prompt_tokens":1303,"completion_tokens":40,"total_tokens":1343,"prompt_tokens_details":{"cached_tokens":0,"audio_tokens":0},"completion_tokens_details":{"reasoning_tokens":0,"audio_tokens":0,"accepted_prediction_tokens":0,"rejected_prediction_tokens":0}},"service_tier":"default","system_fingerprint":"fp_ad66631dec"}</t>
        </is>
      </c>
      <c r="X158" t="inlineStr">
        <is>
          <t>Gucci: 黑色双G浮雕皮革腰带，配银色几何金属扣，奢华现代风格，男女皆宜，意大利设计精品。</t>
        </is>
      </c>
    </row>
    <row r="159" ht="25.5" customHeight="1">
      <c r="A159">
        <v>1654975475</v>
      </c>
      <c r="B159">
        <v>7622013338</v>
      </c>
      <c r="C159" s="2" t="str">
        <f>=HYPERLINK("https://weidian.com/item.html?itemID=7622013338", "https://weidian.com/item.html?itemID=7622013338")</f>
        <v>https://weidian.com/item.html?itemID=7622013338</v>
      </c>
      <c r="D159"/>
      <c r="E159" s="2" t="str">
        <f>=HYPERLINK("https://si.geilicdn.com/pcitem2014204438-52a00000019acb2e719b0a231177_1440_1920.jpg?w=640&amp;h=640", "https://si.geilicdn.com/pcitem2014204438-52a00000019acb2e719b0a231177_1440_1920.jpg?w=640&amp;h=640")</f>
        <v>https://si.geilicdn.com/pcitem2014204438-52a00000019acb2e719b0a231177_1440_1920.jpg?w=640&amp;h=640</v>
      </c>
      <c r="F159" t="inlineStr">
        <is>
          <t>Accessories</t>
        </is>
      </c>
      <c r="G159" t="inlineStr">
        <is>
          <t>Salvatore Ferragamo</t>
        </is>
      </c>
      <c r="H159">
        <v>490</v>
      </c>
      <c r="I159">
        <v>71.01</v>
      </c>
      <c r="J159" t="inlineStr">
        <is>
          <t>{"id":"chatcmpl-DYj0h9UaQFuKWhoPiAconTu2jo7di","object":"chat.completion","created":1777168543,"model":"gpt-5-chat-2025-10-03","choices":[{"index":0,"message":{"role":"assistant","content":"Salvatore Ferragamo Men’s Black Leather Gancini Belt","refusal":null,"annotations":[]},"logprobs":null,"finish_reason":"stop"}],"usage":{"prompt_tokens":880,"completion_tokens":14,"total_tokens":894,"prompt_tokens_details":{"cached_tokens":0,"audio_tokens":0},"completion_tokens_details":{"reasoning_tokens":0,"audio_tokens":0,"accepted_prediction_tokens":0,"rejected_prediction_tokens":0}},"service_tier":"default","system_fingerprint":"fp_ad66631dec"}</t>
        </is>
      </c>
      <c r="K159" t="inlineStr">
        <is>
          <t>Salvatore Ferragamo Men’s Black Leather Gancini Belt</t>
        </is>
      </c>
      <c r="L159" t="inlineStr">
        <is>
          <t>{"id":"chatcmpl-DYiK4ArVVwS1IqflXN4s2qdALEqfe","object":"chat.completion","created":1777165900,"model":"gpt-5-chat-2025-10-03","choices":[{"index":0,"message":{"role":"assistant","content":"Salvatore Ferragamo Men's Black Leather Belt with signature Gold Gancini Buckle, crafted from fine textured calfskin, combines Italian elegance and modern luxury for business or casual wear.","refusal":null,"annotations":[]},"logprobs":null,"finish_reason":"stop"}],"usage":{"prompt_tokens":904,"completion_tokens":38,"total_tokens":942,"prompt_tokens_details":{"cached_tokens":0,"audio_tokens":0},"completion_tokens_details":{"reasoning_tokens":0,"audio_tokens":0,"accepted_prediction_tokens":0,"rejected_prediction_tokens":0}},"service_tier":"default","system_fingerprint":"fp_ad66631dec"}</t>
        </is>
      </c>
      <c r="M159" t="inlineStr">
        <is>
          <t>{"alt-svc":"h3=\":443\"; ma=2592000","apim-request-id":"7cd19b09-7e2b-4a13-891b-5df28135acb7","azureml-model-session":"d20260402084046-4209e968","cache-control":"no-cache","connection":"close","content-length":"998","content-type":"application/json","date":"Sun, 26 Apr 2026 01:11:42 GMT","server":"Caddy","skip-error-remapping":"true","strict-transport-security":"max-age=31536000; includeSubDomains; preload","x-content-type-options":"nosniff","x-ms-client-request-id":"Not-Set","x-ms-is-spilled-over":"false","x-ms-rai-invoked":"false","x-ms-region":"Sweden Central","x-new-api-version":"0.4.35","x-oneapi-request-id":"202604260111398271607998268d9d6TV7vroH9","x-ratelimit-abusepenalty-active":"False","x-ratelimit-key":"gpt-5-chat-global","x-ratelimit-limit-requests":"1000","x-ratelimit-limit-tokens":"1000000","x-ratelimit-remaining-requests":"999","x-ratelimit-remaining-tokens":"998334","x-ratelimit-renewalperiod-requests":"60","x-ratelimit-renewalperiod-tokens":"60","x-ratelimit-reset-requests":"60","x-ratelimit-reset-tokens":"99","x-request-id":"3d9dc1d4-ed3b-4b2c-9e28-3ca64fd8c6ae"}</t>
        </is>
      </c>
      <c r="N159" t="inlineStr">
        <is>
          <t>Salvatore Ferragamo Men's Black Leather Belt with signature Gold Gancini Buckle, crafted from fine textured calfskin, combines Italian elegance and modern luxury for business or casual wear.</t>
        </is>
      </c>
      <c r="O159" t="inlineStr">
        <is>
          <t>{"id":"chatcmpl-DYiWE8PDeiSKwS249Uv6YodQDoDqO","object":"chat.completion","created":1777166654,"model":"gpt-5-chat-2025-10-03","choices":[{"index":0,"message":{"role":"assistant","content":"Salvatore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59" t="inlineStr">
        <is>
          <t>Salvatore Ferragamo, Accessories, kakobuy, kakebuy2026, kekobuysheet, kakobuysheet2026, 2026kakobuy, kakobuyspreadsheeet, kakobuylink, kakebuylist, Kakobuy MEGA Spreadsheet, kakobuysheetfind, kakobuysheetfind2026, 2026kakobuysheetfind, kakobuysheet2026</t>
        </is>
      </c>
      <c r="Q159"/>
      <c r="R159" t="inlineStr">
        <is>
          <t>recvhju1Cra81n</t>
        </is>
      </c>
      <c r="S159" t="inlineStr">
        <is>
          <t>ferragamo-black-leather-gancini-belt-recvhju1cra81n</t>
        </is>
      </c>
      <c r="T159"/>
      <c r="U159"/>
      <c r="V159"/>
      <c r="W159" t="inlineStr">
        <is>
          <t>{"id":"chatcmpl-DYhoG0nXxFSAboC0n4vl2KreXW7zC","object":"chat.completion","created":1777163928,"model":"gpt-5-chat-2025-10-03","choices":[{"index":0,"message":{"role":"assistant","content":"Salvatore Ferragamo：黑色皮质男士腰带，甄选细纹牛皮搭配标志性金色Gancini金属扣，简约奢华设计，展现品牌意式优雅与现代格调，适合商务与休闲场合佩戴。","refusal":null,"annotations":[]},"logprobs":null,"finish_reason":"stop"}],"usage":{"prompt_tokens":1307,"completion_tokens":67,"total_tokens":1374,"prompt_tokens_details":{"cached_tokens":1280,"audio_tokens":0},"completion_tokens_details":{"reasoning_tokens":0,"audio_tokens":0,"accepted_prediction_tokens":0,"rejected_prediction_tokens":0}},"service_tier":"default","system_fingerprint":"fp_ad66631dec"}</t>
        </is>
      </c>
      <c r="X159" t="inlineStr">
        <is>
          <t>Salvatore Ferragamo：黑色皮质男士腰带，甄选细纹牛皮搭配标志性金色Gancini金属扣，简约奢华设计，展现品牌意式优雅与现代格调，适合商务与休闲场合佩戴。</t>
        </is>
      </c>
    </row>
    <row r="160" ht="25.5" customHeight="1">
      <c r="A160">
        <v>1654975475</v>
      </c>
      <c r="B160">
        <v>7622054806</v>
      </c>
      <c r="C160" s="2" t="str">
        <f>=HYPERLINK("https://weidian.com/item.html?itemID=7622054806", "https://weidian.com/item.html?itemID=7622054806")</f>
        <v>https://weidian.com/item.html?itemID=7622054806</v>
      </c>
      <c r="D160"/>
      <c r="E160" s="2" t="str">
        <f>=HYPERLINK("https://si.geilicdn.com/pcitem2014204438-53460000019acb06862e0a207569_1536_1536.jpg?w=640&amp;h=640", "https://si.geilicdn.com/pcitem2014204438-53460000019acb06862e0a207569_1536_1536.jpg?w=640&amp;h=640")</f>
        <v>https://si.geilicdn.com/pcitem2014204438-53460000019acb06862e0a207569_1536_1536.jpg?w=640&amp;h=640</v>
      </c>
      <c r="F160" t="inlineStr">
        <is>
          <t>Accessories</t>
        </is>
      </c>
      <c r="G160" t="inlineStr">
        <is>
          <t>Dior</t>
        </is>
      </c>
      <c r="H160">
        <v>460</v>
      </c>
      <c r="I160">
        <v>66.67</v>
      </c>
      <c r="J160" t="inlineStr">
        <is>
          <t>{"id":"chatcmpl-DYj1lQetNQd47MjendKeWyJ2IDeUV","object":"chat.completion","created":1777168609,"model":"gpt-5-chat-2025-10-03","choices":[{"index":0,"message":{"role":"assistant","content":"Dior Black Leather Belt Gold Buckle Luxury Fashion","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60" t="inlineStr">
        <is>
          <t>Dior Black Leather Belt Gold Buckle Luxury Fashion</t>
        </is>
      </c>
      <c r="L160" t="inlineStr">
        <is>
          <t>{"id":"chatcmpl-DYiJAKGPH4arB6wySzimyoX45f8mu","object":"chat.completion","created":1777165844,"model":"gpt-5-chat-2025-10-03","choices":[{"index":0,"message":{"role":"assistant","content":"Dior Black Luxury Leather Belt with Gold Metal Letter Buckle, Modern Elegant Design, Unisex Fashion Accessory, Simple Yet Sophisticated Style for Everyday and Formal Wear.","refusal":null,"annotations":[]},"logprobs":null,"finish_reason":"stop"}],"usage":{"prompt_tokens":877,"completion_tokens":35,"total_tokens":912,"prompt_tokens_details":{"cached_tokens":0,"audio_tokens":0},"completion_tokens_details":{"reasoning_tokens":0,"audio_tokens":0,"accepted_prediction_tokens":0,"rejected_prediction_tokens":0}},"service_tier":"default","system_fingerprint":"fp_ad66631dec"}</t>
        </is>
      </c>
      <c r="M160" t="inlineStr">
        <is>
          <t>{"alt-svc":"h3=\":443\"; ma=2592000","apim-request-id":"a0ba3447-dadd-4cb8-8710-792917c7341d","azureml-model-session":"d20260405225800-40f19e54","cache-control":"no-cache","connection":"close","content-length":"979","content-type":"application/json","date":"Sun, 26 Apr 2026 01:10:46 GMT","server":"nginx","skip-error-remapping":"true","strict-transport-security":"max-age=31536000; includeSubDomains; preload","via":"1.1 Caddy","x-content-type-options":"nosniff","x-ms-client-request-id":"Not-Set","x-ms-is-spilled-over":"false","x-ms-rai-invoked":"false","x-ms-region":"Korea Central","x-new-api-version":"0.4.35","x-oneapi-request-id":"202604260110439151947648268d9d6piAhkw2p","x-ratelimit-abusepenalty-active":"False","x-ratelimit-limit-requests":"1000","x-ratelimit-limit-tokens":"1000000","x-ratelimit-remaining-requests":"999","x-ratelimit-remaining-tokens":"998361","x-ratelimit-renewalperiod-requests":"60","x-ratelimit-renewalperiod-tokens":"60","x-ratelimit-reset-requests":"60","x-ratelimit-reset-tokens":"98","x-request-id":"b110db81-5bcd-47d5-af6b-7b2244e38324"}</t>
        </is>
      </c>
      <c r="N160" t="inlineStr">
        <is>
          <t>Dior Black Luxury Leather Belt with Gold Metal Letter Buckle, Modern Elegant Design, Unisex Fashion Accessory, Simple Yet Sophisticated Style for Everyday and Formal Wear.</t>
        </is>
      </c>
      <c r="O160" t="inlineStr">
        <is>
          <t>{"id":"chatcmpl-DYiTBvH99Oy1EzPZ16wlcbIBd0YoT","object":"chat.completion","created":1777166465,"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0" t="inlineStr">
        <is>
          <t>Dior,Belt,kakobuy,kakebuy2026,kekobuysheet,kakobuysheet2026,2026kakobuy,kakobuyspreadsheeet,kakobuylink,kakebuylist,Kakobuy MEGA Spreadsheet,kakobuysheetfind,kakobuysheetfind2026,2026kakobuysheetfind,kakobuysheet2026</t>
        </is>
      </c>
      <c r="Q160" t="inlineStr">
        <is>
          <t>Dior, Black, Gold, Modern, Elegant, Unisex</t>
        </is>
      </c>
      <c r="R160" t="inlineStr">
        <is>
          <t>recvhju1CroHDU</t>
        </is>
      </c>
      <c r="S160" t="inlineStr">
        <is>
          <t>dior-black-leather-belt-gold-buckle-recvhju1crohdu</t>
        </is>
      </c>
      <c r="T160"/>
      <c r="U160"/>
      <c r="V160"/>
      <c r="W160" t="inlineStr">
        <is>
          <t>{"id":"chatcmpl-DYhvUkkxqxWtoxk7WUqFcVwqPGjek","object":"chat.completion","created":1777164376,"model":"gpt-5-chat-2025-10-03","choices":[{"index":0,"message":{"role":"assistant","content":"Dior：黑色奢华皮革腰带，金色金属字母扣设计，彰显现代优雅格调，男女皆宜，简约又不失高贵质感。","refusal":null,"annotations":[]},"logprobs":null,"finish_reason":"stop"}],"usage":{"prompt_tokens":1297,"completion_tokens":45,"total_tokens":1342,"prompt_tokens_details":{"cached_tokens":0,"audio_tokens":0},"completion_tokens_details":{"reasoning_tokens":0,"audio_tokens":0,"accepted_prediction_tokens":0,"rejected_prediction_tokens":0}},"service_tier":"default","system_fingerprint":"fp_ad66631dec"}</t>
        </is>
      </c>
      <c r="X160" t="inlineStr">
        <is>
          <t>Dior：黑色奢华皮革腰带，金色金属字母扣设计，彰显现代优雅格调，男女皆宜，简约又不失高贵质感。</t>
        </is>
      </c>
    </row>
    <row r="161" ht="25.5" customHeight="1">
      <c r="A161">
        <v>1654975475</v>
      </c>
      <c r="B161">
        <v>7621968782</v>
      </c>
      <c r="C161" s="2" t="str">
        <f>=HYPERLINK("https://weidian.com/item.html?itemID=7621968782", "https://weidian.com/item.html?itemID=7621968782")</f>
        <v>https://weidian.com/item.html?itemID=7621968782</v>
      </c>
      <c r="D161"/>
      <c r="E161" s="2" t="str">
        <f>=HYPERLINK("https://si.geilicdn.com/pcitem2014204438-578e0000019acb37008a0a231177_1074_1074.jpg?w=640&amp;h=640", "https://si.geilicdn.com/pcitem2014204438-578e0000019acb37008a0a231177_1074_1074.jpg?w=640&amp;h=640")</f>
        <v>https://si.geilicdn.com/pcitem2014204438-578e0000019acb37008a0a231177_1074_1074.jpg?w=640&amp;h=640</v>
      </c>
      <c r="F161" t="inlineStr">
        <is>
          <t>Accessories</t>
        </is>
      </c>
      <c r="G161" t="inlineStr">
        <is>
          <t>Gucci</t>
        </is>
      </c>
      <c r="H161">
        <v>460</v>
      </c>
      <c r="I161">
        <v>66.67</v>
      </c>
      <c r="J161" t="inlineStr">
        <is>
          <t>{"id":"chatcmpl-DYixWWrSwPp5iK5vrfz8EBMCARglb","object":"chat.completion","created":1777168346,"model":"gpt-5-chat-2025-10-03","choices":[{"index":0,"message":{"role":"assistant","content":"Gucci Black Double G Leather Belt Unisex Fashion","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61" t="inlineStr">
        <is>
          <t>Gucci Black Double G Leather Belt Unisex Fashion</t>
        </is>
      </c>
      <c r="L161" t="inlineStr">
        <is>
          <t>{"id":"chatcmpl-DYiGQaqCPpUcFhkJoDP5aBiOy7RzB","object":"chat.completion","created":1777165674,"model":"gpt-5-chat-2025-10-03","choices":[{"index":0,"message":{"role":"assistant","content":"Gucci Black Double G Leather Belt – crafted from premium cowhide with a matte round buckle, this unisex accessory embodies modern minimalist style, perfect for contemporary urban fashion.","refusal":null,"annotations":[]},"logprobs":null,"finish_reason":"stop"}],"usage":{"prompt_tokens":891,"completion_tokens":35,"total_tokens":926,"prompt_tokens_details":{"cached_tokens":0,"audio_tokens":0},"completion_tokens_details":{"reasoning_tokens":0,"audio_tokens":0,"accepted_prediction_tokens":0,"rejected_prediction_tokens":0}},"service_tier":"default","system_fingerprint":"fp_ad66631dec"}</t>
        </is>
      </c>
      <c r="M161" t="inlineStr">
        <is>
          <t>{"alt-svc":"h3=\":443\"; ma=2592000","apim-request-id":"f8a44af9-4ea6-416e-a916-f457af12bcf3","azureml-model-session":"d20260405225800-40f19e54","cache-control":"no-cache","connection":"close","content-length":"997","content-type":"application/json","date":"Sun, 26 Apr 2026 01:07:56 GMT","server":"nginx","skip-error-remapping":"true","strict-transport-security":"max-age=31536000; includeSubDomains; preload","via":"1.1 Caddy","x-content-type-options":"nosniff","x-ms-client-request-id":"Not-Set","x-ms-is-spilled-over":"false","x-ms-rai-invoked":"false","x-ms-region":"Korea Central","x-new-api-version":"0.4.35","x-oneapi-request-id":"202604260107534002362678268d9d6JSoHZOaJ","x-ratelimit-abusepenalty-active":"False","x-ratelimit-limit-requests":"1000","x-ratelimit-limit-tokens":"1000000","x-ratelimit-remaining-requests":"999","x-ratelimit-remaining-tokens":"998347","x-ratelimit-renewalperiod-requests":"60","x-ratelimit-renewalperiod-tokens":"60","x-ratelimit-reset-requests":"60","x-ratelimit-reset-tokens":"99","x-request-id":"d240b67e-a720-4432-8bf0-595d0a756caa"}</t>
        </is>
      </c>
      <c r="N161" t="inlineStr">
        <is>
          <t>Gucci Black Double G Leather Belt – crafted from premium cowhide with a matte round buckle, this unisex accessory embodies modern minimalist style, perfect for contemporary urban fashion.</t>
        </is>
      </c>
      <c r="O161" t="inlineStr">
        <is>
          <t>{"id":"chatcmpl-DYiVNBnVY64rKCujTDVaTM9fHsO5B","object":"chat.completion","created":1777166601,"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1" t="inlineStr">
        <is>
          <t>Gucci,Accessories,kakobuy,kakebuy2026,kekobuysheet,kakobuysheet2026,2026kakobuy,kakobuyspreadsheeet,kakobuylink,kakebuylist,Kakobuy MEGA Spreadsheet,kakobuysheetfind,kakobuysheetfind2026,2026kakobuysheetfind,kakobuysheet2026</t>
        </is>
      </c>
      <c r="Q161" t="inlineStr">
        <is>
          <t>Black, Cowhide, Leather, Minimalist, Contemporary, Unisex</t>
        </is>
      </c>
      <c r="R161" t="inlineStr">
        <is>
          <t>recvhju1CrzuIY</t>
        </is>
      </c>
      <c r="S161" t="inlineStr">
        <is>
          <t>gucci-black-double-g-leather-belt-recvhju1crzuiy</t>
        </is>
      </c>
      <c r="T161"/>
      <c r="U161"/>
      <c r="V161"/>
      <c r="W161" t="inlineStr">
        <is>
          <t>{"id":"chatcmpl-DYhpK1hcgi2FIfMv8YtKgXVHxa32h","object":"chat.completion","created":1777163994,"model":"gpt-5-chat-2025-10-03","choices":[{"index":0,"message":{"role":"assistant","content":"Gucci：黑色双G标志皮革腰带，甄选细腻牛皮材质，简约圆形哑光扣设计，彰显现代极简风格，男女皆宜，适合当代都市时尚穿搭。","refusal":null,"annotations":[]},"logprobs":null,"finish_reason":"stop"}],"usage":{"prompt_tokens":1299,"completion_tokens":58,"total_tokens":1357,"prompt_tokens_details":{"cached_tokens":0,"audio_tokens":0},"completion_tokens_details":{"reasoning_tokens":0,"audio_tokens":0,"accepted_prediction_tokens":0,"rejected_prediction_tokens":0}},"service_tier":"default","system_fingerprint":"fp_ad66631dec"}</t>
        </is>
      </c>
      <c r="X161" t="inlineStr">
        <is>
          <t>Gucci：黑色双G标志皮革腰带，甄选细腻牛皮材质，简约圆形哑光扣设计，彰显现代极简风格，男女皆宜，适合当代都市时尚穿搭。</t>
        </is>
      </c>
    </row>
    <row r="162" ht="25.5" customHeight="1">
      <c r="A162">
        <v>1654975475</v>
      </c>
      <c r="B162">
        <v>7619060833</v>
      </c>
      <c r="C162" s="2" t="str">
        <f>=HYPERLINK("https://weidian.com/item.html?itemID=7619060833", "https://weidian.com/item.html?itemID=7619060833")</f>
        <v>https://weidian.com/item.html?itemID=7619060833</v>
      </c>
      <c r="D162"/>
      <c r="E162" s="2" t="str">
        <f>=HYPERLINK("https://si.geilicdn.com/pcitem2014204438-42ba0000019acae326b60a81347d_1536_1536.jpg?w=640&amp;h=640", "https://si.geilicdn.com/pcitem2014204438-42ba0000019acae326b60a81347d_1536_1536.jpg?w=640&amp;h=640")</f>
        <v>https://si.geilicdn.com/pcitem2014204438-42ba0000019acae326b60a81347d_1536_1536.jpg?w=640&amp;h=640</v>
      </c>
      <c r="F162" t="inlineStr">
        <is>
          <t>Accessories</t>
        </is>
      </c>
      <c r="G162" t="inlineStr">
        <is>
          <t>Hermes</t>
        </is>
      </c>
      <c r="H162">
        <v>460</v>
      </c>
      <c r="I162">
        <v>66.67</v>
      </c>
      <c r="J162" t="inlineStr">
        <is>
          <t>{"id":"chatcmpl-DYj0Mi5hR2shM7lQLBCU5ftJdndZw","object":"chat.completion","created":1777168522,"model":"gpt-5-chat-2025-10-03","choices":[{"index":0,"message":{"role":"assistant","content":"Hermes Classic H Buckle Black Leather Men's Belt","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62" t="inlineStr">
        <is>
          <t>Hermes Classic H Buckle Black Leather Men's Belt</t>
        </is>
      </c>
      <c r="L162" t="inlineStr">
        <is>
          <t>{"id":"chatcmpl-DYiEL3MtZBTmMSNgj07LbYCKOddcj","object":"chat.completion","created":1777165545,"model":"gpt-5-chat-2025-10-03","choices":[{"index":0,"message":{"role":"assistant","content":"Hermès Classic H Buckle Black Leather Belt, crafted from premium grained calfskin with a matte metal buckle, exuding French luxury and elegance. Perfect for business or casual wear.","refusal":null,"annotations":[]},"logprobs":null,"finish_reason":"stop"}],"usage":{"prompt_tokens":904,"completion_tokens":38,"total_tokens":942,"prompt_tokens_details":{"cached_tokens":0,"audio_tokens":0},"completion_tokens_details":{"reasoning_tokens":0,"audio_tokens":0,"accepted_prediction_tokens":0,"rejected_prediction_tokens":0}},"service_tier":"default","system_fingerprint":"fp_ad66631dec"}</t>
        </is>
      </c>
      <c r="M162" t="inlineStr">
        <is>
          <t>{"alt-svc":"h3=\":443\"; ma=2592000","apim-request-id":"011b8197-1f08-4bbb-b264-133aa3b2b3a2","azureml-model-session":"d20260402074105-51db401e","cache-control":"no-cache","connection":"close","content-length":"990","content-type":"application/json","date":"Sun, 26 Apr 2026 01:05:46 GMT","server":"nginx","skip-error-remapping":"true","strict-transport-security":"max-age=31536000; includeSubDomains; preload","via":"1.1 Caddy","x-content-type-options":"nosniff","x-ms-client-request-id":"Not-Set","x-ms-is-spilled-over":"false","x-ms-rai-invoked":"false","x-ms-region":"East US 2","x-new-api-version":"0.4.35","x-oneapi-request-id":"202604260105448441100358268d9d6ID67DF4V","x-ratelimit-abusepenalty-active":"False","x-ratelimit-limit-requests":"1000","x-ratelimit-limit-tokens":"1000000","x-ratelimit-remaining-requests":"999","x-ratelimit-remaining-tokens":"998334","x-ratelimit-renewalperiod-requests":"60","x-ratelimit-renewalperiod-tokens":"60","x-ratelimit-reset-requests":"60","x-ratelimit-reset-tokens":"99","x-request-id":"ab7bea69-3b95-45ff-95e6-b00e093c27e3"}</t>
        </is>
      </c>
      <c r="N162" t="inlineStr">
        <is>
          <t>Hermès Classic H Buckle Black Leather Belt, crafted from premium grained calfskin with a matte metal buckle, exuding French luxury and elegance. Perfect for business or casual wear.</t>
        </is>
      </c>
      <c r="O162" t="inlineStr">
        <is>
          <t>{"id":"chatcmpl-DYiXPSOOXW2OfYYAqOFrMbvLJl7GE","object":"chat.completion","created":1777166727,"model":"gpt-5-chat-2025-10-03","choices":[{"index":0,"message":{"role":"assistant","content":"Hermes,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62" t="inlineStr">
        <is>
          <t>Hermes,Belt,kakobuy,kakebuy2026,kekobuysheet,kakobuysheet2026,2026kakobuy,kakobuyspreadsheeet,kakobuylink,kakebuylist,Kakobuy MEGA Spreadsheet,kakobuysheetfind,kakobuysheetfind2026,2026kakobuysheetfind,kakobuysheet2026</t>
        </is>
      </c>
      <c r="Q162"/>
      <c r="R162" t="inlineStr">
        <is>
          <t>recvhju1CrbE77</t>
        </is>
      </c>
      <c r="S162" t="inlineStr">
        <is>
          <t>hermes-classic-h-buckle-black-leather-belt-recvhju1crbe77</t>
        </is>
      </c>
      <c r="T162"/>
      <c r="U162"/>
      <c r="V162"/>
      <c r="W162" t="inlineStr">
        <is>
          <t>{"id":"chatcmpl-DYhu6KjwXZBj5DaU0bgauPvnpJKkm","object":"chat.completion","created":1777164290,"model":"gpt-5-chat-2025-10-03","choices":[{"index":0,"message":{"role":"assistant","content":"Hermès：经典H扣黑色牛皮腰带，甄选粒面皮革质感高级，哑光金属扣设计简约大气，彰显法国奢华优雅格调，适合现代绅士商务与日常穿搭，尽显低调奢华品味。","refusal":null,"annotations":[]},"logprobs":null,"finish_reason":"stop"}],"usage":{"prompt_tokens":1299,"completion_tokens":71,"total_tokens":1370,"prompt_tokens_details":{"cached_tokens":1280,"audio_tokens":0},"completion_tokens_details":{"reasoning_tokens":0,"audio_tokens":0,"accepted_prediction_tokens":0,"rejected_prediction_tokens":0}},"service_tier":"default","system_fingerprint":"fp_ad66631dec"}</t>
        </is>
      </c>
      <c r="X162" t="inlineStr">
        <is>
          <t>Hermès：经典H扣黑色牛皮腰带，甄选粒面皮革质感高级，哑光金属扣设计简约大气，彰显法国奢华优雅格调，适合现代绅士商务与日常穿搭，尽显低调奢华品味。</t>
        </is>
      </c>
    </row>
    <row r="163" ht="25.5" customHeight="1">
      <c r="A163">
        <v>1654975475</v>
      </c>
      <c r="B163">
        <v>7622076870</v>
      </c>
      <c r="C163" s="2" t="str">
        <f>=HYPERLINK("https://weidian.com/item.html?itemID=7622076870", "https://weidian.com/item.html?itemID=7622076870")</f>
        <v>https://weidian.com/item.html?itemID=7622076870</v>
      </c>
      <c r="D163"/>
      <c r="E163" s="2" t="str">
        <f>=HYPERLINK("https://si.geilicdn.com/pcitem2014204438-67880000019acb3647da0a23038e_1074_1074.jpg?w=640&amp;h=640", "https://si.geilicdn.com/pcitem2014204438-67880000019acb3647da0a23038e_1074_1074.jpg?w=640&amp;h=640")</f>
        <v>https://si.geilicdn.com/pcitem2014204438-67880000019acb3647da0a23038e_1074_1074.jpg?w=640&amp;h=640</v>
      </c>
      <c r="F163" t="inlineStr">
        <is>
          <t>Accessories</t>
        </is>
      </c>
      <c r="G163" t="inlineStr">
        <is>
          <t>Gucci</t>
        </is>
      </c>
      <c r="H163">
        <v>460</v>
      </c>
      <c r="I163">
        <v>66.67</v>
      </c>
      <c r="J163" t="inlineStr">
        <is>
          <t>{"id":"chatcmpl-DYj1TajpHWKVvjJjoRNbG6FWLRwWC","object":"chat.completion","created":1777168591,"model":"gpt-5-chat-2025-10-03","choices":[{"index":0,"message":{"role":"assistant","content":"Gucci Classic Black Leather Belt Silver GG Buckle","refusal":null,"annotations":[]},"logprobs":null,"finish_reason":"stop"}],"usage":{"prompt_tokens":871,"completion_tokens":11,"total_tokens":882,"prompt_tokens_details":{"cached_tokens":0,"audio_tokens":0},"completion_tokens_details":{"reasoning_tokens":0,"audio_tokens":0,"accepted_prediction_tokens":0,"rejected_prediction_tokens":0}},"service_tier":"default","system_fingerprint":"fp_ad66631dec"}</t>
        </is>
      </c>
      <c r="K163" t="inlineStr">
        <is>
          <t>Gucci Classic Black Leather Belt Silver GG Buckle</t>
        </is>
      </c>
      <c r="L163" t="inlineStr">
        <is>
          <t>{"id":"chatcmpl-DYiD7hpYRMyMoK3lKZ7uLmhwe0QT6","object":"chat.completion","created":1777165469,"model":"gpt-5-chat-2025-10-03","choices":[{"index":0,"message":{"role":"assistant","content":"Gucci Classic Black Leather Belt with Silver Double G Buckle, crafted from fine cowhide, minimalistic design for modern elegance, unisex luxury accessory showcasing timeless style.","refusal":null,"annotations":[]},"logprobs":null,"finish_reason":"stop"}],"usage":{"prompt_tokens":892,"completion_tokens":35,"total_tokens":927,"prompt_tokens_details":{"cached_tokens":0,"audio_tokens":0},"completion_tokens_details":{"reasoning_tokens":0,"audio_tokens":0,"accepted_prediction_tokens":0,"rejected_prediction_tokens":0}},"service_tier":"default","system_fingerprint":"fp_ad66631dec"}</t>
        </is>
      </c>
      <c r="M163" t="inlineStr">
        <is>
          <t>{"alt-svc":"h3=\":443\"; ma=2592000","apim-request-id":"f1c21f3d-2273-4607-9f23-5d0aa6d72b62","azureml-model-session":"d20260405225800-40f19e54","cache-control":"no-cache","connection":"close","content-length":"988","content-type":"application/json","date":"Sun, 26 Apr 2026 01:04:30 GMT","server":"nginx","skip-error-remapping":"true","strict-transport-security":"max-age=31536000; includeSubDomains; preload","via":"1.1 Caddy","x-content-type-options":"nosniff","x-ms-client-request-id":"Not-Set","x-ms-is-spilled-over":"false","x-ms-rai-invoked":"false","x-ms-region":"East US 2","x-new-api-version":"0.4.35","x-oneapi-request-id":"202604260104285787839198268d9d6hav8LkAF","x-ratelimit-abusepenalty-active":"False","x-ratelimit-limit-requests":"1000","x-ratelimit-limit-tokens":"1000000","x-ratelimit-remaining-requests":"999","x-ratelimit-remaining-tokens":"998346","x-ratelimit-renewalperiod-requests":"60","x-ratelimit-renewalperiod-tokens":"60","x-ratelimit-reset-requests":"60","x-ratelimit-reset-tokens":"99","x-request-id":"0c160b63-395f-4150-82ab-27a1e54a7780"}</t>
        </is>
      </c>
      <c r="N163" t="inlineStr">
        <is>
          <t>Gucci Classic Black Leather Belt with Silver Double G Buckle, crafted from fine cowhide, minimalistic design for modern elegance, unisex luxury accessory showcasing timeless style.</t>
        </is>
      </c>
      <c r="O163" t="inlineStr">
        <is>
          <t>{"id":"chatcmpl-DYiVuATLEyYM7fQkgND4fQleeBehk","object":"chat.completion","created":1777166634,"model":"gpt-5-chat-2025-10-03","choices":[{"index":0,"message":{"role":"assistant","content":"Gucci,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3" t="inlineStr">
        <is>
          <t>Gucci, belt, kakobuy, kakebuy2026, kekobuysheet, kakobuysheet2026, 2026kakobuy, kakobuyspreadsheeet, kakobuylink, kakebuylist, Kakobuy MEGA Spreadsheet, kakobuysheetfind, kakobuysheetfind2026, 2026kakobuysheetfind, kakobuysheet2026</t>
        </is>
      </c>
      <c r="Q163" t="inlineStr">
        <is>
          <t>Black, Leather, Cowhide, Minimalist, Unisex, Silver</t>
        </is>
      </c>
      <c r="R163" t="inlineStr">
        <is>
          <t>recvhju1CrSP5C</t>
        </is>
      </c>
      <c r="S163" t="inlineStr">
        <is>
          <t>gucci-classic-black-leather-belt-silver-gg-buckle-recvhju1crsp5c</t>
        </is>
      </c>
      <c r="T163"/>
      <c r="U163"/>
      <c r="V163"/>
      <c r="W163" t="inlineStr">
        <is>
          <t>{"id":"chatcmpl-DYhtBOwwd55uRegX98FGcmRpRzIHA","object":"chat.completion","created":1777164233,"model":"gpt-5-chat-2025-10-03","choices":[{"index":0,"message":{"role":"assistant","content":"Gucci：经典系列黑色真皮腰带，采用细腻牛皮材质搭配银色双G金属扣，极简设计展现现代优雅风格，男女皆宜，彰显奢华品味与时尚格调。","refusal":null,"annotations":[]},"logprobs":null,"finish_reason":"stop"}],"usage":{"prompt_tokens":1299,"completion_tokens":59,"total_tokens":1358,"prompt_tokens_details":{"cached_tokens":0,"audio_tokens":0},"completion_tokens_details":{"reasoning_tokens":0,"audio_tokens":0,"accepted_prediction_tokens":0,"rejected_prediction_tokens":0}},"service_tier":"default","system_fingerprint":"fp_ad66631dec"}</t>
        </is>
      </c>
      <c r="X163" t="inlineStr">
        <is>
          <t>Gucci：经典系列黑色真皮腰带，采用细腻牛皮材质搭配银色双G金属扣，极简设计展现现代优雅风格，男女皆宜，彰显奢华品味与时尚格调。</t>
        </is>
      </c>
    </row>
    <row r="164" ht="25.5" customHeight="1">
      <c r="A164">
        <v>1654975475</v>
      </c>
      <c r="B164">
        <v>7619054803</v>
      </c>
      <c r="C164" s="2" t="str">
        <f>=HYPERLINK("https://weidian.com/item.html?itemID=7619054803", "https://weidian.com/item.html?itemID=7619054803")</f>
        <v>https://weidian.com/item.html?itemID=7619054803</v>
      </c>
      <c r="D164"/>
      <c r="E164" s="2" t="str">
        <f>=HYPERLINK("https://si.geilicdn.com/pcitem2014204438-38d30000019acac4baa60a23038e_1080_1080.jpg?w=640&amp;h=640", "https://si.geilicdn.com/pcitem2014204438-38d30000019acac4baa60a23038e_1080_1080.jpg?w=640&amp;h=640")</f>
        <v>https://si.geilicdn.com/pcitem2014204438-38d30000019acac4baa60a23038e_1080_1080.jpg?w=640&amp;h=640</v>
      </c>
      <c r="F164" t="inlineStr">
        <is>
          <t>Accessories</t>
        </is>
      </c>
      <c r="G164" t="inlineStr">
        <is>
          <t>Louis Vuitton</t>
        </is>
      </c>
      <c r="H164">
        <v>460</v>
      </c>
      <c r="I164">
        <v>66.67</v>
      </c>
      <c r="J164" t="inlineStr">
        <is>
          <t>{"id":"chatcmpl-DYixUuY6g6gWjUpssjRrDPuDlMX5S","object":"chat.completion","created":1777168344,"model":"gpt-5-chat-2025-10-03","choices":[{"index":0,"message":{"role":"assistant","content":"Louis Vuitton Gray Green Reversible Leather Belt","refusal":null,"annotations":[]},"logprobs":null,"finish_reason":"stop"}],"usage":{"prompt_tokens":873,"completion_tokens":9,"total_tokens":882,"prompt_tokens_details":{"cached_tokens":0,"audio_tokens":0},"completion_tokens_details":{"reasoning_tokens":0,"audio_tokens":0,"accepted_prediction_tokens":0,"rejected_prediction_tokens":0}},"service_tier":"default","system_fingerprint":"fp_ad66631dec"}</t>
        </is>
      </c>
      <c r="K164" t="inlineStr">
        <is>
          <t>Louis Vuitton Gray Green Reversible Leather Belt</t>
        </is>
      </c>
      <c r="L164" t="inlineStr">
        <is>
          <t>{"id":"chatcmpl-DYiHsHFigq01mdtwgIECMLSK87vWe","object":"chat.completion","created":1777165764,"model":"gpt-5-chat-2025-10-03","choices":[{"index":0,"message":{"role":"assistant","content":"Louis Vuitton reversible belt in gray-green grained leather with red Monogram interior and silver LV buckle. Luxurious, unisex, versatile style showcasing modern elegance and exquisite craftsmanship.","refusal":null,"annotations":[]},"logprobs":null,"finish_reason":"stop"}],"usage":{"prompt_tokens":913,"completion_tokens":36,"total_tokens":949,"prompt_tokens_details":{"cached_tokens":0,"audio_tokens":0},"completion_tokens_details":{"reasoning_tokens":0,"audio_tokens":0,"accepted_prediction_tokens":0,"rejected_prediction_tokens":0}},"service_tier":"default","system_fingerprint":"fp_ad66631dec"}</t>
        </is>
      </c>
      <c r="M164" t="inlineStr">
        <is>
          <t>{"alt-svc":"h3=\":443\"; ma=2592000","apim-request-id":"34012ea4-a8c1-4af3-8dd5-236998f5f6d7","azureml-model-session":"d20260402074105-51db401e","cache-control":"no-cache","connection":"close","content-length":"1007","content-type":"application/json","date":"Sun, 26 Apr 2026 01:09:26 GMT","server":"nginx","skip-error-remapping":"true","strict-transport-security":"max-age=31536000; includeSubDomains; preload","via":"1.1 Caddy","x-content-type-options":"nosniff","x-ms-client-request-id":"Not-Set","x-ms-is-spilled-over":"false","x-ms-rai-invoked":"false","x-ms-region":"UK South","x-new-api-version":"0.4.35","x-oneapi-request-id":"202604260109243444459018268d9d63ahbGZqp","x-ratelimit-abusepenalty-active":"False","x-ratelimit-limit-requests":"1000","x-ratelimit-limit-tokens":"1000000","x-ratelimit-remaining-requests":"999","x-ratelimit-remaining-tokens":"998325","x-ratelimit-renewalperiod-requests":"60","x-ratelimit-renewalperiod-tokens":"60","x-ratelimit-reset-requests":"60","x-ratelimit-reset-tokens":"100","x-request-id":"0b292fcc-3055-4ec1-ae51-a3480b351db0"}</t>
        </is>
      </c>
      <c r="N164" t="inlineStr">
        <is>
          <t>Louis Vuitton reversible belt in gray-green grained leather with red Monogram interior and silver LV buckle. Luxurious, unisex, versatile style showcasing modern elegance and exquisite craftsmanship.</t>
        </is>
      </c>
      <c r="O164" t="inlineStr">
        <is>
          <t>{"id":"chatcmpl-DYiUaJwtuYTNTjFewUXSOc4q3AiXm","object":"chat.completion","created":1777166552,"model":"gpt-5-chat-2025-10-03","choices":[{"index":0,"message":{"role":"assistant","content":"Louis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4" t="inlineStr">
        <is>
          <t>Louis Vuitton, Accessories, kakobuy, kakebuy2026, kekobuysheet, kakobuysheet2026, 2026kakobuy, kakobuyspreadsheeet, kakobuylink, kakebuylist, Kakobuy MEGA Spreadsheet, kakobuysheetfind, kakobuysheetfind2026, 2026kakobuysheetfind, kakobuysheet2026</t>
        </is>
      </c>
      <c r="Q164" t="inlineStr">
        <is>
          <t>LV, Grey Green, Leather, Unisex, Versatile, Modern</t>
        </is>
      </c>
      <c r="R164" t="inlineStr">
        <is>
          <t>recvhju1CrSpA3</t>
        </is>
      </c>
      <c r="S164" t="inlineStr">
        <is>
          <t>louis-vuitton-gray-green-leather-belt-recvhju1crspa3</t>
        </is>
      </c>
      <c r="T164"/>
      <c r="U164"/>
      <c r="V164"/>
      <c r="W164" t="inlineStr">
        <is>
          <t>{"id":"chatcmpl-DYhoAQef8lDbId3sLlf6TOB7mzY5d","object":"chat.completion","created":1777163922,"model":"gpt-5-chat-2025-10-03","choices":[{"index":0,"message":{"role":"assistant","content":"Louis Vuitton：灰绿色双面经典LV字母腰带，采用高级粒面皮革打造，内衬红色Monogram花纹，银色金属Logo扣设计，彰显奢华格调。时尚百搭风格，男女皆宜，兼具精致工艺与实用功能，尽显品牌现代优雅魅力。","refusal":null,"annotations":[]},"logprobs":null,"finish_reason":"stop"}],"usage":{"prompt_tokens":1299,"completion_tokens":80,"total_tokens":1379,"prompt_tokens_details":{"cached_tokens":0,"audio_tokens":0},"completion_tokens_details":{"reasoning_tokens":0,"audio_tokens":0,"accepted_prediction_tokens":0,"rejected_prediction_tokens":0}},"service_tier":"default","system_fingerprint":"fp_ad66631dec"}</t>
        </is>
      </c>
      <c r="X164" t="inlineStr">
        <is>
          <t>Louis Vuitton：灰绿色双面经典LV字母腰带，采用高级粒面皮革打造，内衬红色Monogram花纹，银色金属Logo扣设计，彰显奢华格调。时尚百搭风格，男女皆宜，兼具精致工艺与实用功能，尽显品牌现代优雅魅力。</t>
        </is>
      </c>
    </row>
    <row r="165" ht="25.5" customHeight="1">
      <c r="A165">
        <v>1654975475</v>
      </c>
      <c r="B165">
        <v>7619133709</v>
      </c>
      <c r="C165" s="2" t="str">
        <f>=HYPERLINK("https://weidian.com/item.html?itemID=7619133709", "https://weidian.com/item.html?itemID=7619133709")</f>
        <v>https://weidian.com/item.html?itemID=7619133709</v>
      </c>
      <c r="D165"/>
      <c r="E165" s="2" t="str">
        <f>=HYPERLINK("https://si.geilicdn.com/pcitem2014204438-2fb30000019acac3a83e0a2396f4_1080_1620.jpg?w=640&amp;h=640", "https://si.geilicdn.com/pcitem2014204438-2fb30000019acac3a83e0a2396f4_1080_1620.jpg?w=640&amp;h=640")</f>
        <v>https://si.geilicdn.com/pcitem2014204438-2fb30000019acac3a83e0a2396f4_1080_1620.jpg?w=640&amp;h=640</v>
      </c>
      <c r="F165" t="inlineStr">
        <is>
          <t>Accessories</t>
        </is>
      </c>
      <c r="G165" t="inlineStr">
        <is>
          <t>Hermes</t>
        </is>
      </c>
      <c r="H165">
        <v>460</v>
      </c>
      <c r="I165">
        <v>66.67</v>
      </c>
      <c r="J165" t="inlineStr">
        <is>
          <t>{"id":"chatcmpl-DYj1MJ9xxBdX9dWQwZ7dHxE5ylTfN","object":"chat.completion","created":1777168584,"model":"gpt-5-chat-2025-10-03","choices":[{"index":0,"message":{"role":"assistant","content":"Hermes Etriviere Taupe Double Wrap Calfskin Bracelet","refusal":null,"annotations":[]},"logprobs":null,"finish_reason":"stop"}],"usage":{"prompt_tokens":865,"completion_tokens":15,"total_tokens":880,"prompt_tokens_details":{"cached_tokens":0,"audio_tokens":0},"completion_tokens_details":{"reasoning_tokens":0,"audio_tokens":0,"accepted_prediction_tokens":0,"rejected_prediction_tokens":0}},"service_tier":"default","system_fingerprint":"fp_ad66631dec"}</t>
        </is>
      </c>
      <c r="K165" t="inlineStr">
        <is>
          <t>Hermes Etriviere Taupe Double Wrap Calfskin Bracelet</t>
        </is>
      </c>
      <c r="L165" t="inlineStr">
        <is>
          <t>{"id":"chatcmpl-DYiFJJd4zOkweOm39Au2aUBhp6WBv","object":"chat.completion","created":1777165605,"model":"gpt-5-chat-2025-10-03","choices":[{"index":0,"message":{"role":"assistant","content":"Hermes Etrivière taupe double-wrap calfskin bracelet with silver H buckle, showcasing French elegance, timeless craftsmanship, and unisex luxury style.","refusal":null,"annotations":[]},"logprobs":null,"finish_reason":"stop"}],"usage":{"prompt_tokens":899,"completion_tokens":32,"total_tokens":931,"prompt_tokens_details":{"cached_tokens":0,"audio_tokens":0},"completion_tokens_details":{"reasoning_tokens":0,"audio_tokens":0,"accepted_prediction_tokens":0,"rejected_prediction_tokens":0}},"service_tier":"default","system_fingerprint":"fp_ad66631dec"}</t>
        </is>
      </c>
      <c r="M165" t="inlineStr">
        <is>
          <t>{"alt-svc":"h3=\":443\"; ma=2592000","apim-request-id":"651efca3-d9a8-4166-94f1-f8cb3ea37d2a","azureml-model-session":"d20260405212659-a9daa006","cache-control":"no-cache","connection":"close","content-length":"960","content-type":"application/json","date":"Sun, 26 Apr 2026 01:06:46 GMT","server":"nginx","skip-error-remapping":"true","strict-transport-security":"max-age=31536000; includeSubDomains; preload","via":"1.1 Caddy","x-content-type-options":"nosniff","x-ms-client-request-id":"Not-Set","x-ms-is-spilled-over":"false","x-ms-rai-invoked":"false","x-ms-region":"UK South","x-new-api-version":"0.4.35","x-oneapi-request-id":"202604260106444703144168268d9d6YrhAxcJU","x-ratelimit-abusepenalty-active":"False","x-ratelimit-limit-requests":"1000","x-ratelimit-limit-tokens":"1000000","x-ratelimit-remaining-requests":"999","x-ratelimit-remaining-tokens":"998339","x-ratelimit-renewalperiod-requests":"60","x-ratelimit-renewalperiod-tokens":"60","x-ratelimit-reset-requests":"60","x-ratelimit-reset-tokens":"99","x-request-id":"6e5ac1bd-da11-4d99-b2ec-c1eb49f8a3fa"}</t>
        </is>
      </c>
      <c r="N165" t="inlineStr">
        <is>
          <t>Hermes Etrivière taupe double-wrap calfskin bracelet with silver H buckle, showcasing French elegance, timeless craftsmanship, and unisex luxury style.</t>
        </is>
      </c>
      <c r="O165" t="inlineStr">
        <is>
          <t>{"id":"chatcmpl-DYiT3O5b7zmV66ZqIRTHNOQOJgwpG","object":"chat.completion","created":1777166457,"model":"gpt-5-chat-2025-10-03","choices":[{"index":0,"message":{"role":"assistant","content":"Hermes,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5" t="inlineStr">
        <is>
          <t>Hermes, Belt, kakobuy, kakebuy2026, kekobuysheet, kakobuysheet2026, 2026kakobuy, kakobuyspreadsheeet, kakobuylink, kakebuylist, Kakobuy MEGA Spreadsheet, kakobuysheetfind, kakobuysheetfind2026, 2026kakobuysheetfind, kakobuysheet2026</t>
        </is>
      </c>
      <c r="Q165"/>
      <c r="R165" t="inlineStr">
        <is>
          <t>recvhju1CrGAC5</t>
        </is>
      </c>
      <c r="S165" t="inlineStr">
        <is>
          <t>hermes-etriviere-taupe-double-wrap-calfskin-bracelet-recvhju1crgac5</t>
        </is>
      </c>
      <c r="T165"/>
      <c r="U165"/>
      <c r="V165"/>
      <c r="W165" t="inlineStr">
        <is>
          <t>{"id":"chatcmpl-DYhtVV1teAvt9YoUMfC7e3yHjiUVS","object":"chat.completion","created":1777164253,"model":"gpt-5-chat-2025-10-03","choices":[{"index":0,"message":{"role":"assistant","content":"Hermes：Etrivière系列灰褐色双圈皮革手环，精选小牛皮材质搭配银色H字扣设计，简约优雅，展现法式精致工艺，男女皆宜，彰显低调奢华格调。","refusal":null,"annotations":[]},"logprobs":null,"finish_reason":"stop"}],"usage":{"prompt_tokens":1305,"completion_tokens":63,"total_tokens":1368,"prompt_tokens_details":{"cached_tokens":1280,"audio_tokens":0},"completion_tokens_details":{"reasoning_tokens":0,"audio_tokens":0,"accepted_prediction_tokens":0,"rejected_prediction_tokens":0}},"service_tier":"default","system_fingerprint":"fp_ad66631dec"}</t>
        </is>
      </c>
      <c r="X165" t="inlineStr">
        <is>
          <t>Hermes：Etrivière系列灰褐色双圈皮革手环，精选小牛皮材质搭配银色H字扣设计，简约优雅，展现法式精致工艺，男女皆宜，彰显低调奢华格调。</t>
        </is>
      </c>
    </row>
    <row r="166" ht="25.5" customHeight="1">
      <c r="A166">
        <v>1654975475</v>
      </c>
      <c r="B166">
        <v>7618921481</v>
      </c>
      <c r="C166" s="2" t="str">
        <f>=HYPERLINK("https://weidian.com/item.html?itemID=7618921481", "https://weidian.com/item.html?itemID=7618921481")</f>
        <v>https://weidian.com/item.html?itemID=7618921481</v>
      </c>
      <c r="D166"/>
      <c r="E166" s="2" t="str">
        <f>=HYPERLINK("https://si.geilicdn.com/pcitem2014204438-21f60000019aca79793f0a23037f_1440_1920.jpg?w=640&amp;h=640", "https://si.geilicdn.com/pcitem2014204438-21f60000019aca79793f0a23037f_1440_1920.jpg?w=640&amp;h=640")</f>
        <v>https://si.geilicdn.com/pcitem2014204438-21f60000019aca79793f0a23037f_1440_1920.jpg?w=640&amp;h=640</v>
      </c>
      <c r="F166" t="inlineStr">
        <is>
          <t>Accessories</t>
        </is>
      </c>
      <c r="G166" t="inlineStr">
        <is>
          <t>Patagonia</t>
        </is>
      </c>
      <c r="H166">
        <v>136</v>
      </c>
      <c r="I166">
        <v>19.71</v>
      </c>
      <c r="J166" t="inlineStr">
        <is>
          <t>{"id":"chatcmpl-DYj1HHxOX1ZIdocyISsJPiXSuxBDB","object":"chat.completion","created":1777168579,"model":"gpt-5-chat-2025-10-03","choices":[{"index":0,"message":{"role":"assistant","content":"Patagonia Tech Web Army Green Nylon Belt","refusal":null,"annotations":[]},"logprobs":null,"finish_reason":"stop"}],"usage":{"prompt_tokens":861,"completion_tokens":9,"total_tokens":870,"prompt_tokens_details":{"cached_tokens":0,"audio_tokens":0},"completion_tokens_details":{"reasoning_tokens":0,"audio_tokens":0,"accepted_prediction_tokens":0,"rejected_prediction_tokens":0}},"service_tier":"default","system_fingerprint":"fp_ad66631dec"}</t>
        </is>
      </c>
      <c r="K166" t="inlineStr">
        <is>
          <t>Patagonia Tech Web Army Green Nylon Belt</t>
        </is>
      </c>
      <c r="L166" t="inlineStr">
        <is>
          <t>{"id":"chatcmpl-DYiDYwvEPJc0w3alGOvb95dCio4Mc","object":"chat.completion","created":1777165496,"model":"gpt-5-chat-2025-10-03","choices":[{"index":0,"message":{"role":"assistant","content":"Patagonia Tech Web Belt in army green nylon, durable and adjustable with aluminum buckle, lightweight unisex design perfect for everyday wear and outdoor adventures.","refusal":null,"annotations":[]},"logprobs":null,"finish_reason":"stop"}],"usage":{"prompt_tokens":880,"completion_tokens":30,"total_tokens":910,"prompt_tokens_details":{"cached_tokens":0,"audio_tokens":0},"completion_tokens_details":{"reasoning_tokens":0,"audio_tokens":0,"accepted_prediction_tokens":0,"rejected_prediction_tokens":0}},"service_tier":"default","system_fingerprint":"fp_ad66631dec"}</t>
        </is>
      </c>
      <c r="M166" t="inlineStr">
        <is>
          <t>{"alt-svc":"h3=\":443\"; ma=2592000","apim-request-id":"c42e3fa3-57a9-47ce-aec5-8d89277d785e","azureml-model-session":"d20260402074105-51db401e","cache-control":"no-cache","connection":"close","content-length":"973","content-type":"application/json","date":"Sun, 26 Apr 2026 01:04:59 GMT","server":"Caddy","skip-error-remapping":"true","strict-transport-security":"max-age=31536000; includeSubDomains; preload","x-content-type-options":"nosniff","x-ms-client-request-id":"Not-Set","x-ms-is-spilled-over":"false","x-ms-rai-invoked":"false","x-ms-region":"Korea Central","x-new-api-version":"0.4.35","x-oneapi-request-id":"202604260104558353561108268d9d6klhmKp1F","x-ratelimit-abusepenalty-active":"False","x-ratelimit-limit-requests":"1000","x-ratelimit-limit-tokens":"1000000","x-ratelimit-remaining-requests":"999","x-ratelimit-remaining-tokens":"998358","x-ratelimit-renewalperiod-requests":"60","x-ratelimit-renewalperiod-tokens":"60","x-ratelimit-reset-requests":"60","x-ratelimit-reset-tokens":"98","x-request-id":"4afb3c47-984b-4437-a2e6-dc0154eb9c81"}</t>
        </is>
      </c>
      <c r="N166" t="inlineStr">
        <is>
          <t>Patagonia Tech Web Belt in army green nylon, durable and adjustable with aluminum buckle, lightweight unisex design perfect for everyday wear and outdoor adventures.</t>
        </is>
      </c>
      <c r="O166" t="inlineStr">
        <is>
          <t>{"id":"chatcmpl-DYiSdylgD2bEZZ9fa0epWQBdW6EM9","object":"chat.completion","created":1777166431,"model":"gpt-5-chat-2025-10-03","choices":[{"index":0,"message":{"role":"assistant","content":"Patagonia,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6" t="inlineStr">
        <is>
          <t>Patagonia, Accessories, kakobuy, kakebuy2026, kekobuysheet, kakobuysheet2026, 2026kakobuy, kakobuyspreadsheeet, kakobuylink, kakebuylist, Kakobuy MEGA Spreadsheet, kakobuysheetfind, kakobuysheetfind2026, 2026kakobuysheetfind, kakobuysheet2026</t>
        </is>
      </c>
      <c r="Q166" t="inlineStr">
        <is>
          <t>Nylon, Unisex, Outdoor, Lightweight</t>
        </is>
      </c>
      <c r="R166" t="inlineStr">
        <is>
          <t>recvhju1CrJz74</t>
        </is>
      </c>
      <c r="S166" t="inlineStr">
        <is>
          <t>patagonia-tech-web-army-green-nylon-belt-recvhju1crjz74</t>
        </is>
      </c>
      <c r="T166"/>
      <c r="U166"/>
      <c r="V166"/>
      <c r="W166" t="inlineStr">
        <is>
          <t>{"id":"chatcmpl-DYhpUU5p4McHsVErb8LvrHGiMjRxb","object":"chat.completion","created":1777164004,"model":"gpt-5-chat-2025-10-03","choices":[{"index":0,"message":{"role":"assistant","content":"Patagonia：Tech Web系列军绿尼龙织带腰带，坚韧耐磨，可调节铝扣设计，轻量休闲风格，适合男女日常及户外穿搭。","refusal":null,"annotations":[]},"logprobs":null,"finish_reason":"stop"}],"usage":{"prompt_tokens":1299,"completion_tokens":47,"total_tokens":1346,"prompt_tokens_details":{"cached_tokens":0,"audio_tokens":0},"completion_tokens_details":{"reasoning_tokens":0,"audio_tokens":0,"accepted_prediction_tokens":0,"rejected_prediction_tokens":0}},"service_tier":"default","system_fingerprint":"fp_ad66631dec"}</t>
        </is>
      </c>
      <c r="X166" t="inlineStr">
        <is>
          <t>Patagonia：Tech Web系列军绿尼龙织带腰带，坚韧耐磨，可调节铝扣设计，轻量休闲风格，适合男女日常及户外穿搭。</t>
        </is>
      </c>
    </row>
    <row r="167" ht="25.5" customHeight="1">
      <c r="A167">
        <v>1654975475</v>
      </c>
      <c r="B167">
        <v>7622083948</v>
      </c>
      <c r="C167" s="2" t="str">
        <f>=HYPERLINK("https://weidian.com/item.html?itemID=7622083948", "https://weidian.com/item.html?itemID=7622083948")</f>
        <v>https://weidian.com/item.html?itemID=7622083948</v>
      </c>
      <c r="D167"/>
      <c r="E167" s="2" t="str">
        <f>=HYPERLINK("https://si.geilicdn.com/pcitem2014204438-45ff0000019aca77be650a2103bd_1512_2016.jpg?w=640&amp;h=640", "https://si.geilicdn.com/pcitem2014204438-45ff0000019aca77be650a2103bd_1512_2016.jpg?w=640&amp;h=640")</f>
        <v>https://si.geilicdn.com/pcitem2014204438-45ff0000019aca77be650a2103bd_1512_2016.jpg?w=640&amp;h=640</v>
      </c>
      <c r="F167" t="inlineStr">
        <is>
          <t>Accessories</t>
        </is>
      </c>
      <c r="G167" t="inlineStr">
        <is>
          <t>Gucci</t>
        </is>
      </c>
      <c r="H167">
        <v>460</v>
      </c>
      <c r="I167">
        <v>66.67</v>
      </c>
      <c r="J167" t="inlineStr">
        <is>
          <t>{"id":"chatcmpl-DYiyGiUNmIZlvVRwEWPlWniDlF8RW","object":"chat.completion","created":1777168392,"model":"gpt-5-chat-2025-10-03","choices":[{"index":0,"message":{"role":"assistant","content":"Gucci Black Leather Belt Gold GG Buckle","refusal":null,"annotations":[]},"logprobs":null,"finish_reason":"stop"}],"usage":{"prompt_tokens":875,"completion_tokens":10,"total_tokens":885,"prompt_tokens_details":{"cached_tokens":0,"audio_tokens":0},"completion_tokens_details":{"reasoning_tokens":0,"audio_tokens":0,"accepted_prediction_tokens":0,"rejected_prediction_tokens":0}},"service_tier":"default","system_fingerprint":"fp_ad66631dec"}</t>
        </is>
      </c>
      <c r="K167" t="inlineStr">
        <is>
          <t>Gucci Black Leather Belt Gold GG Buckle</t>
        </is>
      </c>
      <c r="L167" t="inlineStr">
        <is>
          <t>{"id":"chatcmpl-DYiHo96621c7iW314cSpoY4Ok6vId","object":"chat.completion","created":1777165760,"model":"gpt-5-chat-2025-10-03","choices":[{"index":0,"message":{"role":"assistant","content":"Gucci classic black leather belt with iconic red-green web, gold double G buckle design, blending Italian vintage and modern luxury style, perfect for men and women with refined fashion taste.","refusal":null,"annotations":[]},"logprobs":null,"finish_reason":"stop"}],"usage":{"prompt_tokens":888,"completion_tokens":37,"total_tokens":925,"prompt_tokens_details":{"cached_tokens":0,"audio_tokens":0},"completion_tokens_details":{"reasoning_tokens":0,"audio_tokens":0,"accepted_prediction_tokens":0,"rejected_prediction_tokens":0}},"service_tier":"default","system_fingerprint":"fp_ad66631dec"}</t>
        </is>
      </c>
      <c r="M167" t="inlineStr">
        <is>
          <t>{"alt-svc":"h3=\":443\"; ma=2592000","apim-request-id":"885aeb61-8fd4-439b-8bef-7558fbb9868e","azureml-model-session":"d20260402084046-4209e968","cache-control":"no-cache","connection":"close","content-length":"1000","content-type":"application/json","date":"Sun, 26 Apr 2026 01:09:21 GMT","server":"nginx","skip-error-remapping":"true","strict-transport-security":"max-age=31536000; includeSubDomains; preload","via":"1.1 Caddy","x-content-type-options":"nosniff","x-ms-client-request-id":"Not-Set","x-ms-is-spilled-over":"false","x-ms-rai-invoked":"false","x-ms-region":"Switzerland North","x-new-api-version":"0.4.35","x-oneapi-request-id":"202604260109193976974468268d9d6ekbywa4l","x-ratelimit-abusepenalty-active":"False","x-ratelimit-limit-requests":"1000","x-ratelimit-limit-tokens":"1000000","x-ratelimit-remaining-requests":"999","x-ratelimit-remaining-tokens":"998350","x-ratelimit-renewalperiod-requests":"60","x-ratelimit-renewalperiod-tokens":"60","x-ratelimit-reset-requests":"60","x-ratelimit-reset-tokens":"99","x-request-id":"414ac276-2ad6-4c63-a41f-330aee2023f9"}</t>
        </is>
      </c>
      <c r="N167" t="inlineStr">
        <is>
          <t>Gucci classic black leather belt with iconic red-green web, gold double G buckle design, blending Italian vintage and modern luxury style, perfect for men and women with refined fashion taste.</t>
        </is>
      </c>
      <c r="O167" t="inlineStr">
        <is>
          <t>{"id":"chatcmpl-DYiT6mjfHHTY1jD9jNVBmnjvD5dVm","object":"chat.completion","created":1777166460,"model":"gpt-5-chat-2025-10-03","choices":[{"index":0,"message":{"role":"assistant","content":"Gucci,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7" t="inlineStr">
        <is>
          <t>Gucci, Accessories, kakobuy, kakebuy2026, kekobuysheet, kakobuysheet2026, 2026kakobuy, kakobuyspreadsheeet, kakobuylink, kakebuylist, Kakobuy MEGA Spreadsheet, kakobuysheetfind, kakobuysheetfind2026, 2026kakobuysheetfind, kakobuysheet2026</t>
        </is>
      </c>
      <c r="Q167" t="inlineStr">
        <is>
          <t>Black, Leather, Vintage, Men's And Women's, Gold</t>
        </is>
      </c>
      <c r="R167" t="inlineStr">
        <is>
          <t>recvhju1CrIu3o</t>
        </is>
      </c>
      <c r="S167" t="inlineStr">
        <is>
          <t>gucci-black-leather-belt-gold-gg-buckle-recvhju1criu3o</t>
        </is>
      </c>
      <c r="T167"/>
      <c r="U167"/>
      <c r="V167"/>
      <c r="W167" t="inlineStr">
        <is>
          <t>{"id":"chatcmpl-DYhqAUYOMnO98rjyVVL46iuUSBCjS","object":"chat.completion","created":1777164046,"model":"gpt-5-chat-2025-10-03","choices":[{"index":0,"message":{"role":"assistant","content":"Gucci：经典红绿织带拼接黑色皮质腰带，金属双G徽标扣设计，融合意式复古与现代奢华风格，男女皆宜，展现高雅品味与时尚魅力。","refusal":null,"annotations":[]},"logprobs":null,"finish_reason":"stop"}],"usage":{"prompt_tokens":1297,"completion_tokens":56,"total_tokens":1353,"prompt_tokens_details":{"cached_tokens":0,"audio_tokens":0},"completion_tokens_details":{"reasoning_tokens":0,"audio_tokens":0,"accepted_prediction_tokens":0,"rejected_prediction_tokens":0}},"service_tier":"default","system_fingerprint":"fp_ad66631dec"}</t>
        </is>
      </c>
      <c r="X167" t="inlineStr">
        <is>
          <t>Gucci：经典红绿织带拼接黑色皮质腰带，金属双G徽标扣设计，融合意式复古与现代奢华风格，男女皆宜，展现高雅品味与时尚魅力。</t>
        </is>
      </c>
    </row>
    <row r="168" ht="25.5" customHeight="1">
      <c r="A168">
        <v>1654975475</v>
      </c>
      <c r="B168">
        <v>7619060843</v>
      </c>
      <c r="C168" s="2" t="str">
        <f>=HYPERLINK("https://weidian.com/item.html?itemID=7619060843", "https://weidian.com/item.html?itemID=7619060843")</f>
        <v>https://weidian.com/item.html?itemID=7619060843</v>
      </c>
      <c r="D168"/>
      <c r="E168" s="2" t="str">
        <f>=HYPERLINK("https://si.geilicdn.com/pcitem2014204438-6b0a0000019acae65a9b0a2103bd_1440_1920.jpg?w=640&amp;h=640", "https://si.geilicdn.com/pcitem2014204438-6b0a0000019acae65a9b0a2103bd_1440_1920.jpg?w=640&amp;h=640")</f>
        <v>https://si.geilicdn.com/pcitem2014204438-6b0a0000019acae65a9b0a2103bd_1440_1920.jpg?w=640&amp;h=640</v>
      </c>
      <c r="F168" t="inlineStr">
        <is>
          <t>Accessories</t>
        </is>
      </c>
      <c r="G168" t="inlineStr">
        <is>
          <t>Gucci</t>
        </is>
      </c>
      <c r="H168">
        <v>460</v>
      </c>
      <c r="I168">
        <v>66.67</v>
      </c>
      <c r="J168" t="inlineStr">
        <is>
          <t>{"id":"chatcmpl-DYixsa76iEux1VtX2Es4C1CFi454n","object":"chat.completion","created":1777168368,"model":"gpt-5-chat-2025-10-03","choices":[{"index":0,"message":{"role":"assistant","content":"Gucci GG Supreme Beige Leather Belt Silver Buckle","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168" t="inlineStr">
        <is>
          <t>Gucci GG Supreme Beige Leather Belt Silver Buckle</t>
        </is>
      </c>
      <c r="L168" t="inlineStr">
        <is>
          <t>{"id":"chatcmpl-DYiE6oIpja4q3Hqy3H04hBpmNLRsn","object":"chat.completion","created":1777165530,"model":"gpt-5-chat-2025-10-03","choices":[{"index":0,"message":{"role":"assistant","content":"Gucci Classic Beige GG Supreme Leather Belt with Antique Silver Double G Buckle, Unisex Luxury Accessory, Vintage Italian Elegance for Versatile Fashion Styling.","refusal":null,"annotations":[]},"logprobs":null,"finish_reason":"stop"}],"usage":{"prompt_tokens":893,"completion_tokens":33,"total_tokens":926,"prompt_tokens_details":{"cached_tokens":0,"audio_tokens":0},"completion_tokens_details":{"reasoning_tokens":0,"audio_tokens":0,"accepted_prediction_tokens":0,"rejected_prediction_tokens":0}},"service_tier":"default","system_fingerprint":"fp_ad66631dec"}</t>
        </is>
      </c>
      <c r="M168" t="inlineStr">
        <is>
          <t>{"alt-svc":"h3=\":443\"; ma=2592000","apim-request-id":"2e594c67-5374-4fcd-b0b5-d02ee744fe04","azureml-model-session":"d20260402084046-4209e968","cache-control":"no-cache","connection":"close","content-length":"969","content-type":"application/json","date":"Sun, 26 Apr 2026 01:05:31 GMT","server":"nginx","skip-error-remapping":"true","strict-transport-security":"max-age=31536000; includeSubDomains; preload","via":"1.1 Caddy","x-content-type-options":"nosniff","x-ms-client-request-id":"Not-Set","x-ms-is-spilled-over":"false","x-ms-rai-invoked":"false","x-ms-region":"East US","x-new-api-version":"0.4.35","x-oneapi-request-id":"202604260105296090133478268d9d6EaRWyd8B","x-ratelimit-abusepenalty-active":"False","x-ratelimit-limit-requests":"1000","x-ratelimit-limit-tokens":"1000000","x-ratelimit-remaining-requests":"999","x-ratelimit-remaining-tokens":"998345","x-ratelimit-renewalperiod-requests":"60","x-ratelimit-renewalperiod-tokens":"60","x-ratelimit-reset-requests":"60","x-ratelimit-reset-tokens":"99","x-request-id":"850311a8-4126-446e-9670-5d295386e53c"}</t>
        </is>
      </c>
      <c r="N168" t="inlineStr">
        <is>
          <t>Gucci Classic Beige GG Supreme Leather Belt with Antique Silver Double G Buckle, Unisex Luxury Accessory, Vintage Italian Elegance for Versatile Fashion Styling.</t>
        </is>
      </c>
      <c r="O168" t="inlineStr">
        <is>
          <t>{"id":"chatcmpl-DYiWyNVBLoA25c59RQ2Vjy6yvnVLy","object":"chat.completion","created":1777166700,"model":"gpt-5-chat-2025-10-03","choices":[{"index":0,"message":{"role":"assistant","content":"Gucci,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68" t="inlineStr">
        <is>
          <t>Gucci, Belt, kakobuy, kakebuy2026, kekobuysheet, kakobuysheet2026, 2026kakobuy, kakobuyspreadsheeet, kakobuylink, kakebuylist, Kakobuy MEGA Spreadsheet, kakobuysheetfind, kakobuysheetfind2026, 2026kakobuysheetfind, kakobuysheet2026</t>
        </is>
      </c>
      <c r="Q168" t="inlineStr">
        <is>
          <t>Leather, Beige, Vintage, Elegant, Unisex, Versatile</t>
        </is>
      </c>
      <c r="R168" t="inlineStr">
        <is>
          <t>recvhju1CrnP5d</t>
        </is>
      </c>
      <c r="S168" t="inlineStr">
        <is>
          <t>gucci-gg-supreme-beige-leather-belt-silver-buckle-recvhju1crnp5d</t>
        </is>
      </c>
      <c r="T168"/>
      <c r="U168"/>
      <c r="V168"/>
      <c r="W168" t="inlineStr">
        <is>
          <t>{"id":"chatcmpl-DYhr7QDOBnMjEitmCkxY1VLva7ftR","object":"chat.completion","created":1777164105,"model":"gpt-5-chat-2025-10-03","choices":[{"index":0,"message":{"role":"assistant","content":"Gucci：经典米棕色GG Supreme系列皮革腰带，饰古银双G金属扣，彰显复古奢华质感，男女皆宜，意式优雅设计，适合多场景时尚搭配。","refusal":null,"annotations":[]},"logprobs":null,"finish_reason":"stop"}],"usage":{"prompt_tokens":1307,"completion_tokens":56,"total_tokens":1363,"prompt_tokens_details":{"cached_tokens":0,"audio_tokens":0},"completion_tokens_details":{"reasoning_tokens":0,"audio_tokens":0,"accepted_prediction_tokens":0,"rejected_prediction_tokens":0}},"service_tier":"default","system_fingerprint":"fp_ad66631dec"}</t>
        </is>
      </c>
      <c r="X168" t="inlineStr">
        <is>
          <t>Gucci：经典米棕色GG Supreme系列皮革腰带，饰古银双G金属扣，彰显复古奢华质感，男女皆宜，意式优雅设计，适合多场景时尚搭配。</t>
        </is>
      </c>
    </row>
    <row r="169" ht="25.5" customHeight="1">
      <c r="A169">
        <v>1654975475</v>
      </c>
      <c r="B169">
        <v>7622021110</v>
      </c>
      <c r="C169" s="2" t="str">
        <f>=HYPERLINK("https://weidian.com/item.html?itemID=7622021110", "https://weidian.com/item.html?itemID=7622021110")</f>
        <v>https://weidian.com/item.html?itemID=7622021110</v>
      </c>
      <c r="D169"/>
      <c r="E169" s="2" t="str">
        <f>=HYPERLINK("https://si.geilicdn.com/pcitem2014204438-55f90000019acb053f7e0a23057e_1442_1922.jpg?w=640&amp;h=640", "https://si.geilicdn.com/pcitem2014204438-55f90000019acb053f7e0a23057e_1442_1922.jpg?w=640&amp;h=640")</f>
        <v>https://si.geilicdn.com/pcitem2014204438-55f90000019acb053f7e0a23057e_1442_1922.jpg?w=640&amp;h=640</v>
      </c>
      <c r="F169" t="inlineStr">
        <is>
          <t>Accessories</t>
        </is>
      </c>
      <c r="G169" t="inlineStr">
        <is>
          <t>Montblanc</t>
        </is>
      </c>
      <c r="H169">
        <v>460</v>
      </c>
      <c r="I169">
        <v>66.67</v>
      </c>
      <c r="J169" t="inlineStr">
        <is>
          <t>{"id":"chatcmpl-DYj1nQioEoQyQi1Z0p6KRbeNXPunn","object":"chat.completion","created":1777168611,"model":"gpt-5-chat-2025-10-03","choices":[{"index":0,"message":{"role":"assistant","content":"Montblanc Black Leather Belt Gold Buckle 35mm","refusal":null,"annotations":[]},"logprobs":null,"finish_reason":"stop"}],"usage":{"prompt_tokens":872,"completion_tokens":13,"total_tokens":885,"prompt_tokens_details":{"cached_tokens":0,"audio_tokens":0},"completion_tokens_details":{"reasoning_tokens":0,"audio_tokens":0,"accepted_prediction_tokens":0,"rejected_prediction_tokens":0}},"service_tier":"default","system_fingerprint":"fp_ad66631dec"}</t>
        </is>
      </c>
      <c r="K169" t="inlineStr">
        <is>
          <t>Montblanc Black Leather Belt Gold Buckle 35mm</t>
        </is>
      </c>
      <c r="L169" t="inlineStr">
        <is>
          <t>{"id":"chatcmpl-DYiI9JlgfUUdEz9dxCSk7iQvNZctX","object":"chat.completion","created":1777165781,"model":"gpt-5-chat-2025-10-03","choices":[{"index":0,"message":{"role":"assistant","content":"Montblanc Black Geometric Pattern 35mm Genuine Leather Belt with Gold Automatic Buckle, exuding refined business elegance for modern men in both casual and formal occasions.","refusal":null,"annotations":[]},"logprobs":null,"finish_reason":"stop"}],"usage":{"prompt_tokens":895,"completion_tokens":35,"total_tokens":930,"prompt_tokens_details":{"cached_tokens":0,"audio_tokens":0},"completion_tokens_details":{"reasoning_tokens":0,"audio_tokens":0,"accepted_prediction_tokens":0,"rejected_prediction_tokens":0}},"service_tier":"default","system_fingerprint":"fp_ad66631dec"}</t>
        </is>
      </c>
      <c r="M169" t="inlineStr">
        <is>
          <t>{"alt-svc":"h3=\":443\"; ma=2592000","apim-request-id":"7e8de16b-e0db-42d4-b084-a8d47a8ed605","azureml-model-session":"d20260405225800-40f19e54","cache-control":"no-cache","connection":"close","content-length":"981","content-type":"application/json","date":"Sun, 26 Apr 2026 01:09:43 GMT","server":"Caddy","skip-error-remapping":"true","strict-transport-security":"max-age=31536000; includeSubDomains; preload","x-content-type-options":"nosniff","x-ms-client-request-id":"Not-Set","x-ms-is-spilled-over":"false","x-ms-rai-invoked":"false","x-ms-region":"Switzerland North","x-new-api-version":"0.4.35","x-oneapi-request-id":"202604260109402986228998268d9d695LudgOw","x-ratelimit-abusepenalty-active":"False","x-ratelimit-limit-requests":"1000","x-ratelimit-limit-tokens":"1000000","x-ratelimit-remaining-requests":"999","x-ratelimit-remaining-tokens":"998343","x-ratelimit-renewalperiod-requests":"60","x-ratelimit-renewalperiod-tokens":"60","x-ratelimit-reset-requests":"60","x-ratelimit-reset-tokens":"99","x-request-id":"adb16911-f6a1-43d0-9233-fa59e9ebaf52"}</t>
        </is>
      </c>
      <c r="N169" t="inlineStr">
        <is>
          <t>Montblanc Black Geometric Pattern 35mm Genuine Leather Belt with Gold Automatic Buckle, exuding refined business elegance for modern men in both casual and formal occasions.</t>
        </is>
      </c>
      <c r="O169" t="inlineStr">
        <is>
          <t>{"id":"chatcmpl-DYiXp4h1EzJG2KWyjGHGmZa7Z00xu","object":"chat.completion","created":1777166753,"model":"gpt-5-chat-2025-10-03","choices":[{"index":0,"message":{"role":"assistant","content":"Montblanc,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69" t="inlineStr">
        <is>
          <t>Montblanc,Belt,kakobuy,kakebuy2026,kekobuysheet,kakobuysheet2026,2026kakobuy,kakobuyspreadsheeet,kakobuylink,kakebuylist,Kakobuy MEGA Spreadsheet,kakobuysheetfind,kakobuysheetfind2026,2026kakobuysheetfind,kakobuysheet2026</t>
        </is>
      </c>
      <c r="Q169" t="inlineStr">
        <is>
          <t>Black, Geometric, Genuine Leather, Gold, Business, Men</t>
        </is>
      </c>
      <c r="R169" t="inlineStr">
        <is>
          <t>recvhju1CrOSmR</t>
        </is>
      </c>
      <c r="S169" t="inlineStr">
        <is>
          <t>montblanc-black-leather-belt-gold-buckle-35mm-recvhju1CrOSmR</t>
        </is>
      </c>
      <c r="T169"/>
      <c r="U169"/>
      <c r="V169"/>
      <c r="W169" t="inlineStr">
        <is>
          <t>{"id":"chatcmpl-DYhsY4Sn3xd6glGoh8LtUb4Hi36R7","object":"chat.completion","created":1777164194,"model":"gpt-5-chat-2025-10-03","choices":[{"index":0,"message":{"role":"assistant","content":"Montblanc：万宝龙黑色几何纹理35mm真皮腰带，搭配金色自动扣设计，彰显商务绅士格调，质感高贵优雅，适合现代男士日常与正式场合佩戴。","refusal":null,"annotations":[]},"logprobs":null,"finish_reason":"stop"}],"usage":{"prompt_tokens":1305,"completion_tokens":59,"total_tokens":1364,"prompt_tokens_details":{"cached_tokens":0,"audio_tokens":0},"completion_tokens_details":{"reasoning_tokens":0,"audio_tokens":0,"accepted_prediction_tokens":0,"rejected_prediction_tokens":0}},"service_tier":"default","system_fingerprint":"fp_ad66631dec"}</t>
        </is>
      </c>
      <c r="X169" t="inlineStr">
        <is>
          <t>Montblanc：万宝龙黑色几何纹理35mm真皮腰带，搭配金色自动扣设计，彰显商务绅士格调，质感高贵优雅，适合现代男士日常与正式场合佩戴。</t>
        </is>
      </c>
    </row>
    <row r="170" ht="25.5" customHeight="1">
      <c r="A170">
        <v>1654975475</v>
      </c>
      <c r="B170">
        <v>7621983092</v>
      </c>
      <c r="C170" s="2" t="str">
        <f>=HYPERLINK("https://weidian.com/item.html?itemID=7621983092", "https://weidian.com/item.html?itemID=7621983092")</f>
        <v>https://weidian.com/item.html?itemID=7621983092</v>
      </c>
      <c r="D170"/>
      <c r="E170" s="2" t="str">
        <f>=HYPERLINK("https://si.geilicdn.com/pcitem2014204438-5f9d0000019acdf770d00a23047e_1440_1920.jpg?w=640&amp;h=640", "https://si.geilicdn.com/pcitem2014204438-5f9d0000019acdf770d00a23047e_1440_1920.jpg?w=640&amp;h=640")</f>
        <v>https://si.geilicdn.com/pcitem2014204438-5f9d0000019acdf770d00a23047e_1440_1920.jpg?w=640&amp;h=640</v>
      </c>
      <c r="F170" t="inlineStr">
        <is>
          <t>Accessories</t>
        </is>
      </c>
      <c r="G170" t="inlineStr">
        <is>
          <t>Gucci</t>
        </is>
      </c>
      <c r="H170">
        <v>460</v>
      </c>
      <c r="I170">
        <v>66.67</v>
      </c>
      <c r="J170" t="inlineStr">
        <is>
          <t>{"id":"chatcmpl-DYj0pQvBzZzZYUTnbhoQmJPI5qQlu","object":"chat.completion","created":1777168551,"model":"gpt-5-chat-2025-10-03","choices":[{"index":0,"message":{"role":"assistant","content":"Gucci Classic GG Black Leather Belt 4.0cm","refusal":null,"annotations":[]},"logprobs":null,"finish_reason":"stop"}],"usage":{"prompt_tokens":875,"completion_tokens":13,"total_tokens":888,"prompt_tokens_details":{"cached_tokens":0,"audio_tokens":0},"completion_tokens_details":{"reasoning_tokens":0,"audio_tokens":0,"accepted_prediction_tokens":0,"rejected_prediction_tokens":0}},"service_tier":"default","system_fingerprint":"fp_ad66631dec"}</t>
        </is>
      </c>
      <c r="K170" t="inlineStr">
        <is>
          <t>Gucci Classic GG Black Leather Belt 4.0cm</t>
        </is>
      </c>
      <c r="L170" t="inlineStr">
        <is>
          <t>{"id":"chatcmpl-DYiJTkRYXwRwWj3jdHjxD55nBsoHN","object":"chat.completion","created":1777165863,"model":"gpt-5-chat-2025-10-03","choices":[{"index":0,"message":{"role":"assistant","content":"Gucci Classic GG Black Belt, waterproof calfskin with antique silver double G buckle, Italian minimalist design, unisex style showcasing refined vintage luxury. Width 4.0cm.","refusal":null,"annotations":[]},"logprobs":null,"finish_reason":"stop"}],"usage":{"prompt_tokens":880,"completion_tokens":37,"total_tokens":917,"prompt_tokens_details":{"cached_tokens":0,"audio_tokens":0},"completion_tokens_details":{"reasoning_tokens":0,"audio_tokens":0,"accepted_prediction_tokens":0,"rejected_prediction_tokens":0}},"service_tier":"default","system_fingerprint":"fp_ad66631dec"}</t>
        </is>
      </c>
      <c r="M170" t="inlineStr">
        <is>
          <t>{"alt-svc":"h3=\":443\"; ma=2592000","apim-request-id":"d03e7b74-ea12-4754-9173-07d19adbdadd","azureml-model-session":"d20260405225800-40f19e54","cache-control":"no-cache","connection":"close","content-length":"981","content-type":"application/json","date":"Sun, 26 Apr 2026 01:11:05 GMT","server":"Caddy","skip-error-remapping":"true","strict-transport-security":"max-age=31536000; includeSubDomains; preload","x-content-type-options":"nosniff","x-ms-client-request-id":"Not-Set","x-ms-is-spilled-over":"false","x-ms-rai-invoked":"false","x-ms-region":"East US","x-new-api-version":"0.4.35","x-oneapi-request-id":"202604260111026026313598268d9d6eRI9xS3M","x-ratelimit-abusepenalty-active":"False","x-ratelimit-limit-requests":"1000","x-ratelimit-limit-tokens":"1000000","x-ratelimit-remaining-requests":"999","x-ratelimit-remaining-tokens":"998358","x-ratelimit-renewalperiod-requests":"60","x-ratelimit-renewalperiod-tokens":"60","x-ratelimit-reset-requests":"60","x-ratelimit-reset-tokens":"98","x-request-id":"62f959ad-672d-4c68-b728-b78e747ddd63"}</t>
        </is>
      </c>
      <c r="N170" t="inlineStr">
        <is>
          <t>Gucci Classic GG Black Belt, waterproof calfskin with antique silver double G buckle, Italian minimalist design, unisex style showcasing refined vintage luxury. Width 4.0cm.</t>
        </is>
      </c>
      <c r="O170" t="inlineStr">
        <is>
          <t>{"id":"chatcmpl-DYiWDer72pJuvDS1nL2oxgNlwPsEx","object":"chat.completion","created":1777166653,"model":"gpt-5-chat-2025-10-03","choices":[{"index":0,"message":{"role":"assistant","content":"Gucci,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0" t="inlineStr">
        <is>
          <t>Gucci,Belt,kakobuy,kakebuy2026,kekobuysheet,kakobuysheet2026,2026kakobuy,kakobuyspreadsheeet,kakobuylink,kakebuylist,Kakobuy MEGA Spreadsheet,kakobuysheetfind,kakobuysheetfind2026,2026kakobuysheetfind,kakobuysheet2026</t>
        </is>
      </c>
      <c r="Q170" t="inlineStr">
        <is>
          <t>Gucci Superstar, Black, Minimalist, Vintage, Waterproof, Unisex</t>
        </is>
      </c>
      <c r="R170" t="inlineStr">
        <is>
          <t>recvhju1CrD3pL</t>
        </is>
      </c>
      <c r="S170" t="inlineStr">
        <is>
          <t>gucci-gg-black-leather-belt-4cm-recvhju1crd3pl</t>
        </is>
      </c>
      <c r="T170"/>
      <c r="U170"/>
      <c r="V170"/>
      <c r="W170" t="inlineStr">
        <is>
          <t>{"id":"chatcmpl-DYhoZ8zAQDHgqtVdcepfBVSGWbvni","object":"chat.completion","created":1777163947,"model":"gpt-5-chat-2025-10-03","choices":[{"index":0,"message":{"role":"assistant","content":"Gucci：经典GG系列黑色防水小牛皮腰带，古银双G扣设计，意式简约风格，男女皆宜，彰显复古奢华质感。","refusal":null,"annotations":[]},"logprobs":null,"finish_reason":"stop"}],"usage":{"prompt_tokens":1303,"completion_tokens":45,"total_tokens":1348,"prompt_tokens_details":{"cached_tokens":1280,"audio_tokens":0},"completion_tokens_details":{"reasoning_tokens":0,"audio_tokens":0,"accepted_prediction_tokens":0,"rejected_prediction_tokens":0}},"service_tier":"default","system_fingerprint":"fp_ad66631dec"}</t>
        </is>
      </c>
      <c r="X170" t="inlineStr">
        <is>
          <t>Gucci：经典GG系列黑色防水小牛皮腰带，古银双G扣设计，意式简约风格，男女皆宜，彰显复古奢华质感。</t>
        </is>
      </c>
    </row>
    <row r="171" ht="25.5" customHeight="1">
      <c r="A171">
        <v>1654975475</v>
      </c>
      <c r="B171">
        <v>7619374625</v>
      </c>
      <c r="C171" s="2" t="str">
        <f>=HYPERLINK("https://weidian.com/item.html?itemID=7619374625", "https://weidian.com/item.html?itemID=7619374625")</f>
        <v>https://weidian.com/item.html?itemID=7619374625</v>
      </c>
      <c r="D171"/>
      <c r="E171" s="2" t="str">
        <f>=HYPERLINK("https://si.geilicdn.com/pcitem2014204438-47c70000019acda1b7f50a207569_1442_1922.jpg?w=640&amp;h=640", "https://si.geilicdn.com/pcitem2014204438-47c70000019acda1b7f50a207569_1442_1922.jpg?w=640&amp;h=640")</f>
        <v>https://si.geilicdn.com/pcitem2014204438-47c70000019acda1b7f50a207569_1442_1922.jpg?w=640&amp;h=640</v>
      </c>
      <c r="F171" t="inlineStr">
        <is>
          <t>Accessories</t>
        </is>
      </c>
      <c r="G171" t="inlineStr">
        <is>
          <t>Gucci</t>
        </is>
      </c>
      <c r="H171">
        <v>460</v>
      </c>
      <c r="I171">
        <v>66.67</v>
      </c>
      <c r="J171" t="inlineStr">
        <is>
          <t>{"id":"chatcmpl-DYj1AhG85JSWnprmsj7Rd7NHJ3Ytx","object":"chat.completion","created":1777168572,"model":"gpt-5-chat-2025-10-03","choices":[{"index":0,"message":{"role":"assistant","content":"Gucci Black Leather Belt Gold GG Buckle Unisex Fashion","refusal":null,"annotations":[]},"logprobs":null,"finish_reason":"stop"}],"usage":{"prompt_tokens":871,"completion_tokens":13,"total_tokens":884,"prompt_tokens_details":{"cached_tokens":0,"audio_tokens":0},"completion_tokens_details":{"reasoning_tokens":0,"audio_tokens":0,"accepted_prediction_tokens":0,"rejected_prediction_tokens":0}},"service_tier":"default","system_fingerprint":"fp_ad66631dec"}</t>
        </is>
      </c>
      <c r="K171" t="inlineStr">
        <is>
          <t>Gucci Black Leather Belt Gold GG Buckle Unisex Fashion</t>
        </is>
      </c>
      <c r="L171" t="inlineStr">
        <is>
          <t>{"id":"chatcmpl-DYiImlhnPfMnZJXVbFPsoTBcj1X6J","object":"chat.completion","created":1777165820,"model":"gpt-5-chat-2025-10-03","choices":[{"index":0,"message":{"role":"assistant","content":"Gucci Black Embossed Leather Belt with Gold Double G Engraved Buckle, Italian Luxury Style, Unisex Design, Elegant Texture, Perfect for Fashion Lovers.","refusal":null,"annotations":[]},"logprobs":null,"finish_reason":"stop"}],"usage":{"prompt_tokens":882,"completion_tokens":35,"total_tokens":917,"prompt_tokens_details":{"cached_tokens":0,"audio_tokens":0},"completion_tokens_details":{"reasoning_tokens":0,"audio_tokens":0,"accepted_prediction_tokens":0,"rejected_prediction_tokens":0}},"service_tier":"default","system_fingerprint":"fp_ad66631dec"}</t>
        </is>
      </c>
      <c r="M171" t="inlineStr">
        <is>
          <t>{"alt-svc":"h3=\":443\"; ma=2592000","apim-request-id":"24421686-4e8b-4ed1-8cad-5e6fe5af645c","azureml-model-session":"d20260405225800-40f19e54","cache-control":"no-cache","connection":"close","content-length":"959","content-type":"application/json","date":"Sun, 26 Apr 2026 01:10:21 GMT","server":"Caddy","skip-error-remapping":"true","strict-transport-security":"max-age=31536000; includeSubDomains; preload","x-content-type-options":"nosniff","x-ms-client-request-id":"Not-Set","x-ms-is-spilled-over":"false","x-ms-rai-invoked":"false","x-ms-region":"UK South","x-new-api-version":"0.4.35","x-oneapi-request-id":"202604260110193809393718268d9d66FTa0iYn","x-ratelimit-abusepenalty-active":"False","x-ratelimit-limit-requests":"1000","x-ratelimit-limit-tokens":"1000000","x-ratelimit-remaining-requests":"999","x-ratelimit-remaining-tokens":"998356","x-ratelimit-renewalperiod-requests":"60","x-ratelimit-renewalperiod-tokens":"60","x-ratelimit-reset-requests":"60","x-ratelimit-reset-tokens":"98","x-request-id":"e9a4ea2b-9a8b-48a0-b236-546df0313471"}</t>
        </is>
      </c>
      <c r="N171" t="inlineStr">
        <is>
          <t>Gucci Black Embossed Leather Belt with Gold Double G Engraved Buckle, Italian Luxury Style, Unisex Design, Elegant Texture, Perfect for Fashion Lovers.</t>
        </is>
      </c>
      <c r="O171" t="inlineStr">
        <is>
          <t>{"id":"chatcmpl-DYiXObgv89Db2517FxkoUHp7I2T6d","object":"chat.completion","created":1777166726,"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1" t="inlineStr">
        <is>
          <t>Gucci,Accessories,kakobuy,kakebuy2026,kekobuysheet,kakobuysheet2026,2026kakobuy,kakobuyspreadsheeet,kakobuylink,kakebuylist,Kakobuy MEGA Spreadsheet,kakobuysheetfind,kakobuysheetfind2026,2026kakobuysheetfind,kakobuysheet2026</t>
        </is>
      </c>
      <c r="Q171" t="inlineStr">
        <is>
          <t>Black, Elegant, Unisex, Leather</t>
        </is>
      </c>
      <c r="R171" t="inlineStr">
        <is>
          <t>recvhju1Cr5jXC</t>
        </is>
      </c>
      <c r="S171" t="inlineStr">
        <is>
          <t>gucci-black-leather-belt-gold-gg-buckle-recvhju1cr5jxc</t>
        </is>
      </c>
      <c r="T171"/>
      <c r="U171"/>
      <c r="V171"/>
      <c r="W171" t="inlineStr">
        <is>
          <t>{"id":"chatcmpl-DYhvIX6Kd3QRVTyIbDGGrbrDbJPQu","object":"chat.completion","created":1777164364,"model":"gpt-5-chat-2025-10-03","choices":[{"index":0,"message":{"role":"assistant","content":"Gucci：黑色压花皮革腰带，金色双G雕花金属扣设计，意式奢华风格，男女皆宜，彰显典雅质感与时尚品味。","refusal":null,"annotations":[]},"logprobs":null,"finish_reason":"stop"}],"usage":{"prompt_tokens":1301,"completion_tokens":48,"total_tokens":1349,"prompt_tokens_details":{"cached_tokens":0,"audio_tokens":0},"completion_tokens_details":{"reasoning_tokens":0,"audio_tokens":0,"accepted_prediction_tokens":0,"rejected_prediction_tokens":0}},"service_tier":"default","system_fingerprint":"fp_ad66631dec"}</t>
        </is>
      </c>
      <c r="X171" t="inlineStr">
        <is>
          <t>Gucci：黑色压花皮革腰带，金色双G雕花金属扣设计，意式奢华风格，男女皆宜，彰显典雅质感与时尚品味。</t>
        </is>
      </c>
    </row>
    <row r="172" ht="25.5" customHeight="1">
      <c r="A172">
        <v>1654975475</v>
      </c>
      <c r="B172">
        <v>7622458212</v>
      </c>
      <c r="C172" s="2" t="str">
        <f>=HYPERLINK("https://weidian.com/item.html?itemID=7622458212", "https://weidian.com/item.html?itemID=7622458212")</f>
        <v>https://weidian.com/item.html?itemID=7622458212</v>
      </c>
      <c r="D172"/>
      <c r="E172" s="2" t="str">
        <f>=HYPERLINK("https://si.geilicdn.com/pcitem2014204438-3fbb0000019acf16fcbc0a8133cc_1080_1080.jpg?w=640&amp;h=640", "https://si.geilicdn.com/pcitem2014204438-3fbb0000019acf16fcbc0a8133cc_1080_1080.jpg?w=640&amp;h=640")</f>
        <v>https://si.geilicdn.com/pcitem2014204438-3fbb0000019acf16fcbc0a8133cc_1080_1080.jpg?w=640&amp;h=640</v>
      </c>
      <c r="F172" t="inlineStr">
        <is>
          <t>Accessories</t>
        </is>
      </c>
      <c r="G172" t="inlineStr">
        <is>
          <t>Versace</t>
        </is>
      </c>
      <c r="H172">
        <v>410</v>
      </c>
      <c r="I172">
        <v>59.42</v>
      </c>
      <c r="J172" t="inlineStr">
        <is>
          <t>{"id":"chatcmpl-DYiyDoSf0trmdajMim50DjM6YTzdI","object":"chat.completion","created":1777168389,"model":"gpt-5-chat-2025-10-03","choices":[{"index":0,"message":{"role":"assistant","content":"Versace Black Leather Belt Gold Medusa Buckle Unisex","refusal":null,"annotations":[]},"logprobs":null,"finish_reason":"stop"}],"usage":{"prompt_tokens":859,"completion_tokens":13,"total_tokens":872,"prompt_tokens_details":{"cached_tokens":0,"audio_tokens":0},"completion_tokens_details":{"reasoning_tokens":0,"audio_tokens":0,"accepted_prediction_tokens":0,"rejected_prediction_tokens":0}},"service_tier":"default","system_fingerprint":"fp_ad66631dec"}</t>
        </is>
      </c>
      <c r="K172" t="inlineStr">
        <is>
          <t>Versace Black Leather Belt Gold Medusa Buckle Unisex</t>
        </is>
      </c>
      <c r="L172" t="inlineStr">
        <is>
          <t>{"id":"chatcmpl-DYiKgnxLHCIpFq8gtTWKf7eNPzquK","object":"chat.completion","created":1777165938,"model":"gpt-5-chat-2025-10-03","choices":[{"index":0,"message":{"role":"assistant","content":"Versace black leather belt with iconic gold Medusa buckle, unisex design, luxury Italian craftsmanship, timeless elegance and high-end fashion statement.","refusal":null,"annotations":[]},"logprobs":null,"finish_reason":"stop"}],"usage":{"prompt_tokens":882,"completion_tokens":29,"total_tokens":911,"prompt_tokens_details":{"cached_tokens":0,"audio_tokens":0},"completion_tokens_details":{"reasoning_tokens":0,"audio_tokens":0,"accepted_prediction_tokens":0,"rejected_prediction_tokens":0}},"service_tier":"default","system_fingerprint":"fp_ad66631dec"}</t>
        </is>
      </c>
      <c r="M172" t="inlineStr">
        <is>
          <t>{"alt-svc":"h3=\":443\"; ma=2592000","apim-request-id":"6d0596c4-819a-4048-942d-e4f4cb9a7cbd","azureml-model-session":"d20260402074105-51db401e","cache-control":"no-cache","connection":"close","content-length":"961","content-type":"application/json","date":"Sun, 26 Apr 2026 01:12:19 GMT","server":"Caddy","skip-error-remapping":"true","strict-transport-security":"max-age=31536000; includeSubDomains; preload","x-content-type-options":"nosniff","x-ms-client-request-id":"Not-Set","x-ms-is-spilled-over":"false","x-ms-rai-invoked":"false","x-ms-region":"East US 2","x-new-api-version":"0.4.35","x-oneapi-request-id":"202604260112178538994578268d9d6k5jXsS92","x-ratelimit-abusepenalty-active":"False","x-ratelimit-limit-requests":"1000","x-ratelimit-limit-tokens":"1000000","x-ratelimit-remaining-requests":"999","x-ratelimit-remaining-tokens":"998356","x-ratelimit-renewalperiod-requests":"60","x-ratelimit-renewalperiod-tokens":"60","x-ratelimit-reset-requests":"60","x-ratelimit-reset-tokens":"98","x-request-id":"cdd628a5-0be6-4658-9030-55687b9e3e5d"}</t>
        </is>
      </c>
      <c r="N172" t="inlineStr">
        <is>
          <t>Versace black leather belt with iconic gold Medusa buckle, unisex design, luxury Italian craftsmanship, timeless elegance and high-end fashion statement.</t>
        </is>
      </c>
      <c r="O172" t="inlineStr">
        <is>
          <t>{"id":"chatcmpl-DYiZ4wmmC6uj0FjYenhhCn34hkz9r","object":"chat.completion","created":1777166830,"model":"gpt-5-chat-2025-10-03","choices":[{"index":0,"message":{"role":"assistant","content":"Versace,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2" t="inlineStr">
        <is>
          <t>Versace,Accessories,kakobuy,kakebuy2026,kekobuysheet,kakobuysheet2026,2026kakobuy,kakobuyspreadsheeet,kakobuylink,kakebuylist,Kakobuy MEGA Spreadsheet,kakobuysheetfind,kakobuysheetfind2026,2026kakobuysheetfind,kakobuysheet2026</t>
        </is>
      </c>
      <c r="Q172"/>
      <c r="R172" t="inlineStr">
        <is>
          <t>recvhju1Cr17K1</t>
        </is>
      </c>
      <c r="S172" t="inlineStr">
        <is>
          <t>versace-black-leather-belt-medusa-buckle-recvhju1cr17k1</t>
        </is>
      </c>
      <c r="T172"/>
      <c r="U172"/>
      <c r="V172"/>
      <c r="W172" t="inlineStr">
        <is>
          <t>{"id":"chatcmpl-DYhseZKVkf7hmMkFnM4iJWgVXzwCR","object":"chat.completion","created":1777164200,"model":"gpt-5-chat-2025-10-03","choices":[{"index":0,"message":{"role":"assistant","content":"Versace：黑色牛皮腰带，金色美杜莎徽章扣设计，尽显奢华古典风格，男女通用，质感高级，彰显意式时尚魅力。","refusal":null,"annotations":[]},"logprobs":null,"finish_reason":"stop"}],"usage":{"prompt_tokens":1301,"completion_tokens":48,"total_tokens":1349,"prompt_tokens_details":{"cached_tokens":0,"audio_tokens":0},"completion_tokens_details":{"reasoning_tokens":0,"audio_tokens":0,"accepted_prediction_tokens":0,"rejected_prediction_tokens":0}},"service_tier":"default","system_fingerprint":"fp_ad66631dec"}</t>
        </is>
      </c>
      <c r="X172" t="inlineStr">
        <is>
          <t>Versace：黑色牛皮腰带，金色美杜莎徽章扣设计，尽显奢华古典风格，男女通用，质感高级，彰显意式时尚魅力。</t>
        </is>
      </c>
    </row>
    <row r="173" ht="25.5" customHeight="1">
      <c r="A173">
        <v>1654975475</v>
      </c>
      <c r="B173">
        <v>7622426692</v>
      </c>
      <c r="C173" s="2" t="str">
        <f>=HYPERLINK("https://weidian.com/item.html?itemID=7622426692", "https://weidian.com/item.html?itemID=7622426692")</f>
        <v>https://weidian.com/item.html?itemID=7622426692</v>
      </c>
      <c r="D173"/>
      <c r="E173" s="2" t="str">
        <f>=HYPERLINK("https://si.geilicdn.com/pcitem2014204438-3c770000019acf17eb190a2301b4_1536_1536.jpg?w=640&amp;h=640", "https://si.geilicdn.com/pcitem2014204438-3c770000019acf17eb190a2301b4_1536_1536.jpg?w=640&amp;h=640")</f>
        <v>https://si.geilicdn.com/pcitem2014204438-3c770000019acf17eb190a2301b4_1536_1536.jpg?w=640&amp;h=640</v>
      </c>
      <c r="F173" t="inlineStr">
        <is>
          <t>Accessories</t>
        </is>
      </c>
      <c r="G173" t="inlineStr">
        <is>
          <t>Loewe</t>
        </is>
      </c>
      <c r="H173">
        <v>460</v>
      </c>
      <c r="I173">
        <v>66.67</v>
      </c>
      <c r="J173" t="inlineStr">
        <is>
          <t>{"id":"chatcmpl-DYj1hNORAJj8bAiiDsv4Xam1hy6gP","object":"chat.completion","created":1777168605,"model":"gpt-5-chat-2025-10-03","choices":[{"index":0,"message":{"role":"assistant","content":"Loewe Classic Teal Leather Belt Gold Buckle","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73" t="inlineStr">
        <is>
          <t>Loewe Classic Teal Leather Belt Gold Buckle</t>
        </is>
      </c>
      <c r="L173" t="inlineStr">
        <is>
          <t>{"id":"chatcmpl-DYiD2GJxPjzjlEYs0hPZbTMXdRsCt","object":"chat.completion","created":1777165464,"model":"gpt-5-chat-2025-10-03","choices":[{"index":0,"message":{"role":"assistant","content":"Loewe Classic Teal Leather Belt in premium calfskin with signature gold Anagram buckle. Unisex luxury design blending fine stitching and modern elegance, showcasing Spanish craftsmanship.","refusal":null,"annotations":[]},"logprobs":null,"finish_reason":"stop"}],"usage":{"prompt_tokens":921,"completion_tokens":35,"total_tokens":956,"prompt_tokens_details":{"cached_tokens":0,"audio_tokens":0},"completion_tokens_details":{"reasoning_tokens":0,"audio_tokens":0,"accepted_prediction_tokens":0,"rejected_prediction_tokens":0}},"service_tier":"default","system_fingerprint":"fp_ad66631dec"}</t>
        </is>
      </c>
      <c r="M173" t="inlineStr">
        <is>
          <t>{"alt-svc":"h3=\":443\"; ma=2592000","apim-request-id":"b50a233b-b412-4708-b4ca-ae05e7e4ba80","azureml-model-session":"d20260405225800-40f19e54","cache-control":"no-cache","connection":"close","content-length":"995","content-type":"application/json","date":"Sun, 26 Apr 2026 01:04:25 GMT","server":"nginx","skip-error-remapping":"true","strict-transport-security":"max-age=31536000; includeSubDomains; preload","via":"1.1 Caddy","x-content-type-options":"nosniff","x-ms-client-request-id":"Not-Set","x-ms-is-spilled-over":"false","x-ms-rai-invoked":"false","x-ms-region":"East US 2","x-new-api-version":"0.4.35","x-oneapi-request-id":"202604260104236274880368268d9d6RhRyDTgp","x-ratelimit-abusepenalty-active":"False","x-ratelimit-limit-requests":"1000","x-ratelimit-limit-tokens":"1000000","x-ratelimit-remaining-requests":"999","x-ratelimit-remaining-tokens":"998317","x-ratelimit-renewalperiod-requests":"60","x-ratelimit-renewalperiod-tokens":"60","x-ratelimit-reset-requests":"60","x-ratelimit-reset-tokens":"100","x-request-id":"aca22f85-2a25-431a-b238-bba9b5af3754"}</t>
        </is>
      </c>
      <c r="N173" t="inlineStr">
        <is>
          <t>Loewe Classic Teal Leather Belt in premium calfskin with signature gold Anagram buckle. Unisex luxury design blending fine stitching and modern elegance, showcasing Spanish craftsmanship.</t>
        </is>
      </c>
      <c r="O173" t="inlineStr">
        <is>
          <t>{"id":"chatcmpl-DYiSeMVL9l6VLoqcdERmWNrbLKb3x","object":"chat.completion","created":1777166432,"model":"gpt-5-chat-2025-10-03","choices":[{"index":0,"message":{"role":"assistant","content":"Loewe,Belt,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3" t="inlineStr">
        <is>
          <t>Loewe,Belt,kakobuy,kakebuy2026,kekobuysheet,kakobuysheet2026,2026kakobuy,kakobuyspreadsheeet,kakobuylink,kakebuylist,Kakobuy MEGA Spreadsheet,kakobuysheetfind,kakobuysheetfind2026,2026kakobuysheetfind,kakobuysheet2026</t>
        </is>
      </c>
      <c r="Q173"/>
      <c r="R173" t="inlineStr">
        <is>
          <t>recvhju1CrFNbx</t>
        </is>
      </c>
      <c r="S173" t="inlineStr">
        <is>
          <t>loewe-classic-teal-leather-belt-gold-buckle-recvhju1crfnbx</t>
        </is>
      </c>
      <c r="T173"/>
      <c r="U173"/>
      <c r="V173"/>
      <c r="W173" t="inlineStr">
        <is>
          <t>{"id":"chatcmpl-DYhpnK92D4ZIZnKoPLMJWxUpMLnNz","object":"chat.completion","created":1777164023,"model":"gpt-5-chat-2025-10-03","choices":[{"index":0,"message":{"role":"assistant","content":"Loewe：经典蓝绿色真皮腰带，优质小牛皮材质，搭配标志性金色Anagram金属扣，极具奢华质感。精致缝线工艺与简约现代设计并存，男女皆宜，低调中彰显品牌高级时尚格调，完美演绎西班牙匠心美学。","refusal":null,"annotations":[]},"logprobs":null,"finish_reason":"stop"}],"usage":{"prompt_tokens":1301,"completion_tokens":87,"total_tokens":1388,"prompt_tokens_details":{"cached_tokens":0,"audio_tokens":0},"completion_tokens_details":{"reasoning_tokens":0,"audio_tokens":0,"accepted_prediction_tokens":0,"rejected_prediction_tokens":0}},"service_tier":"default","system_fingerprint":"fp_ad66631dec"}</t>
        </is>
      </c>
      <c r="X173" t="inlineStr">
        <is>
          <t>Loewe：经典蓝绿色真皮腰带，优质小牛皮材质，搭配标志性金色Anagram金属扣，极具奢华质感。精致缝线工艺与简约现代设计并存，男女皆宜，低调中彰显品牌高级时尚格调，完美演绎西班牙匠心美学。</t>
        </is>
      </c>
    </row>
    <row r="174" ht="25.5" customHeight="1">
      <c r="A174">
        <v>1654975475</v>
      </c>
      <c r="B174">
        <v>7619434457</v>
      </c>
      <c r="C174" s="2" t="str">
        <f>=HYPERLINK("https://weidian.com/item.html?itemID=7619434457", "https://weidian.com/item.html?itemID=7619434457")</f>
        <v>https://weidian.com/item.html?itemID=7619434457</v>
      </c>
      <c r="D174"/>
      <c r="E174" s="2" t="str">
        <f>=HYPERLINK("https://si.geilicdn.com/pcitem2014204438-20c10000019acec24bd30a2301b4_1442_1922.jpg?w=640&amp;h=640", "https://si.geilicdn.com/pcitem2014204438-20c10000019acec24bd30a2301b4_1442_1922.jpg?w=640&amp;h=640")</f>
        <v>https://si.geilicdn.com/pcitem2014204438-20c10000019acec24bd30a2301b4_1442_1922.jpg?w=640&amp;h=640</v>
      </c>
      <c r="F174" t="inlineStr">
        <is>
          <t>Accessories</t>
        </is>
      </c>
      <c r="G174" t="inlineStr">
        <is>
          <t>Salvatore Ferragamo</t>
        </is>
      </c>
      <c r="H174">
        <v>460</v>
      </c>
      <c r="I174">
        <v>66.67</v>
      </c>
      <c r="J174" t="inlineStr">
        <is>
          <t>{"id":"chatcmpl-DYj2IK08Ez0be0er6qx7qmth26alC","object":"chat.completion","created":1777168642,"model":"gpt-5-chat-2025-10-03","choices":[{"index":0,"message":{"role":"assistant","content":"Salvatore Ferragamo Gancini Black Leather Belt Gold Buckle","refusal":null,"annotations":[]},"logprobs":null,"finish_reason":"stop"}],"usage":{"prompt_tokens":884,"completion_tokens":15,"total_tokens":899,"prompt_tokens_details":{"cached_tokens":0,"audio_tokens":0},"completion_tokens_details":{"reasoning_tokens":0,"audio_tokens":0,"accepted_prediction_tokens":0,"rejected_prediction_tokens":0}},"service_tier":"default","system_fingerprint":"fp_ad66631dec"}</t>
        </is>
      </c>
      <c r="K174" t="inlineStr">
        <is>
          <t>Salvatore Ferragamo Gancini Black Leather Belt Gold Buckle</t>
        </is>
      </c>
      <c r="L174" t="inlineStr">
        <is>
          <t>{"id":"chatcmpl-DYiDp1XhOmFvjpDWM3pYY8FojUFjb","object":"chat.completion","created":1777165513,"model":"gpt-5-chat-2025-10-03","choices":[{"index":0,"message":{"role":"assistant","content":"Salvatore Ferragamo Gancini black leather belt, crafted in Italian pebbled calfskin, features a sophisticated gold double buckle and embossed detailing, perfect for elegant unisex business style.","refusal":null,"annotations":[]},"logprobs":null,"finish_reason":"stop"}],"usage":{"prompt_tokens":904,"completion_tokens":40,"total_tokens":944,"prompt_tokens_details":{"cached_tokens":0,"audio_tokens":0},"completion_tokens_details":{"reasoning_tokens":0,"audio_tokens":0,"accepted_prediction_tokens":0,"rejected_prediction_tokens":0}},"service_tier":"default","system_fingerprint":"fp_ad66631dec"}</t>
        </is>
      </c>
      <c r="M174" t="inlineStr">
        <is>
          <t>{"alt-svc":"h3=\":443\"; ma=2592000","apim-request-id":"30915884-df79-4e6f-b310-d6310740ccac","azureml-model-session":"d20260405225800-40f19e54","cache-control":"no-cache","connection":"close","content-length":"1003","content-type":"application/json","date":"Sun, 26 Apr 2026 01:05:15 GMT","server":"Caddy","skip-error-remapping":"true","strict-transport-security":"max-age=31536000; includeSubDomains; preload","x-content-type-options":"nosniff","x-ms-client-request-id":"Not-Set","x-ms-is-spilled-over":"false","x-ms-rai-invoked":"false","x-ms-region":"Switzerland North","x-new-api-version":"0.4.35","x-oneapi-request-id":"202604260105129940390688268d9d6NhhWAaU8","x-ratelimit-abusepenalty-active":"False","x-ratelimit-limit-requests":"1000","x-ratelimit-limit-tokens":"1000000","x-ratelimit-remaining-requests":"999","x-ratelimit-remaining-tokens":"998334","x-ratelimit-renewalperiod-requests":"60","x-ratelimit-renewalperiod-tokens":"60","x-ratelimit-reset-requests":"60","x-ratelimit-reset-tokens":"99","x-request-id":"cb499448-7583-4ce9-afcf-05c9df1d1c18"}</t>
        </is>
      </c>
      <c r="N174" t="inlineStr">
        <is>
          <t>Salvatore Ferragamo Gancini black leather belt, crafted in Italian pebbled calfskin, features a sophisticated gold double buckle and embossed detailing, perfect for elegant unisex business style.</t>
        </is>
      </c>
      <c r="O174" t="inlineStr">
        <is>
          <t>{"id":"chatcmpl-DYiRJGRqtYItXMYyHmwTgw7Xz5GTM","object":"chat.completion","created":1777166349,"model":"gpt-5-chat-2025-10-03","choices":[{"index":0,"message":{"role":"assistant","content":"Salvatore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74" t="inlineStr">
        <is>
          <t>Salvatore Ferragamo, Accessories, kakobuy, kakebuy2026, kekobuysheet, kakobuysheet2026, 2026kakobuy, kakobuyspreadsheeet, kakobuylink, kakebuylist, Kakobuy MEGA Spreadsheet, kakobuysheetfind, kakobuysheetfind2026, 2026kakobuysheetfind, kakobuysheet2026</t>
        </is>
      </c>
      <c r="Q174" t="inlineStr">
        <is>
          <t>Black, Leather, Elegant, Business, Unisex, Cow Leather</t>
        </is>
      </c>
      <c r="R174" t="inlineStr">
        <is>
          <t>recvhju1CrN8Yy</t>
        </is>
      </c>
      <c r="S174" t="inlineStr">
        <is>
          <t>ferragamo-gancini-black-leather-belt-gold-buckle-recvhju1crn8yy</t>
        </is>
      </c>
      <c r="T174"/>
      <c r="U174"/>
      <c r="V174"/>
      <c r="W174" t="inlineStr">
        <is>
          <t>{"id":"chatcmpl-DYhnnkt3GZBqkIZeOh9sHSTJFqryq","object":"chat.completion","created":1777163899,"model":"gpt-5-chat-2025-10-03","choices":[{"index":0,"message":{"role":"assistant","content":"Salvatore Ferragamo：Gancini系列黑色真皮腰带，采用意大利粒面牛皮，金色双扣设计典雅大气，雕纹皮带身尽显精致质感，奢华商务风格，男女皆宜，彰显现代优雅品味。","refusal":null,"annotations":[]},"logprobs":null,"finish_reason":"stop"}],"usage":{"prompt_tokens":1307,"completion_tokens":67,"total_tokens":1374,"prompt_tokens_details":{"cached_tokens":0,"audio_tokens":0},"completion_tokens_details":{"reasoning_tokens":0,"audio_tokens":0,"accepted_prediction_tokens":0,"rejected_prediction_tokens":0}},"service_tier":"default","system_fingerprint":"fp_ad66631dec"}</t>
        </is>
      </c>
      <c r="X174" t="inlineStr">
        <is>
          <t>Salvatore Ferragamo：Gancini系列黑色真皮腰带，采用意大利粒面牛皮，金色双扣设计典雅大气，雕纹皮带身尽显精致质感，奢华商务风格，男女皆宜，彰显现代优雅品味。</t>
        </is>
      </c>
    </row>
    <row r="175" ht="25.5" customHeight="1">
      <c r="A175">
        <v>1654975475</v>
      </c>
      <c r="B175">
        <v>7622511616</v>
      </c>
      <c r="C175" s="2" t="str">
        <f>=HYPERLINK("https://weidian.com/item.html?itemID=7622511616", "https://weidian.com/item.html?itemID=7622511616")</f>
        <v>https://weidian.com/item.html?itemID=7622511616</v>
      </c>
      <c r="D175"/>
      <c r="E175" s="2" t="str">
        <f>=HYPERLINK("https://si.geilicdn.com/pcitem2014204438-40a30000019acf167a560a23057e_1080_1080.jpg?w=640&amp;h=640", "https://si.geilicdn.com/pcitem2014204438-40a30000019acf167a560a23057e_1080_1080.jpg?w=640&amp;h=640")</f>
        <v>https://si.geilicdn.com/pcitem2014204438-40a30000019acf167a560a23057e_1080_1080.jpg?w=640&amp;h=640</v>
      </c>
      <c r="F175" t="inlineStr">
        <is>
          <t>Accessories</t>
        </is>
      </c>
      <c r="G175" t="inlineStr">
        <is>
          <t>Hermes</t>
        </is>
      </c>
      <c r="H175">
        <v>410</v>
      </c>
      <c r="I175">
        <v>59.42</v>
      </c>
      <c r="J175" t="inlineStr">
        <is>
          <t>{"id":"chatcmpl-DYj1zc0apsG2QPK5uAh4xsFsCvMys","object":"chat.completion","created":1777168623,"model":"gpt-5-chat-2025-10-03","choices":[{"index":0,"message":{"role":"assistant","content":"Hermes Black Embossed Leather Belt Men","refusal":null,"annotations":[]},"logprobs":null,"finish_reason":"stop"}],"usage":{"prompt_tokens":883,"completion_tokens":10,"total_tokens":893,"prompt_tokens_details":{"cached_tokens":0,"audio_tokens":0},"completion_tokens_details":{"reasoning_tokens":0,"audio_tokens":0,"accepted_prediction_tokens":0,"rejected_prediction_tokens":0}},"service_tier":"default","system_fingerprint":"fp_ad66631dec"}</t>
        </is>
      </c>
      <c r="K175" t="inlineStr">
        <is>
          <t>Hermes Black Embossed Leather Belt Men</t>
        </is>
      </c>
      <c r="L175" t="inlineStr">
        <is>
          <t>{"id":"chatcmpl-DYiDNoeL9B2EsMYEzopm5asA3cZbr","object":"chat.completion","created":1777165485,"model":"gpt-5-chat-2025-10-03","choices":[{"index":0,"message":{"role":"assistant","content":"Hermes Black Embossed Leather Belt for Men, crafted from top-grain cowhide with metal buckle, exuding French minimalist luxury, perfect for business or casual wear, timeless and elegant style.","refusal":null,"annotations":[]},"logprobs":null,"finish_reason":"stop"}],"usage":{"prompt_tokens":900,"completion_tokens":41,"total_tokens":941,"prompt_tokens_details":{"cached_tokens":0,"audio_tokens":0},"completion_tokens_details":{"reasoning_tokens":0,"audio_tokens":0,"accepted_prediction_tokens":0,"rejected_prediction_tokens":0}},"service_tier":"default","system_fingerprint":"fp_ad66631dec"}</t>
        </is>
      </c>
      <c r="M175" t="inlineStr">
        <is>
          <t>{"alt-svc":"h3=\":443\"; ma=2592000","apim-request-id":"cd58cee9-ee9b-43d0-8ee5-e2524103de58","azureml-model-session":"d20260405225800-40f19e54","cache-control":"no-cache","connection":"close","content-length":"1000","content-type":"application/json","date":"Sun, 26 Apr 2026 01:04:47 GMT","server":"Caddy","skip-error-remapping":"true","strict-transport-security":"max-age=31536000; includeSubDomains; preload","x-content-type-options":"nosniff","x-ms-client-request-id":"Not-Set","x-ms-is-spilled-over":"false","x-ms-rai-invoked":"false","x-ms-region":"Sweden Central","x-new-api-version":"0.4.35","x-oneapi-request-id":"20260426010445878511088268d9d6Psf5iiKl","x-ratelimit-abusepenalty-active":"False","x-ratelimit-key":"gpt-5-chat-global","x-ratelimit-limit-requests":"1000","x-ratelimit-limit-tokens":"1000000","x-ratelimit-remaining-requests":"999","x-ratelimit-remaining-tokens":"998338","x-ratelimit-renewalperiod-requests":"60","x-ratelimit-renewalperiod-tokens":"60","x-ratelimit-reset-requests":"60","x-ratelimit-reset-tokens":"99","x-request-id":"db9c9d96-7acb-436a-9fcd-bd72b539a690"}</t>
        </is>
      </c>
      <c r="N175" t="inlineStr">
        <is>
          <t>Hermes Black Embossed Leather Belt for Men, crafted from top-grain cowhide with metal buckle, exuding French minimalist luxury, perfect for business or casual wear, timeless and elegant style.</t>
        </is>
      </c>
      <c r="O175" t="inlineStr">
        <is>
          <t>{"id":"chatcmpl-DYiYB6UWe0SbmiAfPwxIBoP2ChFB9","object":"chat.completion","created":1777166775,"model":"gpt-5-chat-2025-10-03","choices":[{"index":0,"message":{"role":"assistant","content":"Hermes,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75" t="inlineStr">
        <is>
          <t>Hermes,Accessories,kakobuy,kakebuy2026,kekobuysheet,kakobuysheet2026,2026kakobuy,kakobuyspreadsheeet,kakobuylink,kakebuylist,Kakobuy MEGA Spreadsheet,kakobuysheetfind,kakobuysheetfind2026,2026kakobuysheetfind,kakobuysheet2026</t>
        </is>
      </c>
      <c r="Q175" t="inlineStr">
        <is>
          <t>Black, Leather, Minimalist, Elegant, Business, Men</t>
        </is>
      </c>
      <c r="R175" t="inlineStr">
        <is>
          <t>recvhju1CrLuvj</t>
        </is>
      </c>
      <c r="S175" t="inlineStr">
        <is>
          <t>hermes-black-embossed-leather-belt-men-recvhju1crluvj</t>
        </is>
      </c>
      <c r="T175"/>
      <c r="U175"/>
      <c r="V175"/>
      <c r="W175" t="inlineStr">
        <is>
          <t>{"id":"chatcmpl-DYht2r8hq82NCpf5Su1rCc9AAyTrh","object":"chat.completion","created":1777164224,"model":"gpt-5-chat-2025-10-03","choices":[{"index":0,"message":{"role":"assistant","content":"Hermes：黑色浮雕图腾牛皮腰带，精选头层真皮，搭配金属扣头设计，低调奢华彰显质感，简约法式风格，适合男士商务与休闲穿搭，经典百搭展现绅士品味。","refusal":null,"annotations":[]},"logprobs":null,"finish_reason":"stop"}],"usage":{"prompt_tokens":1297,"completion_tokens":68,"total_tokens":1365,"prompt_tokens_details":{"cached_tokens":0,"audio_tokens":0},"completion_tokens_details":{"reasoning_tokens":0,"audio_tokens":0,"accepted_prediction_tokens":0,"rejected_prediction_tokens":0}},"service_tier":"default","system_fingerprint":"fp_ad66631dec"}</t>
        </is>
      </c>
      <c r="X175" t="inlineStr">
        <is>
          <t>Hermes：黑色浮雕图腾牛皮腰带，精选头层真皮，搭配金属扣头设计，低调奢华彰显质感，简约法式风格，适合男士商务与休闲穿搭，经典百搭展现绅士品味。</t>
        </is>
      </c>
    </row>
    <row r="176" ht="25.5" customHeight="1">
      <c r="A176">
        <v>1654975475</v>
      </c>
      <c r="B176">
        <v>7619454619</v>
      </c>
      <c r="C176" s="2" t="str">
        <f>=HYPERLINK("https://weidian.com/item.html?itemID=7619454619", "https://weidian.com/item.html?itemID=7619454619")</f>
        <v>https://weidian.com/item.html?itemID=7619454619</v>
      </c>
      <c r="D176"/>
      <c r="E176" s="2" t="str">
        <f>=HYPERLINK("https://si.geilicdn.com/pcitem2014204438-3bf30000019acf1857bc0a81347d_1442_1922.jpg?w=640&amp;h=640", "https://si.geilicdn.com/pcitem2014204438-3bf30000019acf1857bc0a81347d_1442_1922.jpg?w=640&amp;h=640")</f>
        <v>https://si.geilicdn.com/pcitem2014204438-3bf30000019acf1857bc0a81347d_1442_1922.jpg?w=640&amp;h=640</v>
      </c>
      <c r="F176" t="inlineStr">
        <is>
          <t>Accessories</t>
        </is>
      </c>
      <c r="G176" t="inlineStr">
        <is>
          <t>Montblanc</t>
        </is>
      </c>
      <c r="H176">
        <v>490</v>
      </c>
      <c r="I176">
        <v>71.01</v>
      </c>
      <c r="J176" t="inlineStr">
        <is>
          <t>{"id":"chatcmpl-DYj2t7XZMCfkEFyf04wPuRodgb35h","object":"chat.completion","created":1777168679,"model":"gpt-5-chat-2025-10-03","choices":[{"index":0,"message":{"role":"assistant","content":"Montblanc Black Leather Belt for Men Silver Buckle","refusal":null,"annotations":[]},"logprobs":null,"finish_reason":"stop"}],"usage":{"prompt_tokens":868,"completion_tokens":12,"total_tokens":880,"prompt_tokens_details":{"cached_tokens":0,"audio_tokens":0},"completion_tokens_details":{"reasoning_tokens":0,"audio_tokens":0,"accepted_prediction_tokens":0,"rejected_prediction_tokens":0}},"service_tier":"default","system_fingerprint":"fp_ad66631dec"}</t>
        </is>
      </c>
      <c r="K176" t="inlineStr">
        <is>
          <t>Montblanc Black Leather Belt for Men Silver Buckle</t>
        </is>
      </c>
      <c r="L176" t="inlineStr">
        <is>
          <t>{"id":"chatcmpl-DYiI1bZu1A6RmbeeVHH16tuZAoCQd","object":"chat.completion","created":1777165773,"model":"gpt-5-chat-2025-10-03","choices":[{"index":0,"message":{"role":"assistant","content":"Montblanc Black Men's Leather Belt crafted from premium full-grain cowhide with polished silver buckle, minimalist business design offering understated luxury for daily and formal wear.","refusal":null,"annotations":[]},"logprobs":null,"finish_reason":"stop"}],"usage":{"prompt_tokens":893,"completion_tokens":33,"total_tokens":926,"prompt_tokens_details":{"cached_tokens":0,"audio_tokens":0},"completion_tokens_details":{"reasoning_tokens":0,"audio_tokens":0,"accepted_prediction_tokens":0,"rejected_prediction_tokens":0}},"service_tier":"default","system_fingerprint":"fp_ad66631dec"}</t>
        </is>
      </c>
      <c r="M176" t="inlineStr">
        <is>
          <t>{"alt-svc":"h3=\":443\"; ma=2592000","apim-request-id":"9d1c7c91-6c99-4a8d-b524-11b2bf22699e","azureml-model-session":"d20260402074105-51db401e","cache-control":"no-cache","connection":"close","content-length":"993","content-type":"application/json","date":"Sun, 26 Apr 2026 01:09:35 GMT","server":"Caddy","skip-error-remapping":"true","strict-transport-security":"max-age=31536000; includeSubDomains; preload","x-content-type-options":"nosniff","x-ms-client-request-id":"Not-Set","x-ms-is-spilled-over":"false","x-ms-rai-invoked":"false","x-ms-region":"Switzerland North","x-new-api-version":"0.4.35","x-oneapi-request-id":"202604260109325634461018268d9d69YnD0fhF","x-ratelimit-abusepenalty-active":"False","x-ratelimit-limit-requests":"1000","x-ratelimit-limit-tokens":"1000000","x-ratelimit-remaining-requests":"999","x-ratelimit-remaining-tokens":"998345","x-ratelimit-renewalperiod-requests":"60","x-ratelimit-renewalperiod-tokens":"60","x-ratelimit-reset-requests":"60","x-ratelimit-reset-tokens":"99","x-request-id":"6a040ffa-873b-426c-8156-24be111eb569"}</t>
        </is>
      </c>
      <c r="N176" t="inlineStr">
        <is>
          <t>Montblanc Black Men's Leather Belt crafted from premium full-grain cowhide with polished silver buckle, minimalist business design offering understated luxury for daily and formal wear.</t>
        </is>
      </c>
      <c r="O176" t="inlineStr">
        <is>
          <t>{"id":"chatcmpl-DYiVYkf67SwdQaOBOAZY3UqpZBN75","object":"chat.completion","created":1777166612,"model":"gpt-5-chat-2025-10-03","choices":[{"index":0,"message":{"role":"assistant","content":"Montblanc,Accessories,kakobuy,kakebuy2026,kekobuysheet,kakobuysheet2026,2026kakobuy,kakobuyspreadsheeet,kakobuylink,kakebuylist,Kakobuy MEGA Spreadsheet,kakobuysheetfind,kakobuysheetfind2026,2026kakobuysheetfind,kakobuysheet2026","refusal":null,"annotations":[]},"logprobs":null,"finish_reason":"stop"}],"usage":{"prompt_tokens":783,"completion_tokens":88,"total_tokens":871,"prompt_tokens_details":{"cached_tokens":0,"audio_tokens":0},"completion_tokens_details":{"reasoning_tokens":0,"audio_tokens":0,"accepted_prediction_tokens":0,"rejected_prediction_tokens":0}},"service_tier":"default","system_fingerprint":"fp_ad66631dec"}</t>
        </is>
      </c>
      <c r="P176" t="inlineStr">
        <is>
          <t>Montblanc,Accessories,kakobuy,kakebuy2026,kekobuysheet,kakobuysheet2026,2026kakobuy,kakobuyspreadsheeet,kakobuylink,kakebuylist,Kakobuy MEGA Spreadsheet,kakobuysheetfind,kakobuysheetfind2026,2026kakobuysheetfind,kakobuysheet2026</t>
        </is>
      </c>
      <c r="Q176" t="inlineStr">
        <is>
          <t>Leather, Black, Minimalist, Business, Men, Cowhide</t>
        </is>
      </c>
      <c r="R176" t="inlineStr">
        <is>
          <t>recvhju1CrD6Cc</t>
        </is>
      </c>
      <c r="S176" t="inlineStr">
        <is>
          <t>montblanc-black-leather-belt-men-silver-buckle-recvhju1crD6Cc</t>
        </is>
      </c>
      <c r="T176"/>
      <c r="U176"/>
      <c r="V176"/>
      <c r="W176" t="inlineStr">
        <is>
          <t>{"id":"chatcmpl-DYhqiJhew5xjBSydScaH7RxmU7qFK","object":"chat.completion","created":1777164080,"model":"gpt-5-chat-2025-10-03","choices":[{"index":0,"message":{"role":"assistant","content":"Montblanc：黑色男士皮带，精选头层牛皮材质，搭配抛光银色金属扣头，简约商务设计彰显低调奢华，适合现代绅士日常与正式场合佩戴。","refusal":null,"annotations":[]},"logprobs":null,"finish_reason":"stop"}],"usage":{"prompt_tokens":1301,"completion_tokens":59,"total_tokens":1360,"prompt_tokens_details":{"cached_tokens":0,"audio_tokens":0},"completion_tokens_details":{"reasoning_tokens":0,"audio_tokens":0,"accepted_prediction_tokens":0,"rejected_prediction_tokens":0}},"service_tier":"default","system_fingerprint":"fp_ad66631dec"}</t>
        </is>
      </c>
      <c r="X176" t="inlineStr">
        <is>
          <t>Montblanc：黑色男士皮带，精选头层牛皮材质，搭配抛光银色金属扣头，简约商务设计彰显低调奢华，适合现代绅士日常与正式场合佩戴。</t>
        </is>
      </c>
    </row>
    <row r="177" ht="25.5" customHeight="1">
      <c r="A177">
        <v>1654975475</v>
      </c>
      <c r="B177">
        <v>7619546361</v>
      </c>
      <c r="C177" s="2" t="str">
        <f>=HYPERLINK("https://weidian.com/item.html?itemID=7619546361", "https://weidian.com/item.html?itemID=7619546361")</f>
        <v>https://weidian.com/item.html?itemID=7619546361</v>
      </c>
      <c r="D177"/>
      <c r="E177" s="2" t="str">
        <f>=HYPERLINK("https://si.geilicdn.com/pcitem2014204438-3df60000019acf1b3dc90a210256_1080_1080.jpg?w=640&amp;h=640", "https://si.geilicdn.com/pcitem2014204438-3df60000019acf1b3dc90a210256_1080_1080.jpg?w=640&amp;h=640")</f>
        <v>https://si.geilicdn.com/pcitem2014204438-3df60000019acf1b3dc90a210256_1080_1080.jpg?w=640&amp;h=640</v>
      </c>
      <c r="F177" t="inlineStr">
        <is>
          <t>Accessories</t>
        </is>
      </c>
      <c r="G177" t="inlineStr">
        <is>
          <t>Salvatore Ferragamo</t>
        </is>
      </c>
      <c r="H177">
        <v>98</v>
      </c>
      <c r="I177">
        <v>14.2</v>
      </c>
      <c r="J177" t="inlineStr">
        <is>
          <t>{"id":"chatcmpl-DYizZMM07oTfwwvqwIew5jMVIcSOF","object":"chat.completion","created":1777168473,"model":"gpt-5-chat-2025-10-03","choices":[{"index":0,"message":{"role":"assistant","content":"Salvatore Ferragamo Gancini Black Leather Men’s Belt","refusal":null,"annotations":[]},"logprobs":null,"finish_reason":"stop"}],"usage":{"prompt_tokens":884,"completion_tokens":14,"total_tokens":898,"prompt_tokens_details":{"cached_tokens":0,"audio_tokens":0},"completion_tokens_details":{"reasoning_tokens":0,"audio_tokens":0,"accepted_prediction_tokens":0,"rejected_prediction_tokens":0}},"service_tier":"default","system_fingerprint":"fp_ad66631dec"}</t>
        </is>
      </c>
      <c r="K177" t="inlineStr">
        <is>
          <t>Salvatore Ferragamo Gancini Black Leather Men’s Belt</t>
        </is>
      </c>
      <c r="L177" t="inlineStr">
        <is>
          <t>{"id":"chatcmpl-DYiGT44ECwOxxuiY8DtpO7fMfIvi5","object":"chat.completion","created":1777165677,"model":"gpt-5-chat-2025-10-03","choices":[{"index":0,"message":{"role":"assistant","content":"Salvatore Ferragamo Gancini black men's belt crafted from embossed calfskin leather with a gold-tone double Gancini buckle, blending Italian luxury with modern elegance for business or casual wear.","refusal":null,"annotations":[]},"logprobs":null,"finish_reason":"stop"}],"usage":{"prompt_tokens":903,"completion_tokens":40,"total_tokens":943,"prompt_tokens_details":{"cached_tokens":0,"audio_tokens":0},"completion_tokens_details":{"reasoning_tokens":0,"audio_tokens":0,"accepted_prediction_tokens":0,"rejected_prediction_tokens":0}},"service_tier":"default","system_fingerprint":"fp_ad66631dec"}</t>
        </is>
      </c>
      <c r="M177" t="inlineStr">
        <is>
          <t>{"alt-svc":"h3=\":443\"; ma=2592000","apim-request-id":"3daea977-b04d-4978-834e-5b655e17d268","azureml-model-session":"d20260405225800-40f19e54","cache-control":"no-cache","connection":"close","content-length":"1005","content-type":"application/json","date":"Sun, 26 Apr 2026 01:07:59 GMT","server":"Caddy","skip-error-remapping":"true","strict-transport-security":"max-age=31536000; includeSubDomains; preload","x-content-type-options":"nosniff","x-ms-client-request-id":"Not-Set","x-ms-is-spilled-over":"false","x-ms-rai-invoked":"false","x-ms-region":"UK South","x-new-api-version":"0.4.35","x-oneapi-request-id":"202604260107569575251418268d9d6k7RZIEP2","x-ratelimit-abusepenalty-active":"False","x-ratelimit-limit-requests":"1000","x-ratelimit-limit-tokens":"1000000","x-ratelimit-remaining-requests":"999","x-ratelimit-remaining-tokens":"998335","x-ratelimit-renewalperiod-requests":"60","x-ratelimit-renewalperiod-tokens":"60","x-ratelimit-reset-requests":"60","x-ratelimit-reset-tokens":"99","x-request-id":"9185f5d9-d4e0-42a2-99bd-398eb28e39f8"}</t>
        </is>
      </c>
      <c r="N177" t="inlineStr">
        <is>
          <t>Salvatore Ferragamo Gancini black men's belt crafted from embossed calfskin leather with a gold-tone double Gancini buckle, blending Italian luxury with modern elegance for business or casual wear.</t>
        </is>
      </c>
      <c r="O177" t="inlineStr">
        <is>
          <t>{"id":"chatcmpl-DYiRG9pu3hibNavOXhuIPTs5WuVjN","object":"chat.completion","created":1777166346,"model":"gpt-5-chat-2025-10-03","choices":[{"index":0,"message":{"role":"assistant","content":"Salvatore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77" t="inlineStr">
        <is>
          <t>Salvatore Ferragamo,Accessories,kakobuy,kakebuy2026,kekobuysheet,kakobuysheet2026,2026kakobuy,kakobuyspreadsheeet,kakobuylink,kakebuylist,Kakobuy MEGA Spreadsheet,kakobuysheetfind,kakobuysheetfind2026,2026kakobuysheetfind,kakobuysheet2026</t>
        </is>
      </c>
      <c r="Q177"/>
      <c r="R177" t="inlineStr">
        <is>
          <t>recvhju1Crhqg6</t>
        </is>
      </c>
      <c r="S177" t="inlineStr">
        <is>
          <t>ferragamo-gancini-black-leather-belt-recvhju1crhqg6</t>
        </is>
      </c>
      <c r="T177"/>
      <c r="U177"/>
      <c r="V177"/>
      <c r="W177" t="inlineStr">
        <is>
          <t>{"id":"chatcmpl-DYhqv0L30d9xmPZLDf2rJDD6sNhDU","object":"chat.completion","created":1777164093,"model":"gpt-5-chat-2025-10-03","choices":[{"index":0,"message":{"role":"assistant","content":"Salvatore Ferragamo：Gancini系列黑色男士腰带，甄选压纹小牛皮材质，金色双Gancini金属扣设计，彰显意式奢华格调，融合经典与现代，轻松驾驭商务与休闲造型。","refusal":null,"annotations":[]},"logprobs":null,"finish_reason":"stop"}],"usage":{"prompt_tokens":1305,"completion_tokens":67,"total_tokens":1372,"prompt_tokens_details":{"cached_tokens":0,"audio_tokens":0},"completion_tokens_details":{"reasoning_tokens":0,"audio_tokens":0,"accepted_prediction_tokens":0,"rejected_prediction_tokens":0}},"service_tier":"default","system_fingerprint":"fp_ad66631dec"}</t>
        </is>
      </c>
      <c r="X177" t="inlineStr">
        <is>
          <t>Salvatore Ferragamo：Gancini系列黑色男士腰带，甄选压纹小牛皮材质，金色双Gancini金属扣设计，彰显意式奢华格调，融合经典与现代，轻松驾驭商务与休闲造型。</t>
        </is>
      </c>
    </row>
    <row r="178" ht="25.5" customHeight="1">
      <c r="A178">
        <v>1654975475</v>
      </c>
      <c r="B178">
        <v>7619469479</v>
      </c>
      <c r="C178" s="2" t="str">
        <f>=HYPERLINK("https://weidian.com/item.html?itemID=7619469479", "https://weidian.com/item.html?itemID=7619469479")</f>
        <v>https://weidian.com/item.html?itemID=7619469479</v>
      </c>
      <c r="D178"/>
      <c r="E178" s="2" t="str">
        <f>=HYPERLINK("https://si.geilicdn.com/pcitem2014204438-35960000019acfb8edfd0a811411_1440_1920.jpg?w=640&amp;h=640", "https://si.geilicdn.com/pcitem2014204438-35960000019acfb8edfd0a811411_1440_1920.jpg?w=640&amp;h=640")</f>
        <v>https://si.geilicdn.com/pcitem2014204438-35960000019acfb8edfd0a811411_1440_1920.jpg?w=640&amp;h=640</v>
      </c>
      <c r="F178" t="inlineStr">
        <is>
          <t>Accessories</t>
        </is>
      </c>
      <c r="G178" t="inlineStr">
        <is>
          <t>Montblanc</t>
        </is>
      </c>
      <c r="H178">
        <v>490</v>
      </c>
      <c r="I178">
        <v>71.01</v>
      </c>
      <c r="J178" t="inlineStr">
        <is>
          <t>{"id":"chatcmpl-DYixAIR4PfRNS9r5RbZHZoM9BwiB0","object":"chat.completion","created":1777168324,"model":"gpt-5-chat-2025-10-03","choices":[{"index":0,"message":{"role":"assistant","content":"Montblanc Black Leather Automatic Buckle Belt","refusal":null,"annotations":[]},"logprobs":null,"finish_reason":"stop"}],"usage":{"prompt_tokens":868,"completion_tokens":10,"total_tokens":878,"prompt_tokens_details":{"cached_tokens":0,"audio_tokens":0},"completion_tokens_details":{"reasoning_tokens":0,"audio_tokens":0,"accepted_prediction_tokens":0,"rejected_prediction_tokens":0}},"service_tier":"default","system_fingerprint":"fp_ad66631dec"}</t>
        </is>
      </c>
      <c r="K178" t="inlineStr">
        <is>
          <t>Montblanc Black Leather Automatic Buckle Belt</t>
        </is>
      </c>
      <c r="L178" t="inlineStr">
        <is>
          <t>{"id":"chatcmpl-DYiFZgGPKcVA17jAWyIi1HwY17HjR","object":"chat.completion","created":1777165621,"model":"gpt-5-chat-2025-10-03","choices":[{"index":0,"message":{"role":"assistant","content":"Montblanc Black Leather Belt with Automatic Buckle, Matte Metal Design for Elegant Business Style, Smooth Texture, Perfect for Modern Men’s Formal and Casual Wear.","refusal":null,"annotations":[]},"logprobs":null,"finish_reason":"stop"}],"usage":{"prompt_tokens":888,"completion_tokens":33,"total_tokens":921,"prompt_tokens_details":{"cached_tokens":0,"audio_tokens":0},"completion_tokens_details":{"reasoning_tokens":0,"audio_tokens":0,"accepted_prediction_tokens":0,"rejected_prediction_tokens":0}},"service_tier":"default","system_fingerprint":"fp_ad66631dec"}</t>
        </is>
      </c>
      <c r="M178" t="inlineStr">
        <is>
          <t>{"alt-svc":"h3=\":443\"; ma=2592000","apim-request-id":"74d471ea-34fb-455d-b06b-e9676136347e","azureml-model-session":"d20260405234249-f9874baf","cache-control":"no-cache","connection":"close","content-length":"973","content-type":"application/json","date":"Sun, 26 Apr 2026 01:07:03 GMT","server":"nginx","skip-error-remapping":"true","strict-transport-security":"max-age=31536000; includeSubDomains; preload","via":"1.1 Caddy","x-content-type-options":"nosniff","x-ms-client-request-id":"Not-Set","x-ms-is-spilled-over":"false","x-ms-rai-invoked":"false","x-ms-region":"Sweden Central","x-new-api-version":"0.4.35","x-oneapi-request-id":"202604260107006666927478268d9d6VzfCD70t","x-ratelimit-abusepenalty-active":"False","x-ratelimit-key":"gpt-5-chat-global","x-ratelimit-limit-requests":"1000","x-ratelimit-limit-tokens":"1000000","x-ratelimit-remaining-requests":"999","x-ratelimit-remaining-tokens":"998350","x-ratelimit-renewalperiod-requests":"60","x-ratelimit-renewalperiod-tokens":"60","x-ratelimit-reset-requests":"60","x-ratelimit-reset-tokens":"99","x-request-id":"b9a26f3e-886c-4250-91e7-b9b52188fad6"}</t>
        </is>
      </c>
      <c r="N178" t="inlineStr">
        <is>
          <t>Montblanc Black Leather Belt with Automatic Buckle, Matte Metal Design for Elegant Business Style, Smooth Texture, Perfect for Modern Men’s Formal and Casual Wear.</t>
        </is>
      </c>
      <c r="O178" t="inlineStr">
        <is>
          <t>{"id":"chatcmpl-DYiTzAGSuxQTDB2492JsfD9hpZcdJ","object":"chat.completion","created":1777166515,"model":"gpt-5-chat-2025-10-03","choices":[{"index":0,"message":{"role":"assistant","content":"Montblanc, belt, kakobuy, kakebuy2026, kekobuysheet, kakobuysheet2026, 2026kakobuy, kakobuyspreadsheet, kakobuylink, kakebuylist, Kakobuy MEGA Spreadsheet, kakobuysheetfind, kakobuysheetfind2026, 2026kakobuysheetfind, kakobuysheet2026","refusal":null,"annotations":[]},"logprobs":null,"finish_reason":"stop"}],"usage":{"prompt_tokens":783,"completion_tokens":90,"total_tokens":873,"prompt_tokens_details":{"cached_tokens":0,"audio_tokens":0},"completion_tokens_details":{"reasoning_tokens":0,"audio_tokens":0,"accepted_prediction_tokens":0,"rejected_prediction_tokens":0}},"service_tier":"default","system_fingerprint":"fp_ad66631dec"}</t>
        </is>
      </c>
      <c r="P178" t="inlineStr">
        <is>
          <t>Montblanc, belt, kakobuy, kakebuy2026, kekobuysheet, kakobuysheet2026, 2026kakobuy, kakobuyspreadsheet, kakobuylink, kakebuylist, Kakobuy MEGA Spreadsheet, kakobuysheetfind, kakobuysheetfind2026, 2026kakobuysheetfind, kakobuysheet2026</t>
        </is>
      </c>
      <c r="Q178" t="inlineStr">
        <is>
          <t>Leather, Elegant, Business, Business Formal, Men</t>
        </is>
      </c>
      <c r="R178" t="inlineStr">
        <is>
          <t>recvhju1Cr8WsH</t>
        </is>
      </c>
      <c r="S178" t="inlineStr">
        <is>
          <t>montblanc-black-leather-automatic-buckle-belt-recvhju1cr8wsh</t>
        </is>
      </c>
      <c r="T178"/>
      <c r="U178"/>
      <c r="V178"/>
      <c r="W178" t="inlineStr">
        <is>
          <t>{"id":"chatcmpl-DYhuLXp6huORPknK4d3kVNyCjnglo","object":"chat.completion","created":1777164305,"model":"gpt-5-chat-2025-10-03","choices":[{"index":0,"message":{"role":"assistant","content":"Montblanc：黑色真皮自动扣头腰带，简约金属哑光设计，彰显商务绅士格调，细腻皮质质感，适合现代男士正式与休闲场合佩戴。","refusal":null,"annotations":[]},"logprobs":null,"finish_reason":"stop"}],"usage":{"prompt_tokens":1299,"completion_tokens":55,"total_tokens":1354,"prompt_tokens_details":{"cached_tokens":1280,"audio_tokens":0},"completion_tokens_details":{"reasoning_tokens":0,"audio_tokens":0,"accepted_prediction_tokens":0,"rejected_prediction_tokens":0}},"service_tier":"default","system_fingerprint":"fp_ad66631dec"}</t>
        </is>
      </c>
      <c r="X178" t="inlineStr">
        <is>
          <t>Montblanc：黑色真皮自动扣头腰带，简约金属哑光设计，彰显商务绅士格调，细腻皮质质感，适合现代男士正式与休闲场合佩戴。</t>
        </is>
      </c>
    </row>
    <row r="179" ht="25.5" customHeight="1">
      <c r="A179">
        <v>1654975475</v>
      </c>
      <c r="B179">
        <v>7622524418</v>
      </c>
      <c r="C179" s="2" t="str">
        <f>=HYPERLINK("https://weidian.com/item.html?itemID=7622524418", "https://weidian.com/item.html?itemID=7622524418")</f>
        <v>https://weidian.com/item.html?itemID=7622524418</v>
      </c>
      <c r="D179"/>
      <c r="E179" s="2" t="str">
        <f>=HYPERLINK("https://si.geilicdn.com/pcitem2014204438-6ce50000019acfb1b0500a2301b4_1080_1080.jpg?w=640&amp;h=640", "https://si.geilicdn.com/pcitem2014204438-6ce50000019acfb1b0500a2301b4_1080_1080.jpg?w=640&amp;h=640")</f>
        <v>https://si.geilicdn.com/pcitem2014204438-6ce50000019acfb1b0500a2301b4_1080_1080.jpg?w=640&amp;h=640</v>
      </c>
      <c r="F179" t="inlineStr">
        <is>
          <t>Accessories</t>
        </is>
      </c>
      <c r="G179" t="inlineStr">
        <is>
          <t>Louis Vuitton</t>
        </is>
      </c>
      <c r="H179">
        <v>460</v>
      </c>
      <c r="I179">
        <v>66.67</v>
      </c>
      <c r="J179" t="inlineStr">
        <is>
          <t>{"id":"chatcmpl-DYj36jtcLDNGRiDB6zrF1w6Sciv0q","object":"chat.completion","created":1777168692,"model":"gpt-5-chat-2025-10-03","choices":[{"index":0,"message":{"role":"assistant","content":"Louis Vuitton Men Black Leather LV Belt","refusal":null,"annotations":[]},"logprobs":null,"finish_reason":"stop"}],"usage":{"prompt_tokens":867,"completion_tokens":8,"total_tokens":875,"prompt_tokens_details":{"cached_tokens":0,"audio_tokens":0},"completion_tokens_details":{"reasoning_tokens":0,"audio_tokens":0,"accepted_prediction_tokens":0,"rejected_prediction_tokens":0}},"service_tier":"default","system_fingerprint":"fp_ad66631dec"}</t>
        </is>
      </c>
      <c r="K179" t="inlineStr">
        <is>
          <t>Louis Vuitton Men Black Leather LV Belt</t>
        </is>
      </c>
      <c r="L179" t="inlineStr">
        <is>
          <t>{"id":"chatcmpl-DYiJRdadfGyONGOOBhhRK1tFC3BOF","object":"chat.completion","created":1777165861,"model":"gpt-5-chat-2025-10-03","choices":[{"index":0,"message":{"role":"assistant","content":"Louis Vuitton Men’s Black Leather Belt with Embossed Monogram Pattern and Silver LV Buckle, a sleek luxury accessory perfect for both business and casual style.","refusal":null,"annotations":[]},"logprobs":null,"finish_reason":"stop"}],"usage":{"prompt_tokens":884,"completion_tokens":33,"total_tokens":917,"prompt_tokens_details":{"cached_tokens":0,"audio_tokens":0},"completion_tokens_details":{"reasoning_tokens":0,"audio_tokens":0,"accepted_prediction_tokens":0,"rejected_prediction_tokens":0}},"service_tier":"default","system_fingerprint":"fp_ad66631dec"}</t>
        </is>
      </c>
      <c r="M179" t="inlineStr">
        <is>
          <t>{"alt-svc":"h3=\":443\"; ma=2592000","apim-request-id":"934a96dc-31e2-47ad-84d3-703c9047497f","azureml-model-session":"d20260402074105-51db401e","cache-control":"no-cache","connection":"close","content-length":"970","content-type":"application/json","date":"Sun, 26 Apr 2026 01:11:03 GMT","server":"Caddy","skip-error-remapping":"true","strict-transport-security":"max-age=31536000; includeSubDomains; preload","x-content-type-options":"nosniff","x-ms-client-request-id":"Not-Set","x-ms-is-spilled-over":"false","x-ms-rai-invoked":"false","x-ms-region":"Sweden Central","x-new-api-version":"0.4.35","x-oneapi-request-id":"20260426011101670344388268d9d6VfXnNBHH","x-ratelimit-abusepenalty-active":"False","x-ratelimit-key":"gpt-5-chat-global","x-ratelimit-limit-requests":"1000","x-ratelimit-limit-tokens":"1000000","x-ratelimit-remaining-requests":"999","x-ratelimit-remaining-tokens":"998354","x-ratelimit-renewalperiod-requests":"60","x-ratelimit-renewalperiod-tokens":"60","x-ratelimit-reset-requests":"60","x-ratelimit-reset-tokens":"98","x-request-id":"8603f9a6-263c-4df4-bc61-01f0966ac8c6"}</t>
        </is>
      </c>
      <c r="N179" t="inlineStr">
        <is>
          <t>Louis Vuitton Men’s Black Leather Belt with Embossed Monogram Pattern and Silver LV Buckle, a sleek luxury accessory perfect for both business and casual style.</t>
        </is>
      </c>
      <c r="O179" t="inlineStr">
        <is>
          <t>{"id":"chatcmpl-DYiRitbwH0Yt8HYKrz28BWUTDPg0h","object":"chat.completion","created":1777166374,"model":"gpt-5-chat-2025-10-03","choices":[{"index":0,"message":{"role":"assistant","content":"Louis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79" t="inlineStr">
        <is>
          <t>Louis Vuitton, Accessories, kakobuy, kakebuy2026, kekobuysheet, kakobuysheet2026, 2026kakobuy, kakobuyspreadsheeet, kakobuylink, kakebuylist, Kakobuy MEGA Spreadsheet, kakobuysheetfind, kakobuysheetfind2026, 2026kakobuysheetfind, kakobuysheet2026</t>
        </is>
      </c>
      <c r="Q179" t="inlineStr">
        <is>
          <t>LV, Leather, Black, Silver, Business</t>
        </is>
      </c>
      <c r="R179" t="inlineStr">
        <is>
          <t>recvhju1Cr2WdB</t>
        </is>
      </c>
      <c r="S179" t="inlineStr">
        <is>
          <t>louis-vuitton-men-black-leather-lv-belt-recvhju1cr2wd</t>
        </is>
      </c>
      <c r="T179"/>
      <c r="U179"/>
      <c r="V179"/>
      <c r="W179" t="inlineStr">
        <is>
          <t>{"id":"chatcmpl-DYhsDYwdS0p5Fa7VZijd0wucNBy1W","object":"chat.completion","created":1777164173,"model":"gpt-5-chat-2025-10-03","choices":[{"index":0,"message":{"role":"assistant","content":"Louis Vuitton：男士黑色真皮腰带，饰以经典Monogram压纹及银色LV金属扣，简约奢华设计彰显品牌格调，适合商务与休闲造型。","refusal":null,"annotations":[]},"logprobs":null,"finish_reason":"stop"}],"usage":{"prompt_tokens":1303,"completion_tokens":49,"total_tokens":1352,"prompt_tokens_details":{"cached_tokens":1280,"audio_tokens":0},"completion_tokens_details":{"reasoning_tokens":0,"audio_tokens":0,"accepted_prediction_tokens":0,"rejected_prediction_tokens":0}},"service_tier":"default","system_fingerprint":"fp_ad66631dec"}</t>
        </is>
      </c>
      <c r="X179" t="inlineStr">
        <is>
          <t>Louis Vuitton：男士黑色真皮腰带，饰以经典Monogram压纹及银色LV金属扣，简约奢华设计彰显品牌格调，适合商务与休闲造型。</t>
        </is>
      </c>
    </row>
    <row r="180" ht="25.5" customHeight="1">
      <c r="A180">
        <v>1654975475</v>
      </c>
      <c r="B180">
        <v>7619487319</v>
      </c>
      <c r="C180" s="2" t="str">
        <f>=HYPERLINK("https://weidian.com/item.html?itemID=7619487319", "https://weidian.com/item.html?itemID=7619487319")</f>
        <v>https://weidian.com/item.html?itemID=7619487319</v>
      </c>
      <c r="D180"/>
      <c r="E180" s="2" t="str">
        <f>=HYPERLINK("https://si.geilicdn.com/pcitem2014204438-67470000019acfb2e28e0a8134f0_1080_1080.jpg?w=640&amp;h=640", "https://si.geilicdn.com/pcitem2014204438-67470000019acfb2e28e0a8134f0_1080_1080.jpg?w=640&amp;h=640")</f>
        <v>https://si.geilicdn.com/pcitem2014204438-67470000019acfb2e28e0a8134f0_1080_1080.jpg?w=640&amp;h=640</v>
      </c>
      <c r="F180" t="inlineStr">
        <is>
          <t>Accessories</t>
        </is>
      </c>
      <c r="G180" t="inlineStr">
        <is>
          <t>Salvatore Ferragamo</t>
        </is>
      </c>
      <c r="H180">
        <v>460</v>
      </c>
      <c r="I180">
        <v>66.67</v>
      </c>
      <c r="J180" t="inlineStr">
        <is>
          <t>{"id":"chatcmpl-DYj27tPw13ZinGZjFzAb58cRScqHZ","object":"chat.completion","created":1777168631,"model":"gpt-5-chat-2025-10-03","choices":[{"index":0,"message":{"role":"assistant","content":"Salvatore Ferragamo Gancini Black Leather Belt","refusal":null,"annotations":[]},"logprobs":null,"finish_reason":"stop"}],"usage":{"prompt_tokens":870,"completion_tokens":12,"total_tokens":882,"prompt_tokens_details":{"cached_tokens":0,"audio_tokens":0},"completion_tokens_details":{"reasoning_tokens":0,"audio_tokens":0,"accepted_prediction_tokens":0,"rejected_prediction_tokens":0}},"service_tier":"default","system_fingerprint":"fp_ad66631dec"}</t>
        </is>
      </c>
      <c r="K180" t="inlineStr">
        <is>
          <t>Salvatore Ferragamo Gancini Black Leather Belt</t>
        </is>
      </c>
      <c r="L180" t="inlineStr">
        <is>
          <t>{"id":"chatcmpl-DYiKR5sxUDbRJTmVxwT0lvQMqJWs3","object":"chat.completion","created":1777165923,"model":"gpt-5-chat-2025-10-03","choices":[{"index":0,"message":{"role":"assistant","content":"Salvatore Ferragamo Gancini black leather belt with gold double-ring buckle, embossed geometric texture, unisex luxury style for modern business and casual looks.","refusal":null,"annotations":[]},"logprobs":null,"finish_reason":"stop"}],"usage":{"prompt_tokens":899,"completion_tokens":33,"total_tokens":932,"prompt_tokens_details":{"cached_tokens":0,"audio_tokens":0},"completion_tokens_details":{"reasoning_tokens":0,"audio_tokens":0,"accepted_prediction_tokens":0,"rejected_prediction_tokens":0}},"service_tier":"default","system_fingerprint":"fp_ad66631dec"}</t>
        </is>
      </c>
      <c r="M180" t="inlineStr">
        <is>
          <t>{"alt-svc":"h3=\":443\"; ma=2592000","apim-request-id":"b2c23482-1d33-41a0-98e0-6252c66b1bb9","azureml-model-session":"d20260405225800-40f19e54","cache-control":"no-cache","connection":"close","content-length":"970","content-type":"application/json","date":"Sun, 26 Apr 2026 01:12:05 GMT","server":"nginx","skip-error-remapping":"true","strict-transport-security":"max-age=31536000; includeSubDomains; preload","via":"1.1 Caddy","x-content-type-options":"nosniff","x-ms-client-request-id":"Not-Set","x-ms-is-spilled-over":"false","x-ms-rai-invoked":"false","x-ms-region":"Sweden Central","x-new-api-version":"0.4.35","x-oneapi-request-id":"202604260112031757080578268d9d6AMrlHiZL","x-ratelimit-abusepenalty-active":"False","x-ratelimit-key":"gpt-5-chat-global","x-ratelimit-limit-requests":"1000","x-ratelimit-limit-tokens":"1000000","x-ratelimit-remaining-requests":"999","x-ratelimit-remaining-tokens":"998339","x-ratelimit-renewalperiod-requests":"60","x-ratelimit-renewalperiod-tokens":"60","x-ratelimit-reset-requests":"60","x-ratelimit-reset-tokens":"99","x-request-id":"4d4b9f5b-2e0a-4214-be41-37e63e5c1348"}</t>
        </is>
      </c>
      <c r="N180" t="inlineStr">
        <is>
          <t>Salvatore Ferragamo Gancini black leather belt with gold double-ring buckle, embossed geometric texture, unisex luxury style for modern business and casual looks.</t>
        </is>
      </c>
      <c r="O180" t="inlineStr">
        <is>
          <t>{"id":"chatcmpl-DYiShno9wzOZGe8HEiXFVyOS9wtke","object":"chat.completion","created":1777166435,"model":"gpt-5-chat-2025-10-03","choices":[{"index":0,"message":{"role":"assistant","content":"Salvatore Ferragamo,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80" t="inlineStr">
        <is>
          <t>Salvatore Ferragamo, Belt, kakobuy, kakebuy2026, kekobuysheet, kakobuysheet2026, 2026kakobuy, kakobuyspreadsheeet, kakobuylink, kakebuylist, Kakobuy MEGA Spreadsheet, kakobuysheetfind, kakobuysheetfind2026, 2026kakobuysheetfind, kakobuysheet2026</t>
        </is>
      </c>
      <c r="Q180"/>
      <c r="R180" t="inlineStr">
        <is>
          <t>recvhju1CrVSmH</t>
        </is>
      </c>
      <c r="S180" t="inlineStr">
        <is>
          <t>ferragamo-gancini-black-leather-belt-recvhju1crvsmh</t>
        </is>
      </c>
      <c r="T180"/>
      <c r="U180"/>
      <c r="V180"/>
      <c r="W180" t="inlineStr">
        <is>
          <t>{"id":"chatcmpl-DYhod4iSUOn0RyYdJvV8YmZwBHEwO","object":"chat.completion","created":1777163951,"model":"gpt-5-chat-2025-10-03","choices":[{"index":0,"message":{"role":"assistant","content":"Salvatore Ferragamo：Gancini系列黑色牛皮腰带，金色双环扣设计彰显意式奢华，几何压纹质感高级，男女皆宜，融合现代简约与经典格调，适合商务休闲场合。","refusal":null,"annotations":[]},"logprobs":null,"finish_reason":"stop"}],"usage":{"prompt_tokens":1309,"completion_tokens":61,"total_tokens":1370,"prompt_tokens_details":{"cached_tokens":0,"audio_tokens":0},"completion_tokens_details":{"reasoning_tokens":0,"audio_tokens":0,"accepted_prediction_tokens":0,"rejected_prediction_tokens":0}},"service_tier":"default","system_fingerprint":"fp_ad66631dec"}</t>
        </is>
      </c>
      <c r="X180" t="inlineStr">
        <is>
          <t>Salvatore Ferragamo：Gancini系列黑色牛皮腰带，金色双环扣设计彰显意式奢华，几何压纹质感高级，男女皆宜，融合现代简约与经典格调，适合商务休闲场合。</t>
        </is>
      </c>
    </row>
    <row r="181" ht="25.5" customHeight="1">
      <c r="A181">
        <v>1654975475</v>
      </c>
      <c r="B181">
        <v>7620914667</v>
      </c>
      <c r="C181" s="2" t="str">
        <f>=HYPERLINK("https://weidian.com/item.html?itemID=7620914667", "https://weidian.com/item.html?itemID=7620914667")</f>
        <v>https://weidian.com/item.html?itemID=7620914667</v>
      </c>
      <c r="D181"/>
      <c r="E181" s="2" t="str">
        <f>=HYPERLINK("https://si.geilicdn.com/pcitem2014204438-796a0000019ad8bc22550a20e672_1442_1922.jpg?w=640&amp;h=640", "https://si.geilicdn.com/pcitem2014204438-796a0000019ad8bc22550a20e672_1442_1922.jpg?w=640&amp;h=640")</f>
        <v>https://si.geilicdn.com/pcitem2014204438-796a0000019ad8bc22550a20e672_1442_1922.jpg?w=640&amp;h=640</v>
      </c>
      <c r="F181" t="inlineStr">
        <is>
          <t>Accessories</t>
        </is>
      </c>
      <c r="G181" t="inlineStr">
        <is>
          <t>Ermenegildo Zegna</t>
        </is>
      </c>
      <c r="H181">
        <v>510</v>
      </c>
      <c r="I181">
        <v>73.91</v>
      </c>
      <c r="J181" t="inlineStr">
        <is>
          <t>{"id":"chatcmpl-DYiyAu01WnfCZRMwiYppQyqXgo5BG","object":"chat.completion","created":1777168386,"model":"gpt-5-chat-2025-10-03","choices":[{"index":0,"message":{"role":"assistant","content":"Ermenegildo Zegna Black Leather Belt 3.5cm Men","refusal":null,"annotations":[]},"logprobs":null,"finish_reason":"stop"}],"usage":{"prompt_tokens":895,"completion_tokens":16,"total_tokens":911,"prompt_tokens_details":{"cached_tokens":0,"audio_tokens":0},"completion_tokens_details":{"reasoning_tokens":0,"audio_tokens":0,"accepted_prediction_tokens":0,"rejected_prediction_tokens":0}},"service_tier":"default","system_fingerprint":"fp_ad66631dec"}</t>
        </is>
      </c>
      <c r="K181" t="inlineStr">
        <is>
          <t>Ermenegildo Zegna Black Leather Belt 3.5cm Men</t>
        </is>
      </c>
      <c r="L181" t="inlineStr">
        <is>
          <t>{"id":"chatcmpl-DYiIpyc1hez6L43o6ksYNKfao7Tb5","object":"chat.completion","created":1777165823,"model":"gpt-5-chat-2025-10-03","choices":[{"index":0,"message":{"role":"assistant","content":"Ermenegildo Zegna Black Leather Belt for Men, crafted from premium full-grain leather with polished silver buckle, 3.5cm wide, exuding Italian elegance and suitable for both business and casual wear.","refusal":null,"annotations":[]},"logprobs":null,"finish_reason":"stop"}],"usage":{"prompt_tokens":923,"completion_tokens":45,"total_tokens":968,"prompt_tokens_details":{"cached_tokens":0,"audio_tokens":0},"completion_tokens_details":{"reasoning_tokens":0,"audio_tokens":0,"accepted_prediction_tokens":0,"rejected_prediction_tokens":0}},"service_tier":"default","system_fingerprint":"fp_ad66631dec"}</t>
        </is>
      </c>
      <c r="M181" t="inlineStr">
        <is>
          <t>{"alt-svc":"h3=\":443\"; ma=2592000","apim-request-id":"6420a0d6-13cf-4b75-a767-6ff8bdf84e24","azureml-model-session":"d20260405225800-40f19e54","cache-control":"no-cache","connection":"close","content-length":"1007","content-type":"application/json","date":"Sun, 26 Apr 2026 01:10:25 GMT","server":"Caddy","skip-error-remapping":"true","strict-transport-security":"max-age=31536000; includeSubDomains; preload","x-content-type-options":"nosniff","x-ms-client-request-id":"Not-Set","x-ms-is-spilled-over":"false","x-ms-rai-invoked":"false","x-ms-region":"UK South","x-new-api-version":"0.4.35","x-oneapi-request-id":"202604260110224648836038268d9d6kAtMW4ez","x-ratelimit-abusepenalty-active":"False","x-ratelimit-limit-requests":"1000","x-ratelimit-limit-tokens":"1000000","x-ratelimit-remaining-requests":"999","x-ratelimit-remaining-tokens":"998315","x-ratelimit-renewalperiod-requests":"60","x-ratelimit-renewalperiod-tokens":"60","x-ratelimit-reset-requests":"60","x-ratelimit-reset-tokens":"101","x-request-id":"546fc2c5-0fdb-40ad-8c07-8bbd68e7b5f8"}</t>
        </is>
      </c>
      <c r="N181" t="inlineStr">
        <is>
          <t>Ermenegildo Zegna Black Leather Belt for Men, crafted from premium full-grain leather with polished silver buckle, 3.5cm wide, exuding Italian elegance and suitable for both business and casual wear.</t>
        </is>
      </c>
      <c r="O181" t="inlineStr">
        <is>
          <t>{"id":"chatcmpl-DYiRIxtYioakBINa8nYOkFwspceT0","object":"chat.completion","created":1777166348,"model":"gpt-5-chat-2025-10-03","choices":[{"index":0,"message":{"role":"assistant","content":"Ermenegildo Zegna,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95,"total_tokens":881,"prompt_tokens_details":{"cached_tokens":0,"audio_tokens":0},"completion_tokens_details":{"reasoning_tokens":0,"audio_tokens":0,"accepted_prediction_tokens":0,"rejected_prediction_tokens":0}},"service_tier":"default","system_fingerprint":"fp_ad66631dec"}</t>
        </is>
      </c>
      <c r="P181" t="inlineStr">
        <is>
          <t>Ermenegildo Zegna, Accessories, kakobuy, kakebuy2026, kekobuysheet, kakobuysheet2026, 2026kakobuy, kakobuyspreadsheeet, kakobuylink, kakebuylist, Kakobuy MEGA Spreadsheet, kakobuysheetfind, kakobuysheetfind2026, 2026kakobuysheetfind, kakobuysheet2026</t>
        </is>
      </c>
      <c r="Q181" t="inlineStr">
        <is>
          <t>Black, Leather, Business, Men</t>
        </is>
      </c>
      <c r="R181" t="inlineStr">
        <is>
          <t>recvhju1CrO8U3</t>
        </is>
      </c>
      <c r="S181" t="inlineStr">
        <is>
          <t>zegna-black-leather-belt-3-5cm-recvhju1cro8u3</t>
        </is>
      </c>
      <c r="T181"/>
      <c r="U181"/>
      <c r="V181"/>
      <c r="W181" t="inlineStr">
        <is>
          <t>{"id":"chatcmpl-DYhpNjr5i0469yFO8GJq7Vdihj7tT","object":"chat.completion","created":1777163997,"model":"gpt-5-chat-2025-10-03","choices":[{"index":0,"message":{"role":"assistant","content":"Ermenegildo Zegna：黑色经典男士皮质腰带，甄选优质全粒面牛皮，搭配银色抛光金属扣，简约而典雅。3.5cm宽设计凸显精致剪裁，彰显意式奢华品味，适合商务与休闲造型，尽显绅士格调。","refusal":null,"annotations":[]},"logprobs":null,"finish_reason":"stop"}],"usage":{"prompt_tokens":1307,"completion_tokens":86,"total_tokens":1393,"prompt_tokens_details":{"cached_tokens":1280,"audio_tokens":0},"completion_tokens_details":{"reasoning_tokens":0,"audio_tokens":0,"accepted_prediction_tokens":0,"rejected_prediction_tokens":0}},"service_tier":"default","system_fingerprint":"fp_ad66631dec"}</t>
        </is>
      </c>
      <c r="X181" t="inlineStr">
        <is>
          <t>Ermenegildo Zegna：黑色经典男士皮质腰带，甄选优质全粒面牛皮，搭配银色抛光金属扣，简约而典雅。3.5cm宽设计凸显精致剪裁，彰显意式奢华品味，适合商务与休闲造型，尽显绅士格调。</t>
        </is>
      </c>
    </row>
    <row r="182" ht="25.5" customHeight="1">
      <c r="A182">
        <v>1654975475</v>
      </c>
      <c r="B182">
        <v>7623861012</v>
      </c>
      <c r="C182" s="2" t="str">
        <f>=HYPERLINK("https://weidian.com/item.html?itemID=7623861012", "https://weidian.com/item.html?itemID=7623861012")</f>
        <v>https://weidian.com/item.html?itemID=7623861012</v>
      </c>
      <c r="D182"/>
      <c r="E182" s="2" t="str">
        <f>=HYPERLINK("https://si.geilicdn.com/pcitem2014204438-03ee0000019ad8bbb78a0a23057e_1442_1922.jpg?w=640&amp;h=640", "https://si.geilicdn.com/pcitem2014204438-03ee0000019ad8bbb78a0a23057e_1442_1922.jpg?w=640&amp;h=640")</f>
        <v>https://si.geilicdn.com/pcitem2014204438-03ee0000019ad8bbb78a0a23057e_1442_1922.jpg?w=640&amp;h=640</v>
      </c>
      <c r="F182" t="inlineStr">
        <is>
          <t>Accessories</t>
        </is>
      </c>
      <c r="G182" t="inlineStr">
        <is>
          <t>Ermenegildo Zegna</t>
        </is>
      </c>
      <c r="H182">
        <v>510</v>
      </c>
      <c r="I182">
        <v>73.91</v>
      </c>
      <c r="J182" t="inlineStr">
        <is>
          <t>{"id":"chatcmpl-DYj0WCeUr0e11izMhpLN7r4WGMVGZ","object":"chat.completion","created":1777168532,"model":"gpt-5-chat-2025-10-03","choices":[{"index":0,"message":{"role":"assistant","content":"Ermenegildo Zegna Black Leather Automatic Business Belt 3.5cm","refusal":null,"annotations":[]},"logprobs":null,"finish_reason":"stop"}],"usage":{"prompt_tokens":891,"completion_tokens":17,"total_tokens":908,"prompt_tokens_details":{"cached_tokens":0,"audio_tokens":0},"completion_tokens_details":{"reasoning_tokens":0,"audio_tokens":0,"accepted_prediction_tokens":0,"rejected_prediction_tokens":0}},"service_tier":"default","system_fingerprint":"fp_ad66631dec"}</t>
        </is>
      </c>
      <c r="K182" t="inlineStr">
        <is>
          <t>Ermenegildo Zegna Black Leather Automatic Business Belt 3.5cm</t>
        </is>
      </c>
      <c r="L182" t="inlineStr">
        <is>
          <t>{"id":"chatcmpl-DYiESJEEgQ2aA0lbVoVwlfyLcExRx","object":"chat.completion","created":1777165552,"model":"gpt-5-chat-2025-10-03","choices":[{"index":0,"message":{"role":"assistant","content":"Ermenegildo Zegna Black Leather Business Belt, crafted from premium first-layer cowhide with a sleek silver automatic buckle, 3.5cm wide, perfect for modern men’s daily and business wear.","refusal":null,"annotations":[]},"logprobs":null,"finish_reason":"stop"}],"usage":{"prompt_tokens":917,"completion_tokens":43,"total_tokens":960,"prompt_tokens_details":{"cached_tokens":0,"audio_tokens":0},"completion_tokens_details":{"reasoning_tokens":0,"audio_tokens":0,"accepted_prediction_tokens":0,"rejected_prediction_tokens":0}},"service_tier":"default","system_fingerprint":"fp_ad66631dec"}</t>
        </is>
      </c>
      <c r="M182" t="inlineStr">
        <is>
          <t>{"alt-svc":"h3=\":443\"; ma=2592000","apim-request-id":"30178ebd-6fbb-4e77-bc71-8b19d154cd2a","azureml-model-session":"d20260402083108-57a85543","cache-control":"no-cache","connection":"close","content-length":"997","content-type":"application/json","date":"Sun, 26 Apr 2026 01:05:54 GMT","server":"nginx","skip-error-remapping":"true","strict-transport-security":"max-age=31536000; includeSubDomains; preload","via":"1.1 Caddy","x-content-type-options":"nosniff","x-ms-client-request-id":"Not-Set","x-ms-is-spilled-over":"false","x-ms-rai-invoked":"false","x-ms-region":"Sweden Central","x-new-api-version":"0.4.35","x-oneapi-request-id":"202604260105516131143148268d9d6rzr4X0iJ","x-ratelimit-abusepenalty-active":"False","x-ratelimit-key":"gpt-5-chat-global","x-ratelimit-limit-requests":"1000","x-ratelimit-limit-tokens":"1000000","x-ratelimit-remaining-requests":"999","x-ratelimit-remaining-tokens":"998321","x-ratelimit-renewalperiod-requests":"60","x-ratelimit-renewalperiod-tokens":"60","x-ratelimit-reset-requests":"60","x-ratelimit-reset-tokens":"100","x-request-id":"3fe12d84-5375-4568-bd18-b810394fd3ba"}</t>
        </is>
      </c>
      <c r="N182" t="inlineStr">
        <is>
          <t>Ermenegildo Zegna Black Leather Business Belt, crafted from premium first-layer cowhide with a sleek silver automatic buckle, 3.5cm wide, perfect for modern men’s daily and business wear.</t>
        </is>
      </c>
      <c r="O182" t="inlineStr">
        <is>
          <t>{"id":"chatcmpl-DYiUTn3kM6Mt09WXbKanvWmVF3zjz","object":"chat.completion","created":1777166545,"model":"gpt-5-chat-2025-10-03","choices":[{"index":0,"message":{"role":"assistant","content":"Ermenegildo Zegna,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786,"completion_tokens":95,"total_tokens":881,"prompt_tokens_details":{"cached_tokens":0,"audio_tokens":0},"completion_tokens_details":{"reasoning_tokens":0,"audio_tokens":0,"accepted_prediction_tokens":0,"rejected_prediction_tokens":0}},"service_tier":"default","system_fingerprint":"fp_ad66631dec"}</t>
        </is>
      </c>
      <c r="P182" t="inlineStr">
        <is>
          <t>Ermenegildo Zegna, Accessories, kakobuy, kakebuy2026, kekobuysheet, kakobuysheet2026, 2026kakobuy, kakobuyspreadsheeet, kakobuylink, kakebuylist, Kakobuy MEGA Spreadsheet, kakobuysheetfind, kakobuysheetfind2026, 2026kakobuysheetfind, kakobuysheet2026</t>
        </is>
      </c>
      <c r="Q182" t="inlineStr">
        <is>
          <t>Black, Leather, Business, Men, Cowhide</t>
        </is>
      </c>
      <c r="R182" t="inlineStr">
        <is>
          <t>recvhju1CryT0Z</t>
        </is>
      </c>
      <c r="S182" t="inlineStr">
        <is>
          <t>zegna-black-leather-automatic-business-belt-3-5cm-recvhju1cryt0z</t>
        </is>
      </c>
      <c r="T182"/>
      <c r="U182"/>
      <c r="V182"/>
      <c r="W182" t="inlineStr">
        <is>
          <t>{"id":"chatcmpl-DYhoDZoRge6Q0FmxNHkGtx0hXHnO6","object":"chat.completion","created":1777163925,"model":"gpt-5-chat-2025-10-03","choices":[{"index":0,"message":{"role":"assistant","content":"Ermenegildo Zegna：黑色商务皮带，甄选头层牛皮材质，搭配亮银色自动扣设计，低调奢华彰显绅士气质，宽度3.5cm，适合现代男士日常与商务场合佩戴，尽显意式优雅与精致工艺。","refusal":null,"annotations":[]},"logprobs":null,"finish_reason":"stop"}],"usage":{"prompt_tokens":1309,"completion_tokens":79,"total_tokens":1388,"prompt_tokens_details":{"cached_tokens":1280,"audio_tokens":0},"completion_tokens_details":{"reasoning_tokens":0,"audio_tokens":0,"accepted_prediction_tokens":0,"rejected_prediction_tokens":0}},"service_tier":"default","system_fingerprint":"fp_ad66631dec"}</t>
        </is>
      </c>
      <c r="X182" t="inlineStr">
        <is>
          <t>Ermenegildo Zegna：黑色商务皮带，甄选头层牛皮材质，搭配亮银色自动扣设计，低调奢华彰显绅士气质，宽度3.5cm，适合现代男士日常与商务场合佩戴，尽显意式优雅与精致工艺。</t>
        </is>
      </c>
    </row>
    <row r="183" ht="25.5" customHeight="1">
      <c r="A183">
        <v>1654975475</v>
      </c>
      <c r="B183">
        <v>7623819116</v>
      </c>
      <c r="C183" s="2" t="str">
        <f>=HYPERLINK("https://weidian.com/item.html?itemID=7623819116", "https://weidian.com/item.html?itemID=7623819116")</f>
        <v>https://weidian.com/item.html?itemID=7623819116</v>
      </c>
      <c r="D183"/>
      <c r="E183" s="2" t="str">
        <f>=HYPERLINK("https://si.geilicdn.com/pcitem2014204438-088b0000019ad8bda7ef0a23041a_1080_1080.jpg?w=640&amp;h=640", "https://si.geilicdn.com/pcitem2014204438-088b0000019ad8bda7ef0a23041a_1080_1080.jpg?w=640&amp;h=640")</f>
        <v>https://si.geilicdn.com/pcitem2014204438-088b0000019ad8bda7ef0a23041a_1080_1080.jpg?w=640&amp;h=640</v>
      </c>
      <c r="F183" t="inlineStr">
        <is>
          <t>Accessories</t>
        </is>
      </c>
      <c r="G183" t="inlineStr">
        <is>
          <t>Burberry</t>
        </is>
      </c>
      <c r="H183">
        <v>460</v>
      </c>
      <c r="I183">
        <v>66.67</v>
      </c>
      <c r="J183" t="inlineStr">
        <is>
          <t>{"id":"chatcmpl-DYiwNmm7t3rEVzCnPR5U7QZqM4A0a","object":"chat.completion","created":1777168275,"model":"gpt-5-chat-2025-10-03","choices":[{"index":0,"message":{"role":"assistant","content":"Burberry Black Leather Belt Gold Buckle 3.5CM Men Women","refusal":null,"annotations":[]},"logprobs":null,"finish_reason":"stop"}],"usage":{"prompt_tokens":871,"completion_tokens":16,"total_tokens":887,"prompt_tokens_details":{"cached_tokens":0,"audio_tokens":0},"completion_tokens_details":{"reasoning_tokens":0,"audio_tokens":0,"accepted_prediction_tokens":0,"rejected_prediction_tokens":0}},"service_tier":"default","system_fingerprint":"fp_ad66631dec"}</t>
        </is>
      </c>
      <c r="K183" t="inlineStr">
        <is>
          <t>Burberry Black Leather Belt Gold Buckle 3.5CM Men Women</t>
        </is>
      </c>
      <c r="L183" t="inlineStr">
        <is>
          <t>{"id":"chatcmpl-DYiHLNjMOCtu3bGOtcQ3d8VeWG4S3","object":"chat.completion","created":1777165731,"model":"gpt-5-chat-2025-10-03","choices":[{"index":0,"message":{"role":"assistant","content":"Burberry Black Italian Leather Belt with Gold Knight Automatic Buckle, 3.5CM Width, Luxury Texture, Timeless British Style, Perfect for Men and Women.","refusal":null,"annotations":[]},"logprobs":null,"finish_reason":"stop"}],"usage":{"prompt_tokens":887,"completion_tokens":35,"total_tokens":922,"prompt_tokens_details":{"cached_tokens":0,"audio_tokens":0},"completion_tokens_details":{"reasoning_tokens":0,"audio_tokens":0,"accepted_prediction_tokens":0,"rejected_prediction_tokens":0}},"service_tier":"default","system_fingerprint":"fp_ad66631dec"}</t>
        </is>
      </c>
      <c r="M183" t="inlineStr">
        <is>
          <t>{"alt-svc":"h3=\":443\"; ma=2592000","apim-request-id":"97663ccd-fd67-473c-9e63-3a1200620805","azureml-model-session":"d20260402074105-51db401e","cache-control":"no-cache","connection":"close","content-length":"958","content-type":"application/json","date":"Sun, 26 Apr 2026 01:08:53 GMT","server":"nginx","skip-error-remapping":"true","strict-transport-security":"max-age=31536000; includeSubDomains; preload","via":"1.1 Caddy","x-content-type-options":"nosniff","x-ms-client-request-id":"Not-Set","x-ms-is-spilled-over":"false","x-ms-rai-invoked":"false","x-ms-region":"Japan East","x-new-api-version":"0.4.35","x-oneapi-request-id":"202604260108509135529648268d9d6FF7ymJiG","x-ratelimit-abusepenalty-active":"False","x-ratelimit-limit-requests":"1000","x-ratelimit-limit-tokens":"1000000","x-ratelimit-remaining-requests":"999","x-ratelimit-remaining-tokens":"998351","x-ratelimit-renewalperiod-requests":"60","x-ratelimit-renewalperiod-tokens":"60","x-ratelimit-reset-requests":"60","x-ratelimit-reset-tokens":"98","x-request-id":"0874c173-08aa-43c4-bbe2-cc3335fa3280"}</t>
        </is>
      </c>
      <c r="N183" t="inlineStr">
        <is>
          <t>Burberry Black Italian Leather Belt with Gold Knight Automatic Buckle, 3.5CM Width, Luxury Texture, Timeless British Style, Perfect for Men and Women.</t>
        </is>
      </c>
      <c r="O183" t="inlineStr">
        <is>
          <t>{"id":"chatcmpl-DYiUg8t8WKt865T9Biv7fUxAF22ik","object":"chat.completion","created":1777166558,"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3" t="inlineStr">
        <is>
          <t>Burberry,Accessories,kakobuy,kakebuy2026,kekobuysheet,kakobuysheet2026,2026kakobuy,kakobuyspreadsheeet,kakobuylink,kakebuylist,Kakobuy MEGA Spreadsheet,kakobuysheetfind,kakobuysheetfind2026,2026kakobuysheetfind,kakobuysheet2026</t>
        </is>
      </c>
      <c r="Q183" t="inlineStr">
        <is>
          <t>Black, Leather, Unisex</t>
        </is>
      </c>
      <c r="R183" t="inlineStr">
        <is>
          <t>recvhju1CrXIwB</t>
        </is>
      </c>
      <c r="S183" t="inlineStr">
        <is>
          <t>burberry-black-leather-belt-gold-buckle-3-5cm-recvhju1crxiwb</t>
        </is>
      </c>
      <c r="T183"/>
      <c r="U183"/>
      <c r="V183"/>
      <c r="W183" t="inlineStr">
        <is>
          <t>{"id":"chatcmpl-DYhqCWyiee3wqO0Ybeq6K2d4Ib27S","object":"chat.completion","created":1777164048,"model":"gpt-5-chat-2025-10-03","choices":[{"index":0,"message":{"role":"assistant","content":"Burberry：黑色意大利头层牛皮腰带，金色骑士图腾自动扣设计，3.5CM宽度，质感奢华，彰显英伦绅士风格，男女皆宜。","refusal":null,"annotations":[]},"logprobs":null,"finish_reason":"stop"}],"usage":{"prompt_tokens":1303,"completion_tokens":52,"total_tokens":1355,"prompt_tokens_details":{"cached_tokens":0,"audio_tokens":0},"completion_tokens_details":{"reasoning_tokens":0,"audio_tokens":0,"accepted_prediction_tokens":0,"rejected_prediction_tokens":0}},"service_tier":"default","system_fingerprint":"fp_ad66631dec"}</t>
        </is>
      </c>
      <c r="X183" t="inlineStr">
        <is>
          <t>Burberry：黑色意大利头层牛皮腰带，金色骑士图腾自动扣设计，3.5CM宽度，质感奢华，彰显英伦绅士风格，男女皆宜。</t>
        </is>
      </c>
    </row>
    <row r="184" ht="25.5" customHeight="1">
      <c r="A184">
        <v>1654975475</v>
      </c>
      <c r="B184">
        <v>7623945952</v>
      </c>
      <c r="C184" s="2" t="str">
        <f>=HYPERLINK("https://weidian.com/item.html?itemID=7623945952", "https://weidian.com/item.html?itemID=7623945952")</f>
        <v>https://weidian.com/item.html?itemID=7623945952</v>
      </c>
      <c r="D184"/>
      <c r="E184" s="2" t="str">
        <f>=HYPERLINK("https://si.geilicdn.com/pcitem2014204438-01da0000019ad8be309e0a23037f_1080_1080.jpg?w=640&amp;h=640", "https://si.geilicdn.com/pcitem2014204438-01da0000019ad8be309e0a23037f_1080_1080.jpg?w=640&amp;h=640")</f>
        <v>https://si.geilicdn.com/pcitem2014204438-01da0000019ad8be309e0a23037f_1080_1080.jpg?w=640&amp;h=640</v>
      </c>
      <c r="F184" t="inlineStr">
        <is>
          <t>Accessories</t>
        </is>
      </c>
      <c r="G184" t="inlineStr">
        <is>
          <t>Burberry</t>
        </is>
      </c>
      <c r="H184">
        <v>460</v>
      </c>
      <c r="I184">
        <v>66.67</v>
      </c>
      <c r="J184" t="inlineStr">
        <is>
          <t>{"id":"chatcmpl-DYixBlMUBeMJbXeo1x7mmxR6s5w8d","object":"chat.completion","created":1777168325,"model":"gpt-5-chat-2025-10-03","choices":[{"index":0,"message":{"role":"assistant","content":"Burberry Black Croc Leather Belt Gold Buckle Accessory","refusal":null,"annotations":[]},"logprobs":null,"finish_reason":"stop"}],"usage":{"prompt_tokens":879,"completion_tokens":13,"total_tokens":892,"prompt_tokens_details":{"cached_tokens":0,"audio_tokens":0},"completion_tokens_details":{"reasoning_tokens":0,"audio_tokens":0,"accepted_prediction_tokens":0,"rejected_prediction_tokens":0}},"service_tier":"default","system_fingerprint":"fp_ad66631dec"}</t>
        </is>
      </c>
      <c r="K184" t="inlineStr">
        <is>
          <t>Burberry Black Croc Leather Belt Gold Buckle Accessory</t>
        </is>
      </c>
      <c r="L184" t="inlineStr">
        <is>
          <t>{"id":"chatcmpl-DYiGIqHf8YCnUL2Y7zlsIlAUVKkp6","object":"chat.completion","created":1777165666,"model":"gpt-5-chat-2025-10-03","choices":[{"index":0,"message":{"role":"assistant","content":"Burberry Black Croc-Embossed Leather Belt with Gold Knight Emblem Buckle, crafted from premium leather for refined texture and timeless British elegance, perfect for business or casual wear.","refusal":null,"annotations":[]},"logprobs":null,"finish_reason":"stop"}],"usage":{"prompt_tokens":901,"completion_tokens":39,"total_tokens":940,"prompt_tokens_details":{"cached_tokens":0,"audio_tokens":0},"completion_tokens_details":{"reasoning_tokens":0,"audio_tokens":0,"accepted_prediction_tokens":0,"rejected_prediction_tokens":0}},"service_tier":"default","system_fingerprint":"fp_ad66631dec"}</t>
        </is>
      </c>
      <c r="M184" t="inlineStr">
        <is>
          <t>{"alt-svc":"h3=\":443\"; ma=2592000","apim-request-id":"295c1710-92ea-4d17-ad40-7b48dc666780","azureml-model-session":"d20260405225800-40f19e54","cache-control":"no-cache","connection":"close","content-length":"998","content-type":"application/json","date":"Sun, 26 Apr 2026 01:07:47 GMT","server":"nginx","skip-error-remapping":"true","strict-transport-security":"max-age=31536000; includeSubDomains; preload","via":"1.1 Caddy","x-content-type-options":"nosniff","x-ms-client-request-id":"Not-Set","x-ms-is-spilled-over":"false","x-ms-rai-invoked":"false","x-ms-region":"Japan East","x-new-api-version":"0.4.35","x-oneapi-request-id":"202604260107452106848308268d9d6cExVGchV","x-ratelimit-abusepenalty-active":"False","x-ratelimit-limit-requests":"1000","x-ratelimit-limit-tokens":"1000000","x-ratelimit-remaining-requests":"999","x-ratelimit-remaining-tokens":"998337","x-ratelimit-renewalperiod-requests":"60","x-ratelimit-renewalperiod-tokens":"60","x-ratelimit-reset-requests":"60","x-ratelimit-reset-tokens":"99","x-request-id":"b12547aa-06e0-472f-8d58-0c6843815d18"}</t>
        </is>
      </c>
      <c r="N184" t="inlineStr">
        <is>
          <t>Burberry Black Croc-Embossed Leather Belt with Gold Knight Emblem Buckle, crafted from premium leather for refined texture and timeless British elegance, perfect for business or casual wear.</t>
        </is>
      </c>
      <c r="O184" t="inlineStr">
        <is>
          <t>{"id":"chatcmpl-DYiUOAHcrl9KP3GVmKNcpRHWVbHQ4","object":"chat.completion","created":1777166540,"model":"gpt-5-chat-2025-10-03","choices":[{"index":0,"message":{"role":"assistant","content":"Burberry,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84" t="inlineStr">
        <is>
          <t>Burberry, belt, kakobuy, kakebuy2026, kekobuysheet, kakobuysheet2026, 2026kakobuy, kakobuyspreadsheeet, kakobuylink, kakebuylist, Kakobuy MEGA Spreadsheet, kakobuysheetfind, kakobuysheetfind2026, 2026kakobuysheetfind, kakobuysheet2026</t>
        </is>
      </c>
      <c r="Q184" t="inlineStr">
        <is>
          <t>Black, Leather, Elegant, Business, Business Casual, Gold</t>
        </is>
      </c>
      <c r="R184" t="inlineStr">
        <is>
          <t>recvhju1CrBMeI</t>
        </is>
      </c>
      <c r="S184" t="inlineStr">
        <is>
          <t>burberry-black-croc-leather-belt-gold-buckle-recvhju1crbmei</t>
        </is>
      </c>
      <c r="T184"/>
      <c r="U184"/>
      <c r="V184"/>
      <c r="W184" t="inlineStr">
        <is>
          <t>{"id":"chatcmpl-DYhtuEe2woJJFyFRtMhxHtCBx2wq4","object":"chat.completion","created":1777164278,"model":"gpt-5-chat-2025-10-03","choices":[{"index":0,"message":{"role":"assistant","content":"Burberry：黑色鳄鱼纹皮革腰带，搭配金属骑士徽标扣设计，彰显英伦奢华质感。精选真皮材质，质地细腻有型，商务与休闲皆宜，男士经典格调必备配饰。","refusal":null,"annotations":[]},"logprobs":null,"finish_reason":"stop"}],"usage":{"prompt_tokens":1301,"completion_tokens":67,"total_tokens":1368,"prompt_tokens_details":{"cached_tokens":0,"audio_tokens":0},"completion_tokens_details":{"reasoning_tokens":0,"audio_tokens":0,"accepted_prediction_tokens":0,"rejected_prediction_tokens":0}},"service_tier":"default","system_fingerprint":"fp_ad66631dec"}</t>
        </is>
      </c>
      <c r="X184" t="inlineStr">
        <is>
          <t>Burberry：黑色鳄鱼纹皮革腰带，搭配金属骑士徽标扣设计，彰显英伦奢华质感。精选真皮材质，质地细腻有型，商务与休闲皆宜，男士经典格调必备配饰。</t>
        </is>
      </c>
    </row>
    <row r="185" ht="25.5" customHeight="1">
      <c r="A185">
        <v>1654975475</v>
      </c>
      <c r="B185">
        <v>7620902681</v>
      </c>
      <c r="C185" s="2" t="str">
        <f>=HYPERLINK("https://weidian.com/item.html?itemID=7620902681", "https://weidian.com/item.html?itemID=7620902681")</f>
        <v>https://weidian.com/item.html?itemID=7620902681</v>
      </c>
      <c r="D185"/>
      <c r="E185" s="2" t="str">
        <f>=HYPERLINK("https://si.geilicdn.com/pcitem2014204438-58140000019ad8bc93810a20e2c5_1442_1922.jpg?w=640&amp;h=640", "https://si.geilicdn.com/pcitem2014204438-58140000019ad8bc93810a20e2c5_1442_1922.jpg?w=640&amp;h=640")</f>
        <v>https://si.geilicdn.com/pcitem2014204438-58140000019ad8bc93810a20e2c5_1442_1922.jpg?w=640&amp;h=640</v>
      </c>
      <c r="F185" t="inlineStr">
        <is>
          <t>Accessories</t>
        </is>
      </c>
      <c r="G185" t="inlineStr">
        <is>
          <t>Burberry</t>
        </is>
      </c>
      <c r="H185">
        <v>460</v>
      </c>
      <c r="I185">
        <v>66.67</v>
      </c>
      <c r="J185" t="inlineStr">
        <is>
          <t>{"id":"chatcmpl-DYj07HpMtHvGiRFlJZZLALoC97jkp","object":"chat.completion","created":1777168507,"model":"gpt-5-chat-2025-10-03","choices":[{"index":0,"message":{"role":"assistant","content":"Burberry Black Leather Check Men’s Belt","refusal":null,"annotations":[]},"logprobs":null,"finish_reason":"stop"}],"usage":{"prompt_tokens":859,"completion_tokens":9,"total_tokens":868,"prompt_tokens_details":{"cached_tokens":0,"audio_tokens":0},"completion_tokens_details":{"reasoning_tokens":0,"audio_tokens":0,"accepted_prediction_tokens":0,"rejected_prediction_tokens":0}},"service_tier":"default","system_fingerprint":"fp_ad66631dec"}</t>
        </is>
      </c>
      <c r="K185" t="inlineStr">
        <is>
          <t>Burberry Black Leather Check Men’s Belt</t>
        </is>
      </c>
      <c r="L185" t="inlineStr">
        <is>
          <t>{"id":"chatcmpl-DYiKO49LH4XCRznLVBsSzbSFHoT9c","object":"chat.completion","created":1777165920,"model":"gpt-5-chat-2025-10-03","choices":[{"index":0,"message":{"role":"assistant","content":"Burberry Black Check Leather Men’s Belt with Polished Silver Buckle, showcasing British elegance and timeless fashion for both business and casual style.","refusal":null,"annotations":[]},"logprobs":null,"finish_reason":"stop"}],"usage":{"prompt_tokens":873,"completion_tokens":29,"total_tokens":902,"prompt_tokens_details":{"cached_tokens":0,"audio_tokens":0},"completion_tokens_details":{"reasoning_tokens":0,"audio_tokens":0,"accepted_prediction_tokens":0,"rejected_prediction_tokens":0}},"service_tier":"default","system_fingerprint":"fp_ad66631dec"}</t>
        </is>
      </c>
      <c r="M185" t="inlineStr">
        <is>
          <t>{"alt-svc":"h3=\":443\"; ma=2592000","apim-request-id":"1f1c6286-d3ff-4295-ac91-50da233a5d9d","azureml-model-session":"d20260402083108-57a85543","cache-control":"no-cache","connection":"close","content-length":"963","content-type":"application/json","date":"Sun, 26 Apr 2026 01:12:00 GMT","server":"Caddy","skip-error-remapping":"true","strict-transport-security":"max-age=31536000; includeSubDomains; preload","x-content-type-options":"nosniff","x-ms-client-request-id":"Not-Set","x-ms-is-spilled-over":"false","x-ms-rai-invoked":"false","x-ms-region":"East US","x-new-api-version":"0.4.35","x-oneapi-request-id":"202604260111583719088618268d9d6gaFY9uAs","x-ratelimit-abusepenalty-active":"False","x-ratelimit-limit-requests":"1000","x-ratelimit-limit-tokens":"1000000","x-ratelimit-remaining-requests":"999","x-ratelimit-remaining-tokens":"998365","x-ratelimit-renewalperiod-requests":"60","x-ratelimit-renewalperiod-tokens":"60","x-ratelimit-reset-requests":"60","x-ratelimit-reset-tokens":"98","x-request-id":"41b80a2c-30a5-49f1-b8b4-b30cb35c9694"}</t>
        </is>
      </c>
      <c r="N185" t="inlineStr">
        <is>
          <t>Burberry Black Check Leather Men’s Belt with Polished Silver Buckle, showcasing British elegance and timeless fashion for both business and casual style.</t>
        </is>
      </c>
      <c r="O185" t="inlineStr">
        <is>
          <t>{"id":"chatcmpl-DYiUiv8gBgQSCPMlyHEQ0cHnIZMRw","object":"chat.completion","created":1777166560,"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5" t="inlineStr">
        <is>
          <t>Burberry,Accessories,kakobuy,kakebuy2026,kekobuysheet,kakobuysheet2026,2026kakobuy,kakobuyspreadsheeet,kakobuylink,kakebuylist,Kakobuy MEGA Spreadsheet,kakobuysheetfind,kakobuysheetfind2026,2026kakobuysheetfind,kakobuysheet2026</t>
        </is>
      </c>
      <c r="Q185"/>
      <c r="R185" t="inlineStr">
        <is>
          <t>recvhju1CrApxY</t>
        </is>
      </c>
      <c r="S185" t="inlineStr">
        <is>
          <t>burberry-black-leather-check-belt-recvhju1crapxy</t>
        </is>
      </c>
      <c r="T185"/>
      <c r="U185"/>
      <c r="V185"/>
      <c r="W185" t="inlineStr">
        <is>
          <t>{"id":"chatcmpl-DYhoZLPC9lkBgChAxgQZZDmFVZrQ6","object":"chat.completion","created":1777163947,"model":"gpt-5-chat-2025-10-03","choices":[{"index":0,"message":{"role":"assistant","content":"Burberry：黑色格纹皮质男士腰带，采用精致银色金属扣设计，英伦经典风格，兼具时尚与实用。","refusal":null,"annotations":[]},"logprobs":null,"finish_reason":"stop"}],"usage":{"prompt_tokens":1301,"completion_tokens":39,"total_tokens":1340,"prompt_tokens_details":{"cached_tokens":0,"audio_tokens":0},"completion_tokens_details":{"reasoning_tokens":0,"audio_tokens":0,"accepted_prediction_tokens":0,"rejected_prediction_tokens":0}},"service_tier":"default","system_fingerprint":"fp_ad66631dec"}</t>
        </is>
      </c>
      <c r="X185" t="inlineStr">
        <is>
          <t>Burberry：黑色格纹皮质男士腰带，采用精致银色金属扣设计，英伦经典风格，兼具时尚与实用。</t>
        </is>
      </c>
    </row>
    <row r="186" ht="25.5" customHeight="1">
      <c r="A186">
        <v>1654975475</v>
      </c>
      <c r="B186">
        <v>7623667926</v>
      </c>
      <c r="C186" s="2" t="str">
        <f>=HYPERLINK("https://weidian.com/item.html?itemID=7623667926", "https://weidian.com/item.html?itemID=7623667926")</f>
        <v>https://weidian.com/item.html?itemID=7623667926</v>
      </c>
      <c r="D186"/>
      <c r="E186" s="2" t="str">
        <f>=HYPERLINK("https://si.geilicdn.com/pcitem2014204438-016f0000019ad8bd114c0a2301b4_1440_1920.jpg?w=640&amp;h=640", "https://si.geilicdn.com/pcitem2014204438-016f0000019ad8bd114c0a2301b4_1440_1920.jpg?w=640&amp;h=640")</f>
        <v>https://si.geilicdn.com/pcitem2014204438-016f0000019ad8bd114c0a2301b4_1440_1920.jpg?w=640&amp;h=640</v>
      </c>
      <c r="F186" t="inlineStr">
        <is>
          <t>Accessories</t>
        </is>
      </c>
      <c r="G186" t="inlineStr">
        <is>
          <t>Burberry</t>
        </is>
      </c>
      <c r="H186">
        <v>460</v>
      </c>
      <c r="I186">
        <v>66.67</v>
      </c>
      <c r="J186" t="inlineStr">
        <is>
          <t>{"id":"chatcmpl-DYj0T8wVmU8WfManyFiBqGTpvSTSx","object":"chat.completion","created":1777168529,"model":"gpt-5-chat-2025-10-03","choices":[{"index":0,"message":{"role":"assistant","content":"Burberry Men’s Classic Black Leather Belt Silver Buckle","refusal":null,"annotations":[]},"logprobs":null,"finish_reason":"stop"}],"usage":{"prompt_tokens":863,"completion_tokens":12,"total_tokens":875,"prompt_tokens_details":{"cached_tokens":0,"audio_tokens":0},"completion_tokens_details":{"reasoning_tokens":0,"audio_tokens":0,"accepted_prediction_tokens":0,"rejected_prediction_tokens":0}},"service_tier":"default","system_fingerprint":"fp_ad66631dec"}</t>
        </is>
      </c>
      <c r="K186" t="inlineStr">
        <is>
          <t>Burberry Men’s Classic Black Leather Belt Silver Buckle</t>
        </is>
      </c>
      <c r="L186" t="inlineStr">
        <is>
          <t>{"id":"chatcmpl-DYiIRhkAPZv91oarRRlXVDIbWXmtz","object":"chat.completion","created":1777165799,"model":"gpt-5-chat-2025-10-03","choices":[{"index":0,"message":{"role":"assistant","content":"Burberry Men’s Classic Black Leather Belt with fine-grain cowhide and polished silver buckle, featuring timeless British elegance perfect for business or casual wear.","refusal":null,"annotations":[]},"logprobs":null,"finish_reason":"stop"}],"usage":{"prompt_tokens":888,"completion_tokens":31,"total_tokens":919,"prompt_tokens_details":{"cached_tokens":0,"audio_tokens":0},"completion_tokens_details":{"reasoning_tokens":0,"audio_tokens":0,"accepted_prediction_tokens":0,"rejected_prediction_tokens":0}},"service_tier":"default","system_fingerprint":"fp_ad66631dec"}</t>
        </is>
      </c>
      <c r="M186" t="inlineStr">
        <is>
          <t>{"alt-svc":"h3=\":443\"; ma=2592000","apim-request-id":"0fc6742c-a3b3-473c-bf83-5be6c0ad0ac8","azureml-model-session":"d20260402074105-51db401e","cache-control":"no-cache","connection":"close","content-length":"976","content-type":"application/json","date":"Sun, 26 Apr 2026 01:10:01 GMT","server":"nginx","skip-error-remapping":"true","strict-transport-security":"max-age=31536000; includeSubDomains; preload","via":"1.1 Caddy","x-content-type-options":"nosniff","x-ms-client-request-id":"Not-Set","x-ms-is-spilled-over":"false","x-ms-rai-invoked":"false","x-ms-region":"Switzerland North","x-new-api-version":"0.4.35","x-oneapi-request-id":"202604260109583091933798268d9d6d8DRW20D","x-ratelimit-abusepenalty-active":"False","x-ratelimit-limit-requests":"1000","x-ratelimit-limit-tokens":"1000000","x-ratelimit-remaining-requests":"999","x-ratelimit-remaining-tokens":"998350","x-ratelimit-renewalperiod-requests":"60","x-ratelimit-renewalperiod-tokens":"60","x-ratelimit-reset-requests":"60","x-ratelimit-reset-tokens":"99","x-request-id":"188ff0df-6c63-41ea-beeb-2726370efac0"}</t>
        </is>
      </c>
      <c r="N186" t="inlineStr">
        <is>
          <t>Burberry Men’s Classic Black Leather Belt with fine-grain cowhide and polished silver buckle, featuring timeless British elegance perfect for business or casual wear.</t>
        </is>
      </c>
      <c r="O186" t="inlineStr">
        <is>
          <t>{"id":"chatcmpl-DYiTGTEJwuiVf6fRlXpHLh93pSokN","object":"chat.completion","created":1777166470,"model":"gpt-5-chat-2025-10-03","choices":[{"index":0,"message":{"role":"assistant","content":"Burberry,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6" t="inlineStr">
        <is>
          <t>Burberry,Accessories,kakobuy,kakebuy2026,kekobuysheet,kakobuysheet2026,2026kakobuy,kakobuyspreadsheeet,kakobuylink,kakebuylist,Kakobuy MEGA Spreadsheet,kakobuysheetfind,kakobuysheetfind2026,2026kakobuysheetfind,kakobuysheet2026</t>
        </is>
      </c>
      <c r="Q186" t="inlineStr">
        <is>
          <t>Leather, Black, Silver, Business, Business Casual, Men</t>
        </is>
      </c>
      <c r="R186" t="inlineStr">
        <is>
          <t>recvhju1Cr1aLn</t>
        </is>
      </c>
      <c r="S186" t="inlineStr">
        <is>
          <t>burberry-classic-black-leather-belt-silver-buckle-recvhju1cr1aln</t>
        </is>
      </c>
      <c r="T186"/>
      <c r="U186"/>
      <c r="V186"/>
      <c r="W186" t="inlineStr">
        <is>
          <t>{"id":"chatcmpl-DYhoaCXI6V0kRJcBxAT55B1Hemujj","object":"chat.completion","created":1777163948,"model":"gpt-5-chat-2025-10-03","choices":[{"index":0,"message":{"role":"assistant","content":"Burberry：经典黑色男士皮质腰带，选用细腻纹理牛皮搭配抛光银色金属扣，简约优雅设计展现英伦经典格调，商务休闲皆宜。","refusal":null,"annotations":[]},"logprobs":null,"finish_reason":"stop"}],"usage":{"prompt_tokens":1303,"completion_tokens":53,"total_tokens":1356,"prompt_tokens_details":{"cached_tokens":0,"audio_tokens":0},"completion_tokens_details":{"reasoning_tokens":0,"audio_tokens":0,"accepted_prediction_tokens":0,"rejected_prediction_tokens":0}},"service_tier":"default","system_fingerprint":"fp_ad66631dec"}</t>
        </is>
      </c>
      <c r="X186" t="inlineStr">
        <is>
          <t>Burberry：经典黑色男士皮质腰带，选用细腻纹理牛皮搭配抛光银色金属扣，简约优雅设计展现英伦经典格调，商务休闲皆宜。</t>
        </is>
      </c>
    </row>
    <row r="187" ht="25.5" customHeight="1">
      <c r="A187">
        <v>1654975475</v>
      </c>
      <c r="B187">
        <v>7620682231</v>
      </c>
      <c r="C187" s="2" t="str">
        <f>=HYPERLINK("https://weidian.com/item.html?itemID=7620682231", "https://weidian.com/item.html?itemID=7620682231")</f>
        <v>https://weidian.com/item.html?itemID=7620682231</v>
      </c>
      <c r="D187"/>
      <c r="E187" s="2" t="str">
        <f>=HYPERLINK("https://si.geilicdn.com/pcitem2014204438-28c80000019ad97bf5330a231177_1512_2016.jpg?w=640&amp;h=640", "https://si.geilicdn.com/pcitem2014204438-28c80000019ad97bf5330a231177_1512_2016.jpg?w=640&amp;h=640")</f>
        <v>https://si.geilicdn.com/pcitem2014204438-28c80000019ad97bf5330a231177_1512_2016.jpg?w=640&amp;h=640</v>
      </c>
      <c r="F187" t="inlineStr">
        <is>
          <t>Accessories</t>
        </is>
      </c>
      <c r="G187" t="inlineStr">
        <is>
          <t>Dior</t>
        </is>
      </c>
      <c r="H187">
        <v>490</v>
      </c>
      <c r="I187">
        <v>71.01</v>
      </c>
      <c r="J187" t="inlineStr">
        <is>
          <t>{"id":"chatcmpl-DYj2paIC37o06eDiuZYdhXzNLmQ2U","object":"chat.completion","created":1777168675,"model":"gpt-5-chat-2025-10-03","choices":[{"index":0,"message":{"role":"assistant","content":"Dior Black Oblique Leather Belt Silver Buckle","refusal":null,"annotations":[]},"logprobs":null,"finish_reason":"stop"}],"usage":{"prompt_tokens":861,"completion_tokens":11,"total_tokens":872,"prompt_tokens_details":{"cached_tokens":0,"audio_tokens":0},"completion_tokens_details":{"reasoning_tokens":0,"audio_tokens":0,"accepted_prediction_tokens":0,"rejected_prediction_tokens":0}},"service_tier":"default","system_fingerprint":"fp_ad66631dec"}</t>
        </is>
      </c>
      <c r="K187" t="inlineStr">
        <is>
          <t>Dior Black Oblique Leather Belt Silver Buckle</t>
        </is>
      </c>
      <c r="L187" t="inlineStr">
        <is>
          <t>{"id":"chatcmpl-DYiK1GKpGJQsmPeCVreXSnLGTv0iv","object":"chat.completion","created":1777165897,"model":"gpt-5-chat-2025-10-03","choices":[{"index":0,"message":{"role":"assistant","content":"Dior Black Oblique Leather Belt with Silver Metal Logo Buckle, Unisex Modern Elegant Design, Classic Fashion Accessory for Men and Women.","refusal":null,"annotations":[]},"logprobs":null,"finish_reason":"stop"}],"usage":{"prompt_tokens":874,"completion_tokens":30,"total_tokens":904,"prompt_tokens_details":{"cached_tokens":0,"audio_tokens":0},"completion_tokens_details":{"reasoning_tokens":0,"audio_tokens":0,"accepted_prediction_tokens":0,"rejected_prediction_tokens":0}},"service_tier":"default","system_fingerprint":"fp_ad66631dec"}</t>
        </is>
      </c>
      <c r="M187" t="inlineStr">
        <is>
          <t>{"alt-svc":"h3=\":443\"; ma=2592000","apim-request-id":"66893d94-197a-47fb-93db-e4c555b1e2c5","azureml-model-session":"d20260405225800-40f19e54","cache-control":"no-cache","connection":"close","content-length":"945","content-type":"application/json","date":"Sun, 26 Apr 2026 01:11:39 GMT","server":"Caddy","skip-error-remapping":"true","strict-transport-security":"max-age=31536000; includeSubDomains; preload","x-content-type-options":"nosniff","x-ms-client-request-id":"Not-Set","x-ms-is-spilled-over":"false","x-ms-rai-invoked":"false","x-ms-region":"Sweden Central","x-new-api-version":"0.4.35","x-oneapi-request-id":"202604260111364073736468268d9d6du4ljAZG","x-ratelimit-abusepenalty-active":"False","x-ratelimit-key":"gpt-5-chat-global","x-ratelimit-limit-requests":"1000","x-ratelimit-limit-tokens":"1000000","x-ratelimit-remaining-requests":"999","x-ratelimit-remaining-tokens":"998364","x-ratelimit-renewalperiod-requests":"60","x-ratelimit-renewalperiod-tokens":"60","x-ratelimit-reset-requests":"60","x-ratelimit-reset-tokens":"98","x-request-id":"8f55926b-973a-46ca-97e9-867068b05a98"}</t>
        </is>
      </c>
      <c r="N187" t="inlineStr">
        <is>
          <t>Dior Black Oblique Leather Belt with Silver Metal Logo Buckle, Unisex Modern Elegant Design, Classic Fashion Accessory for Men and Women.</t>
        </is>
      </c>
      <c r="O187" t="inlineStr">
        <is>
          <t>{"id":"chatcmpl-DYiXW9tAATPxuVCYrk7iOly5KWnwh","object":"chat.completion","created":1777166734,"model":"gpt-5-chat-2025-10-03","choices":[{"index":0,"message":{"role":"assistant","content":"Dio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87" t="inlineStr">
        <is>
          <t>Dior,Accessories,kakobuy,kakebuy2026,kekobuysheet,kakobuysheet2026,2026kakobuy,kakobuyspreadsheeet,kakobuylink,kakebuylist,Kakobuy MEGA Spreadsheet,kakobuysheetfind,kakobuysheetfind2026,2026kakobuysheetfind,kakobuysheet2026</t>
        </is>
      </c>
      <c r="Q187" t="inlineStr">
        <is>
          <t>Dior, Dior Oblique, Black, Silver, Unisex, Elegant</t>
        </is>
      </c>
      <c r="R187" t="inlineStr">
        <is>
          <t>recvhju1CrWCHX</t>
        </is>
      </c>
      <c r="S187" t="inlineStr">
        <is>
          <t>dior-black-oblique-leather-belt-silver-buckle-recvhju1crwchx</t>
        </is>
      </c>
      <c r="T187"/>
      <c r="U187"/>
      <c r="V187"/>
      <c r="W187" t="inlineStr">
        <is>
          <t>{"id":"chatcmpl-DYhoxjnu8nVvn5V6gskMNj7zg1mRH","object":"chat.completion","created":1777163971,"model":"gpt-5-chat-2025-10-03","choices":[{"index":0,"message":{"role":"assistant","content":"Dior：黑色 Oblique 图腾皮革腰带，金属银色标志扣设计，彰显现代优雅格调，男女通用，经典时尚配饰。","refusal":null,"annotations":[]},"logprobs":null,"finish_reason":"stop"}],"usage":{"prompt_tokens":1297,"completion_tokens":42,"total_tokens":1339,"prompt_tokens_details":{"cached_tokens":1280,"audio_tokens":0},"completion_tokens_details":{"reasoning_tokens":0,"audio_tokens":0,"accepted_prediction_tokens":0,"rejected_prediction_tokens":0}},"service_tier":"default","system_fingerprint":"fp_ad66631dec"}</t>
        </is>
      </c>
      <c r="X187" t="inlineStr">
        <is>
          <t>Dior：黑色 Oblique 图腾皮革腰带，金属银色标志扣设计，彰显现代优雅格调，男女通用，经典时尚配饰。</t>
        </is>
      </c>
    </row>
    <row r="188" ht="25.5" customHeight="1">
      <c r="A188">
        <v>1654975475</v>
      </c>
      <c r="B188">
        <v>7623648208</v>
      </c>
      <c r="C188" s="2" t="str">
        <f>=HYPERLINK("https://weidian.com/item.html?itemID=7623648208", "https://weidian.com/item.html?itemID=7623648208")</f>
        <v>https://weidian.com/item.html?itemID=7623648208</v>
      </c>
      <c r="D188"/>
      <c r="E188" s="2" t="str">
        <f>=HYPERLINK("https://si.geilicdn.com/pcitem2014204438-3b350000019ad96572400a23041a_1512_2016.jpg?w=640&amp;h=640", "https://si.geilicdn.com/pcitem2014204438-3b350000019ad96572400a23041a_1512_2016.jpg?w=640&amp;h=640")</f>
        <v>https://si.geilicdn.com/pcitem2014204438-3b350000019ad96572400a23041a_1512_2016.jpg?w=640&amp;h=640</v>
      </c>
      <c r="F188" t="inlineStr">
        <is>
          <t>Accessories</t>
        </is>
      </c>
      <c r="G188" t="inlineStr">
        <is>
          <t>Coach</t>
        </is>
      </c>
      <c r="H188">
        <v>460</v>
      </c>
      <c r="I188">
        <v>66.67</v>
      </c>
      <c r="J188" t="inlineStr">
        <is>
          <t>{"id":"chatcmpl-DYiztK2MDJZN01vKZzIrrzrd8puIn","object":"chat.completion","created":1777168493,"model":"gpt-5-chat-2025-10-03","choices":[{"index":0,"message":{"role":"assistant","content":"Coach Signature Navy Leather Belt for Men and Women","refusal":null,"annotations":[]},"logprobs":null,"finish_reason":"stop"}],"usage":{"prompt_tokens":870,"completion_tokens":10,"total_tokens":880,"prompt_tokens_details":{"cached_tokens":0,"audio_tokens":0},"completion_tokens_details":{"reasoning_tokens":0,"audio_tokens":0,"accepted_prediction_tokens":0,"rejected_prediction_tokens":0}},"service_tier":"default","system_fingerprint":"fp_ad66631dec"}</t>
        </is>
      </c>
      <c r="K188" t="inlineStr">
        <is>
          <t>Coach Signature Navy Leather Belt for Men and Women</t>
        </is>
      </c>
      <c r="L188" t="inlineStr">
        <is>
          <t>{"id":"chatcmpl-DYiJOf1tMke8pxwOGbVdCZXnIwgzx","object":"chat.completion","created":1777165858,"model":"gpt-5-chat-2025-10-03","choices":[{"index":0,"message":{"role":"assistant","content":"Coach Signature Navy Leather Belt features embossed cowhide, a silver C-shaped buckle, unisex design, blending modern urban style with classic American elegance for a refined fashion statement.","refusal":null,"annotations":[]},"logprobs":null,"finish_reason":"stop"}],"usage":{"prompt_tokens":898,"completion_tokens":35,"total_tokens":933,"prompt_tokens_details":{"cached_tokens":0,"audio_tokens":0},"completion_tokens_details":{"reasoning_tokens":0,"audio_tokens":0,"accepted_prediction_tokens":0,"rejected_prediction_tokens":0}},"service_tier":"default","system_fingerprint":"fp_ad66631dec"}</t>
        </is>
      </c>
      <c r="M188" t="inlineStr">
        <is>
          <t>{"alt-svc":"h3=\":443\"; ma=2592000","apim-request-id":"1e78eae1-4aef-4a1b-9ad0-3a8fe6494f6a","azureml-model-session":"d20260402074105-51db401e","cache-control":"no-cache","connection":"close","content-length":"1001","content-type":"application/json","date":"Sun, 26 Apr 2026 01:11:00 GMT","server":"nginx","skip-error-remapping":"true","strict-transport-security":"max-age=31536000; includeSubDomains; preload","via":"1.1 Caddy","x-content-type-options":"nosniff","x-ms-client-request-id":"Not-Set","x-ms-is-spilled-over":"false","x-ms-rai-invoked":"false","x-ms-region":"Australia East","x-new-api-version":"0.4.35","x-oneapi-request-id":"202604260110567683061368268d9d6nxvH5092","x-ratelimit-abusepenalty-active":"False","x-ratelimit-limit-requests":"1000","x-ratelimit-limit-tokens":"1000000","x-ratelimit-remaining-requests":"999","x-ratelimit-remaining-tokens":"998340","x-ratelimit-renewalperiod-requests":"60","x-ratelimit-renewalperiod-tokens":"60","x-ratelimit-reset-requests":"60","x-ratelimit-reset-tokens":"99","x-request-id":"ee46a745-39ca-460a-822b-d032d6a651f7"}</t>
        </is>
      </c>
      <c r="N188" t="inlineStr">
        <is>
          <t>Coach Signature Navy Leather Belt features embossed cowhide, a silver C-shaped buckle, unisex design, blending modern urban style with classic American elegance for a refined fashion statement.</t>
        </is>
      </c>
      <c r="O188" t="inlineStr">
        <is>
          <t>{"id":"chatcmpl-DYiSWq4uh5AKfqVb2hJq3FEIu6Lbg","object":"chat.completion","created":1777166424,"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188" t="inlineStr">
        <is>
          <t>Coach,Belt,kakobuy,kakebuy2026,kekobuysheet,kakobuysheet2026,2026kakobuy,kakobuyspreadsheeet,kakobuylink,kakebuylist,Kakobuy MEGA Spreadsheet,kakobuysheetfind,kakobuysheetfind2026,2026kakobuysheetfind,kakobuysheet2026</t>
        </is>
      </c>
      <c r="Q188" t="inlineStr">
        <is>
          <t>Navy, Leather, Unisex, Modern, Classic, Cowhide</t>
        </is>
      </c>
      <c r="R188" t="inlineStr">
        <is>
          <t>recvhju1CrLNfG</t>
        </is>
      </c>
      <c r="S188" t="inlineStr">
        <is>
          <t>coach-signature-navy-leather-belt-recvhju1crlng</t>
        </is>
      </c>
      <c r="T188"/>
      <c r="U188"/>
      <c r="V188"/>
      <c r="W188" t="inlineStr">
        <is>
          <t>{"id":"chatcmpl-DYhuRGyuYi86VVUmLnNufYvKrsJco","object":"chat.completion","created":1777164311,"model":"gpt-5-chat-2025-10-03","choices":[{"index":0,"message":{"role":"assistant","content":"Coach：深蓝色Signature系列皮质腰带，采用印纹牛皮打造，银色C形金属扣设计彰显品牌标志性格调，简约大气，适合男女通用，融合现代都市时尚与经典美式优雅，尽显精致品味。","refusal":null,"annotations":[]},"logprobs":null,"finish_reason":"stop"}],"usage":{"prompt_tokens":1295,"completion_tokens":67,"total_tokens":1362,"prompt_tokens_details":{"cached_tokens":0,"audio_tokens":0},"completion_tokens_details":{"reasoning_tokens":0,"audio_tokens":0,"accepted_prediction_tokens":0,"rejected_prediction_tokens":0}},"service_tier":"default","system_fingerprint":"fp_ad66631dec"}</t>
        </is>
      </c>
      <c r="X188" t="inlineStr">
        <is>
          <t>Coach：深蓝色Signature系列皮质腰带，采用印纹牛皮打造，银色C形金属扣设计彰显品牌标志性格调，简约大气，适合男女通用，融合现代都市时尚与经典美式优雅，尽显精致品味。</t>
        </is>
      </c>
    </row>
    <row r="189" ht="25.5" customHeight="1">
      <c r="A189">
        <v>1654975475</v>
      </c>
      <c r="B189">
        <v>7621185151</v>
      </c>
      <c r="C189" s="2" t="str">
        <f>=HYPERLINK("https://weidian.com/item.html?itemID=7621185151", "https://weidian.com/item.html?itemID=7621185151")</f>
        <v>https://weidian.com/item.html?itemID=7621185151</v>
      </c>
      <c r="D189"/>
      <c r="E189" s="2" t="str">
        <f>=HYPERLINK("https://si.geilicdn.com/pcitem2014204438-7cab0000019ad96d7a640a231316_1440_1920.jpg?w=640&amp;h=640", "https://si.geilicdn.com/pcitem2014204438-7cab0000019ad96d7a640a231316_1440_1920.jpg?w=640&amp;h=640")</f>
        <v>https://si.geilicdn.com/pcitem2014204438-7cab0000019ad96d7a640a231316_1440_1920.jpg?w=640&amp;h=640</v>
      </c>
      <c r="F189" t="inlineStr">
        <is>
          <t>Accessories</t>
        </is>
      </c>
      <c r="G189" t="inlineStr">
        <is>
          <t>Salvatore Ferragamo</t>
        </is>
      </c>
      <c r="H189">
        <v>460</v>
      </c>
      <c r="I189">
        <v>66.67</v>
      </c>
      <c r="J189" t="inlineStr">
        <is>
          <t>{"id":"chatcmpl-DYiwRe7hgHRyNzEY4tCrxIUl9TJCW","object":"chat.completion","created":1777168279,"model":"gpt-5-chat-2025-10-03","choices":[{"index":0,"message":{"role":"assistant","content":"Salvatore Ferragamo Black Gancini Men Leather Belt","refusal":null,"annotations":[]},"logprobs":null,"finish_reason":"stop"}],"usage":{"prompt_tokens":878,"completion_tokens":13,"total_tokens":891,"prompt_tokens_details":{"cached_tokens":0,"audio_tokens":0},"completion_tokens_details":{"reasoning_tokens":0,"audio_tokens":0,"accepted_prediction_tokens":0,"rejected_prediction_tokens":0}},"service_tier":"default","system_fingerprint":"fp_ad66631dec"}</t>
        </is>
      </c>
      <c r="K189" t="inlineStr">
        <is>
          <t>Salvatore Ferragamo Black Gancini Men Leather Belt</t>
        </is>
      </c>
      <c r="L189" t="inlineStr">
        <is>
          <t>{"id":"chatcmpl-DYiDR4VzCNDIKRnQSzpRNy17ow4mY","object":"chat.completion","created":1777165489,"model":"gpt-5-chat-2025-10-03","choices":[{"index":0,"message":{"role":"assistant","content":"Salvatore Ferragamo Black Gancini Men’s Leather Belt crafted from premium embossed calfskin with a signature metal iris buckle, showcasing Italian luxury for both business and casual wear.","refusal":null,"annotations":[]},"logprobs":null,"finish_reason":"stop"}],"usage":{"prompt_tokens":897,"completion_tokens":37,"total_tokens":934,"prompt_tokens_details":{"cached_tokens":0,"audio_tokens":0},"completion_tokens_details":{"reasoning_tokens":0,"audio_tokens":0,"accepted_prediction_tokens":0,"rejected_prediction_tokens":0}},"service_tier":"default","system_fingerprint":"fp_ad66631dec"}</t>
        </is>
      </c>
      <c r="M189" t="inlineStr">
        <is>
          <t>{"alt-svc":"h3=\":443\"; ma=2592000","apim-request-id":"d6e09466-a39f-49ce-863c-b46e21f5fb54","azureml-model-session":"d20260402084046-4209e968","cache-control":"no-cache","connection":"close","content-length":"998","content-type":"application/json","date":"Sun, 26 Apr 2026 01:04:50 GMT","server":"Caddy","skip-error-remapping":"true","strict-transport-security":"max-age=31536000; includeSubDomains; preload","x-content-type-options":"nosniff","x-ms-client-request-id":"Not-Set","x-ms-is-spilled-over":"false","x-ms-rai-invoked":"false","x-ms-region":"Sweden Central","x-new-api-version":"0.4.35","x-oneapi-request-id":"202604260104481232304208268d9d6P3KFYrRt","x-ratelimit-abusepenalty-active":"False","x-ratelimit-key":"gpt-5-chat-global","x-ratelimit-limit-requests":"1000","x-ratelimit-limit-tokens":"1000000","x-ratelimit-remaining-requests":"999","x-ratelimit-remaining-tokens":"998341","x-ratelimit-renewalperiod-requests":"60","x-ratelimit-renewalperiod-tokens":"60","x-ratelimit-reset-requests":"60","x-ratelimit-reset-tokens":"99","x-request-id":"5f2b0e1f-7d1c-454a-87d6-0bd59db016eb"}</t>
        </is>
      </c>
      <c r="N189" t="inlineStr">
        <is>
          <t>Salvatore Ferragamo Black Gancini Men’s Leather Belt crafted from premium embossed calfskin with a signature metal iris buckle, showcasing Italian luxury for both business and casual wear.</t>
        </is>
      </c>
      <c r="O189" t="inlineStr">
        <is>
          <t>{"id":"chatcmpl-DYiRxgSyDEvk5kJHNo7uYUn58GiFl","object":"chat.completion","created":1777166389,"model":"gpt-5-chat-2025-10-03","choices":[{"index":0,"message":{"role":"assistant","content":"Salvatore Ferragamo,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785,"completion_tokens":94,"total_tokens":879,"prompt_tokens_details":{"cached_tokens":0,"audio_tokens":0},"completion_tokens_details":{"reasoning_tokens":0,"audio_tokens":0,"accepted_prediction_tokens":0,"rejected_prediction_tokens":0}},"service_tier":"default","system_fingerprint":"fp_ad66631dec"}</t>
        </is>
      </c>
      <c r="P189" t="inlineStr">
        <is>
          <t>Salvatore Ferragamo, Accessories, kakobuy, kakebuy2026, kekobuysheet, kakobuysheet2026, 2026kakobuy, kakobuyspreadsheeet, kakobuylink, kakebuylist, Kakobuy MEGA Spreadsheet, kakobuysheetfind, kakobuysheetfind2026, 2026kakobuysheetfind, kakobuysheet2026</t>
        </is>
      </c>
      <c r="Q189"/>
      <c r="R189" t="inlineStr">
        <is>
          <t>recvhju1Cr0XUU</t>
        </is>
      </c>
      <c r="S189" t="inlineStr">
        <is>
          <t>ferragamo-black-gancini-men-leather-belt-recvhju1cr0xuu</t>
        </is>
      </c>
      <c r="T189"/>
      <c r="U189"/>
      <c r="V189"/>
      <c r="W189" t="inlineStr">
        <is>
          <t>{"id":"chatcmpl-DYhqIUk5sSUOFig8PLj87KnAB4TJK","object":"chat.completion","created":1777164054,"model":"gpt-5-chat-2025-10-03","choices":[{"index":0,"message":{"role":"assistant","content":"Salvatore Ferragamo：黑色Gancini系列男士皮质腰带，选用优质压纹牛皮材质，搭配金属鸢尾扣设计，展现典雅现代的意式奢华风格，商务休闲皆宜。","refusal":null,"annotations":[]},"logprobs":null,"finish_reason":"stop"}],"usage":{"prompt_tokens":1305,"completion_tokens":61,"total_tokens":1366,"prompt_tokens_details":{"cached_tokens":1280,"audio_tokens":0},"completion_tokens_details":{"reasoning_tokens":0,"audio_tokens":0,"accepted_prediction_tokens":0,"rejected_prediction_tokens":0}},"service_tier":"default","system_fingerprint":"fp_ad66631dec"}</t>
        </is>
      </c>
      <c r="X189" t="inlineStr">
        <is>
          <t>Salvatore Ferragamo：黑色Gancini系列男士皮质腰带，选用优质压纹牛皮材质，搭配金属鸢尾扣设计，展现典雅现代的意式奢华风格，商务休闲皆宜。</t>
        </is>
      </c>
    </row>
    <row r="190" ht="25.5" customHeight="1">
      <c r="A190">
        <v>1654975475</v>
      </c>
      <c r="B190">
        <v>7624208654</v>
      </c>
      <c r="C190" s="2" t="str">
        <f>=HYPERLINK("https://weidian.com/item.html?itemID=7624208654", "https://weidian.com/item.html?itemID=7624208654")</f>
        <v>https://weidian.com/item.html?itemID=7624208654</v>
      </c>
      <c r="D190"/>
      <c r="E190" s="2" t="str">
        <f>=HYPERLINK("https://si.geilicdn.com/pcitem2014204438-354b0000019ad96dd43b0a81347d_1512_2016.jpg?w=640&amp;h=640", "https://si.geilicdn.com/pcitem2014204438-354b0000019ad96dd43b0a81347d_1512_2016.jpg?w=640&amp;h=640")</f>
        <v>https://si.geilicdn.com/pcitem2014204438-354b0000019ad96dd43b0a81347d_1512_2016.jpg?w=640&amp;h=640</v>
      </c>
      <c r="F190" t="inlineStr">
        <is>
          <t>Accessories</t>
        </is>
      </c>
      <c r="G190" t="inlineStr">
        <is>
          <t>Dior</t>
        </is>
      </c>
      <c r="H190">
        <v>470</v>
      </c>
      <c r="I190">
        <v>68.12</v>
      </c>
      <c r="J190" t="inlineStr">
        <is>
          <t>{"id":"chatcmpl-DYiysqxd4VjJ7vA3vgPXBMBIhoflG","object":"chat.completion","created":1777168430,"model":"gpt-5-chat-2025-10-03","choices":[{"index":0,"message":{"role":"assistant","content":"Dior Men Grey Monogram Leather Belt","refusal":null,"annotations":[]},"logprobs":null,"finish_reason":"stop"}],"usage":{"prompt_tokens":869,"completion_tokens":9,"total_tokens":878,"prompt_tokens_details":{"cached_tokens":0,"audio_tokens":0},"completion_tokens_details":{"reasoning_tokens":0,"audio_tokens":0,"accepted_prediction_tokens":0,"rejected_prediction_tokens":0}},"service_tier":"default","system_fingerprint":"fp_ad66631dec"}</t>
        </is>
      </c>
      <c r="K190" t="inlineStr">
        <is>
          <t>Dior Men Grey Monogram Leather Belt</t>
        </is>
      </c>
      <c r="L190" t="inlineStr">
        <is>
          <t>{"id":"chatcmpl-DYiG9oYFQnWWZAtHcFb2kT6uVxg3I","object":"chat.completion","created":1777165657,"model":"gpt-5-chat-2025-10-03","choices":[{"index":0,"message":{"role":"assistant","content":"Dior Men’s Grey Silver Monogram Leather Belt with Iconic Metal D Buckle, Minimalist Luxury Design for Modern Urban Style and Sophisticated Fashion Accessory.","refusal":null,"annotations":[]},"logprobs":null,"finish_reason":"stop"}],"usage":{"prompt_tokens":877,"completion_tokens":34,"total_tokens":911,"prompt_tokens_details":{"cached_tokens":0,"audio_tokens":0},"completion_tokens_details":{"reasoning_tokens":0,"audio_tokens":0,"accepted_prediction_tokens":0,"rejected_prediction_tokens":0}},"service_tier":"default","system_fingerprint":"fp_ad66631dec"}</t>
        </is>
      </c>
      <c r="M190" t="inlineStr">
        <is>
          <t>{"alt-svc":"h3=\":443\"; ma=2592000","apim-request-id":"a321e793-3667-4464-b25c-3327c190a918","azureml-model-session":"d20260402084046-4209e968","cache-control":"no-cache","connection":"close","content-length":"967","content-type":"application/json","date":"Sun, 26 Apr 2026 01:07:39 GMT","server":"nginx","skip-error-remapping":"true","strict-transport-security":"max-age=31536000; includeSubDomains; preload","via":"1.1 Caddy","x-content-type-options":"nosniff","x-ms-client-request-id":"Not-Set","x-ms-is-spilled-over":"false","x-ms-rai-invoked":"false","x-ms-region":"Sweden Central","x-new-api-version":"0.4.35","x-oneapi-request-id":"202604260107367593601698268d9d6jJPs2bID","x-ratelimit-abusepenalty-active":"False","x-ratelimit-key":"gpt-5-chat-global","x-ratelimit-limit-requests":"1000","x-ratelimit-limit-tokens":"1000000","x-ratelimit-remaining-requests":"999","x-ratelimit-remaining-tokens":"998361","x-ratelimit-renewalperiod-requests":"60","x-ratelimit-renewalperiod-tokens":"60","x-ratelimit-reset-requests":"60","x-ratelimit-reset-tokens":"98","x-request-id":"1279fe4a-c6dc-4a31-9e8e-f9c60fded987"}</t>
        </is>
      </c>
      <c r="N190" t="inlineStr">
        <is>
          <t>Dior Men’s Grey Silver Monogram Leather Belt with Iconic Metal D Buckle, Minimalist Luxury Design for Modern Urban Style and Sophisticated Fashion Accessory.</t>
        </is>
      </c>
      <c r="O190" t="inlineStr">
        <is>
          <t>{"id":"chatcmpl-DYiUroS7CItBT0d9KxQQnnbXbVLIS","object":"chat.completion","created":1777166569,"model":"gpt-5-chat-2025-10-03","choices":[{"index":0,"message":{"role":"assistant","content":"Dior,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0" t="inlineStr">
        <is>
          <t>Dior, Belt, kakobuy, kakebuy2026, kekobuysheet, kakobuysheet2026, 2026kakobuy, kakobuyspreadsheeet, kakobuylink, kakebuylist, Kakobuy MEGA Spreadsheet, kakobuysheetfind, kakobuysheetfind2026, 2026kakobuysheetfind, kakobuysheet2026</t>
        </is>
      </c>
      <c r="Q190" t="inlineStr">
        <is>
          <t>Dior, Grey, Silver, Leather, Minimalist, Men</t>
        </is>
      </c>
      <c r="R190" t="inlineStr">
        <is>
          <t>recvhju1CrV194</t>
        </is>
      </c>
      <c r="S190" t="inlineStr">
        <is>
          <t>dior-men-grey-monogram-leather-belt-recvhju1crv194</t>
        </is>
      </c>
      <c r="T190"/>
      <c r="U190"/>
      <c r="V190"/>
      <c r="W190" t="inlineStr">
        <is>
          <t>{"id":"chatcmpl-DYhqGS9u7h1dXr8a7aJNsSaamwIJh","object":"chat.completion","created":1777164052,"model":"gpt-5-chat-2025-10-03","choices":[{"index":0,"message":{"role":"assistant","content":"Dior：灰银调字母图腾皮革腰带，简约金属D扣设计，低调奢华质感，男士时尚配饰，现代都市风。","refusal":null,"annotations":[]},"logprobs":null,"finish_reason":"stop"}],"usage":{"prompt_tokens":1301,"completion_tokens":43,"total_tokens":1344,"prompt_tokens_details":{"cached_tokens":0,"audio_tokens":0},"completion_tokens_details":{"reasoning_tokens":0,"audio_tokens":0,"accepted_prediction_tokens":0,"rejected_prediction_tokens":0}},"service_tier":"default","system_fingerprint":"fp_ad66631dec"}</t>
        </is>
      </c>
      <c r="X190" t="inlineStr">
        <is>
          <t>Dior：灰银调字母图腾皮革腰带，简约金属D扣设计，低调奢华质感，男士时尚配饰，现代都市风。</t>
        </is>
      </c>
    </row>
    <row r="191" ht="25.5" customHeight="1">
      <c r="A191">
        <v>1654975475</v>
      </c>
      <c r="B191">
        <v>7624175018</v>
      </c>
      <c r="C191" s="2" t="str">
        <f>=HYPERLINK("https://weidian.com/item.html?itemID=7624175018", "https://weidian.com/item.html?itemID=7624175018")</f>
        <v>https://weidian.com/item.html?itemID=7624175018</v>
      </c>
      <c r="D191"/>
      <c r="E191" s="2" t="str">
        <f>=HYPERLINK("https://si.geilicdn.com/pcitem2014204438-36880000019ad96f2fe10a23037f_1440_1920.jpg?w=640&amp;h=640", "https://si.geilicdn.com/pcitem2014204438-36880000019ad96f2fe10a23037f_1440_1920.jpg?w=640&amp;h=640")</f>
        <v>https://si.geilicdn.com/pcitem2014204438-36880000019ad96f2fe10a23037f_1440_1920.jpg?w=640&amp;h=640</v>
      </c>
      <c r="F191" t="inlineStr">
        <is>
          <t>Accessories</t>
        </is>
      </c>
      <c r="G191" t="inlineStr">
        <is>
          <t>Gucci</t>
        </is>
      </c>
      <c r="H191">
        <v>460</v>
      </c>
      <c r="I191">
        <v>66.67</v>
      </c>
      <c r="J191" t="inlineStr">
        <is>
          <t>{"id":"chatcmpl-DYixRLtIYHaZoaHQzOv4QcaLXLIdO","object":"chat.completion","created":1777168341,"model":"gpt-5-chat-2025-10-03","choices":[{"index":0,"message":{"role":"assistant","content":"Gucci Classic Black Leather Belt Gold G Buckle","refusal":null,"annotations":[]},"logprobs":null,"finish_reason":"stop"}],"usage":{"prompt_tokens":877,"completion_tokens":11,"total_tokens":888,"prompt_tokens_details":{"cached_tokens":0,"audio_tokens":0},"completion_tokens_details":{"reasoning_tokens":0,"audio_tokens":0,"accepted_prediction_tokens":0,"rejected_prediction_tokens":0}},"service_tier":"default","system_fingerprint":"fp_ad66631dec"}</t>
        </is>
      </c>
      <c r="K191" t="inlineStr">
        <is>
          <t>Gucci Classic Black Leather Belt Gold G Buckle</t>
        </is>
      </c>
      <c r="L191" t="inlineStr">
        <is>
          <t>{"id":"chatcmpl-DYiBzg4wpQMseXOEWan067HqxSx7l","object":"chat.completion","created":1777165399,"model":"gpt-5-chat-2025-10-03","choices":[{"index":0,"message":{"role":"assistant","content":"Gucci Classic Black Double G Embossed Leather Belt, crafted from premium cowhide with a matte gold G buckle. Unisex modern minimalist design, Italian craftsmanship, timeless luxury style.","refusal":null,"annotations":[]},"logprobs":null,"finish_reason":"stop"}],"usage":{"prompt_tokens":910,"completion_tokens":38,"total_tokens":948,"prompt_tokens_details":{"cached_tokens":0,"audio_tokens":0},"completion_tokens_details":{"reasoning_tokens":0,"audio_tokens":0,"accepted_prediction_tokens":0,"rejected_prediction_tokens":0}},"service_tier":"default","system_fingerprint":"fp_ad66631dec"}</t>
        </is>
      </c>
      <c r="M191" t="inlineStr">
        <is>
          <t>{"alt-svc":"h3=\":443\"; ma=2592000","apim-request-id":"765f940d-eb8d-49b6-ad5b-ceaf831fc99c","azureml-model-session":"d20260402074105-51db401e","cache-control":"no-cache","connection":"close","content-length":"995","content-type":"application/json","date":"Sun, 26 Apr 2026 01:03:21 GMT","server":"nginx","skip-error-remapping":"true","strict-transport-security":"max-age=31536000; includeSubDomains; preload","via":"1.1 Caddy","x-content-type-options":"nosniff","x-ms-client-request-id":"Not-Set","x-ms-is-spilled-over":"false","x-ms-rai-invoked":"false","x-ms-region":"UK South","x-new-api-version":"0.4.35","x-oneapi-request-id":"202604260103185576662788268d9d6OeGUrquu","x-ratelimit-abusepenalty-active":"False","x-ratelimit-limit-requests":"1000","x-ratelimit-limit-tokens":"1000000","x-ratelimit-remaining-requests":"999","x-ratelimit-remaining-tokens":"998328","x-ratelimit-renewalperiod-requests":"60","x-ratelimit-renewalperiod-tokens":"60","x-ratelimit-reset-requests":"60","x-ratelimit-reset-tokens":"100","x-request-id":"4c3ddc32-0918-4b37-b372-713aae53a74a"}</t>
        </is>
      </c>
      <c r="N191" t="inlineStr">
        <is>
          <t>Gucci Classic Black Double G Embossed Leather Belt, crafted from premium cowhide with a matte gold G buckle. Unisex modern minimalist design, Italian craftsmanship, timeless luxury style.</t>
        </is>
      </c>
      <c r="O191" t="inlineStr">
        <is>
          <t>{"id":"chatcmpl-DYiXroeYAw80CryHZk1ONTV6EyXbq","object":"chat.completion","created":1777166755,"model":"gpt-5-chat-2025-10-03","choices":[{"index":0,"message":{"role":"assistant","content":"Gucci,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1" t="inlineStr">
        <is>
          <t>Gucci, Belt, kakobuy, kakebuy2026, kekobuysheet, kakobuysheet2026, 2026kakobuy, kakobuyspreadsheeet, kakobuylink, kakebuylist, Kakobuy MEGA Spreadsheet, kakobuysheetfind, kakobuysheetfind2026, 2026kakobuysheetfind, kakobuysheet2026</t>
        </is>
      </c>
      <c r="Q191" t="inlineStr">
        <is>
          <t>Black, Leather, Unisex, Minimalist, Modern, Cowhide</t>
        </is>
      </c>
      <c r="R191" t="inlineStr">
        <is>
          <t>recvhju1CrqWhu</t>
        </is>
      </c>
      <c r="S191" t="inlineStr">
        <is>
          <t>gucci-classic-black-leather-belt-g-buckle-recvhju1crqwhu</t>
        </is>
      </c>
      <c r="T191"/>
      <c r="U191"/>
      <c r="V191"/>
      <c r="W191" t="inlineStr">
        <is>
          <t>{"id":"chatcmpl-DYhnnfzcYmOz69FTv4oilFujtwnSS","object":"chat.completion","created":1777163899,"model":"gpt-5-chat-2025-10-03","choices":[{"index":0,"message":{"role":"assistant","content":"Gucci：经典黑色双G压纹皮带，甄选头层牛皮，搭配哑光金属G形扣设计，质感高级典雅。中性时尚风格，展现现代简约格调，适合男女通用，彰显品牌精湛意大利工艺与永恒美学。","refusal":null,"annotations":[]},"logprobs":null,"finish_reason":"stop"}],"usage":{"prompt_tokens":1299,"completion_tokens":77,"total_tokens":1376,"prompt_tokens_details":{"cached_tokens":0,"audio_tokens":0},"completion_tokens_details":{"reasoning_tokens":0,"audio_tokens":0,"accepted_prediction_tokens":0,"rejected_prediction_tokens":0}},"service_tier":"default","system_fingerprint":"fp_ad66631dec"}</t>
        </is>
      </c>
      <c r="X191" t="inlineStr">
        <is>
          <t>Gucci：经典黑色双G压纹皮带，甄选头层牛皮，搭配哑光金属G形扣设计，质感高级典雅。中性时尚风格，展现现代简约格调，适合男女通用，彰显品牌精湛意大利工艺与永恒美学。</t>
        </is>
      </c>
    </row>
    <row r="192" ht="25.5" customHeight="1">
      <c r="A192">
        <v>1654975475</v>
      </c>
      <c r="B192">
        <v>7624170962</v>
      </c>
      <c r="C192" s="2" t="str">
        <f>=HYPERLINK("https://weidian.com/item.html?itemID=7624170962", "https://weidian.com/item.html?itemID=7624170962")</f>
        <v>https://weidian.com/item.html?itemID=7624170962</v>
      </c>
      <c r="D192"/>
      <c r="E192" s="2" t="str">
        <f>=HYPERLINK("https://si.geilicdn.com/pcitem2014204438-280e0000019ad96ca39c0a239846_1512_2016.jpg?w=640&amp;h=640", "https://si.geilicdn.com/pcitem2014204438-280e0000019ad96ca39c0a239846_1512_2016.jpg?w=640&amp;h=640")</f>
        <v>https://si.geilicdn.com/pcitem2014204438-280e0000019ad96ca39c0a239846_1512_2016.jpg?w=640&amp;h=640</v>
      </c>
      <c r="F192" t="inlineStr">
        <is>
          <t>Accessories</t>
        </is>
      </c>
      <c r="G192" t="inlineStr">
        <is>
          <t>Coach</t>
        </is>
      </c>
      <c r="H192">
        <v>460</v>
      </c>
      <c r="I192">
        <v>66.67</v>
      </c>
      <c r="J192" t="inlineStr">
        <is>
          <t>{"id":"chatcmpl-DYj1aUS3Od8rrmu8cytkiG5fxfK1u","object":"chat.completion","created":1777168598,"model":"gpt-5-chat-2025-10-03","choices":[{"index":0,"message":{"role":"assistant","content":"COACH Deep Blue C Buckle Leather Belt Unisex","refusal":null,"annotations":[]},"logprobs":null,"finish_reason":"stop"}],"usage":{"prompt_tokens":880,"completion_tokens":12,"total_tokens":892,"prompt_tokens_details":{"cached_tokens":0,"audio_tokens":0},"completion_tokens_details":{"reasoning_tokens":0,"audio_tokens":0,"accepted_prediction_tokens":0,"rejected_prediction_tokens":0}},"service_tier":"default","system_fingerprint":"fp_ad66631dec"}</t>
        </is>
      </c>
      <c r="K192" t="inlineStr">
        <is>
          <t>COACH Deep Blue C Buckle Leather Belt Unisex</t>
        </is>
      </c>
      <c r="L192" t="inlineStr">
        <is>
          <t>{"id":"chatcmpl-DYiGxVxKal3a9o7zKwsy5ATc8qeUh","object":"chat.completion","created":1777165707,"model":"gpt-5-chat-2025-10-03","choices":[{"index":0,"message":{"role":"assistant","content":"COACH Deep Blue C Buckle Leather Belt, dual-sided signature logo print, refined texture for a luxurious look. Unisex design suits business or casual style, embodying modern New York elegance.","refusal":null,"annotations":[]},"logprobs":null,"finish_reason":"stop"}],"usage":{"prompt_tokens":917,"completion_tokens":40,"total_tokens":957,"prompt_tokens_details":{"cached_tokens":0,"audio_tokens":0},"completion_tokens_details":{"reasoning_tokens":0,"audio_tokens":0,"accepted_prediction_tokens":0,"rejected_prediction_tokens":0}},"service_tier":"default","system_fingerprint":"fp_ad66631dec"}</t>
        </is>
      </c>
      <c r="M192" t="inlineStr">
        <is>
          <t>{"alt-svc":"h3=\":443\"; ma=2592000","apim-request-id":"897af85d-3e35-4ca3-b2a8-e63c11c70bd0","azureml-model-session":"d20260405234249-f9874baf","cache-control":"no-cache","connection":"close","content-length":"999","content-type":"application/json","date":"Sun, 26 Apr 2026 01:08:28 GMT","server":"nginx","skip-error-remapping":"true","strict-transport-security":"max-age=31536000; includeSubDomains; preload","via":"1.1 Caddy","x-content-type-options":"nosniff","x-ms-client-request-id":"Not-Set","x-ms-is-spilled-over":"false","x-ms-rai-invoked":"false","x-ms-region":"East US","x-new-api-version":"0.4.35","x-oneapi-request-id":"202604260108262594439598268d9d6jNzRb32B","x-ratelimit-abusepenalty-active":"False","x-ratelimit-limit-requests":"1000","x-ratelimit-limit-tokens":"1000000","x-ratelimit-remaining-requests":"999","x-ratelimit-remaining-tokens":"998321","x-ratelimit-renewalperiod-requests":"60","x-ratelimit-renewalperiod-tokens":"60","x-ratelimit-reset-requests":"60","x-ratelimit-reset-tokens":"100","x-request-id":"8da2066a-dc3a-422d-82a3-b998ff1285f9"}</t>
        </is>
      </c>
      <c r="N192" t="inlineStr">
        <is>
          <t>COACH Deep Blue C Buckle Leather Belt, dual-sided signature logo print, refined texture for a luxurious look. Unisex design suits business or casual style, embodying modern New York elegance.</t>
        </is>
      </c>
      <c r="O192" t="inlineStr">
        <is>
          <t>{"id":"chatcmpl-DYiXglPWjgE3xjsFAwwBBrl8m0Fdi","object":"chat.completion","created":1777166744,"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192" t="inlineStr">
        <is>
          <t>Coach,belt,kakobuy,kakebuy2026,kekobuysheet,kakobuysheet2026,2026kakobuy,kakobuyspreadsheeet,kakobuylink,kakebuylist,Kakobuy MEGA Spreadsheet,kakobuysheetfind,kakobuysheetfind2026,2026kakobuysheetfind,kakobuysheet2026</t>
        </is>
      </c>
      <c r="Q192" t="inlineStr">
        <is>
          <t>Blue, Leather, Unisex, Business, Modern</t>
        </is>
      </c>
      <c r="R192" t="inlineStr">
        <is>
          <t>recvhju1CrKh8Y</t>
        </is>
      </c>
      <c r="S192" t="inlineStr">
        <is>
          <t>coach-deep-blue-c-buckle-leather-belt-unisex-recvhju1crkh8y</t>
        </is>
      </c>
      <c r="T192"/>
      <c r="U192"/>
      <c r="V192"/>
      <c r="W192" t="inlineStr">
        <is>
          <t>{"id":"chatcmpl-DYhuu7azFNhyDH7WkOWUaHVzcdsTQ","object":"chat.completion","created":1777164340,"model":"gpt-5-chat-2025-10-03","choices":[{"index":0,"message":{"role":"assistant","content":"Coach：深蓝配色C字扣头皮革腰带，采用双面经典Logo印花设计，质感细腻高级，低调奢华。简约圆弧金属扣展现品牌标识美学，彰显纽约摩登格调。男女通用款，适合商务与休闲造型，诠释现代优雅风范。","refusal":null,"annotations":[]},"logprobs":null,"finish_reason":"stop"}],"usage":{"prompt_tokens":1297,"completion_tokens":85,"total_tokens":1382,"prompt_tokens_details":{"cached_tokens":1280,"audio_tokens":0},"completion_tokens_details":{"reasoning_tokens":0,"audio_tokens":0,"accepted_prediction_tokens":0,"rejected_prediction_tokens":0}},"service_tier":"default","system_fingerprint":"fp_ad66631dec"}</t>
        </is>
      </c>
      <c r="X192" t="inlineStr">
        <is>
          <t>Coach：深蓝配色C字扣头皮革腰带，采用双面经典Logo印花设计，质感细腻高级，低调奢华。简约圆弧金属扣展现品牌标识美学，彰显纽约摩登格调。男女通用款，适合商务与休闲造型，诠释现代优雅风范。</t>
        </is>
      </c>
    </row>
    <row r="193" ht="25.5" customHeight="1">
      <c r="A193">
        <v>1654975475</v>
      </c>
      <c r="B193">
        <v>7621181081</v>
      </c>
      <c r="C193" s="2" t="str">
        <f>=HYPERLINK("https://weidian.com/item.html?itemID=7621181081", "https://weidian.com/item.html?itemID=7621181081")</f>
        <v>https://weidian.com/item.html?itemID=7621181081</v>
      </c>
      <c r="D193"/>
      <c r="E193" s="2" t="str">
        <f>=HYPERLINK("https://si.geilicdn.com/pcitem2014204438-35d60000019ad96d17a70a23037f_1440_1920.jpg?w=640&amp;h=640", "https://si.geilicdn.com/pcitem2014204438-35d60000019ad96d17a70a23037f_1440_1920.jpg?w=640&amp;h=640")</f>
        <v>https://si.geilicdn.com/pcitem2014204438-35d60000019ad96d17a70a23037f_1440_1920.jpg?w=640&amp;h=640</v>
      </c>
      <c r="F193" t="inlineStr">
        <is>
          <t>Accessories</t>
        </is>
      </c>
      <c r="G193" t="inlineStr">
        <is>
          <t>Salvatore Ferragamo</t>
        </is>
      </c>
      <c r="H193">
        <v>460</v>
      </c>
      <c r="I193">
        <v>66.67</v>
      </c>
      <c r="J193" t="inlineStr">
        <is>
          <t>{"id":"chatcmpl-DYixXOaq79DwiFdBpauIbynKWxAqR","object":"chat.completion","created":1777168347,"model":"gpt-5-chat-2025-10-03","choices":[{"index":0,"message":{"role":"assistant","content":"Salvatore Ferragamo Men Black Leather Gancini Belt","refusal":null,"annotations":[]},"logprobs":null,"finish_reason":"stop"}],"usage":{"prompt_tokens":884,"completion_tokens":13,"total_tokens":897,"prompt_tokens_details":{"cached_tokens":0,"audio_tokens":0},"completion_tokens_details":{"reasoning_tokens":0,"audio_tokens":0,"accepted_prediction_tokens":0,"rejected_prediction_tokens":0}},"service_tier":"default","system_fingerprint":"fp_ad66631dec"}</t>
        </is>
      </c>
      <c r="K193" t="inlineStr">
        <is>
          <t>Salvatore Ferragamo Men Black Leather Gancini Belt</t>
        </is>
      </c>
      <c r="L193" t="inlineStr">
        <is>
          <t>{"id":"chatcmpl-DYiHTIZ8paNhsja0RH1mL1lhcuk3q","object":"chat.completion","created":1777165739,"model":"gpt-5-chat-2025-10-03","choices":[{"index":0,"message":{"role":"assistant","content":"Salvatore Ferragamo black genuine leather belt for men, crafted from fine textured calfskin with a silver double Gancini buckle, blending Italian elegance and style for both business and casual wear.","refusal":null,"annotations":[]},"logprobs":null,"finish_reason":"stop"}],"usage":{"prompt_tokens":899,"completion_tokens":40,"total_tokens":939,"prompt_tokens_details":{"cached_tokens":0,"audio_tokens":0},"completion_tokens_details":{"reasoning_tokens":0,"audio_tokens":0,"accepted_prediction_tokens":0,"rejected_prediction_tokens":0}},"service_tier":"default","system_fingerprint":"fp_ad66631dec"}</t>
        </is>
      </c>
      <c r="M193" t="inlineStr">
        <is>
          <t>{"alt-svc":"h3=\":443\"; ma=2592000","apim-request-id":"ab1e1591-b513-4000-ba45-e3e0af9b8b16","azureml-model-session":"d20260402084046-4209e968","cache-control":"no-cache","connection":"close","content-length":"1007","content-type":"application/json","date":"Sun, 26 Apr 2026 01:09:00 GMT","server":"Caddy","skip-error-remapping":"true","strict-transport-security":"max-age=31536000; includeSubDomains; preload","x-content-type-options":"nosniff","x-ms-client-request-id":"Not-Set","x-ms-is-spilled-over":"false","x-ms-rai-invoked":"false","x-ms-region":"Switzerland North","x-new-api-version":"0.4.35","x-oneapi-request-id":"202604260108584653653698268d9d6ThCSxhPC","x-ratelimit-abusepenalty-active":"False","x-ratelimit-limit-requests":"1000","x-ratelimit-limit-tokens":"1000000","x-ratelimit-remaining-requests":"999","x-ratelimit-remaining-tokens":"998339","x-ratelimit-renewalperiod-requests":"60","x-ratelimit-renewalperiod-tokens":"60","x-ratelimit-reset-requests":"60","x-ratelimit-reset-tokens":"99","x-request-id":"714dea7d-7c55-4b17-ae89-252cf746d9a0"}</t>
        </is>
      </c>
      <c r="N193" t="inlineStr">
        <is>
          <t>Salvatore Ferragamo black genuine leather belt for men, crafted from fine textured calfskin with a silver double Gancini buckle, blending Italian elegance and style for both business and casual wear.</t>
        </is>
      </c>
      <c r="O193" t="inlineStr">
        <is>
          <t>{"id":"chatcmpl-DYiWm8y07Z5gnGPpXGmZ1VsReashY","object":"chat.completion","created":1777166688,"model":"gpt-5-chat-2025-10-03","choices":[{"index":0,"message":{"role":"assistant","content":"Salvatore Ferragamo,Accessories,kakobuy,kakebuy2026,kekobuysheet,kakobuysheet2026,2026kakobuy,kakobuyspreadsheeet,kakobuylink,kakebuylist,Kakobuy MEGA Spreadsheet,kakobuysheetfind,kakobuysheetfind2026,2026kakobuysheetfind,kakobuysheet2026","refusal":null,"annotations":[]},"logprobs":null,"finish_reason":"stop"}],"usage":{"prompt_tokens":785,"completion_tokens":90,"total_tokens":875,"prompt_tokens_details":{"cached_tokens":0,"audio_tokens":0},"completion_tokens_details":{"reasoning_tokens":0,"audio_tokens":0,"accepted_prediction_tokens":0,"rejected_prediction_tokens":0}},"service_tier":"default","system_fingerprint":"fp_ad66631dec"}</t>
        </is>
      </c>
      <c r="P193" t="inlineStr">
        <is>
          <t>Salvatore Ferragamo,Accessories,kakobuy,kakebuy2026,kekobuysheet,kakobuysheet2026,2026kakobuy,kakobuyspreadsheeet,kakobuylink,kakebuylist,Kakobuy MEGA Spreadsheet,kakobuysheetfind,kakobuysheetfind2026,2026kakobuysheetfind,kakobuysheet2026</t>
        </is>
      </c>
      <c r="Q193" t="inlineStr">
        <is>
          <t>Genuine Leather, Black, Silver, Business, Men</t>
        </is>
      </c>
      <c r="R193" t="inlineStr">
        <is>
          <t>recvhju1Crmg7h</t>
        </is>
      </c>
      <c r="S193" t="inlineStr">
        <is>
          <t>ferragamo-black-leather-gancini-belt-recvhju1crmg7h</t>
        </is>
      </c>
      <c r="T193"/>
      <c r="U193"/>
      <c r="V193"/>
      <c r="W193" t="inlineStr">
        <is>
          <t>{"id":"chatcmpl-DYhp1PmRpUqdmTsH5MwyFrNfuMeaM","object":"chat.completion","created":1777163975,"model":"gpt-5-chat-2025-10-03","choices":[{"index":0,"message":{"role":"assistant","content":"Salvatore Ferragamo 黑色真皮腰带，甄选细纹牛皮材质，搭配银色金属双扣设计，彰显经典意式简约美学，男士商务休闲皆宜，优雅质感与实用功能兼备。","refusal":null,"annotations":[]},"logprobs":null,"finish_reason":"stop"}],"usage":{"prompt_tokens":1307,"completion_tokens":62,"total_tokens":1369,"prompt_tokens_details":{"cached_tokens":1280,"audio_tokens":0},"completion_tokens_details":{"reasoning_tokens":0,"audio_tokens":0,"accepted_prediction_tokens":0,"rejected_prediction_tokens":0}},"service_tier":"default","system_fingerprint":"fp_ad66631dec"}</t>
        </is>
      </c>
      <c r="X193" t="inlineStr">
        <is>
          <t>Salvatore Ferragamo 黑色真皮腰带，甄选细纹牛皮材质，搭配银色金属双扣设计，彰显经典意式简约美学，男士商务休闲皆宜，优雅质感与实用功能兼备。</t>
        </is>
      </c>
    </row>
    <row r="194" ht="25.5" customHeight="1">
      <c r="A194">
        <v>1654975475</v>
      </c>
      <c r="B194">
        <v>7624148960</v>
      </c>
      <c r="C194" s="2" t="str">
        <f>=HYPERLINK("https://weidian.com/item.html?itemID=7624148960", "https://weidian.com/item.html?itemID=7624148960")</f>
        <v>https://weidian.com/item.html?itemID=7624148960</v>
      </c>
      <c r="D194"/>
      <c r="E194" s="2" t="str">
        <f>=HYPERLINK("https://si.geilicdn.com/pcitem2014204438-2c9c0000019ad96645200a8134f0_1512_2016.jpg?w=640&amp;h=640", "https://si.geilicdn.com/pcitem2014204438-2c9c0000019ad96645200a8134f0_1512_2016.jpg?w=640&amp;h=640")</f>
        <v>https://si.geilicdn.com/pcitem2014204438-2c9c0000019ad96645200a8134f0_1512_2016.jpg?w=640&amp;h=640</v>
      </c>
      <c r="F194" t="inlineStr">
        <is>
          <t>Accessories</t>
        </is>
      </c>
      <c r="G194" t="inlineStr">
        <is>
          <t>Louis Vuitton</t>
        </is>
      </c>
      <c r="H194">
        <v>460</v>
      </c>
      <c r="I194">
        <v>66.67</v>
      </c>
      <c r="J194" t="inlineStr">
        <is>
          <t>{"id":"chatcmpl-DYj2ddPsgzoaadMVWCiInNaSvSAf2","object":"chat.completion","created":1777168663,"model":"gpt-5-chat-2025-10-03","choices":[{"index":0,"message":{"role":"assistant","content":"Louis Vuitton Men Brown Leather Belt","refusal":null,"annotations":[]},"logprobs":null,"finish_reason":"stop"}],"usage":{"prompt_tokens":871,"completion_tokens":7,"total_tokens":878,"prompt_tokens_details":{"cached_tokens":0,"audio_tokens":0},"completion_tokens_details":{"reasoning_tokens":0,"audio_tokens":0,"accepted_prediction_tokens":0,"rejected_prediction_tokens":0}},"service_tier":"default","system_fingerprint":"fp_ad66631dec"}</t>
        </is>
      </c>
      <c r="K194" t="inlineStr">
        <is>
          <t>Louis Vuitton Men Brown Leather Belt</t>
        </is>
      </c>
      <c r="L194" t="inlineStr">
        <is>
          <t>{"id":"chatcmpl-DYiFFZNfwr3b6jEs2xa75H71pYZAr","object":"chat.completion","created":1777165601,"model":"gpt-5-chat-2025-10-03","choices":[{"index":0,"message":{"role":"assistant","content":"Louis Vuitton Men’s Classic Brown Leather Belt, crafted from premium grained calfskin with a sleek black LV metal buckle, exuding refined elegance for the modern urban gentleman.","refusal":null,"annotations":[]},"logprobs":null,"finish_reason":"stop"}],"usage":{"prompt_tokens":887,"completion_tokens":35,"total_tokens":922,"prompt_tokens_details":{"cached_tokens":0,"audio_tokens":0},"completion_tokens_details":{"reasoning_tokens":0,"audio_tokens":0,"accepted_prediction_tokens":0,"rejected_prediction_tokens":0}},"service_tier":"default","system_fingerprint":"fp_ad66631dec"}</t>
        </is>
      </c>
      <c r="M194" t="inlineStr">
        <is>
          <t>{"alt-svc":"h3=\":443\"; ma=2592000","apim-request-id":"e798bdca-8690-44ba-91ae-d93daa281efa","azureml-model-session":"d20260405225800-40f19e54","cache-control":"no-cache","connection":"close","content-length":"988","content-type":"application/json","date":"Sun, 26 Apr 2026 01:06:43 GMT","server":"Caddy","skip-error-remapping":"true","strict-transport-security":"max-age=31536000; includeSubDomains; preload","x-content-type-options":"nosniff","x-ms-client-request-id":"Not-Set","x-ms-is-spilled-over":"false","x-ms-rai-invoked":"false","x-ms-region":"Korea Central","x-new-api-version":"0.4.35","x-oneapi-request-id":"202604260106407395739158268d9d6FmJGjSSi","x-ratelimit-abusepenalty-active":"False","x-ratelimit-limit-requests":"1000","x-ratelimit-limit-tokens":"1000000","x-ratelimit-remaining-requests":"999","x-ratelimit-remaining-tokens":"998351","x-ratelimit-renewalperiod-requests":"60","x-ratelimit-renewalperiod-tokens":"60","x-ratelimit-reset-requests":"60","x-ratelimit-reset-tokens":"98","x-request-id":"4a52266c-981b-413a-9279-cfb09b7f880d"}</t>
        </is>
      </c>
      <c r="N194" t="inlineStr">
        <is>
          <t>Louis Vuitton Men’s Classic Brown Leather Belt, crafted from premium grained calfskin with a sleek black LV metal buckle, exuding refined elegance for the modern urban gentleman.</t>
        </is>
      </c>
      <c r="O194" t="inlineStr">
        <is>
          <t>{"id":"chatcmpl-DYiSAdsD4SxsxIsVNZYb3mh6uOD8p","object":"chat.completion","created":1777166402,"model":"gpt-5-chat-2025-10-03","choices":[{"index":0,"message":{"role":"assistant","content":"Louis Vuitton,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4" t="inlineStr">
        <is>
          <t>Louis Vuitton, Belt, kakobuy, kakebuy2026, kekobuysheet, kakobuysheet2026, 2026kakobuy, kakobuyspreadsheeet, kakobuylink, kakebuylist, Kakobuy MEGA Spreadsheet, kakobuysheetfind, kakobuysheetfind2026, 2026kakobuysheetfind, kakobuysheet2026</t>
        </is>
      </c>
      <c r="Q194" t="inlineStr">
        <is>
          <t>LV, Leather, Brown, Elegant, Business, Men</t>
        </is>
      </c>
      <c r="R194" t="inlineStr">
        <is>
          <t>recvhju1Crbn45</t>
        </is>
      </c>
      <c r="S194" t="inlineStr">
        <is>
          <t>louis-vuitton-men-brown-leather-belt-recvhju1crbn45</t>
        </is>
      </c>
      <c r="T194"/>
      <c r="U194"/>
      <c r="V194"/>
      <c r="W194" t="inlineStr">
        <is>
          <t>{"id":"chatcmpl-DYhsh75jzaBZAqMbHOBCQD4gGhRIG","object":"chat.completion","created":1777164203,"model":"gpt-5-chat-2025-10-03","choices":[{"index":0,"message":{"role":"assistant","content":"Louis Vuitton：经典棕色男士皮革腰带，甄选粒面牛皮材质，搭配黑色LV标志金属扣头，低调雅致，展现现代都市绅士风范。","refusal":null,"annotations":[]},"logprobs":null,"finish_reason":"stop"}],"usage":{"prompt_tokens":1303,"completion_tokens":52,"total_tokens":1355,"prompt_tokens_details":{"cached_tokens":0,"audio_tokens":0},"completion_tokens_details":{"reasoning_tokens":0,"audio_tokens":0,"accepted_prediction_tokens":0,"rejected_prediction_tokens":0}},"service_tier":"default","system_fingerprint":"fp_ad66631dec"}</t>
        </is>
      </c>
      <c r="X194" t="inlineStr">
        <is>
          <t>Louis Vuitton：经典棕色男士皮革腰带，甄选粒面牛皮材质，搭配黑色LV标志金属扣头，低调雅致，展现现代都市绅士风范。</t>
        </is>
      </c>
    </row>
    <row r="195" ht="25.5" customHeight="1">
      <c r="A195">
        <v>1654975475</v>
      </c>
      <c r="B195">
        <v>7624141230</v>
      </c>
      <c r="C195" s="2" t="str">
        <f>=HYPERLINK("https://weidian.com/item.html?itemID=7624141230", "https://weidian.com/item.html?itemID=7624141230")</f>
        <v>https://weidian.com/item.html?itemID=7624141230</v>
      </c>
      <c r="D195"/>
      <c r="E195" s="2" t="str">
        <f>=HYPERLINK("https://si.geilicdn.com/pcitem2014204438-0cb50000019ad96c27ec0a2304aa_1512_2016.jpg?w=640&amp;h=640", "https://si.geilicdn.com/pcitem2014204438-0cb50000019ad96c27ec0a2304aa_1512_2016.jpg?w=640&amp;h=640")</f>
        <v>https://si.geilicdn.com/pcitem2014204438-0cb50000019ad96c27ec0a2304aa_1512_2016.jpg?w=640&amp;h=640</v>
      </c>
      <c r="F195" t="inlineStr">
        <is>
          <t>Accessories</t>
        </is>
      </c>
      <c r="G195" t="inlineStr">
        <is>
          <t>Coach</t>
        </is>
      </c>
      <c r="H195">
        <v>460</v>
      </c>
      <c r="I195">
        <v>66.67</v>
      </c>
      <c r="J195" t="inlineStr">
        <is>
          <t>{"id":"chatcmpl-DYizQpvQxMwQSgoRkRjhvlYCmR5J9","object":"chat.completion","created":1777168464,"model":"gpt-5-chat-2025-10-03","choices":[{"index":0,"message":{"role":"assistant","content":"Coach Classic Deep Blue Leather Belt for Men Women","refusal":null,"annotations":[]},"logprobs":null,"finish_reason":"stop"}],"usage":{"prompt_tokens":862,"completion_tokens":10,"total_tokens":872,"prompt_tokens_details":{"cached_tokens":0,"audio_tokens":0},"completion_tokens_details":{"reasoning_tokens":0,"audio_tokens":0,"accepted_prediction_tokens":0,"rejected_prediction_tokens":0}},"service_tier":"default","system_fingerprint":"fp_ad66631dec"}</t>
        </is>
      </c>
      <c r="K195" t="inlineStr">
        <is>
          <t>Coach Classic Deep Blue Leather Belt for Men Women</t>
        </is>
      </c>
      <c r="L195" t="inlineStr">
        <is>
          <t>{"id":"chatcmpl-DYiH1XEDRiVm5jn2Xa0XfUpjKfjtf","object":"chat.completion","created":1777165711,"model":"gpt-5-chat-2025-10-03","choices":[{"index":0,"message":{"role":"assistant","content":"Coach Classic Series Deep Blue Leather Belt featuring signature metal C buckle, fine texture, minimalist urban design, unisex style for a touch of modern elegance.","refusal":null,"annotations":[]},"logprobs":null,"finish_reason":"stop"}],"usage":{"prompt_tokens":881,"completion_tokens":31,"total_tokens":912,"prompt_tokens_details":{"cached_tokens":0,"audio_tokens":0},"completion_tokens_details":{"reasoning_tokens":0,"audio_tokens":0,"accepted_prediction_tokens":0,"rejected_prediction_tokens":0}},"service_tier":"default","system_fingerprint":"fp_ad66631dec"}</t>
        </is>
      </c>
      <c r="M195" t="inlineStr">
        <is>
          <t>{"alt-svc":"h3=\":443\"; ma=2592000","apim-request-id":"97b46f25-99c1-4369-a247-13d9e89a0410","azureml-model-session":"d20260402074105-51db401e","cache-control":"no-cache","connection":"close","content-length":"971","content-type":"application/json","date":"Sun, 26 Apr 2026 01:08:33 GMT","server":"Caddy","skip-error-remapping":"true","strict-transport-security":"max-age=31536000; includeSubDomains; preload","x-content-type-options":"nosniff","x-ms-client-request-id":"Not-Set","x-ms-is-spilled-over":"false","x-ms-rai-invoked":"false","x-ms-region":"Japan East","x-new-api-version":"0.4.35","x-oneapi-request-id":"202604260108302533402308268d9d6UDcQIpsO","x-ratelimit-abusepenalty-active":"False","x-ratelimit-limit-requests":"1000","x-ratelimit-limit-tokens":"1000000","x-ratelimit-remaining-requests":"999","x-ratelimit-remaining-tokens":"998357","x-ratelimit-renewalperiod-requests":"60","x-ratelimit-renewalperiod-tokens":"60","x-ratelimit-reset-requests":"60","x-ratelimit-reset-tokens":"98","x-request-id":"3cc344ba-5855-903d-9355-189e02c8affe"}</t>
        </is>
      </c>
      <c r="N195" t="inlineStr">
        <is>
          <t>Coach Classic Series Deep Blue Leather Belt featuring signature metal C buckle, fine texture, minimalist urban design, unisex style for a touch of modern elegance.</t>
        </is>
      </c>
      <c r="O195" t="inlineStr">
        <is>
          <t>{"id":"chatcmpl-DYiXOiUJCqIWrTpm9YIAn2VvXt6hd","object":"chat.completion","created":1777166726,"model":"gpt-5-chat-2025-10-03","choices":[{"index":0,"message":{"role":"assistant","content":"Coach, belt, kakobuy, kakebuy2026, kekobuysheet, kakobuysheet2026, 2026kakobuy, kakobuyspreadsheeet, kakobuylink, kakebuylist, Kakobuy MEGA Spreadsheet, kakobuysheetfind, kakobuysheetfind2026, 2026kakobuysheetfind, kakobuysheet2026","refusal":null,"annotations":[]},"logprobs":null,"finish_reason":"stop"}],"usage":{"prompt_tokens":781,"completion_tokens":90,"total_tokens":871,"prompt_tokens_details":{"cached_tokens":0,"audio_tokens":0},"completion_tokens_details":{"reasoning_tokens":0,"audio_tokens":0,"accepted_prediction_tokens":0,"rejected_prediction_tokens":0}},"service_tier":"default","system_fingerprint":"fp_ad66631dec"}</t>
        </is>
      </c>
      <c r="P195" t="inlineStr">
        <is>
          <t>Coach, belt, kakobuy, kakebuy2026, kekobuysheet, kakobuysheet2026, 2026kakobuy, kakobuyspreadsheeet, kakobuylink, kakebuylist, Kakobuy MEGA Spreadsheet, kakobuysheetfind, kakobuysheetfind2026, 2026kakobuysheetfind, kakobuysheet2026</t>
        </is>
      </c>
      <c r="Q195"/>
      <c r="R195" t="inlineStr">
        <is>
          <t>recvhju1CrrYiT</t>
        </is>
      </c>
      <c r="S195" t="inlineStr">
        <is>
          <t>coach-classic-deep-blue-leather-belt-recvhju1crryit</t>
        </is>
      </c>
      <c r="T195"/>
      <c r="U195"/>
      <c r="V195"/>
      <c r="W195" t="inlineStr">
        <is>
          <t>{"id":"chatcmpl-DYhr8AmFkVMf2YxcjxugtuHxvmzcr","object":"chat.completion","created":1777164106,"model":"gpt-5-chat-2025-10-03","choices":[{"index":0,"message":{"role":"assistant","content":"Coach：经典系列深蓝色真皮腰带，饰以标志性金属C扣，质感细腻，极简都市风格设计，男女皆宜，展现现代优雅品味。","refusal":null,"annotations":[]},"logprobs":null,"finish_reason":"stop"}],"usage":{"prompt_tokens":1299,"completion_tokens":48,"total_tokens":1347,"prompt_tokens_details":{"cached_tokens":1280,"audio_tokens":0},"completion_tokens_details":{"reasoning_tokens":0,"audio_tokens":0,"accepted_prediction_tokens":0,"rejected_prediction_tokens":0}},"service_tier":"default","system_fingerprint":"fp_ad66631dec"}</t>
        </is>
      </c>
      <c r="X195" t="inlineStr">
        <is>
          <t>Coach：经典系列深蓝色真皮腰带，饰以标志性金属C扣，质感细腻，极简都市风格设计，男女皆宜，展现现代优雅品味。</t>
        </is>
      </c>
    </row>
    <row r="196" ht="25.5" customHeight="1">
      <c r="A196">
        <v>1654975475</v>
      </c>
      <c r="B196">
        <v>7621256017</v>
      </c>
      <c r="C196" s="2" t="str">
        <f>=HYPERLINK("https://weidian.com/item.html?itemID=7621256017", "https://weidian.com/item.html?itemID=7621256017")</f>
        <v>https://weidian.com/item.html?itemID=7621256017</v>
      </c>
      <c r="D196"/>
      <c r="E196" s="2" t="str">
        <f>=HYPERLINK("https://si.geilicdn.com/pcitem2014204438-2ff00000019ad96eb55d0a2102c5_1512_2016.jpg?w=640&amp;h=640", "https://si.geilicdn.com/pcitem2014204438-2ff00000019ad96eb55d0a2102c5_1512_2016.jpg?w=640&amp;h=640")</f>
        <v>https://si.geilicdn.com/pcitem2014204438-2ff00000019ad96eb55d0a2102c5_1512_2016.jpg?w=640&amp;h=640</v>
      </c>
      <c r="F196" t="inlineStr">
        <is>
          <t>Accessories</t>
        </is>
      </c>
      <c r="G196" t="inlineStr">
        <is>
          <t>Dior</t>
        </is>
      </c>
      <c r="H196">
        <v>470</v>
      </c>
      <c r="I196">
        <v>68</v>
      </c>
      <c r="J196" t="inlineStr">
        <is>
          <t>{"id":"chatcmpl-DYiyT2sOVWPWkkkNjcAQAz6A4R1LW","object":"chat.completion","created":1777168405,"model":"gpt-5-chat-2025-10-03","choices":[{"index":0,"message":{"role":"assistant","content":"Dior Black Oblique Leather Belt for Men","refusal":null,"annotations":[]},"logprobs":null,"finish_reason":"stop"}],"usage":{"prompt_tokens":871,"completion_tokens":10,"total_tokens":881,"prompt_tokens_details":{"cached_tokens":0,"audio_tokens":0},"completion_tokens_details":{"reasoning_tokens":0,"audio_tokens":0,"accepted_prediction_tokens":0,"rejected_prediction_tokens":0}},"service_tier":"default","system_fingerprint":"fp_ad66631dec"}</t>
        </is>
      </c>
      <c r="K196" t="inlineStr">
        <is>
          <t>Dior Black Oblique Leather Belt for Men</t>
        </is>
      </c>
      <c r="L196" t="inlineStr">
        <is>
          <t>{"id":"chatcmpl-DYiBzR7MpuxfZI6dAJUrKsZBVZdoF","object":"chat.completion","created":1777165399,"model":"gpt-5-chat-2025-10-03","choices":[{"index":0,"message":{"role":"assistant","content":"Dior black Oblique leather belt crafted from premium calfskin with signature D buckle. A timeless luxury accessory for men, perfect for business or casual wear with modern elegance.","refusal":null,"annotations":[]},"logprobs":null,"finish_reason":"stop"}],"usage":{"prompt_tokens":902,"completion_tokens":35,"total_tokens":937,"prompt_tokens_details":{"cached_tokens":0,"audio_tokens":0},"completion_tokens_details":{"reasoning_tokens":0,"audio_tokens":0,"accepted_prediction_tokens":0,"rejected_prediction_tokens":0}},"service_tier":"default","system_fingerprint":"fp_ad66631dec"}</t>
        </is>
      </c>
      <c r="M196" t="inlineStr">
        <is>
          <t>{"alt-svc":"h3=\":443\"; ma=2592000","apim-request-id":"af30d8d8-520f-4f81-b683-cc78d287dbc7","azureml-model-session":"d20260402074105-51db401e","cache-control":"no-cache","connection":"close","content-length":"989","content-type":"application/json","date":"Sun, 26 Apr 2026 01:03:22 GMT","server":"Caddy","skip-error-remapping":"true","strict-transport-security":"max-age=31536000; includeSubDomains; preload","x-content-type-options":"nosniff","x-ms-client-request-id":"Not-Set","x-ms-is-spilled-over":"false","x-ms-rai-invoked":"false","x-ms-region":"Korea Central","x-new-api-version":"0.4.35","x-oneapi-request-id":"202604260103188339714448268d9d6Njc4wEhP","x-ratelimit-abusepenalty-active":"False","x-ratelimit-limit-requests":"1000","x-ratelimit-limit-tokens":"1000000","x-ratelimit-remaining-requests":"998","x-ratelimit-remaining-tokens":"996823","x-ratelimit-renewalperiod-requests":"60","x-ratelimit-renewalperiod-tokens":"60","x-ratelimit-reset-requests":"105","x-ratelimit-reset-tokens":"190","x-request-id":"3d1089c4-8ed1-457d-8c95-1c93a83933b3"}</t>
        </is>
      </c>
      <c r="N196" t="inlineStr">
        <is>
          <t>Dior black Oblique leather belt crafted from premium calfskin with signature D buckle. A timeless luxury accessory for men, perfect for business or casual wear with modern elegance.</t>
        </is>
      </c>
      <c r="O196" t="inlineStr">
        <is>
          <t>{"id":"chatcmpl-DYiYnPwNztD2HgP7t5MTCtqfyF0ZY","object":"chat.completion","created":1777166813,"model":"gpt-5-chat-2025-10-03","choices":[{"index":0,"message":{"role":"assistant","content":"Dior,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96" t="inlineStr">
        <is>
          <t>Dior,Accessories,kakobuy,kakebuy2026,kekobuysheet,kakobuysheet2026,2026kakobuy,kakobuyspreadsheeet,kakobuylink,kakebuylist,Kakobuy MEGA Spreadsheet,kakobuysheetfind,kakobuysheetfind2026,2026kakobuysheetfind,kakobuysheet2026</t>
        </is>
      </c>
      <c r="Q196" t="inlineStr">
        <is>
          <t>Dior, Dior Oblique, Leather, Black, Business, Men</t>
        </is>
      </c>
      <c r="R196" t="inlineStr">
        <is>
          <t>recvhju1Crv4of</t>
        </is>
      </c>
      <c r="S196" t="inlineStr">
        <is>
          <t>dior-black-oblique-leather-belt-recvhju1crv4of</t>
        </is>
      </c>
      <c r="T196"/>
      <c r="U196"/>
      <c r="V196"/>
      <c r="W196" t="inlineStr">
        <is>
          <t>{"id":"chatcmpl-DYhszIzjObOL9H1m2R5AgjwUeFDfC","object":"chat.completion","created":1777164221,"model":"gpt-5-chat-2025-10-03","choices":[{"index":0,"message":{"role":"assistant","content":"Dior：黑色Oblique图纹皮质腰带，采用高级牛皮材质与经典D字扣设计，彰显简约奢华质感。男士优选，时尚百搭风格，适合商务与休闲场合，展现现代优雅格调。","refusal":null,"annotations":[]},"logprobs":null,"finish_reason":"stop"}],"usage":{"prompt_tokens":1303,"completion_tokens":67,"total_tokens":1370,"prompt_tokens_details":{"cached_tokens":1280,"audio_tokens":0},"completion_tokens_details":{"reasoning_tokens":0,"audio_tokens":0,"accepted_prediction_tokens":0,"rejected_prediction_tokens":0}},"service_tier":"default","system_fingerprint":"fp_ad66631dec"}</t>
        </is>
      </c>
      <c r="X196" t="inlineStr">
        <is>
          <t>Dior：黑色Oblique图纹皮质腰带，采用高级牛皮材质与经典D字扣设计，彰显简约奢华质感。男士优选，时尚百搭风格，适合商务与休闲场合，展现现代优雅格调。</t>
        </is>
      </c>
    </row>
    <row r="197" ht="25.5" customHeight="1">
      <c r="A197">
        <v>1654975475</v>
      </c>
      <c r="B197">
        <v>7621187027</v>
      </c>
      <c r="C197" s="2" t="str">
        <f>=HYPERLINK("https://weidian.com/item.html?itemID=7621187027", "https://weidian.com/item.html?itemID=7621187027")</f>
        <v>https://weidian.com/item.html?itemID=7621187027</v>
      </c>
      <c r="D197"/>
      <c r="E197" s="2" t="str">
        <f>=HYPERLINK("https://si.geilicdn.com/pcitem2014204438-404c0000019ad96bad1d0a2315ef_1512_2016.jpg?w=640&amp;h=640", "https://si.geilicdn.com/pcitem2014204438-404c0000019ad96bad1d0a2315ef_1512_2016.jpg?w=640&amp;h=640")</f>
        <v>https://si.geilicdn.com/pcitem2014204438-404c0000019ad96bad1d0a2315ef_1512_2016.jpg?w=640&amp;h=640</v>
      </c>
      <c r="F197" t="inlineStr">
        <is>
          <t>Accessories</t>
        </is>
      </c>
      <c r="G197" t="inlineStr">
        <is>
          <t>Coach</t>
        </is>
      </c>
      <c r="H197">
        <v>460</v>
      </c>
      <c r="I197">
        <v>66.67</v>
      </c>
      <c r="J197" t="inlineStr">
        <is>
          <t>{"id":"chatcmpl-DYj0qXyogswkiQlGsMvlGnZOfTF6T","object":"chat.completion","created":1777168552,"model":"gpt-5-chat-2025-10-03","choices":[{"index":0,"message":{"role":"assistant","content":"COACH Signature Black Leather Reversible C Buckle Belt","refusal":null,"annotations":[]},"logprobs":null,"finish_reason":"stop"}],"usage":{"prompt_tokens":872,"completion_tokens":12,"total_tokens":884,"prompt_tokens_details":{"cached_tokens":0,"audio_tokens":0},"completion_tokens_details":{"reasoning_tokens":0,"audio_tokens":0,"accepted_prediction_tokens":0,"rejected_prediction_tokens":0}},"service_tier":"default","system_fingerprint":"fp_ad66631dec"}</t>
        </is>
      </c>
      <c r="K197" t="inlineStr">
        <is>
          <t>COACH Signature Black Leather Reversible C Buckle Belt</t>
        </is>
      </c>
      <c r="L197" t="inlineStr">
        <is>
          <t>{"id":"chatcmpl-DYiG12NT0bEmIE1ag2Ea5rWpfOteU","object":"chat.completion","created":1777165649,"model":"gpt-5-chat-2025-10-03","choices":[{"index":0,"message":{"role":"assistant","content":"COACH Signature Black Leather Belt, features matte metal C buckle, reversible design for men and women, crafted from premium leather, perfect blend of modern minimalism and urban elegance.","refusal":null,"annotations":[]},"logprobs":null,"finish_reason":"stop"}],"usage":{"prompt_tokens":899,"completion_tokens":36,"total_tokens":935,"prompt_tokens_details":{"cached_tokens":0,"audio_tokens":0},"completion_tokens_details":{"reasoning_tokens":0,"audio_tokens":0,"accepted_prediction_tokens":0,"rejected_prediction_tokens":0}},"service_tier":"default","system_fingerprint":"fp_ad66631dec"}</t>
        </is>
      </c>
      <c r="M197" t="inlineStr">
        <is>
          <t>{"alt-svc":"h3=\":443\"; ma=2592000","apim-request-id":"b3ecbedd-f97b-4585-ad94-8523f0312ea9","azureml-model-session":"d20260405225800-40f19e54","cache-control":"no-cache","connection":"close","content-length":"996","content-type":"application/json","date":"Sun, 26 Apr 2026 01:07:31 GMT","server":"Caddy","skip-error-remapping":"true","strict-transport-security":"max-age=31536000; includeSubDomains; preload","x-content-type-options":"nosniff","x-ms-client-request-id":"Not-Set","x-ms-is-spilled-over":"false","x-ms-rai-invoked":"false","x-ms-region":"Japan East","x-new-api-version":"0.4.35","x-oneapi-request-id":"202604260107287387786588268d9d6lHm283bZ","x-ratelimit-abusepenalty-active":"False","x-ratelimit-limit-requests":"1000","x-ratelimit-limit-tokens":"1000000","x-ratelimit-remaining-requests":"999","x-ratelimit-remaining-tokens":"998339","x-ratelimit-renewalperiod-requests":"60","x-ratelimit-renewalperiod-tokens":"60","x-ratelimit-reset-requests":"60","x-ratelimit-reset-tokens":"99","x-request-id":"ae32e6bc-46f2-4bcb-ada2-7abfaa771b66"}</t>
        </is>
      </c>
      <c r="N197" t="inlineStr">
        <is>
          <t>COACH Signature Black Leather Belt, features matte metal C buckle, reversible design for men and women, crafted from premium leather, perfect blend of modern minimalism and urban elegance.</t>
        </is>
      </c>
      <c r="O197" t="inlineStr">
        <is>
          <t>{"id":"chatcmpl-DYiUlshd2dWuAGcflFl68Dyo8Y0uF","object":"chat.completion","created":1777166563,"model":"gpt-5-chat-2025-10-03","choices":[{"index":0,"message":{"role":"assistant","content":"Coach,Belt,kakobuy,kakebuy2026,kekobuysheet,kakobuysheet2026,2026kakobuy,kakobuyspreadsheeet,kakobuylink,kakebuylist,Kakobuy MEGA Spreadsheet,kakobuysheetfind,kakobuysheetfind2026,2026kakobuysheetfind,kakobuysheet2026","refusal":null,"annotations":[]},"logprobs":null,"finish_reason":"stop"}],"usage":{"prompt_tokens":781,"completion_tokens":86,"total_tokens":867,"prompt_tokens_details":{"cached_tokens":0,"audio_tokens":0},"completion_tokens_details":{"reasoning_tokens":0,"audio_tokens":0,"accepted_prediction_tokens":0,"rejected_prediction_tokens":0}},"service_tier":"default","system_fingerprint":"fp_ad66631dec"}</t>
        </is>
      </c>
      <c r="P197" t="inlineStr">
        <is>
          <t>Coach,Belt,kakobuy,kakebuy2026,kekobuysheet,kakobuysheet2026,2026kakobuy,kakobuyspreadsheeet,kakobuylink,kakebuylist,Kakobuy MEGA Spreadsheet,kakobuysheetfind,kakobuysheetfind2026,2026kakobuysheetfind,kakobuysheet2026</t>
        </is>
      </c>
      <c r="Q197" t="inlineStr">
        <is>
          <t>Leather, Minimalist, Unisex, Black</t>
        </is>
      </c>
      <c r="R197" t="inlineStr">
        <is>
          <t>recvhju1CrIstI</t>
        </is>
      </c>
      <c r="S197" t="inlineStr">
        <is>
          <t>coach-signature-black-leather-reversible-c-buckle-belt-recvhju1cr isti</t>
        </is>
      </c>
      <c r="T197"/>
      <c r="U197"/>
      <c r="V197"/>
      <c r="W197" t="inlineStr">
        <is>
          <t>{"id":"chatcmpl-DYhqz5NW9IJKZVwbMy9t4rTIlPhz0","object":"chat.completion","created":1777164097,"model":"gpt-5-chat-2025-10-03","choices":[{"index":0,"message":{"role":"assistant","content":"Coach：经典黑色Signature系列腰带，甄选真皮拼接材质，哑光金属C字扣设计，彰显现代简约格调。双面可用设计兼顾实用与时尚，适合男女通用，展现都市优雅品味。","refusal":null,"annotations":[]},"logprobs":null,"finish_reason":"stop"}],"usage":{"prompt_tokens":1299,"completion_tokens":66,"total_tokens":1365,"prompt_tokens_details":{"cached_tokens":0,"audio_tokens":0},"completion_tokens_details":{"reasoning_tokens":0,"audio_tokens":0,"accepted_prediction_tokens":0,"rejected_prediction_tokens":0}},"service_tier":"default","system_fingerprint":"fp_ad66631dec"}</t>
        </is>
      </c>
      <c r="X197" t="inlineStr">
        <is>
          <t>Coach：经典黑色Signature系列腰带，甄选真皮拼接材质，哑光金属C字扣设计，彰显现代简约格调。双面可用设计兼顾实用与时尚，适合男女通用，展现都市优雅品味。</t>
        </is>
      </c>
    </row>
    <row r="198" ht="25.5" customHeight="1">
      <c r="A198">
        <v>1654975475</v>
      </c>
      <c r="B198">
        <v>7621185191</v>
      </c>
      <c r="C198" s="2" t="str">
        <f>=HYPERLINK("https://weidian.com/item.html?itemID=7621185191", "https://weidian.com/item.html?itemID=7621185191")</f>
        <v>https://weidian.com/item.html?itemID=7621185191</v>
      </c>
      <c r="D198"/>
      <c r="E198" s="2" t="str">
        <f>=HYPERLINK("https://si.geilicdn.com/pcitem2014204438-26790000019ad96e4b5a0a20e273_1512_2016.jpg?w=640&amp;h=640", "https://si.geilicdn.com/pcitem2014204438-26790000019ad96e4b5a0a20e273_1512_2016.jpg?w=640&amp;h=640")</f>
        <v>https://si.geilicdn.com/pcitem2014204438-26790000019ad96e4b5a0a20e273_1512_2016.jpg?w=640&amp;h=640</v>
      </c>
      <c r="F198" t="inlineStr">
        <is>
          <t>Accessories</t>
        </is>
      </c>
      <c r="G198" t="inlineStr">
        <is>
          <t>Dior</t>
        </is>
      </c>
      <c r="H198">
        <v>500</v>
      </c>
      <c r="I198">
        <v>72.46</v>
      </c>
      <c r="J198" t="inlineStr">
        <is>
          <t>{"id":"chatcmpl-DYix9jmpfuaD2VkSK3ZprAIke8qOA","object":"chat.completion","created":1777168323,"model":"gpt-5-chat-2025-10-03","choices":[{"index":0,"message":{"role":"assistant","content":"Dior Black Cannage Quilted Leather Belt Unisex","refusal":null,"annotations":[]},"logprobs":null,"finish_reason":"stop"}],"usage":{"prompt_tokens":875,"completion_tokens":12,"total_tokens":887,"prompt_tokens_details":{"cached_tokens":0,"audio_tokens":0},"completion_tokens_details":{"reasoning_tokens":0,"audio_tokens":0,"accepted_prediction_tokens":0,"rejected_prediction_tokens":0}},"service_tier":"default","system_fingerprint":"fp_ad66631dec"}</t>
        </is>
      </c>
      <c r="K198" t="inlineStr">
        <is>
          <t>Dior Black Cannage Quilted Leather Belt Unisex</t>
        </is>
      </c>
      <c r="L198" t="inlineStr">
        <is>
          <t>{"id":"chatcmpl-DYiHhaPh1bafXzndUIfk3Bq0viTIj","object":"chat.completion","created":1777165753,"model":"gpt-5-chat-2025-10-03","choices":[{"index":0,"message":{"role":"assistant","content":"Dior Black Cannage Quilted Leather Belt with Signature D Buckle, showcasing refined stitching and timeless elegance; unisex design blending modern city style and vintage luxury for premium fashion.","refusal":null,"annotations":[]},"logprobs":null,"finish_reason":"stop"}],"usage":{"prompt_tokens":903,"completion_tokens":37,"total_tokens":940,"prompt_tokens_details":{"cached_tokens":0,"audio_tokens":0},"completion_tokens_details":{"reasoning_tokens":0,"audio_tokens":0,"accepted_prediction_tokens":0,"rejected_prediction_tokens":0}},"service_tier":"default","system_fingerprint":"fp_ad66631dec"}</t>
        </is>
      </c>
      <c r="M198" t="inlineStr">
        <is>
          <t>{"alt-svc":"h3=\":443\"; ma=2592000","apim-request-id":"ee6e1b6d-4bfb-4a60-aea0-3c3e151d1d9d","azureml-model-session":"d20260405225800-40f19e54","cache-control":"no-cache","connection":"close","content-length":"1005","content-type":"application/json","date":"Sun, 26 Apr 2026 01:09:15 GMT","server":"Caddy","skip-error-remapping":"true","strict-transport-security":"max-age=31536000; includeSubDomains; preload","x-content-type-options":"nosniff","x-ms-client-request-id":"Not-Set","x-ms-is-spilled-over":"false","x-ms-rai-invoked":"false","x-ms-region":"Japan East","x-new-api-version":"0.4.35","x-oneapi-request-id":"202604260109126261832398268d9d6CulMx9k1","x-ratelimit-abusepenalty-active":"False","x-ratelimit-limit-requests":"1000","x-ratelimit-limit-tokens":"1000000","x-ratelimit-remaining-requests":"999","x-ratelimit-remaining-tokens":"998335","x-ratelimit-renewalperiod-requests":"60","x-ratelimit-renewalperiod-tokens":"60","x-ratelimit-reset-requests":"60","x-ratelimit-reset-tokens":"99","x-request-id":"2b0142de-17fb-47ea-91b7-da097d74a566"}</t>
        </is>
      </c>
      <c r="N198" t="inlineStr">
        <is>
          <t>Dior Black Cannage Quilted Leather Belt with Signature D Buckle, showcasing refined stitching and timeless elegance; unisex design blending modern city style and vintage luxury for premium fashion.</t>
        </is>
      </c>
      <c r="O198" t="inlineStr">
        <is>
          <t>{"id":"chatcmpl-DYiYtqxIAPK0KBXvklaqY82BrRc8R","object":"chat.completion","created":1777166819,"model":"gpt-5-chat-2025-10-03","choices":[{"index":0,"message":{"role":"assistant","content":"Dior,Belt,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198" t="inlineStr">
        <is>
          <t>Dior,Belt,kakobuy,kakebuy2026,kekobuysheet,kakobuysheet2026,2026kakobuy,kakobuyspreadsheeet,kakobuylink,kakebuylist,Kakobuy MEGA Spreadsheet,kakobuysheetfind,kakobuysheetfind2026,2026kakobuysheetfind,kakobuysheet2026</t>
        </is>
      </c>
      <c r="Q198" t="inlineStr">
        <is>
          <t>Dior, Leather, Unisex, Elegant, Vintage, High End</t>
        </is>
      </c>
      <c r="R198" t="inlineStr">
        <is>
          <t>recvhju1CruURg</t>
        </is>
      </c>
      <c r="S198" t="inlineStr">
        <is>
          <t>dior-black-cannage-quilted-leather-belt-recvhju1cruurg</t>
        </is>
      </c>
      <c r="T198"/>
      <c r="U198"/>
      <c r="V198"/>
      <c r="W198" t="inlineStr">
        <is>
          <t>{"id":"chatcmpl-DYhoyaMNpMHWB3VUaLITWJcD9ZjWP","object":"chat.completion","created":1777163972,"model":"gpt-5-chat-2025-10-03","choices":[{"index":0,"message":{"role":"assistant","content":"Dior：黑色经典藤格纹皮革腰带，以精湛缝线彰显品牌优雅格调，饰以标志性D字扣，低调奢华，男女皆宜，融合现代都市风与复古格调，完美点缀高端穿搭。","refusal":null,"annotations":[]},"logprobs":null,"finish_reason":"stop"}],"usage":{"prompt_tokens":1303,"completion_tokens":68,"total_tokens":1371,"prompt_tokens_details":{"cached_tokens":1280,"audio_tokens":0},"completion_tokens_details":{"reasoning_tokens":0,"audio_tokens":0,"accepted_prediction_tokens":0,"rejected_prediction_tokens":0}},"service_tier":"default","system_fingerprint":"fp_ad66631dec"}</t>
        </is>
      </c>
      <c r="X198" t="inlineStr">
        <is>
          <t>Dior：黑色经典藤格纹皮革腰带，以精湛缝线彰显品牌优雅格调，饰以标志性D字扣，低调奢华，男女皆宜，融合现代都市风与复古格调，完美点缀高端穿搭。</t>
        </is>
      </c>
    </row>
    <row r="199" ht="25.5" customHeight="1">
      <c r="A199">
        <v>1654975475</v>
      </c>
      <c r="B199">
        <v>7621251719</v>
      </c>
      <c r="C199" s="2" t="str">
        <f>=HYPERLINK("https://weidian.com/item.html?itemID=7621251719", "https://weidian.com/item.html?itemID=7621251719")</f>
        <v>https://weidian.com/item.html?itemID=7621251719</v>
      </c>
      <c r="D199"/>
      <c r="E199" s="2" t="str">
        <f>=HYPERLINK("https://si.geilicdn.com/pcitem2014204438-7b250000019ad965dff80a811411_1512_2016.jpg?w=640&amp;h=640", "https://si.geilicdn.com/pcitem2014204438-7b250000019ad965dff80a811411_1512_2016.jpg?w=640&amp;h=640")</f>
        <v>https://si.geilicdn.com/pcitem2014204438-7b250000019ad965dff80a811411_1512_2016.jpg?w=640&amp;h=640</v>
      </c>
      <c r="F199" t="inlineStr">
        <is>
          <t>Accessories</t>
        </is>
      </c>
      <c r="G199" t="inlineStr">
        <is>
          <t>Louis Vuitton</t>
        </is>
      </c>
      <c r="H199">
        <v>460</v>
      </c>
      <c r="I199">
        <v>66.67</v>
      </c>
      <c r="J199" t="inlineStr">
        <is>
          <t>{"id":"chatcmpl-DYj38URSDPAN0xz49OOrkgA8M5lpe","object":"chat.completion","created":1777168694,"model":"gpt-5-chat-2025-10-03","choices":[{"index":0,"message":{"role":"assistant","content":"Louis Vuitton Black Calfskin LV Buckle Leather Belt","refusal":null,"annotations":[]},"logprobs":null,"finish_reason":"stop"}],"usage":{"prompt_tokens":873,"completion_tokens":12,"total_tokens":885,"prompt_tokens_details":{"cached_tokens":0,"audio_tokens":0},"completion_tokens_details":{"reasoning_tokens":0,"audio_tokens":0,"accepted_prediction_tokens":0,"rejected_prediction_tokens":0}},"service_tier":"default","system_fingerprint":"fp_ad66631dec"}</t>
        </is>
      </c>
      <c r="K199" t="inlineStr">
        <is>
          <t>Louis Vuitton Black Calfskin LV Buckle Leather Belt</t>
        </is>
      </c>
      <c r="L199" t="inlineStr">
        <is>
          <t>{"id":"chatcmpl-DYiCHwWN5On6PkOjgIsEB27FPz7TS","object":"chat.completion","created":1777165417,"model":"gpt-5-chat-2025-10-03","choices":[{"index":0,"message":{"role":"assistant","content":"Louis Vuitton black grained leather belt with sleek LV engraved buckle, crafted from premium calfskin for a refined touch. Perfect for business or casual wear, showcasing timeless French luxury.","refusal":null,"annotations":[]},"logprobs":null,"finish_reason":"stop"}],"usage":{"prompt_tokens":909,"completion_tokens":36,"total_tokens":945,"prompt_tokens_details":{"cached_tokens":0,"audio_tokens":0},"completion_tokens_details":{"reasoning_tokens":0,"audio_tokens":0,"accepted_prediction_tokens":0,"rejected_prediction_tokens":0}},"service_tier":"default","system_fingerprint":"fp_ad66631dec"}</t>
        </is>
      </c>
      <c r="M199" t="inlineStr">
        <is>
          <t>{"alt-svc":"h3=\":443\"; ma=2592000","apim-request-id":"e409cda9-63e6-48d0-a312-743050300d69","azureml-model-session":"d20260402074105-51db401e","cache-control":"no-cache","connection":"close","content-length":"1002","content-type":"application/json","date":"Sun, 26 Apr 2026 01:03:40 GMT","server":"nginx","skip-error-remapping":"true","strict-transport-security":"max-age=31536000; includeSubDomains; preload","via":"1.1 Caddy","x-content-type-options":"nosniff","x-ms-client-request-id":"Not-Set","x-ms-is-spilled-over":"false","x-ms-rai-invoked":"false","x-ms-region":"Australia East","x-new-api-version":"0.4.35","x-oneapi-request-id":"202604260103364677708338268d9d6DRgVVpbI","x-ratelimit-abusepenalty-active":"False","x-ratelimit-limit-requests":"1000","x-ratelimit-limit-tokens":"1000000","x-ratelimit-remaining-requests":"999","x-ratelimit-remaining-tokens":"998329","x-ratelimit-renewalperiod-requests":"60","x-ratelimit-renewalperiod-tokens":"60","x-ratelimit-reset-requests":"60","x-ratelimit-reset-tokens":"100","x-request-id":"63cdca42-f7db-4ce0-9455-bb443fac0153"}</t>
        </is>
      </c>
      <c r="N199" t="inlineStr">
        <is>
          <t>Louis Vuitton black grained leather belt with sleek LV engraved buckle, crafted from premium calfskin for a refined touch. Perfect for business or casual wear, showcasing timeless French luxury.</t>
        </is>
      </c>
      <c r="O199" t="inlineStr">
        <is>
          <t>{"id":"chatcmpl-DYiXO1B4lCu0zXlyTbs3bRJKdyV4C","object":"chat.completion","created":1777166726,"model":"gpt-5-chat-2025-10-03","choices":[{"index":0,"message":{"role":"assistant","content":"Louis Vuitton, Accessories, kakobuy, kakebuy2026, kekobuysheet, kakobuysheet2026, 2026kakobuy, kakobuyspreadsheeet, kakobuylink, kakebuylist, Kakobuy MEGA Spreadsheet, kakobuysheetfind, kakobuysheetfind2026, 2026kakobuysheetfind, kakobuysheet2026","refusal":null,"annotations":[]},"logprobs":null,"finish_reason":"stop"}],"usage":{"prompt_tokens":782,"completion_tokens":91,"total_tokens":873,"prompt_tokens_details":{"cached_tokens":0,"audio_tokens":0},"completion_tokens_details":{"reasoning_tokens":0,"audio_tokens":0,"accepted_prediction_tokens":0,"rejected_prediction_tokens":0}},"service_tier":"default","system_fingerprint":"fp_ad66631dec"}</t>
        </is>
      </c>
      <c r="P199" t="inlineStr">
        <is>
          <t>Louis Vuitton, Accessories, kakobuy, kakebuy2026, kekobuysheet, kakobuysheet2026, 2026kakobuy, kakobuyspreadsheeet, kakobuylink, kakebuylist, Kakobuy MEGA Spreadsheet, kakobuysheetfind, kakobuysheetfind2026, 2026kakobuysheetfind, kakobuysheet2026</t>
        </is>
      </c>
      <c r="Q199" t="inlineStr">
        <is>
          <t>LV, Leather, Black, Business</t>
        </is>
      </c>
      <c r="R199" t="inlineStr">
        <is>
          <t>recvhju1CrWimu</t>
        </is>
      </c>
      <c r="S199" t="inlineStr">
        <is>
          <t>louis-vuitton-black-calfskin-lv-buckle-leather-belt-recvhju1crwimu</t>
        </is>
      </c>
      <c r="T199"/>
      <c r="U199"/>
      <c r="V199"/>
      <c r="W199" t="inlineStr">
        <is>
          <t>{"id":"chatcmpl-DYhv1UzCShneeDthtPO8NdraKJJff","object":"chat.completion","created":1777164347,"model":"gpt-5-chat-2025-10-03","choices":[{"index":0,"message":{"role":"assistant","content":"Louis Vuitton：黑色粒面皮革腰带，简约LV刻字金属扣设计，质感低调优雅。甄选上乘小牛皮材质，细腻触感展现精湛工艺，适合男士商务与日常休闲穿搭，彰显法式奢华格调。","refusal":null,"annotations":[]},"logprobs":null,"finish_reason":"stop"}],"usage":{"prompt_tokens":1297,"completion_tokens":77,"total_tokens":1374,"prompt_tokens_details":{"cached_tokens":0,"audio_tokens":0},"completion_tokens_details":{"reasoning_tokens":0,"audio_tokens":0,"accepted_prediction_tokens":0,"rejected_prediction_tokens":0}},"service_tier":"default","system_fingerprint":"fp_ad66631dec"}</t>
        </is>
      </c>
      <c r="X199" t="inlineStr">
        <is>
          <t>Louis Vuitton：黑色粒面皮革腰带，简约LV刻字金属扣设计，质感低调优雅。甄选上乘小牛皮材质，细腻触感展现精湛工艺，适合男士商务与日常休闲穿搭，彰显法式奢华格调。</t>
        </is>
      </c>
    </row>
    <row r="200" ht="25.5" customHeight="1">
      <c r="A200">
        <v>1654975475</v>
      </c>
      <c r="B200">
        <v>7621185251</v>
      </c>
      <c r="C200" s="2" t="str">
        <f>=HYPERLINK("https://weidian.com/item.html?itemID=7621185251", "https://weidian.com/item.html?itemID=7621185251")</f>
        <v>https://weidian.com/item.html?itemID=7621185251</v>
      </c>
      <c r="D200"/>
      <c r="E200" s="2" t="str">
        <f>=HYPERLINK("https://si.geilicdn.com/pcitem2014204438-358b0000019ad96facd80a210256_1440_1920.jpg?w=640&amp;h=640", "https://si.geilicdn.com/pcitem2014204438-358b0000019ad96facd80a210256_1440_1920.jpg?w=640&amp;h=640")</f>
        <v>https://si.geilicdn.com/pcitem2014204438-358b0000019ad96facd80a210256_1440_1920.jpg?w=640&amp;h=640</v>
      </c>
      <c r="F200" t="inlineStr">
        <is>
          <t>Accessories</t>
        </is>
      </c>
      <c r="G200" t="inlineStr">
        <is>
          <t>Gucci</t>
        </is>
      </c>
      <c r="H200">
        <v>460</v>
      </c>
      <c r="I200">
        <v>66.67</v>
      </c>
      <c r="J200" t="inlineStr">
        <is>
          <t>{"id":"chatcmpl-DYiyx7k2afPhPUSG3fJovRechebxh","object":"chat.completion","created":1777168435,"model":"gpt-5-chat-2025-10-03","choices":[{"index":0,"message":{"role":"assistant","content":"Gucci Double G Black Leather Belt Unisex","refusal":null,"annotations":[]},"logprobs":null,"finish_reason":"stop"}],"usage":{"prompt_tokens":879,"completion_tokens":10,"total_tokens":889,"prompt_tokens_details":{"cached_tokens":0,"audio_tokens":0},"completion_tokens_details":{"reasoning_tokens":0,"audio_tokens":0,"accepted_prediction_tokens":0,"rejected_prediction_tokens":0}},"service_tier":"default","system_fingerprint":"fp_ad66631dec"}</t>
        </is>
      </c>
      <c r="K200" t="inlineStr">
        <is>
          <t>Gucci Double G Black Leather Belt Unisex</t>
        </is>
      </c>
      <c r="L200" t="inlineStr">
        <is>
          <t>{"id":"chatcmpl-DYiKokVABrVryCI27gnOQxAUVzOHB","object":"chat.completion","created":1777165946,"model":"gpt-5-chat-2025-10-03","choices":[{"index":0,"message":{"role":"assistant","content":"Gucci Black Double G embossed calfskin belt with silver square buckle, crafted in premium leather for a sleek unisex look. Minimalist design blends luxury, elegance, and modern Italian style.","refusal":null,"annotations":[]},"logprobs":null,"finish_reason":"stop"}],"usage":{"prompt_tokens":916,"completion_tokens":39,"total_tokens":955,"prompt_tokens_details":{"cached_tokens":0,"audio_tokens":0},"completion_tokens_details":{"reasoning_tokens":0,"audio_tokens":0,"accepted_prediction_tokens":0,"rejected_prediction_tokens":0}},"service_tier":"default","system_fingerprint":"fp_ad66631dec"}</t>
        </is>
      </c>
      <c r="M200" t="inlineStr">
        <is>
          <t>{"alt-svc":"h3=\":443\"; ma=2592000","apim-request-id":"5738ab2e-6978-4c26-8c7d-670c263158c7","azureml-model-session":"d20260402074105-51db401e","cache-control":"no-cache","connection":"close","content-length":"999","content-type":"application/json","date":"Sun, 26 Apr 2026 01:12:27 GMT","server":"Caddy","skip-error-remapping":"true","strict-transport-security":"max-age=31536000; includeSubDomains; preload","x-content-type-options":"nosniff","x-ms-client-request-id":"Not-Set","x-ms-is-spilled-over":"false","x-ms-rai-invoked":"false","x-ms-region":"East US 2","x-new-api-version":"0.4.35","x-oneapi-request-id":"202604260112253365934858268d9d6hrqKMnSz","x-ratelimit-abusepenalty-active":"False","x-ratelimit-limit-requests":"1000","x-ratelimit-limit-tokens":"1000000","x-ratelimit-remaining-requests":"999","x-ratelimit-remaining-tokens":"998322","x-ratelimit-renewalperiod-requests":"60","x-ratelimit-renewalperiod-tokens":"60","x-ratelimit-reset-requests":"60","x-ratelimit-reset-tokens":"100","x-request-id":"723b5e34-4faa-4796-aedc-c62d757f3d99"}</t>
        </is>
      </c>
      <c r="N200" t="inlineStr">
        <is>
          <t>Gucci Black Double G embossed calfskin belt with silver square buckle, crafted in premium leather for a sleek unisex look. Minimalist design blends luxury, elegance, and modern Italian style.</t>
        </is>
      </c>
      <c r="O200" t="inlineStr">
        <is>
          <t>{"id":"chatcmpl-DYiWI3zzDNZPxHVTWzaqqeRh4kinN","object":"chat.completion","created":1777166658,"model":"gpt-5-chat-2025-10-03","choices":[{"index":0,"message":{"role":"assistant","content":"Gucci,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00" t="inlineStr">
        <is>
          <t>Gucci,Accessories,kakobuy,kakebuy2026,kekobuysheet,kakobuysheet2026,2026kakobuy,kakobuyspreadsheeet,kakobuylink,kakebuylist,Kakobuy MEGA Spreadsheet,kakobuysheetfind,kakobuysheetfind2026,2026kakobuysheetfind,kakobuysheet2026</t>
        </is>
      </c>
      <c r="Q200" t="inlineStr">
        <is>
          <t>Black, Silver, Leather, Minimalist, Elegant, Modern</t>
        </is>
      </c>
      <c r="R200" t="inlineStr">
        <is>
          <t>recvhju1CrQkaW</t>
        </is>
      </c>
      <c r="S200" t="inlineStr">
        <is>
          <t>gucci-double-g-black-leather-belt-recvhju1crqkaw</t>
        </is>
      </c>
      <c r="T200"/>
      <c r="U200"/>
      <c r="V200"/>
      <c r="W200" t="inlineStr">
        <is>
          <t>{"id":"chatcmpl-DYhvVPSwuGYQafTiHCrfhsQdrIrUs","object":"chat.completion","created":1777164377,"model":"gpt-5-chat-2025-10-03","choices":[{"index":0,"message":{"role":"assistant","content":"Gucci：经典黑色双G压纹皮革腰带，采用优质小牛皮打造，搭配银色方形金属扣头，低调奢华兼具现代感。精致工艺展现品牌标志性美学，风格简约百搭，适合男女通用，轻松演绎高端时尚与品位。","refusal":null,"annotations":[]},"logprobs":null,"finish_reason":"stop"}],"usage":{"prompt_tokens":1297,"completion_tokens":84,"total_tokens":1381,"prompt_tokens_details":{"cached_tokens":1280,"audio_tokens":0},"completion_tokens_details":{"reasoning_tokens":0,"audio_tokens":0,"accepted_prediction_tokens":0,"rejected_prediction_tokens":0}},"service_tier":"default","system_fingerprint":"fp_ad66631dec"}</t>
        </is>
      </c>
      <c r="X200" t="inlineStr">
        <is>
          <t>Gucci：经典黑色双G压纹皮革腰带，采用优质小牛皮打造，搭配银色方形金属扣头，低调奢华兼具现代感。精致工艺展现品牌标志性美学，风格简约百搭，适合男女通用，轻松演绎高端时尚与品位。</t>
        </is>
      </c>
    </row>
    <row r="201" ht="25.5" customHeight="1">
      <c r="A201">
        <v>1654975475</v>
      </c>
      <c r="B201">
        <v>7624285722</v>
      </c>
      <c r="C201" s="2" t="str">
        <f>=HYPERLINK("https://weidian.com/item.html?itemID=7624285722", "https://weidian.com/item.html?itemID=7624285722")</f>
        <v>https://weidian.com/item.html?itemID=7624285722</v>
      </c>
      <c r="D201"/>
      <c r="E201" s="2" t="str">
        <f>=HYPERLINK("https://si.geilicdn.com/pcitem2014204438-27d30000019ad97883a60a231177_1512_2016.jpg?w=640&amp;h=640", "https://si.geilicdn.com/pcitem2014204438-27d30000019ad97883a60a231177_1512_2016.jpg?w=640&amp;h=640")</f>
        <v>https://si.geilicdn.com/pcitem2014204438-27d30000019ad97883a60a231177_1512_2016.jpg?w=640&amp;h=640</v>
      </c>
      <c r="F201" t="inlineStr">
        <is>
          <t>Accessories</t>
        </is>
      </c>
      <c r="G201" t="inlineStr">
        <is>
          <t>Louis Vuitton</t>
        </is>
      </c>
      <c r="H201">
        <v>460</v>
      </c>
      <c r="I201">
        <v>66.67</v>
      </c>
      <c r="J201" t="inlineStr">
        <is>
          <t>{"id":"chatcmpl-DYj1FQvUQNzwT2vKl2rtab9JqpZ9B","object":"chat.completion","created":1777168577,"model":"gpt-5-chat-2025-10-03","choices":[{"index":0,"message":{"role":"assistant","content":"Louis Vuitton Monogram Black Reversible Men's Leather Belt","refusal":null,"annotations":[]},"logprobs":null,"finish_reason":"stop"}],"usage":{"prompt_tokens":867,"completion_tokens":11,"total_tokens":878,"prompt_tokens_details":{"cached_tokens":0,"audio_tokens":0},"completion_tokens_details":{"reasoning_tokens":0,"audio_tokens":0,"accepted_prediction_tokens":0,"rejected_prediction_tokens":0}},"service_tier":"default","system_fingerprint":"fp_ad66631dec"}</t>
        </is>
      </c>
      <c r="K201" t="inlineStr">
        <is>
          <t>Louis Vuitton Monogram Black Reversible Men's Leather Belt</t>
        </is>
      </c>
      <c r="L201" t="inlineStr">
        <is>
          <t>{"id":"chatcmpl-DYiKDrl7Q3F0sYdephaNap5g9YBV2","object":"chat.completion","created":1777165909,"model":"gpt-5-chat-2025-10-03","choices":[{"index":0,"message":{"role":"assistant","content":"Louis Vuitton Monogram Black Men's Belt in premium cowhide leather with reversible design and gold LV buckle, blending iconic monogram pattern for both business and casual elegance.","refusal":null,"annotations":[]},"logprobs":null,"finish_reason":"stop"}],"usage":{"prompt_tokens":897,"completion_tokens":33,"total_tokens":930,"prompt_tokens_details":{"cached_tokens":0,"audio_tokens":0},"completion_tokens_details":{"reasoning_tokens":0,"audio_tokens":0,"accepted_prediction_tokens":0,"rejected_prediction_tokens":0}},"service_tier":"default","system_fingerprint":"fp_ad66631dec"}</t>
        </is>
      </c>
      <c r="M201" t="inlineStr">
        <is>
          <t>{"alt-svc":"h3=\":443\"; ma=2592000","apim-request-id":"6569e143-ce1d-4620-bc2f-20bd41e2eb36","azureml-model-session":"d20260405225800-40f19e54","cache-control":"no-cache","connection":"close","content-length":"989","content-type":"application/json","date":"Sun, 26 Apr 2026 01:11:51 GMT","server":"Caddy","skip-error-remapping":"true","strict-transport-security":"max-age=31536000; includeSubDomains; preload","x-content-type-options":"nosniff","x-ms-client-request-id":"Not-Set","x-ms-is-spilled-over":"false","x-ms-rai-invoked":"false","x-ms-region":"Australia East","x-new-api-version":"0.4.35","x-oneapi-request-id":"202604260111481719237498268d9d63qmREq55","x-ratelimit-abusepenalty-active":"False","x-ratelimit-limit-requests":"1000","x-ratelimit-limit-tokens":"1000000","x-ratelimit-remaining-requests":"999","x-ratelimit-remaining-tokens":"998341","x-ratelimit-renewalperiod-requests":"60","x-ratelimit-renewalperiod-tokens":"60","x-ratelimit-reset-requests":"60","x-ratelimit-reset-tokens":"99","x-request-id":"4024940e-316a-4223-a629-295b0b6b6fb8"}</t>
        </is>
      </c>
      <c r="N201" t="inlineStr">
        <is>
          <t>Louis Vuitton Monogram Black Men's Belt in premium cowhide leather with reversible design and gold LV buckle, blending iconic monogram pattern for both business and casual elegance.</t>
        </is>
      </c>
      <c r="O201" t="inlineStr">
        <is>
          <t>{"id":"chatcmpl-DYiSAPxkuQBFUSGEoKYUrxjHXPenD","object":"chat.completion","created":1777166402,"model":"gpt-5-chat-2025-10-03","choices":[{"index":0,"message":{"role":"assistant","content":"Louis Vuitton,Accessories,kakobuy,kakebuy2026,kekobuysheet,kakobuysheet2026,2026kakobuy,kakobuyspreadsheeet,kakobuylink,kakebuylist,Kakobuy MEGA Spreadsheet,kakobuysheetfind,kakobuysheetfind2026,2026kakobuysheetfind,kakobuysheet2026","refusal":null,"annotations":[]},"logprobs":null,"finish_reason":"stop"}],"usage":{"prompt_tokens":782,"completion_tokens":87,"total_tokens":869,"prompt_tokens_details":{"cached_tokens":0,"audio_tokens":0},"completion_tokens_details":{"reasoning_tokens":0,"audio_tokens":0,"accepted_prediction_tokens":0,"rejected_prediction_tokens":0}},"service_tier":"default","system_fingerprint":"fp_ad66631dec"}</t>
        </is>
      </c>
      <c r="P201" t="inlineStr">
        <is>
          <t>Louis Vuitton,Accessories,kakobuy,kakebuy2026,kekobuysheet,kakobuysheet2026,2026kakobuy,kakobuyspreadsheeet,kakobuylink,kakebuylist,Kakobuy MEGA Spreadsheet,kakobuysheetfind,kakobuysheetfind2026,2026kakobuysheetfind,kakobuysheet2026</t>
        </is>
      </c>
      <c r="Q201" t="inlineStr">
        <is>
          <t>LV, Cowhide, Gold, Business, Men</t>
        </is>
      </c>
      <c r="R201" t="inlineStr">
        <is>
          <t>recvhju1CrTX8g</t>
        </is>
      </c>
      <c r="S201" t="inlineStr">
        <is>
          <t>louis-vuitton-monogram-black-reversible-leather-belt-recvhju1crtx8g</t>
        </is>
      </c>
      <c r="T201"/>
      <c r="U201"/>
      <c r="V201"/>
      <c r="W201" t="inlineStr">
        <is>
          <t>{"id":"chatcmpl-DYhpNrRBDpuLfdnk4e0LQtt64zvYV","object":"chat.completion","created":1777163997,"model":"gpt-5-chat-2025-10-03","choices":[{"index":0,"message":{"role":"assistant","content":"Louis Vuitton：Monogram黑色男士腰带，采用高级牛皮材质与经典反转设计，金色LV扣彰显奢华格调，融合品牌标志性老花图腾，兼具商务与休闲风格，尽显现代绅士魅力。","refusal":null,"annotations":[]},"logprobs":null,"finish_reason":"stop"}],"usage":{"prompt_tokens":1297,"completion_tokens":65,"total_tokens":1362,"prompt_tokens_details":{"cached_tokens":0,"audio_tokens":0},"completion_tokens_details":{"reasoning_tokens":0,"audio_tokens":0,"accepted_prediction_tokens":0,"rejected_prediction_tokens":0}},"service_tier":"default","system_fingerprint":"fp_ad66631dec"}</t>
        </is>
      </c>
      <c r="X201" t="inlineStr">
        <is>
          <t>Louis Vuitton：Monogram黑色男士腰带，采用高级牛皮材质与经典反转设计，金色LV扣彰显奢华格调，融合品牌标志性老花图腾，兼具商务与休闲风格，尽显现代绅士魅力。</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